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76F01977-C38D-45CD-BEA2-C0E1E07A4CE9}" xr6:coauthVersionLast="47" xr6:coauthVersionMax="47" xr10:uidLastSave="{00000000-0000-0000-0000-000000000000}"/>
  <bookViews>
    <workbookView xWindow="28680" yWindow="-120" windowWidth="24240" windowHeight="13020" xr2:uid="{B73AAF57-D3B5-4EE5-BB00-D679C5A9386E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<sst xmlns="http://schemas.openxmlformats.org/spreadsheetml/2006/main" count="16" uniqueCount="16">
  <si>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MPBS,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</si>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</sst>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E967-938B-4730-B59D-AFBE2D393CEE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6.6</v>
      </c>
      <c r="D5" s="4">
        <v>1.7064999999999999</v>
      </c>
      <c r="E5" s="4">
        <v>405</v>
      </c>
      <c r="F5" s="4"/>
      <c r="G5" s="4"/>
      <c r="H5" s="1"/>
    </row>
    <row r="6" spans="1:11" ht="13.5" x14ac:dyDescent="0.25">
      <c r="A6" s="1"/>
      <c r="B6" s="3">
        <v>42311</v>
      </c>
      <c r="C6" s="4">
        <v>6.6</v>
      </c>
      <c r="D6" s="4">
        <v>1.7064999999999999</v>
      </c>
      <c r="E6" s="4">
        <v>0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6.5</v>
      </c>
      <c r="D7" s="4">
        <v>1.6807000000000001</v>
      </c>
      <c r="E7" s="4">
        <v>60</v>
      </c>
      <c r="F7" s="4"/>
      <c r="G7" s="4"/>
      <c r="H7" s="5">
        <f t="shared" ref="H7:H70" si="0">(D7-D6)/D6</f>
        <v>-1.5118663932024509E-2</v>
      </c>
    </row>
    <row r="8" spans="1:11" ht="13.5" x14ac:dyDescent="0.25">
      <c r="A8" s="1"/>
      <c r="B8" s="3">
        <v>42313</v>
      </c>
      <c r="C8" s="4">
        <v>6.52</v>
      </c>
      <c r="D8" s="4">
        <v>1.6858</v>
      </c>
      <c r="E8" s="4">
        <v>460</v>
      </c>
      <c r="F8" s="4"/>
      <c r="G8" s="4"/>
      <c r="H8" s="5">
        <f t="shared" si="0"/>
        <v>3.0344499315760587E-3</v>
      </c>
      <c r="J8" t="s">
        <v>9</v>
      </c>
      <c r="K8" s="6">
        <f>AVERAGE(H6:H2511)</f>
        <v>8.1015552390381162E-4</v>
      </c>
    </row>
    <row r="9" spans="1:11" ht="13.5" x14ac:dyDescent="0.25">
      <c r="A9" s="1"/>
      <c r="B9" s="3">
        <v>42314</v>
      </c>
      <c r="C9" s="4">
        <v>6.33</v>
      </c>
      <c r="D9" s="4">
        <v>1.6367</v>
      </c>
      <c r="E9" s="4">
        <v>100</v>
      </c>
      <c r="F9" s="4"/>
      <c r="G9" s="4"/>
      <c r="H9" s="5">
        <f t="shared" si="0"/>
        <v>-2.9125637679439983E-2</v>
      </c>
      <c r="J9" t="s">
        <v>10</v>
      </c>
      <c r="K9" s="6">
        <f>K8*K6</f>
        <v>0.20415919202376054</v>
      </c>
    </row>
    <row r="10" spans="1:11" ht="13.5" x14ac:dyDescent="0.25">
      <c r="A10" s="1"/>
      <c r="B10" s="3">
        <v>42317</v>
      </c>
      <c r="C10" s="4">
        <v>6.33</v>
      </c>
      <c r="D10" s="4">
        <v>1.6367</v>
      </c>
      <c r="E10" s="4">
        <v>85</v>
      </c>
      <c r="F10" s="4"/>
      <c r="G10" s="4"/>
      <c r="H10" s="5">
        <f t="shared" si="0"/>
        <v>0</v>
      </c>
      <c r="J10" t="s">
        <v>11</v>
      </c>
      <c r="K10" s="6">
        <f>STDEV(H6:H2511)</f>
        <v>1.9993355401468918E-2</v>
      </c>
    </row>
    <row r="11" spans="1:11" ht="13.5" x14ac:dyDescent="0.25">
      <c r="A11" s="1"/>
      <c r="B11" s="3">
        <v>42318</v>
      </c>
      <c r="C11" s="4">
        <v>6.15</v>
      </c>
      <c r="D11" s="4">
        <v>1.5902000000000001</v>
      </c>
      <c r="E11" s="4">
        <v>300</v>
      </c>
      <c r="F11" s="4"/>
      <c r="G11" s="4"/>
      <c r="H11" s="5">
        <f t="shared" si="0"/>
        <v>-2.8410826663408068E-2</v>
      </c>
      <c r="J11" t="s">
        <v>12</v>
      </c>
      <c r="K11" s="6">
        <f>K10*SQRT(K6)</f>
        <v>0.31738467759610023</v>
      </c>
    </row>
    <row r="12" spans="1:11" ht="13.5" x14ac:dyDescent="0.25">
      <c r="A12" s="1"/>
      <c r="B12" s="3">
        <v>42319</v>
      </c>
      <c r="C12" s="4">
        <v>6.14</v>
      </c>
      <c r="D12" s="4">
        <v>1.5875999999999999</v>
      </c>
      <c r="E12" s="4">
        <v>94</v>
      </c>
      <c r="F12" s="4"/>
      <c r="G12" s="4"/>
      <c r="H12" s="5">
        <f t="shared" si="0"/>
        <v>-1.6350144635895846E-3</v>
      </c>
    </row>
    <row r="13" spans="1:11" ht="13.5" x14ac:dyDescent="0.25">
      <c r="A13" s="1"/>
      <c r="B13" s="3">
        <v>42320</v>
      </c>
      <c r="C13" s="4">
        <v>6.13</v>
      </c>
      <c r="D13" s="4">
        <v>1.585</v>
      </c>
      <c r="E13" s="4">
        <v>272</v>
      </c>
      <c r="F13" s="4"/>
      <c r="G13" s="4"/>
      <c r="H13" s="5">
        <f t="shared" si="0"/>
        <v>-1.6376921138825497E-3</v>
      </c>
    </row>
    <row r="14" spans="1:11" ht="13.5" x14ac:dyDescent="0.25">
      <c r="A14" s="1"/>
      <c r="B14" s="3">
        <v>42321</v>
      </c>
      <c r="C14" s="4">
        <v>5.95</v>
      </c>
      <c r="D14" s="4">
        <v>1.5385</v>
      </c>
      <c r="E14" s="4">
        <v>891</v>
      </c>
      <c r="F14" s="4"/>
      <c r="G14" s="4"/>
      <c r="H14" s="5">
        <f t="shared" si="0"/>
        <v>-2.9337539432176648E-2</v>
      </c>
    </row>
    <row r="15" spans="1:11" ht="13.5" x14ac:dyDescent="0.25">
      <c r="A15" s="1"/>
      <c r="B15" s="3">
        <v>42324</v>
      </c>
      <c r="C15" s="4">
        <v>6</v>
      </c>
      <c r="D15" s="4">
        <v>1.5513999999999999</v>
      </c>
      <c r="E15" s="4">
        <v>260</v>
      </c>
      <c r="F15" s="4"/>
      <c r="G15" s="4"/>
      <c r="H15" s="5">
        <f t="shared" si="0"/>
        <v>8.384790380240436E-3</v>
      </c>
    </row>
    <row r="16" spans="1:11" ht="13.5" x14ac:dyDescent="0.25">
      <c r="A16" s="1"/>
      <c r="B16" s="3">
        <v>42325</v>
      </c>
      <c r="C16" s="4">
        <v>5.82</v>
      </c>
      <c r="D16" s="4">
        <v>1.5047999999999999</v>
      </c>
      <c r="E16" s="4">
        <v>200</v>
      </c>
      <c r="F16" s="4"/>
      <c r="G16" s="4"/>
      <c r="H16" s="5">
        <f t="shared" si="0"/>
        <v>-3.0037385587211536E-2</v>
      </c>
    </row>
    <row r="17" spans="1:8" ht="13.5" x14ac:dyDescent="0.25">
      <c r="A17" s="1"/>
      <c r="B17" s="3">
        <v>42326</v>
      </c>
      <c r="C17" s="4">
        <v>5.75</v>
      </c>
      <c r="D17" s="4">
        <v>1.4866999999999999</v>
      </c>
      <c r="E17" s="4">
        <v>415</v>
      </c>
      <c r="F17" s="4"/>
      <c r="G17" s="4"/>
      <c r="H17" s="5">
        <f t="shared" si="0"/>
        <v>-1.2028176501860716E-2</v>
      </c>
    </row>
    <row r="18" spans="1:8" ht="13.5" x14ac:dyDescent="0.25">
      <c r="A18" s="1"/>
      <c r="B18" s="3">
        <v>42327</v>
      </c>
      <c r="C18" s="4">
        <v>5.58</v>
      </c>
      <c r="D18" s="4">
        <v>1.4428000000000001</v>
      </c>
      <c r="E18" s="4">
        <v>985</v>
      </c>
      <c r="F18" s="4"/>
      <c r="G18" s="4"/>
      <c r="H18" s="5">
        <f t="shared" si="0"/>
        <v>-2.9528485908387591E-2</v>
      </c>
    </row>
    <row r="19" spans="1:8" ht="13.5" x14ac:dyDescent="0.25">
      <c r="A19" s="1"/>
      <c r="B19" s="3">
        <v>42328</v>
      </c>
      <c r="C19" s="4">
        <v>5.5</v>
      </c>
      <c r="D19" s="4">
        <v>1.4220999999999999</v>
      </c>
      <c r="E19" s="4">
        <v>755</v>
      </c>
      <c r="F19" s="4"/>
      <c r="G19" s="4"/>
      <c r="H19" s="5">
        <f t="shared" si="0"/>
        <v>-1.4347102855558748E-2</v>
      </c>
    </row>
    <row r="20" spans="1:8" ht="13.5" x14ac:dyDescent="0.25">
      <c r="A20" s="1"/>
      <c r="B20" s="3">
        <v>42331</v>
      </c>
      <c r="C20" s="4">
        <v>5.5</v>
      </c>
      <c r="D20" s="4">
        <v>1.4220999999999999</v>
      </c>
      <c r="E20" s="4">
        <v>10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5.5</v>
      </c>
      <c r="D21" s="4">
        <v>1.4220999999999999</v>
      </c>
      <c r="E21" s="4">
        <v>445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5.5</v>
      </c>
      <c r="D22" s="4">
        <v>1.4220999999999999</v>
      </c>
      <c r="E22" s="4">
        <v>0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5.5</v>
      </c>
      <c r="D23" s="4">
        <v>1.4220999999999999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5.5</v>
      </c>
      <c r="D24" s="4">
        <v>1.4220999999999999</v>
      </c>
      <c r="E24" s="4">
        <v>10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5.3</v>
      </c>
      <c r="D25" s="4">
        <v>1.3704000000000001</v>
      </c>
      <c r="E25" s="4">
        <v>1191</v>
      </c>
      <c r="F25" s="4"/>
      <c r="G25" s="4"/>
      <c r="H25" s="5">
        <f t="shared" si="0"/>
        <v>-3.6354686730890838E-2</v>
      </c>
    </row>
    <row r="26" spans="1:8" ht="13.5" x14ac:dyDescent="0.25">
      <c r="A26" s="1"/>
      <c r="B26" s="3">
        <v>42339</v>
      </c>
      <c r="C26" s="4">
        <v>5.3</v>
      </c>
      <c r="D26" s="4">
        <v>1.3704000000000001</v>
      </c>
      <c r="E26" s="4">
        <v>700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5.3</v>
      </c>
      <c r="D27" s="4">
        <v>1.3704000000000001</v>
      </c>
      <c r="E27" s="4">
        <v>653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5.26</v>
      </c>
      <c r="D28" s="4">
        <v>1.36</v>
      </c>
      <c r="E28" s="4">
        <v>273</v>
      </c>
      <c r="F28" s="4"/>
      <c r="G28" s="4"/>
      <c r="H28" s="5">
        <f t="shared" si="0"/>
        <v>-7.5890251021599273E-3</v>
      </c>
    </row>
    <row r="29" spans="1:8" ht="13.5" x14ac:dyDescent="0.25">
      <c r="A29" s="1"/>
      <c r="B29" s="3">
        <v>42342</v>
      </c>
      <c r="C29" s="4">
        <v>5.1100000000000003</v>
      </c>
      <c r="D29" s="4">
        <v>1.3212999999999999</v>
      </c>
      <c r="E29" s="4">
        <v>749</v>
      </c>
      <c r="F29" s="4"/>
      <c r="G29" s="4"/>
      <c r="H29" s="5">
        <f t="shared" si="0"/>
        <v>-2.8455882352941306E-2</v>
      </c>
    </row>
    <row r="30" spans="1:8" ht="13.5" x14ac:dyDescent="0.25">
      <c r="A30" s="1"/>
      <c r="B30" s="3">
        <v>42345</v>
      </c>
      <c r="C30" s="4">
        <v>5.08</v>
      </c>
      <c r="D30" s="4">
        <v>1.3134999999999999</v>
      </c>
      <c r="E30" s="4">
        <v>1250</v>
      </c>
      <c r="F30" s="4"/>
      <c r="G30" s="4"/>
      <c r="H30" s="5">
        <f t="shared" si="0"/>
        <v>-5.903277075607379E-3</v>
      </c>
    </row>
    <row r="31" spans="1:8" ht="13.5" x14ac:dyDescent="0.25">
      <c r="A31" s="1"/>
      <c r="B31" s="3">
        <v>42346</v>
      </c>
      <c r="C31" s="4">
        <v>5.08</v>
      </c>
      <c r="D31" s="4">
        <v>1.3134999999999999</v>
      </c>
      <c r="E31" s="4">
        <v>715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4.93</v>
      </c>
      <c r="D32" s="4">
        <v>1.2746999999999999</v>
      </c>
      <c r="E32" s="4">
        <v>500</v>
      </c>
      <c r="F32" s="4"/>
      <c r="G32" s="4"/>
      <c r="H32" s="5">
        <f t="shared" si="0"/>
        <v>-2.9539398553483021E-2</v>
      </c>
    </row>
    <row r="33" spans="1:8" ht="13.5" x14ac:dyDescent="0.25">
      <c r="A33" s="1"/>
      <c r="B33" s="3">
        <v>42348</v>
      </c>
      <c r="C33" s="4">
        <v>5.09</v>
      </c>
      <c r="D33" s="4">
        <v>1.3161</v>
      </c>
      <c r="E33" s="4">
        <v>25094</v>
      </c>
      <c r="F33" s="4"/>
      <c r="G33" s="4"/>
      <c r="H33" s="5">
        <f t="shared" si="0"/>
        <v>3.2478230171805213E-2</v>
      </c>
    </row>
    <row r="34" spans="1:8" ht="13.5" x14ac:dyDescent="0.25">
      <c r="A34" s="1"/>
      <c r="B34" s="3">
        <v>42349</v>
      </c>
      <c r="C34" s="4">
        <v>5.09</v>
      </c>
      <c r="D34" s="4">
        <v>1.3161</v>
      </c>
      <c r="E34" s="4">
        <v>3200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5.09</v>
      </c>
      <c r="D35" s="4">
        <v>1.3161</v>
      </c>
      <c r="E35" s="4">
        <v>911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5</v>
      </c>
      <c r="D36" s="4">
        <v>1.2927999999999999</v>
      </c>
      <c r="E36" s="4">
        <v>5172</v>
      </c>
      <c r="F36" s="4"/>
      <c r="G36" s="4"/>
      <c r="H36" s="5">
        <f t="shared" si="0"/>
        <v>-1.770382189803214E-2</v>
      </c>
    </row>
    <row r="37" spans="1:8" ht="13.5" x14ac:dyDescent="0.25">
      <c r="A37" s="1"/>
      <c r="B37" s="3">
        <v>42354</v>
      </c>
      <c r="C37" s="4">
        <v>4.87</v>
      </c>
      <c r="D37" s="4">
        <v>1.2592000000000001</v>
      </c>
      <c r="E37" s="4">
        <v>2188</v>
      </c>
      <c r="F37" s="4"/>
      <c r="G37" s="4"/>
      <c r="H37" s="5">
        <f t="shared" si="0"/>
        <v>-2.5990099009900878E-2</v>
      </c>
    </row>
    <row r="38" spans="1:8" ht="13.5" x14ac:dyDescent="0.25">
      <c r="A38" s="1"/>
      <c r="B38" s="3">
        <v>42355</v>
      </c>
      <c r="C38" s="4">
        <v>5.01</v>
      </c>
      <c r="D38" s="4">
        <v>1.2954000000000001</v>
      </c>
      <c r="E38" s="4">
        <v>6140</v>
      </c>
      <c r="F38" s="4"/>
      <c r="G38" s="4"/>
      <c r="H38" s="5">
        <f t="shared" si="0"/>
        <v>2.8748411689961888E-2</v>
      </c>
    </row>
    <row r="39" spans="1:8" ht="13.5" x14ac:dyDescent="0.25">
      <c r="A39" s="1"/>
      <c r="B39" s="3">
        <v>42356</v>
      </c>
      <c r="C39" s="4">
        <v>5</v>
      </c>
      <c r="D39" s="4">
        <v>1.2927999999999999</v>
      </c>
      <c r="E39" s="4">
        <v>90</v>
      </c>
      <c r="F39" s="4"/>
      <c r="G39" s="4"/>
      <c r="H39" s="5">
        <f t="shared" si="0"/>
        <v>-2.0071020534199145E-3</v>
      </c>
    </row>
    <row r="40" spans="1:8" ht="13.5" x14ac:dyDescent="0.25">
      <c r="A40" s="1"/>
      <c r="B40" s="3">
        <v>42359</v>
      </c>
      <c r="C40" s="4">
        <v>5</v>
      </c>
      <c r="D40" s="4">
        <v>1.2927999999999999</v>
      </c>
      <c r="E40" s="4">
        <v>4602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5</v>
      </c>
      <c r="D41" s="4">
        <v>1.2927999999999999</v>
      </c>
      <c r="E41" s="4">
        <v>500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4.9000000000000004</v>
      </c>
      <c r="D42" s="4">
        <v>1.2669999999999999</v>
      </c>
      <c r="E42" s="4">
        <v>2800</v>
      </c>
      <c r="F42" s="4"/>
      <c r="G42" s="4"/>
      <c r="H42" s="5">
        <f t="shared" si="0"/>
        <v>-1.9956683168316867E-2</v>
      </c>
    </row>
    <row r="43" spans="1:8" ht="13.5" x14ac:dyDescent="0.25">
      <c r="A43" s="1"/>
      <c r="B43" s="3">
        <v>42363</v>
      </c>
      <c r="C43" s="4">
        <v>5.04</v>
      </c>
      <c r="D43" s="4">
        <v>1.3031999999999999</v>
      </c>
      <c r="E43" s="4">
        <v>350</v>
      </c>
      <c r="F43" s="4"/>
      <c r="G43" s="4"/>
      <c r="H43" s="5">
        <f t="shared" si="0"/>
        <v>2.8571428571428581E-2</v>
      </c>
    </row>
    <row r="44" spans="1:8" ht="13.5" x14ac:dyDescent="0.25">
      <c r="A44" s="1"/>
      <c r="B44" s="3">
        <v>42366</v>
      </c>
      <c r="C44" s="4">
        <v>5.04</v>
      </c>
      <c r="D44" s="4">
        <v>1.3031999999999999</v>
      </c>
      <c r="E44" s="4">
        <v>11118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5.04</v>
      </c>
      <c r="D45" s="4">
        <v>1.3031999999999999</v>
      </c>
      <c r="E45" s="4">
        <v>6631</v>
      </c>
      <c r="F45" s="4"/>
      <c r="G45" s="4"/>
      <c r="H45" s="5">
        <f t="shared" si="0"/>
        <v>0</v>
      </c>
    </row>
    <row r="46" spans="1:8" ht="13.5" x14ac:dyDescent="0.25">
      <c r="A46" s="1"/>
      <c r="B46" s="3">
        <v>42368</v>
      </c>
      <c r="C46" s="4">
        <v>4.91</v>
      </c>
      <c r="D46" s="4">
        <v>1.2695000000000001</v>
      </c>
      <c r="E46" s="4">
        <v>1044</v>
      </c>
      <c r="F46" s="4"/>
      <c r="G46" s="4"/>
      <c r="H46" s="5">
        <f t="shared" si="0"/>
        <v>-2.5859422958870351E-2</v>
      </c>
    </row>
    <row r="47" spans="1:8" ht="13.5" x14ac:dyDescent="0.25">
      <c r="A47" s="1"/>
      <c r="B47" s="3">
        <v>42369</v>
      </c>
      <c r="C47" s="4">
        <v>5.18</v>
      </c>
      <c r="D47" s="4">
        <v>1.3393999999999999</v>
      </c>
      <c r="E47" s="4">
        <v>2815</v>
      </c>
      <c r="F47" s="4"/>
      <c r="G47" s="4"/>
      <c r="H47" s="5">
        <f t="shared" si="0"/>
        <v>5.5061047656557581E-2</v>
      </c>
    </row>
    <row r="48" spans="1:8" ht="13.5" x14ac:dyDescent="0.25">
      <c r="A48" s="1"/>
      <c r="B48" s="3">
        <v>42373</v>
      </c>
      <c r="C48" s="4">
        <v>5.49</v>
      </c>
      <c r="D48" s="4">
        <v>1.4195</v>
      </c>
      <c r="E48" s="4">
        <v>4699</v>
      </c>
      <c r="F48" s="4"/>
      <c r="G48" s="4"/>
      <c r="H48" s="5">
        <f t="shared" si="0"/>
        <v>5.980289681947145E-2</v>
      </c>
    </row>
    <row r="49" spans="1:8" ht="13.5" x14ac:dyDescent="0.25">
      <c r="A49" s="1"/>
      <c r="B49" s="3">
        <v>42374</v>
      </c>
      <c r="C49" s="4">
        <v>5.81</v>
      </c>
      <c r="D49" s="4">
        <v>1.5023</v>
      </c>
      <c r="E49" s="4">
        <v>5400</v>
      </c>
      <c r="F49" s="4"/>
      <c r="G49" s="4"/>
      <c r="H49" s="5">
        <f t="shared" si="0"/>
        <v>5.8330398027474452E-2</v>
      </c>
    </row>
    <row r="50" spans="1:8" ht="13.5" x14ac:dyDescent="0.25">
      <c r="A50" s="1"/>
      <c r="B50" s="3">
        <v>42375</v>
      </c>
      <c r="C50" s="4">
        <v>5.81</v>
      </c>
      <c r="D50" s="4">
        <v>1.5023</v>
      </c>
      <c r="E50" s="4">
        <v>3449</v>
      </c>
      <c r="F50" s="4"/>
      <c r="G50" s="4"/>
      <c r="H50" s="5">
        <f t="shared" si="0"/>
        <v>0</v>
      </c>
    </row>
    <row r="51" spans="1:8" ht="13.5" x14ac:dyDescent="0.25">
      <c r="A51" s="1"/>
      <c r="B51" s="3">
        <v>42376</v>
      </c>
      <c r="C51" s="4">
        <v>5.96</v>
      </c>
      <c r="D51" s="4">
        <v>1.5409999999999999</v>
      </c>
      <c r="E51" s="4">
        <v>1729</v>
      </c>
      <c r="F51" s="4"/>
      <c r="G51" s="4"/>
      <c r="H51" s="5">
        <f t="shared" si="0"/>
        <v>2.576050056579908E-2</v>
      </c>
    </row>
    <row r="52" spans="1:8" ht="13.5" x14ac:dyDescent="0.25">
      <c r="A52" s="1"/>
      <c r="B52" s="3">
        <v>42377</v>
      </c>
      <c r="C52" s="4">
        <v>5.96</v>
      </c>
      <c r="D52" s="4">
        <v>1.5409999999999999</v>
      </c>
      <c r="E52" s="4">
        <v>1602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42380</v>
      </c>
      <c r="C53" s="4">
        <v>5.97</v>
      </c>
      <c r="D53" s="4">
        <v>1.5436000000000001</v>
      </c>
      <c r="E53" s="4">
        <v>1486</v>
      </c>
      <c r="F53" s="4"/>
      <c r="G53" s="4"/>
      <c r="H53" s="5">
        <f t="shared" si="0"/>
        <v>1.6872160934459169E-3</v>
      </c>
    </row>
    <row r="54" spans="1:8" ht="13.5" x14ac:dyDescent="0.25">
      <c r="A54" s="1"/>
      <c r="B54" s="3">
        <v>42381</v>
      </c>
      <c r="C54" s="4">
        <v>6.1</v>
      </c>
      <c r="D54" s="4">
        <v>1.5771999999999999</v>
      </c>
      <c r="E54" s="4">
        <v>4595</v>
      </c>
      <c r="F54" s="4"/>
      <c r="G54" s="4"/>
      <c r="H54" s="5">
        <f t="shared" si="0"/>
        <v>2.176729722726085E-2</v>
      </c>
    </row>
    <row r="55" spans="1:8" ht="13.5" x14ac:dyDescent="0.25">
      <c r="A55" s="1"/>
      <c r="B55" s="3">
        <v>42382</v>
      </c>
      <c r="C55" s="4">
        <v>6.1</v>
      </c>
      <c r="D55" s="4">
        <v>1.5771999999999999</v>
      </c>
      <c r="E55" s="4">
        <v>1230</v>
      </c>
      <c r="F55" s="4"/>
      <c r="G55" s="4"/>
      <c r="H55" s="5">
        <f t="shared" si="0"/>
        <v>0</v>
      </c>
    </row>
    <row r="56" spans="1:8" ht="13.5" x14ac:dyDescent="0.25">
      <c r="A56" s="1"/>
      <c r="B56" s="3">
        <v>42384</v>
      </c>
      <c r="C56" s="4">
        <v>5.98</v>
      </c>
      <c r="D56" s="4">
        <v>1.5462</v>
      </c>
      <c r="E56" s="4">
        <v>10800</v>
      </c>
      <c r="F56" s="4"/>
      <c r="G56" s="4"/>
      <c r="H56" s="5">
        <f t="shared" si="0"/>
        <v>-1.9655084960689777E-2</v>
      </c>
    </row>
    <row r="57" spans="1:8" ht="13.5" x14ac:dyDescent="0.25">
      <c r="A57" s="1"/>
      <c r="B57" s="3">
        <v>42387</v>
      </c>
      <c r="C57" s="4">
        <v>6</v>
      </c>
      <c r="D57" s="4">
        <v>1.5513999999999999</v>
      </c>
      <c r="E57" s="4">
        <v>420</v>
      </c>
      <c r="F57" s="4"/>
      <c r="G57" s="4"/>
      <c r="H57" s="5">
        <f t="shared" si="0"/>
        <v>3.3630836890440247E-3</v>
      </c>
    </row>
    <row r="58" spans="1:8" ht="13.5" x14ac:dyDescent="0.25">
      <c r="A58" s="1"/>
      <c r="B58" s="3">
        <v>42388</v>
      </c>
      <c r="C58" s="4">
        <v>5.97</v>
      </c>
      <c r="D58" s="4">
        <v>1.5436000000000001</v>
      </c>
      <c r="E58" s="4">
        <v>15202</v>
      </c>
      <c r="F58" s="4"/>
      <c r="G58" s="4"/>
      <c r="H58" s="5">
        <f t="shared" si="0"/>
        <v>-5.0277169008636118E-3</v>
      </c>
    </row>
    <row r="59" spans="1:8" ht="13.5" x14ac:dyDescent="0.25">
      <c r="A59" s="1"/>
      <c r="B59" s="3">
        <v>42389</v>
      </c>
      <c r="C59" s="4">
        <v>5.95</v>
      </c>
      <c r="D59" s="4">
        <v>1.5385</v>
      </c>
      <c r="E59" s="4">
        <v>198</v>
      </c>
      <c r="F59" s="4"/>
      <c r="G59" s="4"/>
      <c r="H59" s="5">
        <f t="shared" si="0"/>
        <v>-3.3039647577093184E-3</v>
      </c>
    </row>
    <row r="60" spans="1:8" ht="13.5" x14ac:dyDescent="0.25">
      <c r="A60" s="1"/>
      <c r="B60" s="3">
        <v>42390</v>
      </c>
      <c r="C60" s="4">
        <v>5.95</v>
      </c>
      <c r="D60" s="4">
        <v>1.5385</v>
      </c>
      <c r="E60" s="4">
        <v>1371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5.9</v>
      </c>
      <c r="D61" s="4">
        <v>1.5255000000000001</v>
      </c>
      <c r="E61" s="4">
        <v>61580</v>
      </c>
      <c r="F61" s="4"/>
      <c r="G61" s="4"/>
      <c r="H61" s="5">
        <f t="shared" si="0"/>
        <v>-8.4497887552810527E-3</v>
      </c>
    </row>
    <row r="62" spans="1:8" ht="13.5" x14ac:dyDescent="0.25">
      <c r="A62" s="1"/>
      <c r="B62" s="3">
        <v>42394</v>
      </c>
      <c r="C62" s="4">
        <v>5.9</v>
      </c>
      <c r="D62" s="4">
        <v>1.5255000000000001</v>
      </c>
      <c r="E62" s="4">
        <v>0</v>
      </c>
      <c r="F62" s="4"/>
      <c r="G62" s="4"/>
      <c r="H62" s="5">
        <f t="shared" si="0"/>
        <v>0</v>
      </c>
    </row>
    <row r="63" spans="1:8" ht="13.5" x14ac:dyDescent="0.25">
      <c r="A63" s="1"/>
      <c r="B63" s="3">
        <v>42395</v>
      </c>
      <c r="C63" s="4">
        <v>5.9</v>
      </c>
      <c r="D63" s="4">
        <v>1.5255000000000001</v>
      </c>
      <c r="E63" s="4">
        <v>15000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5.7</v>
      </c>
      <c r="D64" s="4">
        <v>1.4738</v>
      </c>
      <c r="E64" s="4">
        <v>25700</v>
      </c>
      <c r="F64" s="4"/>
      <c r="G64" s="4"/>
      <c r="H64" s="5">
        <f t="shared" si="0"/>
        <v>-3.3890527695837482E-2</v>
      </c>
    </row>
    <row r="65" spans="1:8" ht="13.5" x14ac:dyDescent="0.25">
      <c r="A65" s="1"/>
      <c r="B65" s="3">
        <v>42397</v>
      </c>
      <c r="C65" s="4">
        <v>5.53</v>
      </c>
      <c r="D65" s="4">
        <v>1.4298999999999999</v>
      </c>
      <c r="E65" s="4">
        <v>16580</v>
      </c>
      <c r="F65" s="4"/>
      <c r="G65" s="4"/>
      <c r="H65" s="5">
        <f t="shared" si="0"/>
        <v>-2.9786945311439848E-2</v>
      </c>
    </row>
    <row r="66" spans="1:8" ht="13.5" x14ac:dyDescent="0.25">
      <c r="A66" s="1"/>
      <c r="B66" s="3">
        <v>42398</v>
      </c>
      <c r="C66" s="4">
        <v>5.86</v>
      </c>
      <c r="D66" s="4">
        <v>1.5152000000000001</v>
      </c>
      <c r="E66" s="4">
        <v>4324</v>
      </c>
      <c r="F66" s="4"/>
      <c r="G66" s="4"/>
      <c r="H66" s="5">
        <f t="shared" si="0"/>
        <v>5.9654521295195578E-2</v>
      </c>
    </row>
    <row r="67" spans="1:8" ht="13.5" x14ac:dyDescent="0.25">
      <c r="A67" s="1"/>
      <c r="B67" s="3">
        <v>42401</v>
      </c>
      <c r="C67" s="4">
        <v>5.54</v>
      </c>
      <c r="D67" s="4">
        <v>1.4323999999999999</v>
      </c>
      <c r="E67" s="4">
        <v>13051</v>
      </c>
      <c r="F67" s="4"/>
      <c r="G67" s="4"/>
      <c r="H67" s="5">
        <f t="shared" si="0"/>
        <v>-5.4646251319957893E-2</v>
      </c>
    </row>
    <row r="68" spans="1:8" ht="13.5" x14ac:dyDescent="0.25">
      <c r="A68" s="1"/>
      <c r="B68" s="3">
        <v>42402</v>
      </c>
      <c r="C68" s="4">
        <v>5.4</v>
      </c>
      <c r="D68" s="4">
        <v>1.3962000000000001</v>
      </c>
      <c r="E68" s="4">
        <v>159</v>
      </c>
      <c r="F68" s="4"/>
      <c r="G68" s="4"/>
      <c r="H68" s="5">
        <f t="shared" si="0"/>
        <v>-2.5272270315554169E-2</v>
      </c>
    </row>
    <row r="69" spans="1:8" ht="13.5" x14ac:dyDescent="0.25">
      <c r="A69" s="1"/>
      <c r="B69" s="3">
        <v>42403</v>
      </c>
      <c r="C69" s="4">
        <v>5.54</v>
      </c>
      <c r="D69" s="4">
        <v>1.4323999999999999</v>
      </c>
      <c r="E69" s="4">
        <v>7285</v>
      </c>
      <c r="F69" s="4"/>
      <c r="G69" s="4"/>
      <c r="H69" s="5">
        <f t="shared" si="0"/>
        <v>2.5927517547629127E-2</v>
      </c>
    </row>
    <row r="70" spans="1:8" ht="13.5" x14ac:dyDescent="0.25">
      <c r="A70" s="1"/>
      <c r="B70" s="3">
        <v>42404</v>
      </c>
      <c r="C70" s="4">
        <v>5.55</v>
      </c>
      <c r="D70" s="4">
        <v>1.4350000000000001</v>
      </c>
      <c r="E70" s="4">
        <v>950</v>
      </c>
      <c r="F70" s="4"/>
      <c r="G70" s="4"/>
      <c r="H70" s="5">
        <f t="shared" si="0"/>
        <v>1.8151354370288732E-3</v>
      </c>
    </row>
    <row r="71" spans="1:8" ht="13.5" x14ac:dyDescent="0.25">
      <c r="A71" s="1"/>
      <c r="B71" s="3">
        <v>42405</v>
      </c>
      <c r="C71" s="4">
        <v>5.6</v>
      </c>
      <c r="D71" s="4">
        <v>1.448</v>
      </c>
      <c r="E71" s="4">
        <v>1940</v>
      </c>
      <c r="F71" s="4"/>
      <c r="G71" s="4"/>
      <c r="H71" s="5">
        <f t="shared" ref="H71:H134" si="1">(D71-D70)/D70</f>
        <v>9.0592334494772817E-3</v>
      </c>
    </row>
    <row r="72" spans="1:8" ht="13.5" x14ac:dyDescent="0.25">
      <c r="A72" s="1"/>
      <c r="B72" s="3">
        <v>42408</v>
      </c>
      <c r="C72" s="4">
        <v>5.44</v>
      </c>
      <c r="D72" s="4">
        <v>1.4066000000000001</v>
      </c>
      <c r="E72" s="4">
        <v>500</v>
      </c>
      <c r="F72" s="4"/>
      <c r="G72" s="4"/>
      <c r="H72" s="5">
        <f t="shared" si="1"/>
        <v>-2.8591160220994394E-2</v>
      </c>
    </row>
    <row r="73" spans="1:8" ht="13.5" x14ac:dyDescent="0.25">
      <c r="A73" s="1"/>
      <c r="B73" s="3">
        <v>42409</v>
      </c>
      <c r="C73" s="4">
        <v>5.7</v>
      </c>
      <c r="D73" s="4">
        <v>1.4738</v>
      </c>
      <c r="E73" s="4">
        <v>500</v>
      </c>
      <c r="F73" s="4"/>
      <c r="G73" s="4"/>
      <c r="H73" s="5">
        <f t="shared" si="1"/>
        <v>4.7774776055737184E-2</v>
      </c>
    </row>
    <row r="74" spans="1:8" ht="13.5" x14ac:dyDescent="0.25">
      <c r="A74" s="1"/>
      <c r="B74" s="3">
        <v>42410</v>
      </c>
      <c r="C74" s="4">
        <v>5.7</v>
      </c>
      <c r="D74" s="4">
        <v>1.4738</v>
      </c>
      <c r="E74" s="4">
        <v>0</v>
      </c>
      <c r="F74" s="4"/>
      <c r="G74" s="4"/>
      <c r="H74" s="5">
        <f t="shared" si="1"/>
        <v>0</v>
      </c>
    </row>
    <row r="75" spans="1:8" ht="13.5" x14ac:dyDescent="0.25">
      <c r="A75" s="1"/>
      <c r="B75" s="3">
        <v>42411</v>
      </c>
      <c r="C75" s="4">
        <v>5.45</v>
      </c>
      <c r="D75" s="4">
        <v>1.4092</v>
      </c>
      <c r="E75" s="4">
        <v>350</v>
      </c>
      <c r="F75" s="4"/>
      <c r="G75" s="4"/>
      <c r="H75" s="5">
        <f t="shared" si="1"/>
        <v>-4.3832270321617579E-2</v>
      </c>
    </row>
    <row r="76" spans="1:8" ht="13.5" x14ac:dyDescent="0.25">
      <c r="A76" s="1"/>
      <c r="B76" s="3">
        <v>42412</v>
      </c>
      <c r="C76" s="4">
        <v>5.58</v>
      </c>
      <c r="D76" s="4">
        <v>1.4428000000000001</v>
      </c>
      <c r="E76" s="4">
        <v>100</v>
      </c>
      <c r="F76" s="4"/>
      <c r="G76" s="4"/>
      <c r="H76" s="5">
        <f t="shared" si="1"/>
        <v>2.3843315356230538E-2</v>
      </c>
    </row>
    <row r="77" spans="1:8" ht="13.5" x14ac:dyDescent="0.25">
      <c r="A77" s="1"/>
      <c r="B77" s="3">
        <v>42415</v>
      </c>
      <c r="C77" s="4">
        <v>5.58</v>
      </c>
      <c r="D77" s="4">
        <v>1.4428000000000001</v>
      </c>
      <c r="E77" s="4">
        <v>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5.58</v>
      </c>
      <c r="D78" s="4">
        <v>1.4428000000000001</v>
      </c>
      <c r="E78" s="4">
        <v>0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5.42</v>
      </c>
      <c r="D79" s="4">
        <v>1.4014</v>
      </c>
      <c r="E79" s="4">
        <v>50</v>
      </c>
      <c r="F79" s="4"/>
      <c r="G79" s="4"/>
      <c r="H79" s="5">
        <f t="shared" si="1"/>
        <v>-2.8694205711117342E-2</v>
      </c>
    </row>
    <row r="80" spans="1:8" ht="13.5" x14ac:dyDescent="0.25">
      <c r="A80" s="1"/>
      <c r="B80" s="3">
        <v>42418</v>
      </c>
      <c r="C80" s="4">
        <v>5.42</v>
      </c>
      <c r="D80" s="4">
        <v>1.4014</v>
      </c>
      <c r="E80" s="4">
        <v>0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5.26</v>
      </c>
      <c r="D81" s="4">
        <v>1.36</v>
      </c>
      <c r="E81" s="4">
        <v>1381</v>
      </c>
      <c r="F81" s="4"/>
      <c r="G81" s="4"/>
      <c r="H81" s="5">
        <f t="shared" si="1"/>
        <v>-2.9541886684743744E-2</v>
      </c>
    </row>
    <row r="82" spans="1:8" ht="13.5" x14ac:dyDescent="0.25">
      <c r="A82" s="1"/>
      <c r="B82" s="3">
        <v>42422</v>
      </c>
      <c r="C82" s="4">
        <v>5.35</v>
      </c>
      <c r="D82" s="4">
        <v>1.3833</v>
      </c>
      <c r="E82" s="4">
        <v>80</v>
      </c>
      <c r="F82" s="4"/>
      <c r="G82" s="4"/>
      <c r="H82" s="5">
        <f t="shared" si="1"/>
        <v>1.713235294117638E-2</v>
      </c>
    </row>
    <row r="83" spans="1:8" ht="13.5" x14ac:dyDescent="0.25">
      <c r="A83" s="1"/>
      <c r="B83" s="3">
        <v>42423</v>
      </c>
      <c r="C83" s="4">
        <v>5.19</v>
      </c>
      <c r="D83" s="4">
        <v>1.3419000000000001</v>
      </c>
      <c r="E83" s="4">
        <v>85</v>
      </c>
      <c r="F83" s="4"/>
      <c r="G83" s="4"/>
      <c r="H83" s="5">
        <f t="shared" si="1"/>
        <v>-2.9928432010409803E-2</v>
      </c>
    </row>
    <row r="84" spans="1:8" ht="13.5" x14ac:dyDescent="0.25">
      <c r="A84" s="1"/>
      <c r="B84" s="3">
        <v>42424</v>
      </c>
      <c r="C84" s="4">
        <v>5.18</v>
      </c>
      <c r="D84" s="4">
        <v>1.3393999999999999</v>
      </c>
      <c r="E84" s="4">
        <v>3072</v>
      </c>
      <c r="F84" s="4"/>
      <c r="G84" s="4"/>
      <c r="H84" s="5">
        <f t="shared" si="1"/>
        <v>-1.8630300320442422E-3</v>
      </c>
    </row>
    <row r="85" spans="1:8" ht="13.5" x14ac:dyDescent="0.25">
      <c r="A85" s="1"/>
      <c r="B85" s="3">
        <v>42425</v>
      </c>
      <c r="C85" s="4">
        <v>5.03</v>
      </c>
      <c r="D85" s="4">
        <v>1.3006</v>
      </c>
      <c r="E85" s="4">
        <v>654</v>
      </c>
      <c r="F85" s="4"/>
      <c r="G85" s="4"/>
      <c r="H85" s="5">
        <f t="shared" si="1"/>
        <v>-2.8968194714051029E-2</v>
      </c>
    </row>
    <row r="86" spans="1:8" ht="13.5" x14ac:dyDescent="0.25">
      <c r="A86" s="1"/>
      <c r="B86" s="3">
        <v>42426</v>
      </c>
      <c r="C86" s="4">
        <v>4.8899999999999997</v>
      </c>
      <c r="D86" s="4">
        <v>1.2644</v>
      </c>
      <c r="E86" s="4">
        <v>1275</v>
      </c>
      <c r="F86" s="4"/>
      <c r="G86" s="4"/>
      <c r="H86" s="5">
        <f t="shared" si="1"/>
        <v>-2.783330770413656E-2</v>
      </c>
    </row>
    <row r="87" spans="1:8" ht="13.5" x14ac:dyDescent="0.25">
      <c r="A87" s="1"/>
      <c r="B87" s="3">
        <v>42429</v>
      </c>
      <c r="C87" s="4">
        <v>5</v>
      </c>
      <c r="D87" s="4">
        <v>1.2927999999999999</v>
      </c>
      <c r="E87" s="4">
        <v>25178</v>
      </c>
      <c r="F87" s="4"/>
      <c r="G87" s="4"/>
      <c r="H87" s="5">
        <f t="shared" si="1"/>
        <v>2.2461246440999668E-2</v>
      </c>
    </row>
    <row r="88" spans="1:8" ht="13.5" x14ac:dyDescent="0.25">
      <c r="A88" s="1"/>
      <c r="B88" s="3">
        <v>42430</v>
      </c>
      <c r="C88" s="4">
        <v>4.9800000000000004</v>
      </c>
      <c r="D88" s="4">
        <v>1.2876000000000001</v>
      </c>
      <c r="E88" s="4">
        <v>3796</v>
      </c>
      <c r="F88" s="4"/>
      <c r="G88" s="4"/>
      <c r="H88" s="5">
        <f t="shared" si="1"/>
        <v>-4.0222772277226726E-3</v>
      </c>
    </row>
    <row r="89" spans="1:8" ht="13.5" x14ac:dyDescent="0.25">
      <c r="A89" s="1"/>
      <c r="B89" s="3">
        <v>42431</v>
      </c>
      <c r="C89" s="4">
        <v>4.99</v>
      </c>
      <c r="D89" s="4">
        <v>1.2902</v>
      </c>
      <c r="E89" s="4">
        <v>2005</v>
      </c>
      <c r="F89" s="4"/>
      <c r="G89" s="4"/>
      <c r="H89" s="5">
        <f t="shared" si="1"/>
        <v>2.0192606399502449E-3</v>
      </c>
    </row>
    <row r="90" spans="1:8" ht="13.5" x14ac:dyDescent="0.25">
      <c r="A90" s="1"/>
      <c r="B90" s="3">
        <v>42432</v>
      </c>
      <c r="C90" s="4">
        <v>4.8499999999999996</v>
      </c>
      <c r="D90" s="4">
        <v>1.254</v>
      </c>
      <c r="E90" s="4">
        <v>19236</v>
      </c>
      <c r="F90" s="4"/>
      <c r="G90" s="4"/>
      <c r="H90" s="5">
        <f t="shared" si="1"/>
        <v>-2.8057665478220438E-2</v>
      </c>
    </row>
    <row r="91" spans="1:8" ht="13.5" x14ac:dyDescent="0.25">
      <c r="A91" s="1"/>
      <c r="B91" s="3">
        <v>42433</v>
      </c>
      <c r="C91" s="4">
        <v>4.8899999999999997</v>
      </c>
      <c r="D91" s="4">
        <v>1.2644</v>
      </c>
      <c r="E91" s="4">
        <v>2000</v>
      </c>
      <c r="F91" s="4"/>
      <c r="G91" s="4"/>
      <c r="H91" s="5">
        <f t="shared" si="1"/>
        <v>8.2934609250398441E-3</v>
      </c>
    </row>
    <row r="92" spans="1:8" ht="13.5" x14ac:dyDescent="0.25">
      <c r="A92" s="1"/>
      <c r="B92" s="3">
        <v>42436</v>
      </c>
      <c r="C92" s="4">
        <v>4.8899999999999997</v>
      </c>
      <c r="D92" s="4">
        <v>1.2644</v>
      </c>
      <c r="E92" s="4">
        <v>1366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4.96</v>
      </c>
      <c r="D93" s="4">
        <v>1.2825</v>
      </c>
      <c r="E93" s="4">
        <v>1820</v>
      </c>
      <c r="F93" s="4"/>
      <c r="G93" s="4"/>
      <c r="H93" s="5">
        <f t="shared" si="1"/>
        <v>1.4315090161341353E-2</v>
      </c>
    </row>
    <row r="94" spans="1:8" ht="13.5" x14ac:dyDescent="0.25">
      <c r="A94" s="1"/>
      <c r="B94" s="3">
        <v>42438</v>
      </c>
      <c r="C94" s="4">
        <v>4.96</v>
      </c>
      <c r="D94" s="4">
        <v>1.2825</v>
      </c>
      <c r="E94" s="4">
        <v>0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4.8899999999999997</v>
      </c>
      <c r="D95" s="4">
        <v>1.2644</v>
      </c>
      <c r="E95" s="4">
        <v>1032</v>
      </c>
      <c r="F95" s="4"/>
      <c r="G95" s="4"/>
      <c r="H95" s="5">
        <f t="shared" si="1"/>
        <v>-1.4113060428849907E-2</v>
      </c>
    </row>
    <row r="96" spans="1:8" ht="13.5" x14ac:dyDescent="0.25">
      <c r="A96" s="1"/>
      <c r="B96" s="3">
        <v>42440</v>
      </c>
      <c r="C96" s="4">
        <v>4.93</v>
      </c>
      <c r="D96" s="4">
        <v>1.2746999999999999</v>
      </c>
      <c r="E96" s="4">
        <v>1452</v>
      </c>
      <c r="F96" s="4"/>
      <c r="G96" s="4"/>
      <c r="H96" s="5">
        <f t="shared" si="1"/>
        <v>8.1461562796583172E-3</v>
      </c>
    </row>
    <row r="97" spans="1:8" ht="13.5" x14ac:dyDescent="0.25">
      <c r="A97" s="1"/>
      <c r="B97" s="3">
        <v>42443</v>
      </c>
      <c r="C97" s="4">
        <v>5</v>
      </c>
      <c r="D97" s="4">
        <v>1.2927999999999999</v>
      </c>
      <c r="E97" s="4">
        <v>19273</v>
      </c>
      <c r="F97" s="4"/>
      <c r="G97" s="4"/>
      <c r="H97" s="5">
        <f t="shared" si="1"/>
        <v>1.4199419471248141E-2</v>
      </c>
    </row>
    <row r="98" spans="1:8" ht="13.5" x14ac:dyDescent="0.25">
      <c r="A98" s="1"/>
      <c r="B98" s="3">
        <v>42444</v>
      </c>
      <c r="C98" s="4">
        <v>5</v>
      </c>
      <c r="D98" s="4">
        <v>1.2927999999999999</v>
      </c>
      <c r="E98" s="4">
        <v>0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5</v>
      </c>
      <c r="D99" s="4">
        <v>1.2927999999999999</v>
      </c>
      <c r="E99" s="4">
        <v>0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42446</v>
      </c>
      <c r="C100" s="4">
        <v>4.8499999999999996</v>
      </c>
      <c r="D100" s="4">
        <v>1.254</v>
      </c>
      <c r="E100" s="4">
        <v>1325</v>
      </c>
      <c r="F100" s="4"/>
      <c r="G100" s="4"/>
      <c r="H100" s="5">
        <f t="shared" si="1"/>
        <v>-3.0012376237623723E-2</v>
      </c>
    </row>
    <row r="101" spans="1:8" ht="13.5" x14ac:dyDescent="0.25">
      <c r="A101" s="1"/>
      <c r="B101" s="3">
        <v>42447</v>
      </c>
      <c r="C101" s="4">
        <v>4.8099999999999996</v>
      </c>
      <c r="D101" s="4">
        <v>1.2437</v>
      </c>
      <c r="E101" s="4">
        <v>247</v>
      </c>
      <c r="F101" s="4"/>
      <c r="G101" s="4"/>
      <c r="H101" s="5">
        <f t="shared" si="1"/>
        <v>-8.2137161084529318E-3</v>
      </c>
    </row>
    <row r="102" spans="1:8" ht="13.5" x14ac:dyDescent="0.25">
      <c r="A102" s="1"/>
      <c r="B102" s="3">
        <v>42450</v>
      </c>
      <c r="C102" s="4">
        <v>4.8600000000000003</v>
      </c>
      <c r="D102" s="4">
        <v>1.2565999999999999</v>
      </c>
      <c r="E102" s="4">
        <v>2775</v>
      </c>
      <c r="F102" s="4"/>
      <c r="G102" s="4"/>
      <c r="H102" s="5">
        <f t="shared" si="1"/>
        <v>1.0372276272412891E-2</v>
      </c>
    </row>
    <row r="103" spans="1:8" ht="13.5" x14ac:dyDescent="0.25">
      <c r="A103" s="1"/>
      <c r="B103" s="3">
        <v>42451</v>
      </c>
      <c r="C103" s="4">
        <v>4.8600000000000003</v>
      </c>
      <c r="D103" s="4">
        <v>1.2565999999999999</v>
      </c>
      <c r="E103" s="4">
        <v>908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4.72</v>
      </c>
      <c r="D104" s="4">
        <v>1.2203999999999999</v>
      </c>
      <c r="E104" s="4">
        <v>170</v>
      </c>
      <c r="F104" s="4"/>
      <c r="G104" s="4"/>
      <c r="H104" s="5">
        <f t="shared" si="1"/>
        <v>-2.8807894318000963E-2</v>
      </c>
    </row>
    <row r="105" spans="1:8" ht="13.5" x14ac:dyDescent="0.25">
      <c r="A105" s="1"/>
      <c r="B105" s="3">
        <v>42453</v>
      </c>
      <c r="C105" s="4">
        <v>4.8600000000000003</v>
      </c>
      <c r="D105" s="4">
        <v>1.2565999999999999</v>
      </c>
      <c r="E105" s="4">
        <v>3886</v>
      </c>
      <c r="F105" s="4"/>
      <c r="G105" s="4"/>
      <c r="H105" s="5">
        <f t="shared" si="1"/>
        <v>2.9662405768600467E-2</v>
      </c>
    </row>
    <row r="106" spans="1:8" ht="13.5" x14ac:dyDescent="0.25">
      <c r="A106" s="1"/>
      <c r="B106" s="3">
        <v>42454</v>
      </c>
      <c r="C106" s="4">
        <v>4.72</v>
      </c>
      <c r="D106" s="4">
        <v>1.2203999999999999</v>
      </c>
      <c r="E106" s="4">
        <v>755</v>
      </c>
      <c r="F106" s="4"/>
      <c r="G106" s="4"/>
      <c r="H106" s="5">
        <f t="shared" si="1"/>
        <v>-2.8807894318000963E-2</v>
      </c>
    </row>
    <row r="107" spans="1:8" ht="13.5" x14ac:dyDescent="0.25">
      <c r="A107" s="1"/>
      <c r="B107" s="3">
        <v>42457</v>
      </c>
      <c r="C107" s="4">
        <v>4.72</v>
      </c>
      <c r="D107" s="4">
        <v>1.2203999999999999</v>
      </c>
      <c r="E107" s="4">
        <v>740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4.71</v>
      </c>
      <c r="D108" s="4">
        <v>1.2178</v>
      </c>
      <c r="E108" s="4">
        <v>799</v>
      </c>
      <c r="F108" s="4"/>
      <c r="G108" s="4"/>
      <c r="H108" s="5">
        <f t="shared" si="1"/>
        <v>-2.1304490331038478E-3</v>
      </c>
    </row>
    <row r="109" spans="1:8" ht="13.5" x14ac:dyDescent="0.25">
      <c r="A109" s="1"/>
      <c r="B109" s="3">
        <v>42459</v>
      </c>
      <c r="C109" s="4">
        <v>4.8</v>
      </c>
      <c r="D109" s="4">
        <v>1.2411000000000001</v>
      </c>
      <c r="E109" s="4">
        <v>3150</v>
      </c>
      <c r="F109" s="4"/>
      <c r="G109" s="4"/>
      <c r="H109" s="5">
        <f t="shared" si="1"/>
        <v>1.9132862539004845E-2</v>
      </c>
    </row>
    <row r="110" spans="1:8" ht="13.5" x14ac:dyDescent="0.25">
      <c r="A110" s="1"/>
      <c r="B110" s="3">
        <v>42460</v>
      </c>
      <c r="C110" s="4">
        <v>4.8499999999999996</v>
      </c>
      <c r="D110" s="4">
        <v>1.254</v>
      </c>
      <c r="E110" s="4">
        <v>5</v>
      </c>
      <c r="F110" s="4"/>
      <c r="G110" s="4"/>
      <c r="H110" s="5">
        <f t="shared" si="1"/>
        <v>1.0394005317863114E-2</v>
      </c>
    </row>
    <row r="111" spans="1:8" ht="13.5" x14ac:dyDescent="0.25">
      <c r="A111" s="1"/>
      <c r="B111" s="3">
        <v>42461</v>
      </c>
      <c r="C111" s="4">
        <v>4.71</v>
      </c>
      <c r="D111" s="4">
        <v>1.2178</v>
      </c>
      <c r="E111" s="4">
        <v>110</v>
      </c>
      <c r="F111" s="4"/>
      <c r="G111" s="4"/>
      <c r="H111" s="5">
        <f t="shared" si="1"/>
        <v>-2.8867623604465719E-2</v>
      </c>
    </row>
    <row r="112" spans="1:8" ht="13.5" x14ac:dyDescent="0.25">
      <c r="A112" s="1"/>
      <c r="B112" s="3">
        <v>42464</v>
      </c>
      <c r="C112" s="4">
        <v>4.8499999999999996</v>
      </c>
      <c r="D112" s="4">
        <v>1.254</v>
      </c>
      <c r="E112" s="4">
        <v>100</v>
      </c>
      <c r="F112" s="4"/>
      <c r="G112" s="4"/>
      <c r="H112" s="5">
        <f t="shared" si="1"/>
        <v>2.9725734931844317E-2</v>
      </c>
    </row>
    <row r="113" spans="1:8" ht="13.5" x14ac:dyDescent="0.25">
      <c r="A113" s="1"/>
      <c r="B113" s="3">
        <v>42465</v>
      </c>
      <c r="C113" s="4">
        <v>4.8499999999999996</v>
      </c>
      <c r="D113" s="4">
        <v>1.254</v>
      </c>
      <c r="E113" s="4">
        <v>0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4.8499999999999996</v>
      </c>
      <c r="D114" s="4">
        <v>1.254</v>
      </c>
      <c r="E114" s="4">
        <v>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4.8499999999999996</v>
      </c>
      <c r="D115" s="4">
        <v>1.254</v>
      </c>
      <c r="E115" s="4">
        <v>0</v>
      </c>
      <c r="F115" s="4"/>
      <c r="G115" s="4"/>
      <c r="H115" s="5">
        <f t="shared" si="1"/>
        <v>0</v>
      </c>
    </row>
    <row r="116" spans="1:8" ht="13.5" x14ac:dyDescent="0.25">
      <c r="A116" s="1"/>
      <c r="B116" s="3">
        <v>42468</v>
      </c>
      <c r="C116" s="4">
        <v>4.8499999999999996</v>
      </c>
      <c r="D116" s="4">
        <v>1.254</v>
      </c>
      <c r="E116" s="4">
        <v>0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4.71</v>
      </c>
      <c r="D117" s="4">
        <v>1.2178</v>
      </c>
      <c r="E117" s="4">
        <v>1</v>
      </c>
      <c r="F117" s="4"/>
      <c r="G117" s="4"/>
      <c r="H117" s="5">
        <f t="shared" si="1"/>
        <v>-2.8867623604465719E-2</v>
      </c>
    </row>
    <row r="118" spans="1:8" ht="13.5" x14ac:dyDescent="0.25">
      <c r="A118" s="1"/>
      <c r="B118" s="3">
        <v>42472</v>
      </c>
      <c r="C118" s="4">
        <v>4.57</v>
      </c>
      <c r="D118" s="4">
        <v>1.1816</v>
      </c>
      <c r="E118" s="4">
        <v>12955</v>
      </c>
      <c r="F118" s="4"/>
      <c r="G118" s="4"/>
      <c r="H118" s="5">
        <f t="shared" si="1"/>
        <v>-2.9725734931844317E-2</v>
      </c>
    </row>
    <row r="119" spans="1:8" ht="13.5" x14ac:dyDescent="0.25">
      <c r="A119" s="1"/>
      <c r="B119" s="3">
        <v>42473</v>
      </c>
      <c r="C119" s="4">
        <v>4.55</v>
      </c>
      <c r="D119" s="4">
        <v>1.1765000000000001</v>
      </c>
      <c r="E119" s="4">
        <v>2750</v>
      </c>
      <c r="F119" s="4"/>
      <c r="G119" s="4"/>
      <c r="H119" s="5">
        <f t="shared" si="1"/>
        <v>-4.3161814488827709E-3</v>
      </c>
    </row>
    <row r="120" spans="1:8" ht="13.5" x14ac:dyDescent="0.25">
      <c r="A120" s="1"/>
      <c r="B120" s="3">
        <v>42474</v>
      </c>
      <c r="C120" s="4">
        <v>4.42</v>
      </c>
      <c r="D120" s="4">
        <v>1.1429</v>
      </c>
      <c r="E120" s="4">
        <v>9922</v>
      </c>
      <c r="F120" s="4"/>
      <c r="G120" s="4"/>
      <c r="H120" s="5">
        <f t="shared" si="1"/>
        <v>-2.8559286017849614E-2</v>
      </c>
    </row>
    <row r="121" spans="1:8" ht="13.5" x14ac:dyDescent="0.25">
      <c r="A121" s="1"/>
      <c r="B121" s="3">
        <v>42475</v>
      </c>
      <c r="C121" s="4">
        <v>4.2</v>
      </c>
      <c r="D121" s="4">
        <v>1.0860000000000001</v>
      </c>
      <c r="E121" s="4">
        <v>10186</v>
      </c>
      <c r="F121" s="4"/>
      <c r="G121" s="4"/>
      <c r="H121" s="5">
        <f t="shared" si="1"/>
        <v>-4.9785633038761004E-2</v>
      </c>
    </row>
    <row r="122" spans="1:8" ht="13.5" x14ac:dyDescent="0.25">
      <c r="A122" s="1"/>
      <c r="B122" s="3">
        <v>42478</v>
      </c>
      <c r="C122" s="4">
        <v>4.2</v>
      </c>
      <c r="D122" s="4">
        <v>1.0860000000000001</v>
      </c>
      <c r="E122" s="4">
        <v>4159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4.28</v>
      </c>
      <c r="D123" s="4">
        <v>1.1067</v>
      </c>
      <c r="E123" s="4">
        <v>1</v>
      </c>
      <c r="F123" s="4"/>
      <c r="G123" s="4"/>
      <c r="H123" s="5">
        <f t="shared" si="1"/>
        <v>1.9060773480662926E-2</v>
      </c>
    </row>
    <row r="124" spans="1:8" ht="13.5" x14ac:dyDescent="0.25">
      <c r="A124" s="1"/>
      <c r="B124" s="3">
        <v>42480</v>
      </c>
      <c r="C124" s="4">
        <v>4.34</v>
      </c>
      <c r="D124" s="4">
        <v>1.1222000000000001</v>
      </c>
      <c r="E124" s="4">
        <v>791</v>
      </c>
      <c r="F124" s="4"/>
      <c r="G124" s="4"/>
      <c r="H124" s="5">
        <f t="shared" si="1"/>
        <v>1.4005602240896422E-2</v>
      </c>
    </row>
    <row r="125" spans="1:8" ht="13.5" x14ac:dyDescent="0.25">
      <c r="A125" s="1"/>
      <c r="B125" s="3">
        <v>42481</v>
      </c>
      <c r="C125" s="4">
        <v>4.42</v>
      </c>
      <c r="D125" s="4">
        <v>1.1429</v>
      </c>
      <c r="E125" s="4">
        <v>2199</v>
      </c>
      <c r="F125" s="4"/>
      <c r="G125" s="4"/>
      <c r="H125" s="5">
        <f t="shared" si="1"/>
        <v>1.844590981999638E-2</v>
      </c>
    </row>
    <row r="126" spans="1:8" ht="13.5" x14ac:dyDescent="0.25">
      <c r="A126" s="1"/>
      <c r="B126" s="3">
        <v>42482</v>
      </c>
      <c r="C126" s="4">
        <v>4.6100000000000003</v>
      </c>
      <c r="D126" s="4">
        <v>1.1919999999999999</v>
      </c>
      <c r="E126" s="4">
        <v>41340</v>
      </c>
      <c r="F126" s="4"/>
      <c r="G126" s="4"/>
      <c r="H126" s="5">
        <f t="shared" si="1"/>
        <v>4.2960888966663682E-2</v>
      </c>
    </row>
    <row r="127" spans="1:8" ht="13.5" x14ac:dyDescent="0.25">
      <c r="A127" s="1"/>
      <c r="B127" s="3">
        <v>42485</v>
      </c>
      <c r="C127" s="4">
        <v>4.87</v>
      </c>
      <c r="D127" s="4">
        <v>1.2592000000000001</v>
      </c>
      <c r="E127" s="4">
        <v>18918</v>
      </c>
      <c r="F127" s="4"/>
      <c r="G127" s="4"/>
      <c r="H127" s="5">
        <f t="shared" si="1"/>
        <v>5.6375838926174621E-2</v>
      </c>
    </row>
    <row r="128" spans="1:8" ht="13.5" x14ac:dyDescent="0.25">
      <c r="A128" s="1"/>
      <c r="B128" s="3">
        <v>42486</v>
      </c>
      <c r="C128" s="4">
        <v>5.05</v>
      </c>
      <c r="D128" s="4">
        <v>1.3057000000000001</v>
      </c>
      <c r="E128" s="4">
        <v>16861</v>
      </c>
      <c r="F128" s="4"/>
      <c r="G128" s="4"/>
      <c r="H128" s="5">
        <f t="shared" si="1"/>
        <v>3.6928208386276987E-2</v>
      </c>
    </row>
    <row r="129" spans="1:8" ht="13.5" x14ac:dyDescent="0.25">
      <c r="A129" s="1"/>
      <c r="B129" s="3">
        <v>42487</v>
      </c>
      <c r="C129" s="4">
        <v>4.9000000000000004</v>
      </c>
      <c r="D129" s="4">
        <v>1.2669999999999999</v>
      </c>
      <c r="E129" s="4">
        <v>1253</v>
      </c>
      <c r="F129" s="4"/>
      <c r="G129" s="4"/>
      <c r="H129" s="5">
        <f t="shared" si="1"/>
        <v>-2.9639273952669201E-2</v>
      </c>
    </row>
    <row r="130" spans="1:8" ht="13.5" x14ac:dyDescent="0.25">
      <c r="A130" s="1"/>
      <c r="B130" s="3">
        <v>42488</v>
      </c>
      <c r="C130" s="4">
        <v>4.68</v>
      </c>
      <c r="D130" s="4">
        <v>1.2101</v>
      </c>
      <c r="E130" s="4">
        <v>11931</v>
      </c>
      <c r="F130" s="4"/>
      <c r="G130" s="4"/>
      <c r="H130" s="5">
        <f t="shared" si="1"/>
        <v>-4.4909234411996804E-2</v>
      </c>
    </row>
    <row r="131" spans="1:8" ht="13.5" x14ac:dyDescent="0.25">
      <c r="A131" s="1"/>
      <c r="B131" s="3">
        <v>42489</v>
      </c>
      <c r="C131" s="4">
        <v>4.42</v>
      </c>
      <c r="D131" s="4">
        <v>1.1429</v>
      </c>
      <c r="E131" s="4">
        <v>3660</v>
      </c>
      <c r="F131" s="4"/>
      <c r="G131" s="4"/>
      <c r="H131" s="5">
        <f t="shared" si="1"/>
        <v>-5.5532600611519649E-2</v>
      </c>
    </row>
    <row r="132" spans="1:8" ht="13.5" x14ac:dyDescent="0.25">
      <c r="A132" s="1"/>
      <c r="B132" s="3">
        <v>42492</v>
      </c>
      <c r="C132" s="4">
        <v>4.4000000000000004</v>
      </c>
      <c r="D132" s="4">
        <v>1.1376999999999999</v>
      </c>
      <c r="E132" s="4">
        <v>1982</v>
      </c>
      <c r="F132" s="4"/>
      <c r="G132" s="4"/>
      <c r="H132" s="5">
        <f t="shared" si="1"/>
        <v>-4.5498293813982793E-3</v>
      </c>
    </row>
    <row r="133" spans="1:8" ht="13.5" x14ac:dyDescent="0.25">
      <c r="A133" s="1"/>
      <c r="B133" s="3">
        <v>42493</v>
      </c>
      <c r="C133" s="4">
        <v>4.4000000000000004</v>
      </c>
      <c r="D133" s="4">
        <v>1.1376999999999999</v>
      </c>
      <c r="E133" s="4">
        <v>2810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42494</v>
      </c>
      <c r="C134" s="4">
        <v>4.29</v>
      </c>
      <c r="D134" s="4">
        <v>1.1092</v>
      </c>
      <c r="E134" s="4">
        <v>2351</v>
      </c>
      <c r="F134" s="4"/>
      <c r="G134" s="4"/>
      <c r="H134" s="5">
        <f t="shared" si="1"/>
        <v>-2.5050540564296363E-2</v>
      </c>
    </row>
    <row r="135" spans="1:8" ht="13.5" x14ac:dyDescent="0.25">
      <c r="A135" s="1"/>
      <c r="B135" s="3">
        <v>42495</v>
      </c>
      <c r="C135" s="4">
        <v>4.4000000000000004</v>
      </c>
      <c r="D135" s="4">
        <v>1.1376999999999999</v>
      </c>
      <c r="E135" s="4">
        <v>6127</v>
      </c>
      <c r="F135" s="4"/>
      <c r="G135" s="4"/>
      <c r="H135" s="5">
        <f t="shared" ref="H135:H198" si="2">(D135-D134)/D134</f>
        <v>2.5694194013703545E-2</v>
      </c>
    </row>
    <row r="136" spans="1:8" ht="13.5" x14ac:dyDescent="0.25">
      <c r="A136" s="1"/>
      <c r="B136" s="3">
        <v>42496</v>
      </c>
      <c r="C136" s="4">
        <v>4.2699999999999996</v>
      </c>
      <c r="D136" s="4">
        <v>1.1041000000000001</v>
      </c>
      <c r="E136" s="4">
        <v>1084</v>
      </c>
      <c r="F136" s="4"/>
      <c r="G136" s="4"/>
      <c r="H136" s="5">
        <f t="shared" si="2"/>
        <v>-2.9533268875801929E-2</v>
      </c>
    </row>
    <row r="137" spans="1:8" ht="13.5" x14ac:dyDescent="0.25">
      <c r="A137" s="1"/>
      <c r="B137" s="3">
        <v>42499</v>
      </c>
      <c r="C137" s="4">
        <v>4.37</v>
      </c>
      <c r="D137" s="4">
        <v>1.1298999999999999</v>
      </c>
      <c r="E137" s="4">
        <v>2913</v>
      </c>
      <c r="F137" s="4"/>
      <c r="G137" s="4"/>
      <c r="H137" s="5">
        <f t="shared" si="2"/>
        <v>2.3367448600670068E-2</v>
      </c>
    </row>
    <row r="138" spans="1:8" ht="13.5" x14ac:dyDescent="0.25">
      <c r="A138" s="1"/>
      <c r="B138" s="3">
        <v>42500</v>
      </c>
      <c r="C138" s="4">
        <v>4.26</v>
      </c>
      <c r="D138" s="4">
        <v>1.1014999999999999</v>
      </c>
      <c r="E138" s="4">
        <v>318</v>
      </c>
      <c r="F138" s="4"/>
      <c r="G138" s="4"/>
      <c r="H138" s="5">
        <f t="shared" si="2"/>
        <v>-2.513496769625629E-2</v>
      </c>
    </row>
    <row r="139" spans="1:8" ht="13.5" x14ac:dyDescent="0.25">
      <c r="A139" s="1"/>
      <c r="B139" s="3">
        <v>42501</v>
      </c>
      <c r="C139" s="4">
        <v>4.3600000000000003</v>
      </c>
      <c r="D139" s="4">
        <v>1.1273</v>
      </c>
      <c r="E139" s="4">
        <v>694</v>
      </c>
      <c r="F139" s="4"/>
      <c r="G139" s="4"/>
      <c r="H139" s="5">
        <f t="shared" si="2"/>
        <v>2.3422605537902902E-2</v>
      </c>
    </row>
    <row r="140" spans="1:8" ht="13.5" x14ac:dyDescent="0.25">
      <c r="A140" s="1"/>
      <c r="B140" s="3">
        <v>42502</v>
      </c>
      <c r="C140" s="4">
        <v>4.2300000000000004</v>
      </c>
      <c r="D140" s="4">
        <v>1.0936999999999999</v>
      </c>
      <c r="E140" s="4">
        <v>350</v>
      </c>
      <c r="F140" s="4"/>
      <c r="G140" s="4"/>
      <c r="H140" s="5">
        <f t="shared" si="2"/>
        <v>-2.9805730506520071E-2</v>
      </c>
    </row>
    <row r="141" spans="1:8" ht="13.5" x14ac:dyDescent="0.25">
      <c r="A141" s="1"/>
      <c r="B141" s="3">
        <v>42503</v>
      </c>
      <c r="C141" s="4">
        <v>4.1500000000000004</v>
      </c>
      <c r="D141" s="4">
        <v>1.073</v>
      </c>
      <c r="E141" s="4">
        <v>1493</v>
      </c>
      <c r="F141" s="4"/>
      <c r="G141" s="4"/>
      <c r="H141" s="5">
        <f t="shared" si="2"/>
        <v>-1.8926579500777127E-2</v>
      </c>
    </row>
    <row r="142" spans="1:8" ht="13.5" x14ac:dyDescent="0.25">
      <c r="A142" s="1"/>
      <c r="B142" s="3">
        <v>42506</v>
      </c>
      <c r="C142" s="4">
        <v>4.03</v>
      </c>
      <c r="D142" s="4">
        <v>1.042</v>
      </c>
      <c r="E142" s="4">
        <v>1472</v>
      </c>
      <c r="F142" s="4"/>
      <c r="G142" s="4"/>
      <c r="H142" s="5">
        <f t="shared" si="2"/>
        <v>-2.8890959925442609E-2</v>
      </c>
    </row>
    <row r="143" spans="1:8" ht="13.5" x14ac:dyDescent="0.25">
      <c r="A143" s="1"/>
      <c r="B143" s="3">
        <v>42507</v>
      </c>
      <c r="C143" s="4">
        <v>4.0999999999999996</v>
      </c>
      <c r="D143" s="4">
        <v>1.0601</v>
      </c>
      <c r="E143" s="4">
        <v>4299</v>
      </c>
      <c r="F143" s="4"/>
      <c r="G143" s="4"/>
      <c r="H143" s="5">
        <f t="shared" si="2"/>
        <v>1.7370441458733208E-2</v>
      </c>
    </row>
    <row r="144" spans="1:8" ht="13.5" x14ac:dyDescent="0.25">
      <c r="A144" s="1"/>
      <c r="B144" s="3">
        <v>42508</v>
      </c>
      <c r="C144" s="4">
        <v>4.09</v>
      </c>
      <c r="D144" s="4">
        <v>1.0575000000000001</v>
      </c>
      <c r="E144" s="4">
        <v>12751</v>
      </c>
      <c r="F144" s="4"/>
      <c r="G144" s="4"/>
      <c r="H144" s="5">
        <f t="shared" si="2"/>
        <v>-2.4525988114328231E-3</v>
      </c>
    </row>
    <row r="145" spans="1:8" ht="13.5" x14ac:dyDescent="0.25">
      <c r="A145" s="1"/>
      <c r="B145" s="3">
        <v>42509</v>
      </c>
      <c r="C145" s="4">
        <v>4</v>
      </c>
      <c r="D145" s="4">
        <v>1.0343</v>
      </c>
      <c r="E145" s="4">
        <v>852</v>
      </c>
      <c r="F145" s="4"/>
      <c r="G145" s="4"/>
      <c r="H145" s="5">
        <f t="shared" si="2"/>
        <v>-2.1938534278959913E-2</v>
      </c>
    </row>
    <row r="146" spans="1:8" ht="13.5" x14ac:dyDescent="0.25">
      <c r="A146" s="1"/>
      <c r="B146" s="3">
        <v>42510</v>
      </c>
      <c r="C146" s="4">
        <v>3.88</v>
      </c>
      <c r="D146" s="4">
        <v>1.0032000000000001</v>
      </c>
      <c r="E146" s="4">
        <v>1211</v>
      </c>
      <c r="F146" s="4"/>
      <c r="G146" s="4"/>
      <c r="H146" s="5">
        <f t="shared" si="2"/>
        <v>-3.0068645460697964E-2</v>
      </c>
    </row>
    <row r="147" spans="1:8" ht="13.5" x14ac:dyDescent="0.25">
      <c r="A147" s="1"/>
      <c r="B147" s="3">
        <v>42513</v>
      </c>
      <c r="C147" s="4">
        <v>3.9</v>
      </c>
      <c r="D147" s="4">
        <v>1.0084</v>
      </c>
      <c r="E147" s="4">
        <v>3501</v>
      </c>
      <c r="F147" s="4"/>
      <c r="G147" s="4"/>
      <c r="H147" s="5">
        <f t="shared" si="2"/>
        <v>5.1834130781497918E-3</v>
      </c>
    </row>
    <row r="148" spans="1:8" ht="13.5" x14ac:dyDescent="0.25">
      <c r="A148" s="1"/>
      <c r="B148" s="3">
        <v>42514</v>
      </c>
      <c r="C148" s="4">
        <v>4</v>
      </c>
      <c r="D148" s="4">
        <v>1.0343</v>
      </c>
      <c r="E148" s="4">
        <v>863</v>
      </c>
      <c r="F148" s="4"/>
      <c r="G148" s="4"/>
      <c r="H148" s="5">
        <f t="shared" si="2"/>
        <v>2.568425228084097E-2</v>
      </c>
    </row>
    <row r="149" spans="1:8" ht="13.5" x14ac:dyDescent="0.25">
      <c r="A149" s="1"/>
      <c r="B149" s="3">
        <v>42515</v>
      </c>
      <c r="C149" s="4">
        <v>3.97</v>
      </c>
      <c r="D149" s="4">
        <v>1.0265</v>
      </c>
      <c r="E149" s="4">
        <v>1950</v>
      </c>
      <c r="F149" s="4"/>
      <c r="G149" s="4"/>
      <c r="H149" s="5">
        <f t="shared" si="2"/>
        <v>-7.5413323020400548E-3</v>
      </c>
    </row>
    <row r="150" spans="1:8" ht="13.5" x14ac:dyDescent="0.25">
      <c r="A150" s="1"/>
      <c r="B150" s="3">
        <v>42516</v>
      </c>
      <c r="C150" s="4">
        <v>3.94</v>
      </c>
      <c r="D150" s="4">
        <v>1.0186999999999999</v>
      </c>
      <c r="E150" s="4">
        <v>270</v>
      </c>
      <c r="F150" s="4"/>
      <c r="G150" s="4"/>
      <c r="H150" s="5">
        <f t="shared" si="2"/>
        <v>-7.59863614223091E-3</v>
      </c>
    </row>
    <row r="151" spans="1:8" ht="13.5" x14ac:dyDescent="0.25">
      <c r="A151" s="1"/>
      <c r="B151" s="3">
        <v>42517</v>
      </c>
      <c r="C151" s="4">
        <v>3.77</v>
      </c>
      <c r="D151" s="4">
        <v>0.9748</v>
      </c>
      <c r="E151" s="4">
        <v>2244</v>
      </c>
      <c r="F151" s="4"/>
      <c r="G151" s="4"/>
      <c r="H151" s="5">
        <f t="shared" si="2"/>
        <v>-4.3094139589673057E-2</v>
      </c>
    </row>
    <row r="152" spans="1:8" ht="13.5" x14ac:dyDescent="0.25">
      <c r="A152" s="1"/>
      <c r="B152" s="3">
        <v>42520</v>
      </c>
      <c r="C152" s="4">
        <v>3.91</v>
      </c>
      <c r="D152" s="4">
        <v>1.0109999999999999</v>
      </c>
      <c r="E152" s="4">
        <v>1836</v>
      </c>
      <c r="F152" s="4"/>
      <c r="G152" s="4"/>
      <c r="H152" s="5">
        <f t="shared" si="2"/>
        <v>3.7135822732868175E-2</v>
      </c>
    </row>
    <row r="153" spans="1:8" ht="13.5" x14ac:dyDescent="0.25">
      <c r="A153" s="1"/>
      <c r="B153" s="3">
        <v>42521</v>
      </c>
      <c r="C153" s="4">
        <v>3.85</v>
      </c>
      <c r="D153" s="4">
        <v>0.99550000000000005</v>
      </c>
      <c r="E153" s="4">
        <v>555</v>
      </c>
      <c r="F153" s="4"/>
      <c r="G153" s="4"/>
      <c r="H153" s="5">
        <f t="shared" si="2"/>
        <v>-1.533135509396622E-2</v>
      </c>
    </row>
    <row r="154" spans="1:8" ht="13.5" x14ac:dyDescent="0.25">
      <c r="A154" s="1"/>
      <c r="B154" s="3">
        <v>42522</v>
      </c>
      <c r="C154" s="4">
        <v>3.79</v>
      </c>
      <c r="D154" s="4">
        <v>0.98</v>
      </c>
      <c r="E154" s="4">
        <v>1217</v>
      </c>
      <c r="F154" s="4"/>
      <c r="G154" s="4"/>
      <c r="H154" s="5">
        <f t="shared" si="2"/>
        <v>-1.5570065293822268E-2</v>
      </c>
    </row>
    <row r="155" spans="1:8" ht="13.5" x14ac:dyDescent="0.25">
      <c r="A155" s="1"/>
      <c r="B155" s="3">
        <v>42523</v>
      </c>
      <c r="C155" s="4">
        <v>3.68</v>
      </c>
      <c r="D155" s="4">
        <v>0.95150000000000001</v>
      </c>
      <c r="E155" s="4">
        <v>2955</v>
      </c>
      <c r="F155" s="4"/>
      <c r="G155" s="4"/>
      <c r="H155" s="5">
        <f t="shared" si="2"/>
        <v>-2.9081632653061195E-2</v>
      </c>
    </row>
    <row r="156" spans="1:8" ht="13.5" x14ac:dyDescent="0.25">
      <c r="A156" s="1"/>
      <c r="B156" s="3">
        <v>42524</v>
      </c>
      <c r="C156" s="4">
        <v>3.77</v>
      </c>
      <c r="D156" s="4">
        <v>0.9748</v>
      </c>
      <c r="E156" s="4">
        <v>2505</v>
      </c>
      <c r="F156" s="4"/>
      <c r="G156" s="4"/>
      <c r="H156" s="5">
        <f t="shared" si="2"/>
        <v>2.4487651077246441E-2</v>
      </c>
    </row>
    <row r="157" spans="1:8" ht="13.5" x14ac:dyDescent="0.25">
      <c r="A157" s="1"/>
      <c r="B157" s="3">
        <v>42527</v>
      </c>
      <c r="C157" s="4">
        <v>3.79</v>
      </c>
      <c r="D157" s="4">
        <v>0.98</v>
      </c>
      <c r="E157" s="4">
        <v>200</v>
      </c>
      <c r="F157" s="4"/>
      <c r="G157" s="4"/>
      <c r="H157" s="5">
        <f t="shared" si="2"/>
        <v>5.334427574887138E-3</v>
      </c>
    </row>
    <row r="158" spans="1:8" ht="13.5" x14ac:dyDescent="0.25">
      <c r="A158" s="1"/>
      <c r="B158" s="3">
        <v>42528</v>
      </c>
      <c r="C158" s="4">
        <v>3.79</v>
      </c>
      <c r="D158" s="4">
        <v>0.98</v>
      </c>
      <c r="E158" s="4">
        <v>650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3.79</v>
      </c>
      <c r="D159" s="4">
        <v>0.98</v>
      </c>
      <c r="E159" s="4">
        <v>10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42530</v>
      </c>
      <c r="C160" s="4">
        <v>3.68</v>
      </c>
      <c r="D160" s="4">
        <v>0.95150000000000001</v>
      </c>
      <c r="E160" s="4">
        <v>3420</v>
      </c>
      <c r="F160" s="4"/>
      <c r="G160" s="4"/>
      <c r="H160" s="5">
        <f t="shared" si="2"/>
        <v>-2.9081632653061195E-2</v>
      </c>
    </row>
    <row r="161" spans="1:8" ht="13.5" x14ac:dyDescent="0.25">
      <c r="A161" s="1"/>
      <c r="B161" s="3">
        <v>42531</v>
      </c>
      <c r="C161" s="4">
        <v>3.78</v>
      </c>
      <c r="D161" s="4">
        <v>0.97740000000000005</v>
      </c>
      <c r="E161" s="4">
        <v>1520</v>
      </c>
      <c r="F161" s="4"/>
      <c r="G161" s="4"/>
      <c r="H161" s="5">
        <f t="shared" si="2"/>
        <v>2.7220178665265406E-2</v>
      </c>
    </row>
    <row r="162" spans="1:8" ht="13.5" x14ac:dyDescent="0.25">
      <c r="A162" s="1"/>
      <c r="B162" s="3">
        <v>42534</v>
      </c>
      <c r="C162" s="4">
        <v>3.8</v>
      </c>
      <c r="D162" s="4">
        <v>0.98250000000000004</v>
      </c>
      <c r="E162" s="4">
        <v>1664</v>
      </c>
      <c r="F162" s="4"/>
      <c r="G162" s="4"/>
      <c r="H162" s="5">
        <f t="shared" si="2"/>
        <v>5.2179251074278626E-3</v>
      </c>
    </row>
    <row r="163" spans="1:8" ht="13.5" x14ac:dyDescent="0.25">
      <c r="A163" s="1"/>
      <c r="B163" s="3">
        <v>42535</v>
      </c>
      <c r="C163" s="4">
        <v>3.89</v>
      </c>
      <c r="D163" s="4">
        <v>1.0058</v>
      </c>
      <c r="E163" s="4">
        <v>7075</v>
      </c>
      <c r="F163" s="4"/>
      <c r="G163" s="4"/>
      <c r="H163" s="5">
        <f t="shared" si="2"/>
        <v>2.3715012722646298E-2</v>
      </c>
    </row>
    <row r="164" spans="1:8" ht="13.5" x14ac:dyDescent="0.25">
      <c r="A164" s="1"/>
      <c r="B164" s="3">
        <v>42536</v>
      </c>
      <c r="C164" s="4">
        <v>3.89</v>
      </c>
      <c r="D164" s="4">
        <v>1.0058</v>
      </c>
      <c r="E164" s="4">
        <v>302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3.8</v>
      </c>
      <c r="D165" s="4">
        <v>0.98250000000000004</v>
      </c>
      <c r="E165" s="4">
        <v>4069</v>
      </c>
      <c r="F165" s="4"/>
      <c r="G165" s="4"/>
      <c r="H165" s="5">
        <f t="shared" si="2"/>
        <v>-2.3165639292105772E-2</v>
      </c>
    </row>
    <row r="166" spans="1:8" ht="13.5" x14ac:dyDescent="0.25">
      <c r="A166" s="1"/>
      <c r="B166" s="3">
        <v>42538</v>
      </c>
      <c r="C166" s="4">
        <v>3.97</v>
      </c>
      <c r="D166" s="4">
        <v>1.0265</v>
      </c>
      <c r="E166" s="4">
        <v>1934</v>
      </c>
      <c r="F166" s="4"/>
      <c r="G166" s="4"/>
      <c r="H166" s="5">
        <f t="shared" si="2"/>
        <v>4.4783715012722575E-2</v>
      </c>
    </row>
    <row r="167" spans="1:8" ht="13.5" x14ac:dyDescent="0.25">
      <c r="A167" s="1"/>
      <c r="B167" s="3">
        <v>42541</v>
      </c>
      <c r="C167" s="4">
        <v>3.95</v>
      </c>
      <c r="D167" s="4">
        <v>1.0213000000000001</v>
      </c>
      <c r="E167" s="4">
        <v>10660</v>
      </c>
      <c r="F167" s="4"/>
      <c r="G167" s="4"/>
      <c r="H167" s="5">
        <f t="shared" si="2"/>
        <v>-5.065757428153796E-3</v>
      </c>
    </row>
    <row r="168" spans="1:8" ht="13.5" x14ac:dyDescent="0.25">
      <c r="A168" s="1"/>
      <c r="B168" s="3">
        <v>42542</v>
      </c>
      <c r="C168" s="4">
        <v>3.9</v>
      </c>
      <c r="D168" s="4">
        <v>1.0084</v>
      </c>
      <c r="E168" s="4">
        <v>1839</v>
      </c>
      <c r="F168" s="4"/>
      <c r="G168" s="4"/>
      <c r="H168" s="5">
        <f t="shared" si="2"/>
        <v>-1.2630960540487743E-2</v>
      </c>
    </row>
    <row r="169" spans="1:8" ht="13.5" x14ac:dyDescent="0.25">
      <c r="A169" s="1"/>
      <c r="B169" s="3">
        <v>42543</v>
      </c>
      <c r="C169" s="4">
        <v>3.9</v>
      </c>
      <c r="D169" s="4">
        <v>1.0084</v>
      </c>
      <c r="E169" s="4">
        <v>4950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3.85</v>
      </c>
      <c r="D170" s="4">
        <v>0.99550000000000005</v>
      </c>
      <c r="E170" s="4">
        <v>1825</v>
      </c>
      <c r="F170" s="4"/>
      <c r="G170" s="4"/>
      <c r="H170" s="5">
        <f t="shared" si="2"/>
        <v>-1.279254264180872E-2</v>
      </c>
    </row>
    <row r="171" spans="1:8" ht="13.5" x14ac:dyDescent="0.25">
      <c r="A171" s="1"/>
      <c r="B171" s="3">
        <v>42545</v>
      </c>
      <c r="C171" s="4">
        <v>3.79</v>
      </c>
      <c r="D171" s="4">
        <v>0.98</v>
      </c>
      <c r="E171" s="4">
        <v>4975</v>
      </c>
      <c r="F171" s="4"/>
      <c r="G171" s="4"/>
      <c r="H171" s="5">
        <f t="shared" si="2"/>
        <v>-1.5570065293822268E-2</v>
      </c>
    </row>
    <row r="172" spans="1:8" ht="13.5" x14ac:dyDescent="0.25">
      <c r="A172" s="1"/>
      <c r="B172" s="3">
        <v>42548</v>
      </c>
      <c r="C172" s="4">
        <v>3.85</v>
      </c>
      <c r="D172" s="4">
        <v>0.99550000000000005</v>
      </c>
      <c r="E172" s="4">
        <v>1800</v>
      </c>
      <c r="F172" s="4"/>
      <c r="G172" s="4"/>
      <c r="H172" s="5">
        <f t="shared" si="2"/>
        <v>1.5816326530612317E-2</v>
      </c>
    </row>
    <row r="173" spans="1:8" ht="13.5" x14ac:dyDescent="0.25">
      <c r="A173" s="1"/>
      <c r="B173" s="3">
        <v>42549</v>
      </c>
      <c r="C173" s="4">
        <v>3.85</v>
      </c>
      <c r="D173" s="4">
        <v>0.99550000000000005</v>
      </c>
      <c r="E173" s="4">
        <v>11300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3.85</v>
      </c>
      <c r="D174" s="4">
        <v>0.99550000000000005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3.85</v>
      </c>
      <c r="D175" s="4">
        <v>0.99550000000000005</v>
      </c>
      <c r="E175" s="4">
        <v>0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3.85</v>
      </c>
      <c r="D176" s="4">
        <v>0.99550000000000005</v>
      </c>
      <c r="E176" s="4">
        <v>1560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3.85</v>
      </c>
      <c r="D177" s="4">
        <v>0.99550000000000005</v>
      </c>
      <c r="E177" s="4">
        <v>0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3.85</v>
      </c>
      <c r="D178" s="4">
        <v>0.99550000000000005</v>
      </c>
      <c r="E178" s="4">
        <v>2000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4</v>
      </c>
      <c r="D179" s="4">
        <v>1.0343</v>
      </c>
      <c r="E179" s="4">
        <v>600</v>
      </c>
      <c r="F179" s="4"/>
      <c r="G179" s="4"/>
      <c r="H179" s="5">
        <f t="shared" si="2"/>
        <v>3.8975389251632291E-2</v>
      </c>
    </row>
    <row r="180" spans="1:8" ht="13.5" x14ac:dyDescent="0.25">
      <c r="A180" s="1"/>
      <c r="B180" s="3">
        <v>42563</v>
      </c>
      <c r="C180" s="4">
        <v>3.91</v>
      </c>
      <c r="D180" s="4">
        <v>1.0664</v>
      </c>
      <c r="E180" s="4">
        <v>100</v>
      </c>
      <c r="F180" s="4"/>
      <c r="G180" s="4"/>
      <c r="H180" s="5">
        <f t="shared" si="2"/>
        <v>3.103548293531859E-2</v>
      </c>
    </row>
    <row r="181" spans="1:8" ht="13.5" x14ac:dyDescent="0.25">
      <c r="A181" s="1"/>
      <c r="B181" s="3">
        <v>42564</v>
      </c>
      <c r="C181" s="4">
        <v>3.95</v>
      </c>
      <c r="D181" s="4">
        <v>1.0772999999999999</v>
      </c>
      <c r="E181" s="4">
        <v>5110</v>
      </c>
      <c r="F181" s="4"/>
      <c r="G181" s="4"/>
      <c r="H181" s="5">
        <f t="shared" si="2"/>
        <v>1.0221305326331498E-2</v>
      </c>
    </row>
    <row r="182" spans="1:8" ht="13.5" x14ac:dyDescent="0.25">
      <c r="A182" s="1"/>
      <c r="B182" s="3">
        <v>42565</v>
      </c>
      <c r="C182" s="4">
        <v>4.0599999999999996</v>
      </c>
      <c r="D182" s="4">
        <v>1.1073999999999999</v>
      </c>
      <c r="E182" s="4">
        <v>605</v>
      </c>
      <c r="F182" s="4"/>
      <c r="G182" s="4"/>
      <c r="H182" s="5">
        <f t="shared" si="2"/>
        <v>2.7940220922677079E-2</v>
      </c>
    </row>
    <row r="183" spans="1:8" ht="13.5" x14ac:dyDescent="0.25">
      <c r="A183" s="1"/>
      <c r="B183" s="3">
        <v>42566</v>
      </c>
      <c r="C183" s="4">
        <v>4</v>
      </c>
      <c r="D183" s="4">
        <v>1.091</v>
      </c>
      <c r="E183" s="4">
        <v>696</v>
      </c>
      <c r="F183" s="4"/>
      <c r="G183" s="4"/>
      <c r="H183" s="5">
        <f t="shared" si="2"/>
        <v>-1.4809463608452204E-2</v>
      </c>
    </row>
    <row r="184" spans="1:8" ht="13.5" x14ac:dyDescent="0.25">
      <c r="A184" s="1"/>
      <c r="B184" s="3">
        <v>42569</v>
      </c>
      <c r="C184" s="4">
        <v>3.95</v>
      </c>
      <c r="D184" s="4">
        <v>1.0772999999999999</v>
      </c>
      <c r="E184" s="4">
        <v>448</v>
      </c>
      <c r="F184" s="4"/>
      <c r="G184" s="4"/>
      <c r="H184" s="5">
        <f t="shared" si="2"/>
        <v>-1.2557286892758979E-2</v>
      </c>
    </row>
    <row r="185" spans="1:8" ht="13.5" x14ac:dyDescent="0.25">
      <c r="A185" s="1"/>
      <c r="B185" s="3">
        <v>42570</v>
      </c>
      <c r="C185" s="4">
        <v>3.84</v>
      </c>
      <c r="D185" s="4">
        <v>1.0472999999999999</v>
      </c>
      <c r="E185" s="4">
        <v>1112</v>
      </c>
      <c r="F185" s="4"/>
      <c r="G185" s="4"/>
      <c r="H185" s="5">
        <f t="shared" si="2"/>
        <v>-2.7847396268448926E-2</v>
      </c>
    </row>
    <row r="186" spans="1:8" ht="13.5" x14ac:dyDescent="0.25">
      <c r="A186" s="1"/>
      <c r="B186" s="3">
        <v>42571</v>
      </c>
      <c r="C186" s="4">
        <v>3.95</v>
      </c>
      <c r="D186" s="4">
        <v>1.0772999999999999</v>
      </c>
      <c r="E186" s="4">
        <v>1950</v>
      </c>
      <c r="F186" s="4"/>
      <c r="G186" s="4"/>
      <c r="H186" s="5">
        <f t="shared" si="2"/>
        <v>2.86450873675165E-2</v>
      </c>
    </row>
    <row r="187" spans="1:8" ht="13.5" x14ac:dyDescent="0.25">
      <c r="A187" s="1"/>
      <c r="B187" s="3">
        <v>42572</v>
      </c>
      <c r="C187" s="4">
        <v>3.99</v>
      </c>
      <c r="D187" s="4">
        <v>1.0883</v>
      </c>
      <c r="E187" s="4">
        <v>1025</v>
      </c>
      <c r="F187" s="4"/>
      <c r="G187" s="4"/>
      <c r="H187" s="5">
        <f t="shared" si="2"/>
        <v>1.0210711965098042E-2</v>
      </c>
    </row>
    <row r="188" spans="1:8" ht="13.5" x14ac:dyDescent="0.25">
      <c r="A188" s="1"/>
      <c r="B188" s="3">
        <v>42573</v>
      </c>
      <c r="C188" s="4">
        <v>4</v>
      </c>
      <c r="D188" s="4">
        <v>1.091</v>
      </c>
      <c r="E188" s="4">
        <v>941</v>
      </c>
      <c r="F188" s="4"/>
      <c r="G188" s="4"/>
      <c r="H188" s="5">
        <f t="shared" si="2"/>
        <v>2.480933566112216E-3</v>
      </c>
    </row>
    <row r="189" spans="1:8" ht="13.5" x14ac:dyDescent="0.25">
      <c r="A189" s="1"/>
      <c r="B189" s="3">
        <v>42577</v>
      </c>
      <c r="C189" s="4">
        <v>3.9</v>
      </c>
      <c r="D189" s="4">
        <v>1.0637000000000001</v>
      </c>
      <c r="E189" s="4">
        <v>579</v>
      </c>
      <c r="F189" s="4"/>
      <c r="G189" s="4"/>
      <c r="H189" s="5">
        <f t="shared" si="2"/>
        <v>-2.5022914757103467E-2</v>
      </c>
    </row>
    <row r="190" spans="1:8" ht="13.5" x14ac:dyDescent="0.25">
      <c r="A190" s="1"/>
      <c r="B190" s="3">
        <v>42578</v>
      </c>
      <c r="C190" s="4">
        <v>3.89</v>
      </c>
      <c r="D190" s="4">
        <v>1.0609999999999999</v>
      </c>
      <c r="E190" s="4">
        <v>1805</v>
      </c>
      <c r="F190" s="4"/>
      <c r="G190" s="4"/>
      <c r="H190" s="5">
        <f t="shared" si="2"/>
        <v>-2.5383096737803391E-3</v>
      </c>
    </row>
    <row r="191" spans="1:8" ht="13.5" x14ac:dyDescent="0.25">
      <c r="A191" s="1"/>
      <c r="B191" s="3">
        <v>42579</v>
      </c>
      <c r="C191" s="4">
        <v>3.95</v>
      </c>
      <c r="D191" s="4">
        <v>1.0772999999999999</v>
      </c>
      <c r="E191" s="4">
        <v>1300</v>
      </c>
      <c r="F191" s="4"/>
      <c r="G191" s="4"/>
      <c r="H191" s="5">
        <f t="shared" si="2"/>
        <v>1.5362865221489145E-2</v>
      </c>
    </row>
    <row r="192" spans="1:8" ht="13.5" x14ac:dyDescent="0.25">
      <c r="A192" s="1"/>
      <c r="B192" s="3">
        <v>42580</v>
      </c>
      <c r="C192" s="4">
        <v>3.95</v>
      </c>
      <c r="D192" s="4">
        <v>1.0772999999999999</v>
      </c>
      <c r="E192" s="4">
        <v>630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3.95</v>
      </c>
      <c r="D193" s="4">
        <v>1.0772999999999999</v>
      </c>
      <c r="E193" s="4">
        <v>172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3.89</v>
      </c>
      <c r="D194" s="4">
        <v>1.0609999999999999</v>
      </c>
      <c r="E194" s="4">
        <v>300</v>
      </c>
      <c r="F194" s="4"/>
      <c r="G194" s="4"/>
      <c r="H194" s="5">
        <f t="shared" si="2"/>
        <v>-1.5130418639190553E-2</v>
      </c>
    </row>
    <row r="195" spans="1:8" ht="13.5" x14ac:dyDescent="0.25">
      <c r="A195" s="1"/>
      <c r="B195" s="3">
        <v>42585</v>
      </c>
      <c r="C195" s="4">
        <v>4</v>
      </c>
      <c r="D195" s="4">
        <v>1.091</v>
      </c>
      <c r="E195" s="4">
        <v>3922</v>
      </c>
      <c r="F195" s="4"/>
      <c r="G195" s="4"/>
      <c r="H195" s="5">
        <f t="shared" si="2"/>
        <v>2.8275212064090508E-2</v>
      </c>
    </row>
    <row r="196" spans="1:8" ht="13.5" x14ac:dyDescent="0.25">
      <c r="A196" s="1"/>
      <c r="B196" s="3">
        <v>42586</v>
      </c>
      <c r="C196" s="4">
        <v>4</v>
      </c>
      <c r="D196" s="4">
        <v>1.091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4</v>
      </c>
      <c r="D197" s="4">
        <v>1.091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4</v>
      </c>
      <c r="D198" s="4">
        <v>1.091</v>
      </c>
      <c r="E198" s="4">
        <v>0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3.88</v>
      </c>
      <c r="D199" s="4">
        <v>1.0583</v>
      </c>
      <c r="E199" s="4">
        <v>1300</v>
      </c>
      <c r="F199" s="4"/>
      <c r="G199" s="4"/>
      <c r="H199" s="5">
        <f t="shared" ref="H199:H262" si="3">(D199-D198)/D198</f>
        <v>-2.9972502291475668E-2</v>
      </c>
    </row>
    <row r="200" spans="1:8" ht="13.5" x14ac:dyDescent="0.25">
      <c r="A200" s="1"/>
      <c r="B200" s="3">
        <v>42592</v>
      </c>
      <c r="C200" s="4">
        <v>3.81</v>
      </c>
      <c r="D200" s="4">
        <v>1.0391999999999999</v>
      </c>
      <c r="E200" s="4">
        <v>150</v>
      </c>
      <c r="F200" s="4"/>
      <c r="G200" s="4"/>
      <c r="H200" s="5">
        <f t="shared" si="3"/>
        <v>-1.8047812529528598E-2</v>
      </c>
    </row>
    <row r="201" spans="1:8" ht="13.5" x14ac:dyDescent="0.25">
      <c r="A201" s="1"/>
      <c r="B201" s="3">
        <v>42593</v>
      </c>
      <c r="C201" s="4">
        <v>3.82</v>
      </c>
      <c r="D201" s="4">
        <v>1.0419</v>
      </c>
      <c r="E201" s="4">
        <v>700</v>
      </c>
      <c r="F201" s="4"/>
      <c r="G201" s="4"/>
      <c r="H201" s="5">
        <f t="shared" si="3"/>
        <v>2.5981524249424049E-3</v>
      </c>
    </row>
    <row r="202" spans="1:8" ht="13.5" x14ac:dyDescent="0.25">
      <c r="A202" s="1"/>
      <c r="B202" s="3">
        <v>42594</v>
      </c>
      <c r="C202" s="4">
        <v>3.79</v>
      </c>
      <c r="D202" s="4">
        <v>1.0337000000000001</v>
      </c>
      <c r="E202" s="4">
        <v>2032</v>
      </c>
      <c r="F202" s="4"/>
      <c r="G202" s="4"/>
      <c r="H202" s="5">
        <f t="shared" si="3"/>
        <v>-7.8702370668970005E-3</v>
      </c>
    </row>
    <row r="203" spans="1:8" ht="13.5" x14ac:dyDescent="0.25">
      <c r="A203" s="1"/>
      <c r="B203" s="3">
        <v>42597</v>
      </c>
      <c r="C203" s="4">
        <v>3.88</v>
      </c>
      <c r="D203" s="4">
        <v>1.0583</v>
      </c>
      <c r="E203" s="4">
        <v>301</v>
      </c>
      <c r="F203" s="4"/>
      <c r="G203" s="4"/>
      <c r="H203" s="5">
        <f t="shared" si="3"/>
        <v>2.3798007158750075E-2</v>
      </c>
    </row>
    <row r="204" spans="1:8" ht="13.5" x14ac:dyDescent="0.25">
      <c r="A204" s="1"/>
      <c r="B204" s="3">
        <v>42598</v>
      </c>
      <c r="C204" s="4">
        <v>3.88</v>
      </c>
      <c r="D204" s="4">
        <v>1.0583</v>
      </c>
      <c r="E204" s="4">
        <v>7098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3.97</v>
      </c>
      <c r="D205" s="4">
        <v>1.0828</v>
      </c>
      <c r="E205" s="4">
        <v>1484</v>
      </c>
      <c r="F205" s="4"/>
      <c r="G205" s="4"/>
      <c r="H205" s="5">
        <f t="shared" si="3"/>
        <v>2.3150335443635987E-2</v>
      </c>
    </row>
    <row r="206" spans="1:8" ht="13.5" x14ac:dyDescent="0.25">
      <c r="A206" s="1"/>
      <c r="B206" s="3">
        <v>42600</v>
      </c>
      <c r="C206" s="4">
        <v>4</v>
      </c>
      <c r="D206" s="4">
        <v>1.091</v>
      </c>
      <c r="E206" s="4">
        <v>210</v>
      </c>
      <c r="F206" s="4"/>
      <c r="G206" s="4"/>
      <c r="H206" s="5">
        <f t="shared" si="3"/>
        <v>7.5729589951976217E-3</v>
      </c>
    </row>
    <row r="207" spans="1:8" ht="13.5" x14ac:dyDescent="0.25">
      <c r="A207" s="1"/>
      <c r="B207" s="3">
        <v>42601</v>
      </c>
      <c r="C207" s="4">
        <v>4</v>
      </c>
      <c r="D207" s="4">
        <v>1.091</v>
      </c>
      <c r="E207" s="4">
        <v>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3.82</v>
      </c>
      <c r="D208" s="4">
        <v>1.0419</v>
      </c>
      <c r="E208" s="4">
        <v>326</v>
      </c>
      <c r="F208" s="4"/>
      <c r="G208" s="4"/>
      <c r="H208" s="5">
        <f t="shared" si="3"/>
        <v>-4.5004582951420645E-2</v>
      </c>
    </row>
    <row r="209" spans="1:8" ht="13.5" x14ac:dyDescent="0.25">
      <c r="A209" s="1"/>
      <c r="B209" s="3">
        <v>42605</v>
      </c>
      <c r="C209" s="4">
        <v>3.78</v>
      </c>
      <c r="D209" s="4">
        <v>1.0309999999999999</v>
      </c>
      <c r="E209" s="4">
        <v>644</v>
      </c>
      <c r="F209" s="4"/>
      <c r="G209" s="4"/>
      <c r="H209" s="5">
        <f t="shared" si="3"/>
        <v>-1.0461656588924208E-2</v>
      </c>
    </row>
    <row r="210" spans="1:8" ht="13.5" x14ac:dyDescent="0.25">
      <c r="A210" s="1"/>
      <c r="B210" s="3">
        <v>42606</v>
      </c>
      <c r="C210" s="4">
        <v>3.78</v>
      </c>
      <c r="D210" s="4">
        <v>1.0309999999999999</v>
      </c>
      <c r="E210" s="4">
        <v>76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3.71</v>
      </c>
      <c r="D211" s="4">
        <v>1.0119</v>
      </c>
      <c r="E211" s="4">
        <v>387</v>
      </c>
      <c r="F211" s="4"/>
      <c r="G211" s="4"/>
      <c r="H211" s="5">
        <f t="shared" si="3"/>
        <v>-1.8525703200775845E-2</v>
      </c>
    </row>
    <row r="212" spans="1:8" ht="13.5" x14ac:dyDescent="0.25">
      <c r="A212" s="1"/>
      <c r="B212" s="3">
        <v>42608</v>
      </c>
      <c r="C212" s="4">
        <v>3.75</v>
      </c>
      <c r="D212" s="4">
        <v>1.0227999999999999</v>
      </c>
      <c r="E212" s="4">
        <v>1543</v>
      </c>
      <c r="F212" s="4"/>
      <c r="G212" s="4"/>
      <c r="H212" s="5">
        <f t="shared" si="3"/>
        <v>1.0771815396778248E-2</v>
      </c>
    </row>
    <row r="213" spans="1:8" ht="13.5" x14ac:dyDescent="0.25">
      <c r="A213" s="1"/>
      <c r="B213" s="3">
        <v>42611</v>
      </c>
      <c r="C213" s="4">
        <v>3.8</v>
      </c>
      <c r="D213" s="4">
        <v>1.0364</v>
      </c>
      <c r="E213" s="4">
        <v>50</v>
      </c>
      <c r="F213" s="4"/>
      <c r="G213" s="4"/>
      <c r="H213" s="5">
        <f t="shared" si="3"/>
        <v>1.3296832225264038E-2</v>
      </c>
    </row>
    <row r="214" spans="1:8" ht="13.5" x14ac:dyDescent="0.25">
      <c r="A214" s="1"/>
      <c r="B214" s="3">
        <v>42612</v>
      </c>
      <c r="C214" s="4">
        <v>3.8</v>
      </c>
      <c r="D214" s="4">
        <v>1.0364</v>
      </c>
      <c r="E214" s="4">
        <v>105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3.8</v>
      </c>
      <c r="D215" s="4">
        <v>1.0364</v>
      </c>
      <c r="E215" s="4">
        <v>40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3.91</v>
      </c>
      <c r="D216" s="4">
        <v>1.0664</v>
      </c>
      <c r="E216" s="4">
        <v>220</v>
      </c>
      <c r="F216" s="4"/>
      <c r="G216" s="4"/>
      <c r="H216" s="5">
        <f t="shared" si="3"/>
        <v>2.8946352759552322E-2</v>
      </c>
    </row>
    <row r="217" spans="1:8" ht="13.5" x14ac:dyDescent="0.25">
      <c r="A217" s="1"/>
      <c r="B217" s="3">
        <v>42615</v>
      </c>
      <c r="C217" s="4">
        <v>3.91</v>
      </c>
      <c r="D217" s="4">
        <v>1.0664</v>
      </c>
      <c r="E217" s="4">
        <v>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3.91</v>
      </c>
      <c r="D218" s="4">
        <v>1.0664</v>
      </c>
      <c r="E218" s="4">
        <v>0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3.91</v>
      </c>
      <c r="D219" s="4">
        <v>1.0664</v>
      </c>
      <c r="E219" s="4">
        <v>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3.91</v>
      </c>
      <c r="D220" s="4">
        <v>1.0664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3.91</v>
      </c>
      <c r="D221" s="4">
        <v>1.0664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3.84</v>
      </c>
      <c r="D222" s="4">
        <v>1.0472999999999999</v>
      </c>
      <c r="E222" s="4">
        <v>2251</v>
      </c>
      <c r="F222" s="4"/>
      <c r="G222" s="4"/>
      <c r="H222" s="5">
        <f t="shared" si="3"/>
        <v>-1.7910727681920591E-2</v>
      </c>
    </row>
    <row r="223" spans="1:8" ht="13.5" x14ac:dyDescent="0.25">
      <c r="A223" s="1"/>
      <c r="B223" s="3">
        <v>42627</v>
      </c>
      <c r="C223" s="4">
        <v>3.8</v>
      </c>
      <c r="D223" s="4">
        <v>1.0364</v>
      </c>
      <c r="E223" s="4">
        <v>120</v>
      </c>
      <c r="F223" s="4"/>
      <c r="G223" s="4"/>
      <c r="H223" s="5">
        <f t="shared" si="3"/>
        <v>-1.0407715076864233E-2</v>
      </c>
    </row>
    <row r="224" spans="1:8" ht="13.5" x14ac:dyDescent="0.25">
      <c r="A224" s="1"/>
      <c r="B224" s="3">
        <v>42628</v>
      </c>
      <c r="C224" s="4">
        <v>3.84</v>
      </c>
      <c r="D224" s="4">
        <v>1.0472999999999999</v>
      </c>
      <c r="E224" s="4">
        <v>0</v>
      </c>
      <c r="F224" s="4"/>
      <c r="G224" s="4"/>
      <c r="H224" s="5">
        <f t="shared" si="3"/>
        <v>1.0517174835970582E-2</v>
      </c>
    </row>
    <row r="225" spans="1:8" ht="13.5" x14ac:dyDescent="0.25">
      <c r="A225" s="1"/>
      <c r="B225" s="3">
        <v>42629</v>
      </c>
      <c r="C225" s="4">
        <v>3.84</v>
      </c>
      <c r="D225" s="4">
        <v>1.0472999999999999</v>
      </c>
      <c r="E225" s="4">
        <v>0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3.9</v>
      </c>
      <c r="D226" s="4">
        <v>1.0637000000000001</v>
      </c>
      <c r="E226" s="4">
        <v>1000</v>
      </c>
      <c r="F226" s="4"/>
      <c r="G226" s="4"/>
      <c r="H226" s="5">
        <f t="shared" si="3"/>
        <v>1.5659314427575857E-2</v>
      </c>
    </row>
    <row r="227" spans="1:8" ht="13.5" x14ac:dyDescent="0.25">
      <c r="A227" s="1"/>
      <c r="B227" s="3">
        <v>42633</v>
      </c>
      <c r="C227" s="4">
        <v>3.9</v>
      </c>
      <c r="D227" s="4">
        <v>1.0637000000000001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3.9</v>
      </c>
      <c r="D228" s="4">
        <v>1.0637000000000001</v>
      </c>
      <c r="E228" s="4">
        <v>0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3.73</v>
      </c>
      <c r="D229" s="4">
        <v>1.0173000000000001</v>
      </c>
      <c r="E229" s="4">
        <v>0</v>
      </c>
      <c r="F229" s="4"/>
      <c r="G229" s="4"/>
      <c r="H229" s="5">
        <f t="shared" si="3"/>
        <v>-4.3621321801259744E-2</v>
      </c>
    </row>
    <row r="230" spans="1:8" ht="13.5" x14ac:dyDescent="0.25">
      <c r="A230" s="1"/>
      <c r="B230" s="3">
        <v>42636</v>
      </c>
      <c r="C230" s="4">
        <v>3.63</v>
      </c>
      <c r="D230" s="4">
        <v>0.99009999999999998</v>
      </c>
      <c r="E230" s="4">
        <v>5079</v>
      </c>
      <c r="F230" s="4"/>
      <c r="G230" s="4"/>
      <c r="H230" s="5">
        <f t="shared" si="3"/>
        <v>-2.6737442249090838E-2</v>
      </c>
    </row>
    <row r="231" spans="1:8" ht="13.5" x14ac:dyDescent="0.25">
      <c r="A231" s="1"/>
      <c r="B231" s="3">
        <v>42639</v>
      </c>
      <c r="C231" s="4">
        <v>3.72</v>
      </c>
      <c r="D231" s="4">
        <v>1.0145999999999999</v>
      </c>
      <c r="E231" s="4">
        <v>80</v>
      </c>
      <c r="F231" s="4"/>
      <c r="G231" s="4"/>
      <c r="H231" s="5">
        <f t="shared" si="3"/>
        <v>2.4744975255024712E-2</v>
      </c>
    </row>
    <row r="232" spans="1:8" ht="13.5" x14ac:dyDescent="0.25">
      <c r="A232" s="1"/>
      <c r="B232" s="3">
        <v>42640</v>
      </c>
      <c r="C232" s="4">
        <v>3.72</v>
      </c>
      <c r="D232" s="4">
        <v>1.0145999999999999</v>
      </c>
      <c r="E232" s="4">
        <v>175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3.67</v>
      </c>
      <c r="D233" s="4">
        <v>1.0009999999999999</v>
      </c>
      <c r="E233" s="4">
        <v>100</v>
      </c>
      <c r="F233" s="4"/>
      <c r="G233" s="4"/>
      <c r="H233" s="5">
        <f t="shared" si="3"/>
        <v>-1.3404297260003998E-2</v>
      </c>
    </row>
    <row r="234" spans="1:8" ht="13.5" x14ac:dyDescent="0.25">
      <c r="A234" s="1"/>
      <c r="B234" s="3">
        <v>42642</v>
      </c>
      <c r="C234" s="4">
        <v>3.56</v>
      </c>
      <c r="D234" s="4">
        <v>0.97099999999999997</v>
      </c>
      <c r="E234" s="4">
        <v>2720</v>
      </c>
      <c r="F234" s="4"/>
      <c r="G234" s="4"/>
      <c r="H234" s="5">
        <f t="shared" si="3"/>
        <v>-2.9970029970029888E-2</v>
      </c>
    </row>
    <row r="235" spans="1:8" ht="13.5" x14ac:dyDescent="0.25">
      <c r="A235" s="1"/>
      <c r="B235" s="3">
        <v>42643</v>
      </c>
      <c r="C235" s="4">
        <v>3.56</v>
      </c>
      <c r="D235" s="4">
        <v>0.97099999999999997</v>
      </c>
      <c r="E235" s="4">
        <v>3479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3.46</v>
      </c>
      <c r="D236" s="4">
        <v>0.94369999999999998</v>
      </c>
      <c r="E236" s="4">
        <v>6640</v>
      </c>
      <c r="F236" s="4"/>
      <c r="G236" s="4"/>
      <c r="H236" s="5">
        <f t="shared" si="3"/>
        <v>-2.8115345005149322E-2</v>
      </c>
    </row>
    <row r="237" spans="1:8" ht="13.5" x14ac:dyDescent="0.25">
      <c r="A237" s="1"/>
      <c r="B237" s="3">
        <v>42648</v>
      </c>
      <c r="C237" s="4">
        <v>3.55</v>
      </c>
      <c r="D237" s="4">
        <v>0.96830000000000005</v>
      </c>
      <c r="E237" s="4">
        <v>256</v>
      </c>
      <c r="F237" s="4"/>
      <c r="G237" s="4"/>
      <c r="H237" s="5">
        <f t="shared" si="3"/>
        <v>2.6067606230793756E-2</v>
      </c>
    </row>
    <row r="238" spans="1:8" ht="13.5" x14ac:dyDescent="0.25">
      <c r="A238" s="1"/>
      <c r="B238" s="3">
        <v>42649</v>
      </c>
      <c r="C238" s="4">
        <v>3.48</v>
      </c>
      <c r="D238" s="4">
        <v>0.94920000000000004</v>
      </c>
      <c r="E238" s="4">
        <v>40</v>
      </c>
      <c r="F238" s="4"/>
      <c r="G238" s="4"/>
      <c r="H238" s="5">
        <f t="shared" si="3"/>
        <v>-1.9725291748425081E-2</v>
      </c>
    </row>
    <row r="239" spans="1:8" ht="13.5" x14ac:dyDescent="0.25">
      <c r="A239" s="1"/>
      <c r="B239" s="3">
        <v>42650</v>
      </c>
      <c r="C239" s="4">
        <v>3.42</v>
      </c>
      <c r="D239" s="4">
        <v>0.93279999999999996</v>
      </c>
      <c r="E239" s="4">
        <v>625</v>
      </c>
      <c r="F239" s="4"/>
      <c r="G239" s="4"/>
      <c r="H239" s="5">
        <f t="shared" si="3"/>
        <v>-1.7277707543194354E-2</v>
      </c>
    </row>
    <row r="240" spans="1:8" ht="13.5" x14ac:dyDescent="0.25">
      <c r="A240" s="1"/>
      <c r="B240" s="3">
        <v>42653</v>
      </c>
      <c r="C240" s="4">
        <v>3.51</v>
      </c>
      <c r="D240" s="4">
        <v>0.95730000000000004</v>
      </c>
      <c r="E240" s="4">
        <v>22797</v>
      </c>
      <c r="F240" s="4"/>
      <c r="G240" s="4"/>
      <c r="H240" s="5">
        <f t="shared" si="3"/>
        <v>2.6265008576329414E-2</v>
      </c>
    </row>
    <row r="241" spans="1:8" ht="13.5" x14ac:dyDescent="0.25">
      <c r="A241" s="1"/>
      <c r="B241" s="3">
        <v>42654</v>
      </c>
      <c r="C241" s="4">
        <v>3.71</v>
      </c>
      <c r="D241" s="4">
        <v>1.0119</v>
      </c>
      <c r="E241" s="4">
        <v>6722</v>
      </c>
      <c r="F241" s="4"/>
      <c r="G241" s="4"/>
      <c r="H241" s="5">
        <f t="shared" si="3"/>
        <v>5.7035412096521444E-2</v>
      </c>
    </row>
    <row r="242" spans="1:8" ht="13.5" x14ac:dyDescent="0.25">
      <c r="A242" s="1"/>
      <c r="B242" s="3">
        <v>42655</v>
      </c>
      <c r="C242" s="4">
        <v>3.83</v>
      </c>
      <c r="D242" s="4">
        <v>1.0446</v>
      </c>
      <c r="E242" s="4">
        <v>24679</v>
      </c>
      <c r="F242" s="4"/>
      <c r="G242" s="4"/>
      <c r="H242" s="5">
        <f t="shared" si="3"/>
        <v>3.2315446190334968E-2</v>
      </c>
    </row>
    <row r="243" spans="1:8" ht="13.5" x14ac:dyDescent="0.25">
      <c r="A243" s="1"/>
      <c r="B243" s="3">
        <v>42656</v>
      </c>
      <c r="C243" s="4">
        <v>3.88</v>
      </c>
      <c r="D243" s="4">
        <v>1.0583</v>
      </c>
      <c r="E243" s="4">
        <v>15874</v>
      </c>
      <c r="F243" s="4"/>
      <c r="G243" s="4"/>
      <c r="H243" s="5">
        <f t="shared" si="3"/>
        <v>1.3115067968600465E-2</v>
      </c>
    </row>
    <row r="244" spans="1:8" ht="13.5" x14ac:dyDescent="0.25">
      <c r="A244" s="1"/>
      <c r="B244" s="3">
        <v>42657</v>
      </c>
      <c r="C244" s="4">
        <v>3.88</v>
      </c>
      <c r="D244" s="4">
        <v>1.0583</v>
      </c>
      <c r="E244" s="4">
        <v>3040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3.98</v>
      </c>
      <c r="D245" s="4">
        <v>1.0854999999999999</v>
      </c>
      <c r="E245" s="4">
        <v>245</v>
      </c>
      <c r="F245" s="4"/>
      <c r="G245" s="4"/>
      <c r="H245" s="5">
        <f t="shared" si="3"/>
        <v>2.5701596900689683E-2</v>
      </c>
    </row>
    <row r="246" spans="1:8" ht="13.5" x14ac:dyDescent="0.25">
      <c r="A246" s="1"/>
      <c r="B246" s="3">
        <v>42661</v>
      </c>
      <c r="C246" s="4">
        <v>3.9</v>
      </c>
      <c r="D246" s="4">
        <v>1.0637000000000001</v>
      </c>
      <c r="E246" s="4">
        <v>300</v>
      </c>
      <c r="F246" s="4"/>
      <c r="G246" s="4"/>
      <c r="H246" s="5">
        <f t="shared" si="3"/>
        <v>-2.0082911100875008E-2</v>
      </c>
    </row>
    <row r="247" spans="1:8" ht="13.5" x14ac:dyDescent="0.25">
      <c r="A247" s="1"/>
      <c r="B247" s="3">
        <v>42662</v>
      </c>
      <c r="C247" s="4">
        <v>3.88</v>
      </c>
      <c r="D247" s="4">
        <v>1.0583</v>
      </c>
      <c r="E247" s="4">
        <v>12338</v>
      </c>
      <c r="F247" s="4"/>
      <c r="G247" s="4"/>
      <c r="H247" s="5">
        <f t="shared" si="3"/>
        <v>-5.0766193475604692E-3</v>
      </c>
    </row>
    <row r="248" spans="1:8" ht="13.5" x14ac:dyDescent="0.25">
      <c r="A248" s="1"/>
      <c r="B248" s="3">
        <v>42663</v>
      </c>
      <c r="C248" s="4">
        <v>3.85</v>
      </c>
      <c r="D248" s="4">
        <v>1.0501</v>
      </c>
      <c r="E248" s="4">
        <v>1823</v>
      </c>
      <c r="F248" s="4"/>
      <c r="G248" s="4"/>
      <c r="H248" s="5">
        <f t="shared" si="3"/>
        <v>-7.7482755362373477E-3</v>
      </c>
    </row>
    <row r="249" spans="1:8" ht="13.5" x14ac:dyDescent="0.25">
      <c r="A249" s="1"/>
      <c r="B249" s="3">
        <v>42664</v>
      </c>
      <c r="C249" s="4">
        <v>3.78</v>
      </c>
      <c r="D249" s="4">
        <v>1.0309999999999999</v>
      </c>
      <c r="E249" s="4">
        <v>1218</v>
      </c>
      <c r="F249" s="4"/>
      <c r="G249" s="4"/>
      <c r="H249" s="5">
        <f t="shared" si="3"/>
        <v>-1.8188743929149716E-2</v>
      </c>
    </row>
    <row r="250" spans="1:8" ht="13.5" x14ac:dyDescent="0.25">
      <c r="A250" s="1"/>
      <c r="B250" s="3">
        <v>42667</v>
      </c>
      <c r="C250" s="4">
        <v>3.8</v>
      </c>
      <c r="D250" s="4">
        <v>1.0364</v>
      </c>
      <c r="E250" s="4">
        <v>570</v>
      </c>
      <c r="F250" s="4"/>
      <c r="G250" s="4"/>
      <c r="H250" s="5">
        <f t="shared" si="3"/>
        <v>5.2376333656644729E-3</v>
      </c>
    </row>
    <row r="251" spans="1:8" ht="13.5" x14ac:dyDescent="0.25">
      <c r="A251" s="1"/>
      <c r="B251" s="3">
        <v>42668</v>
      </c>
      <c r="C251" s="4">
        <v>3.8</v>
      </c>
      <c r="D251" s="4">
        <v>1.0364</v>
      </c>
      <c r="E251" s="4">
        <v>1005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3.8</v>
      </c>
      <c r="D252" s="4">
        <v>1.0364</v>
      </c>
      <c r="E252" s="4">
        <v>0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3.72</v>
      </c>
      <c r="D253" s="4">
        <v>1.0145999999999999</v>
      </c>
      <c r="E253" s="4">
        <v>1066</v>
      </c>
      <c r="F253" s="4"/>
      <c r="G253" s="4"/>
      <c r="H253" s="5">
        <f t="shared" si="3"/>
        <v>-2.1034349671941375E-2</v>
      </c>
    </row>
    <row r="254" spans="1:8" ht="13.5" x14ac:dyDescent="0.25">
      <c r="A254" s="1"/>
      <c r="B254" s="3">
        <v>42671</v>
      </c>
      <c r="C254" s="4">
        <v>3.82</v>
      </c>
      <c r="D254" s="4">
        <v>1.0419</v>
      </c>
      <c r="E254" s="4">
        <v>390</v>
      </c>
      <c r="F254" s="4"/>
      <c r="G254" s="4"/>
      <c r="H254" s="5">
        <f t="shared" si="3"/>
        <v>2.6907155529272721E-2</v>
      </c>
    </row>
    <row r="255" spans="1:8" ht="13.5" x14ac:dyDescent="0.25">
      <c r="A255" s="1"/>
      <c r="B255" s="3">
        <v>42674</v>
      </c>
      <c r="C255" s="4">
        <v>3.82</v>
      </c>
      <c r="D255" s="4">
        <v>1.0419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3.82</v>
      </c>
      <c r="D256" s="4">
        <v>1.0419</v>
      </c>
      <c r="E256" s="4">
        <v>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3.82</v>
      </c>
      <c r="D257" s="4">
        <v>1.0419</v>
      </c>
      <c r="E257" s="4">
        <v>0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3.82</v>
      </c>
      <c r="D258" s="4">
        <v>1.0419</v>
      </c>
      <c r="E258" s="4">
        <v>0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3.82</v>
      </c>
      <c r="D259" s="4">
        <v>1.0419</v>
      </c>
      <c r="E259" s="4">
        <v>0</v>
      </c>
      <c r="F259" s="4"/>
      <c r="G259" s="4"/>
      <c r="H259" s="5">
        <f t="shared" si="3"/>
        <v>0</v>
      </c>
    </row>
    <row r="260" spans="1:8" ht="13.5" x14ac:dyDescent="0.25">
      <c r="A260" s="1"/>
      <c r="B260" s="3">
        <v>42681</v>
      </c>
      <c r="C260" s="4">
        <v>3.82</v>
      </c>
      <c r="D260" s="4">
        <v>1.0419</v>
      </c>
      <c r="E260" s="4">
        <v>0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3.9</v>
      </c>
      <c r="D261" s="4">
        <v>1.0637000000000001</v>
      </c>
      <c r="E261" s="4">
        <v>13378</v>
      </c>
      <c r="F261" s="4"/>
      <c r="G261" s="4"/>
      <c r="H261" s="5">
        <f t="shared" si="3"/>
        <v>2.09233131778482E-2</v>
      </c>
    </row>
    <row r="262" spans="1:8" ht="13.5" x14ac:dyDescent="0.25">
      <c r="A262" s="1"/>
      <c r="B262" s="3">
        <v>42683</v>
      </c>
      <c r="C262" s="4">
        <v>3.79</v>
      </c>
      <c r="D262" s="4">
        <v>1.0337000000000001</v>
      </c>
      <c r="E262" s="4">
        <v>7196</v>
      </c>
      <c r="F262" s="4"/>
      <c r="G262" s="4"/>
      <c r="H262" s="5">
        <f t="shared" si="3"/>
        <v>-2.8203440819780035E-2</v>
      </c>
    </row>
    <row r="263" spans="1:8" ht="13.5" x14ac:dyDescent="0.25">
      <c r="A263" s="1"/>
      <c r="B263" s="3">
        <v>42684</v>
      </c>
      <c r="C263" s="4">
        <v>3.74</v>
      </c>
      <c r="D263" s="4">
        <v>1.0201</v>
      </c>
      <c r="E263" s="4">
        <v>565</v>
      </c>
      <c r="F263" s="4"/>
      <c r="G263" s="4"/>
      <c r="H263" s="5">
        <f t="shared" ref="H263:H326" si="4">(D263-D262)/D262</f>
        <v>-1.3156621843861909E-2</v>
      </c>
    </row>
    <row r="264" spans="1:8" ht="13.5" x14ac:dyDescent="0.25">
      <c r="A264" s="1"/>
      <c r="B264" s="3">
        <v>42685</v>
      </c>
      <c r="C264" s="4">
        <v>3.65</v>
      </c>
      <c r="D264" s="4">
        <v>0.99550000000000005</v>
      </c>
      <c r="E264" s="4">
        <v>2323</v>
      </c>
      <c r="F264" s="4"/>
      <c r="G264" s="4"/>
      <c r="H264" s="5">
        <f t="shared" si="4"/>
        <v>-2.411528281541021E-2</v>
      </c>
    </row>
    <row r="265" spans="1:8" ht="13.5" x14ac:dyDescent="0.25">
      <c r="A265" s="1"/>
      <c r="B265" s="3">
        <v>42688</v>
      </c>
      <c r="C265" s="4">
        <v>3.62</v>
      </c>
      <c r="D265" s="4">
        <v>0.98729999999999996</v>
      </c>
      <c r="E265" s="4">
        <v>18671</v>
      </c>
      <c r="F265" s="4"/>
      <c r="G265" s="4"/>
      <c r="H265" s="5">
        <f t="shared" si="4"/>
        <v>-8.2370668006028075E-3</v>
      </c>
    </row>
    <row r="266" spans="1:8" ht="13.5" x14ac:dyDescent="0.25">
      <c r="A266" s="1"/>
      <c r="B266" s="3">
        <v>42689</v>
      </c>
      <c r="C266" s="4">
        <v>3.55</v>
      </c>
      <c r="D266" s="4">
        <v>0.96830000000000005</v>
      </c>
      <c r="E266" s="4">
        <v>4156</v>
      </c>
      <c r="F266" s="4"/>
      <c r="G266" s="4"/>
      <c r="H266" s="5">
        <f t="shared" si="4"/>
        <v>-1.9244403929909761E-2</v>
      </c>
    </row>
    <row r="267" spans="1:8" ht="13.5" x14ac:dyDescent="0.25">
      <c r="A267" s="1"/>
      <c r="B267" s="3">
        <v>42690</v>
      </c>
      <c r="C267" s="4">
        <v>3.5</v>
      </c>
      <c r="D267" s="4">
        <v>0.9546</v>
      </c>
      <c r="E267" s="4">
        <v>14891</v>
      </c>
      <c r="F267" s="4"/>
      <c r="G267" s="4"/>
      <c r="H267" s="5">
        <f t="shared" si="4"/>
        <v>-1.4148507693896566E-2</v>
      </c>
    </row>
    <row r="268" spans="1:8" ht="13.5" x14ac:dyDescent="0.25">
      <c r="A268" s="1"/>
      <c r="B268" s="3">
        <v>42691</v>
      </c>
      <c r="C268" s="4">
        <v>3.5</v>
      </c>
      <c r="D268" s="4">
        <v>0.9546</v>
      </c>
      <c r="E268" s="4">
        <v>13326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3.5</v>
      </c>
      <c r="D269" s="4">
        <v>0.9546</v>
      </c>
      <c r="E269" s="4">
        <v>3003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3.5</v>
      </c>
      <c r="D270" s="4">
        <v>0.9546</v>
      </c>
      <c r="E270" s="4">
        <v>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3.5</v>
      </c>
      <c r="D271" s="4">
        <v>0.9546</v>
      </c>
      <c r="E271" s="4">
        <v>487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3.41</v>
      </c>
      <c r="D272" s="4">
        <v>0.93010000000000004</v>
      </c>
      <c r="E272" s="4">
        <v>370</v>
      </c>
      <c r="F272" s="4"/>
      <c r="G272" s="4"/>
      <c r="H272" s="5">
        <f t="shared" si="4"/>
        <v>-2.5665200083804698E-2</v>
      </c>
    </row>
    <row r="273" spans="1:8" ht="13.5" x14ac:dyDescent="0.25">
      <c r="A273" s="1"/>
      <c r="B273" s="3">
        <v>42698</v>
      </c>
      <c r="C273" s="4">
        <v>3.41</v>
      </c>
      <c r="D273" s="4">
        <v>0.93010000000000004</v>
      </c>
      <c r="E273" s="4">
        <v>4143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3.41</v>
      </c>
      <c r="D274" s="4">
        <v>0.93010000000000004</v>
      </c>
      <c r="E274" s="4">
        <v>4300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3.41</v>
      </c>
      <c r="D275" s="4">
        <v>0.93010000000000004</v>
      </c>
      <c r="E275" s="4">
        <v>1330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3.35</v>
      </c>
      <c r="D276" s="4">
        <v>0.91369999999999996</v>
      </c>
      <c r="E276" s="4">
        <v>8424</v>
      </c>
      <c r="F276" s="4"/>
      <c r="G276" s="4"/>
      <c r="H276" s="5">
        <f t="shared" si="4"/>
        <v>-1.7632512633050296E-2</v>
      </c>
    </row>
    <row r="277" spans="1:8" ht="13.5" x14ac:dyDescent="0.25">
      <c r="A277" s="1"/>
      <c r="B277" s="3">
        <v>42704</v>
      </c>
      <c r="C277" s="4">
        <v>3.3</v>
      </c>
      <c r="D277" s="4">
        <v>0.90010000000000001</v>
      </c>
      <c r="E277" s="4">
        <v>1839</v>
      </c>
      <c r="F277" s="4"/>
      <c r="G277" s="4"/>
      <c r="H277" s="5">
        <f t="shared" si="4"/>
        <v>-1.4884535405494085E-2</v>
      </c>
    </row>
    <row r="278" spans="1:8" ht="13.5" x14ac:dyDescent="0.25">
      <c r="A278" s="1"/>
      <c r="B278" s="3">
        <v>42705</v>
      </c>
      <c r="C278" s="4">
        <v>3.3</v>
      </c>
      <c r="D278" s="4">
        <v>0.90010000000000001</v>
      </c>
      <c r="E278" s="4">
        <v>505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3.3</v>
      </c>
      <c r="D279" s="4">
        <v>0.90010000000000001</v>
      </c>
      <c r="E279" s="4">
        <v>501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3.3</v>
      </c>
      <c r="D280" s="4">
        <v>0.90010000000000001</v>
      </c>
      <c r="E280" s="4">
        <v>2100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3.28</v>
      </c>
      <c r="D281" s="4">
        <v>0.89459999999999995</v>
      </c>
      <c r="E281" s="4">
        <v>5850</v>
      </c>
      <c r="F281" s="4"/>
      <c r="G281" s="4"/>
      <c r="H281" s="5">
        <f t="shared" si="4"/>
        <v>-6.1104321742029332E-3</v>
      </c>
    </row>
    <row r="282" spans="1:8" ht="13.5" x14ac:dyDescent="0.25">
      <c r="A282" s="1"/>
      <c r="B282" s="3">
        <v>42711</v>
      </c>
      <c r="C282" s="4">
        <v>3.28</v>
      </c>
      <c r="D282" s="4">
        <v>0.89459999999999995</v>
      </c>
      <c r="E282" s="4">
        <v>0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3.28</v>
      </c>
      <c r="D283" s="4">
        <v>0.89459999999999995</v>
      </c>
      <c r="E283" s="4">
        <v>2310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3.28</v>
      </c>
      <c r="D284" s="4">
        <v>0.89459999999999995</v>
      </c>
      <c r="E284" s="4">
        <v>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3.26</v>
      </c>
      <c r="D285" s="4">
        <v>0.88919999999999999</v>
      </c>
      <c r="E285" s="4">
        <v>974</v>
      </c>
      <c r="F285" s="4"/>
      <c r="G285" s="4"/>
      <c r="H285" s="5">
        <f t="shared" si="4"/>
        <v>-6.0362173038228939E-3</v>
      </c>
    </row>
    <row r="286" spans="1:8" ht="13.5" x14ac:dyDescent="0.25">
      <c r="A286" s="1"/>
      <c r="B286" s="3">
        <v>42718</v>
      </c>
      <c r="C286" s="4">
        <v>3.19</v>
      </c>
      <c r="D286" s="4">
        <v>0.87009999999999998</v>
      </c>
      <c r="E286" s="4">
        <v>170</v>
      </c>
      <c r="F286" s="4"/>
      <c r="G286" s="4"/>
      <c r="H286" s="5">
        <f t="shared" si="4"/>
        <v>-2.1479982006297804E-2</v>
      </c>
    </row>
    <row r="287" spans="1:8" ht="13.5" x14ac:dyDescent="0.25">
      <c r="A287" s="1"/>
      <c r="B287" s="3">
        <v>42719</v>
      </c>
      <c r="C287" s="4">
        <v>3.16</v>
      </c>
      <c r="D287" s="4">
        <v>0.8619</v>
      </c>
      <c r="E287" s="4">
        <v>5416</v>
      </c>
      <c r="F287" s="4"/>
      <c r="G287" s="4"/>
      <c r="H287" s="5">
        <f t="shared" si="4"/>
        <v>-9.4242041144695834E-3</v>
      </c>
    </row>
    <row r="288" spans="1:8" ht="13.5" x14ac:dyDescent="0.25">
      <c r="A288" s="1"/>
      <c r="B288" s="3">
        <v>42720</v>
      </c>
      <c r="C288" s="4">
        <v>3.21</v>
      </c>
      <c r="D288" s="4">
        <v>0.87549999999999994</v>
      </c>
      <c r="E288" s="4">
        <v>14564</v>
      </c>
      <c r="F288" s="4"/>
      <c r="G288" s="4"/>
      <c r="H288" s="5">
        <f t="shared" si="4"/>
        <v>1.5779092702169564E-2</v>
      </c>
    </row>
    <row r="289" spans="1:8" ht="13.5" x14ac:dyDescent="0.25">
      <c r="A289" s="1"/>
      <c r="B289" s="3">
        <v>42723</v>
      </c>
      <c r="C289" s="4">
        <v>3.35</v>
      </c>
      <c r="D289" s="4">
        <v>0.91369999999999996</v>
      </c>
      <c r="E289" s="4">
        <v>22220</v>
      </c>
      <c r="F289" s="4"/>
      <c r="G289" s="4"/>
      <c r="H289" s="5">
        <f t="shared" si="4"/>
        <v>4.3632210165619661E-2</v>
      </c>
    </row>
    <row r="290" spans="1:8" ht="13.5" x14ac:dyDescent="0.25">
      <c r="A290" s="1"/>
      <c r="B290" s="3">
        <v>42724</v>
      </c>
      <c r="C290" s="4">
        <v>3.35</v>
      </c>
      <c r="D290" s="4">
        <v>0.91369999999999996</v>
      </c>
      <c r="E290" s="4">
        <v>13641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3.45</v>
      </c>
      <c r="D291" s="4">
        <v>0.94099999999999995</v>
      </c>
      <c r="E291" s="4">
        <v>1181</v>
      </c>
      <c r="F291" s="4"/>
      <c r="G291" s="4"/>
      <c r="H291" s="5">
        <f t="shared" si="4"/>
        <v>2.9878515924263972E-2</v>
      </c>
    </row>
    <row r="292" spans="1:8" ht="13.5" x14ac:dyDescent="0.25">
      <c r="A292" s="1"/>
      <c r="B292" s="3">
        <v>42726</v>
      </c>
      <c r="C292" s="4">
        <v>3.4</v>
      </c>
      <c r="D292" s="4">
        <v>0.92730000000000001</v>
      </c>
      <c r="E292" s="4">
        <v>2643</v>
      </c>
      <c r="F292" s="4"/>
      <c r="G292" s="4"/>
      <c r="H292" s="5">
        <f t="shared" si="4"/>
        <v>-1.4558979808714066E-2</v>
      </c>
    </row>
    <row r="293" spans="1:8" ht="13.5" x14ac:dyDescent="0.25">
      <c r="A293" s="1"/>
      <c r="B293" s="3">
        <v>42727</v>
      </c>
      <c r="C293" s="4">
        <v>3.35</v>
      </c>
      <c r="D293" s="4">
        <v>0.91369999999999996</v>
      </c>
      <c r="E293" s="4">
        <v>1708</v>
      </c>
      <c r="F293" s="4"/>
      <c r="G293" s="4"/>
      <c r="H293" s="5">
        <f t="shared" si="4"/>
        <v>-1.4666235306804762E-2</v>
      </c>
    </row>
    <row r="294" spans="1:8" ht="13.5" x14ac:dyDescent="0.25">
      <c r="A294" s="1"/>
      <c r="B294" s="3">
        <v>42730</v>
      </c>
      <c r="C294" s="4">
        <v>3.35</v>
      </c>
      <c r="D294" s="4">
        <v>0.91369999999999996</v>
      </c>
      <c r="E294" s="4">
        <v>100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3.25</v>
      </c>
      <c r="D295" s="4">
        <v>0.88639999999999997</v>
      </c>
      <c r="E295" s="4">
        <v>1356</v>
      </c>
      <c r="F295" s="4"/>
      <c r="G295" s="4"/>
      <c r="H295" s="5">
        <f t="shared" si="4"/>
        <v>-2.9878515924263972E-2</v>
      </c>
    </row>
    <row r="296" spans="1:8" ht="13.5" x14ac:dyDescent="0.25">
      <c r="A296" s="1"/>
      <c r="B296" s="3">
        <v>42732</v>
      </c>
      <c r="C296" s="4">
        <v>3.25</v>
      </c>
      <c r="D296" s="4">
        <v>0.88639999999999997</v>
      </c>
      <c r="E296" s="4">
        <v>1331</v>
      </c>
      <c r="F296" s="4"/>
      <c r="G296" s="4"/>
      <c r="H296" s="5">
        <f t="shared" si="4"/>
        <v>0</v>
      </c>
    </row>
    <row r="297" spans="1:8" ht="13.5" x14ac:dyDescent="0.25">
      <c r="A297" s="1"/>
      <c r="B297" s="3">
        <v>42733</v>
      </c>
      <c r="C297" s="4">
        <v>3.24</v>
      </c>
      <c r="D297" s="4">
        <v>0.88370000000000004</v>
      </c>
      <c r="E297" s="4">
        <v>3980</v>
      </c>
      <c r="F297" s="4"/>
      <c r="G297" s="4"/>
      <c r="H297" s="5">
        <f t="shared" si="4"/>
        <v>-3.0460288808663413E-3</v>
      </c>
    </row>
    <row r="298" spans="1:8" ht="13.5" x14ac:dyDescent="0.25">
      <c r="A298" s="1"/>
      <c r="B298" s="3">
        <v>42734</v>
      </c>
      <c r="C298" s="4">
        <v>3.35</v>
      </c>
      <c r="D298" s="4">
        <v>0.91369999999999996</v>
      </c>
      <c r="E298" s="4">
        <v>13165</v>
      </c>
      <c r="F298" s="4"/>
      <c r="G298" s="4"/>
      <c r="H298" s="5">
        <f t="shared" si="4"/>
        <v>3.3948172456715983E-2</v>
      </c>
    </row>
    <row r="299" spans="1:8" ht="13.5" x14ac:dyDescent="0.25">
      <c r="A299" s="1"/>
      <c r="B299" s="3">
        <v>42737</v>
      </c>
      <c r="C299" s="4">
        <v>3.39</v>
      </c>
      <c r="D299" s="4">
        <v>0.92459999999999998</v>
      </c>
      <c r="E299" s="4">
        <v>201</v>
      </c>
      <c r="F299" s="4"/>
      <c r="G299" s="4"/>
      <c r="H299" s="5">
        <f t="shared" si="4"/>
        <v>1.1929517347050477E-2</v>
      </c>
    </row>
    <row r="300" spans="1:8" ht="13.5" x14ac:dyDescent="0.25">
      <c r="A300" s="1"/>
      <c r="B300" s="3">
        <v>42738</v>
      </c>
      <c r="C300" s="4">
        <v>3.39</v>
      </c>
      <c r="D300" s="4">
        <v>0.92459999999999998</v>
      </c>
      <c r="E300" s="4">
        <v>45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3.3</v>
      </c>
      <c r="D301" s="4">
        <v>0.90010000000000001</v>
      </c>
      <c r="E301" s="4">
        <v>3044</v>
      </c>
      <c r="F301" s="4"/>
      <c r="G301" s="4"/>
      <c r="H301" s="5">
        <f t="shared" si="4"/>
        <v>-2.6497945057322048E-2</v>
      </c>
    </row>
    <row r="302" spans="1:8" ht="13.5" x14ac:dyDescent="0.25">
      <c r="A302" s="1"/>
      <c r="B302" s="3">
        <v>42740</v>
      </c>
      <c r="C302" s="4">
        <v>3.3</v>
      </c>
      <c r="D302" s="4">
        <v>0.90010000000000001</v>
      </c>
      <c r="E302" s="4">
        <v>3660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3.26</v>
      </c>
      <c r="D303" s="4">
        <v>0.88919999999999999</v>
      </c>
      <c r="E303" s="4">
        <v>3330</v>
      </c>
      <c r="F303" s="4"/>
      <c r="G303" s="4"/>
      <c r="H303" s="5">
        <f t="shared" si="4"/>
        <v>-1.2109765581602067E-2</v>
      </c>
    </row>
    <row r="304" spans="1:8" ht="13.5" x14ac:dyDescent="0.25">
      <c r="A304" s="1"/>
      <c r="B304" s="3">
        <v>42744</v>
      </c>
      <c r="C304" s="4">
        <v>3.4</v>
      </c>
      <c r="D304" s="4">
        <v>0.92730000000000001</v>
      </c>
      <c r="E304" s="4">
        <v>124456</v>
      </c>
      <c r="F304" s="4"/>
      <c r="G304" s="4"/>
      <c r="H304" s="5">
        <f t="shared" si="4"/>
        <v>4.2847503373819186E-2</v>
      </c>
    </row>
    <row r="305" spans="1:8" ht="13.5" x14ac:dyDescent="0.25">
      <c r="A305" s="1"/>
      <c r="B305" s="3">
        <v>42745</v>
      </c>
      <c r="C305" s="4">
        <v>3.4</v>
      </c>
      <c r="D305" s="4">
        <v>0.92730000000000001</v>
      </c>
      <c r="E305" s="4">
        <v>14995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3.3</v>
      </c>
      <c r="D306" s="4">
        <v>0.90010000000000001</v>
      </c>
      <c r="E306" s="4">
        <v>2940</v>
      </c>
      <c r="F306" s="4"/>
      <c r="G306" s="4"/>
      <c r="H306" s="5">
        <f t="shared" si="4"/>
        <v>-2.9332470613609406E-2</v>
      </c>
    </row>
    <row r="307" spans="1:8" ht="13.5" x14ac:dyDescent="0.25">
      <c r="A307" s="1"/>
      <c r="B307" s="3">
        <v>42747</v>
      </c>
      <c r="C307" s="4">
        <v>3.33</v>
      </c>
      <c r="D307" s="4">
        <v>0.90820000000000001</v>
      </c>
      <c r="E307" s="4">
        <v>21029</v>
      </c>
      <c r="F307" s="4"/>
      <c r="G307" s="4"/>
      <c r="H307" s="5">
        <f t="shared" si="4"/>
        <v>8.9990001110987622E-3</v>
      </c>
    </row>
    <row r="308" spans="1:8" ht="13.5" x14ac:dyDescent="0.25">
      <c r="A308" s="1"/>
      <c r="B308" s="3">
        <v>42748</v>
      </c>
      <c r="C308" s="4">
        <v>3.3</v>
      </c>
      <c r="D308" s="4">
        <v>0.90010000000000001</v>
      </c>
      <c r="E308" s="4">
        <v>6796</v>
      </c>
      <c r="F308" s="4"/>
      <c r="G308" s="4"/>
      <c r="H308" s="5">
        <f t="shared" si="4"/>
        <v>-8.9187403655582431E-3</v>
      </c>
    </row>
    <row r="309" spans="1:8" ht="13.5" x14ac:dyDescent="0.25">
      <c r="A309" s="1"/>
      <c r="B309" s="3">
        <v>42751</v>
      </c>
      <c r="C309" s="4">
        <v>3.3</v>
      </c>
      <c r="D309" s="4">
        <v>0.90010000000000001</v>
      </c>
      <c r="E309" s="4">
        <v>7762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3.3</v>
      </c>
      <c r="D310" s="4">
        <v>0.90010000000000001</v>
      </c>
      <c r="E310" s="4">
        <v>10370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3.3</v>
      </c>
      <c r="D311" s="4">
        <v>0.90010000000000001</v>
      </c>
      <c r="E311" s="4">
        <v>9860</v>
      </c>
      <c r="F311" s="4"/>
      <c r="G311" s="4"/>
      <c r="H311" s="5">
        <f t="shared" si="4"/>
        <v>0</v>
      </c>
    </row>
    <row r="312" spans="1:8" ht="13.5" x14ac:dyDescent="0.25">
      <c r="A312" s="1"/>
      <c r="B312" s="3">
        <v>42754</v>
      </c>
      <c r="C312" s="4">
        <v>3.38</v>
      </c>
      <c r="D312" s="4">
        <v>0.92190000000000005</v>
      </c>
      <c r="E312" s="4">
        <v>10822</v>
      </c>
      <c r="F312" s="4"/>
      <c r="G312" s="4"/>
      <c r="H312" s="5">
        <f t="shared" si="4"/>
        <v>2.4219531163204133E-2</v>
      </c>
    </row>
    <row r="313" spans="1:8" ht="13.5" x14ac:dyDescent="0.25">
      <c r="A313" s="1"/>
      <c r="B313" s="3">
        <v>42755</v>
      </c>
      <c r="C313" s="4">
        <v>3.4</v>
      </c>
      <c r="D313" s="4">
        <v>0.92730000000000001</v>
      </c>
      <c r="E313" s="4">
        <v>32565</v>
      </c>
      <c r="F313" s="4"/>
      <c r="G313" s="4"/>
      <c r="H313" s="5">
        <f t="shared" si="4"/>
        <v>5.8574682720468167E-3</v>
      </c>
    </row>
    <row r="314" spans="1:8" ht="13.5" x14ac:dyDescent="0.25">
      <c r="A314" s="1"/>
      <c r="B314" s="3">
        <v>42758</v>
      </c>
      <c r="C314" s="4">
        <v>3.35</v>
      </c>
      <c r="D314" s="4">
        <v>0.91369999999999996</v>
      </c>
      <c r="E314" s="4">
        <v>6739</v>
      </c>
      <c r="F314" s="4"/>
      <c r="G314" s="4"/>
      <c r="H314" s="5">
        <f t="shared" si="4"/>
        <v>-1.4666235306804762E-2</v>
      </c>
    </row>
    <row r="315" spans="1:8" ht="13.5" x14ac:dyDescent="0.25">
      <c r="A315" s="1"/>
      <c r="B315" s="3">
        <v>42759</v>
      </c>
      <c r="C315" s="4">
        <v>3.3</v>
      </c>
      <c r="D315" s="4">
        <v>0.90010000000000001</v>
      </c>
      <c r="E315" s="4">
        <v>4924</v>
      </c>
      <c r="F315" s="4"/>
      <c r="G315" s="4"/>
      <c r="H315" s="5">
        <f t="shared" si="4"/>
        <v>-1.4884535405494085E-2</v>
      </c>
    </row>
    <row r="316" spans="1:8" ht="13.5" x14ac:dyDescent="0.25">
      <c r="A316" s="1"/>
      <c r="B316" s="3">
        <v>42760</v>
      </c>
      <c r="C316" s="4">
        <v>3.3</v>
      </c>
      <c r="D316" s="4">
        <v>0.90010000000000001</v>
      </c>
      <c r="E316" s="4">
        <v>3325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3.28</v>
      </c>
      <c r="D317" s="4">
        <v>0.89459999999999995</v>
      </c>
      <c r="E317" s="4">
        <v>5000</v>
      </c>
      <c r="F317" s="4"/>
      <c r="G317" s="4"/>
      <c r="H317" s="5">
        <f t="shared" si="4"/>
        <v>-6.1104321742029332E-3</v>
      </c>
    </row>
    <row r="318" spans="1:8" ht="13.5" x14ac:dyDescent="0.25">
      <c r="A318" s="1"/>
      <c r="B318" s="3">
        <v>42762</v>
      </c>
      <c r="C318" s="4">
        <v>3.2</v>
      </c>
      <c r="D318" s="4">
        <v>0.87280000000000002</v>
      </c>
      <c r="E318" s="4">
        <v>4301</v>
      </c>
      <c r="F318" s="4"/>
      <c r="G318" s="4"/>
      <c r="H318" s="5">
        <f t="shared" si="4"/>
        <v>-2.4368432819136969E-2</v>
      </c>
    </row>
    <row r="319" spans="1:8" ht="13.5" x14ac:dyDescent="0.25">
      <c r="A319" s="1"/>
      <c r="B319" s="3">
        <v>42765</v>
      </c>
      <c r="C319" s="4">
        <v>3.2</v>
      </c>
      <c r="D319" s="4">
        <v>0.87280000000000002</v>
      </c>
      <c r="E319" s="4">
        <v>2800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3.16</v>
      </c>
      <c r="D320" s="4">
        <v>0.8619</v>
      </c>
      <c r="E320" s="4">
        <v>1189</v>
      </c>
      <c r="F320" s="4"/>
      <c r="G320" s="4"/>
      <c r="H320" s="5">
        <f t="shared" si="4"/>
        <v>-1.2488542621448237E-2</v>
      </c>
    </row>
    <row r="321" spans="1:8" ht="13.5" x14ac:dyDescent="0.25">
      <c r="A321" s="1"/>
      <c r="B321" s="3">
        <v>42767</v>
      </c>
      <c r="C321" s="4">
        <v>3.25</v>
      </c>
      <c r="D321" s="4">
        <v>0.88639999999999997</v>
      </c>
      <c r="E321" s="4">
        <v>3221</v>
      </c>
      <c r="F321" s="4"/>
      <c r="G321" s="4"/>
      <c r="H321" s="5">
        <f t="shared" si="4"/>
        <v>2.8425571411996711E-2</v>
      </c>
    </row>
    <row r="322" spans="1:8" ht="13.5" x14ac:dyDescent="0.25">
      <c r="A322" s="1"/>
      <c r="B322" s="3">
        <v>42768</v>
      </c>
      <c r="C322" s="4">
        <v>3.34</v>
      </c>
      <c r="D322" s="4">
        <v>0.91100000000000003</v>
      </c>
      <c r="E322" s="4">
        <v>1</v>
      </c>
      <c r="F322" s="4"/>
      <c r="G322" s="4"/>
      <c r="H322" s="5">
        <f t="shared" si="4"/>
        <v>2.7752707581227512E-2</v>
      </c>
    </row>
    <row r="323" spans="1:8" ht="13.5" x14ac:dyDescent="0.25">
      <c r="A323" s="1"/>
      <c r="B323" s="3">
        <v>42769</v>
      </c>
      <c r="C323" s="4">
        <v>3.24</v>
      </c>
      <c r="D323" s="4">
        <v>0.88370000000000004</v>
      </c>
      <c r="E323" s="4">
        <v>1375</v>
      </c>
      <c r="F323" s="4"/>
      <c r="G323" s="4"/>
      <c r="H323" s="5">
        <f t="shared" si="4"/>
        <v>-2.9967069154774963E-2</v>
      </c>
    </row>
    <row r="324" spans="1:8" ht="13.5" x14ac:dyDescent="0.25">
      <c r="A324" s="1"/>
      <c r="B324" s="3">
        <v>42772</v>
      </c>
      <c r="C324" s="4">
        <v>3.25</v>
      </c>
      <c r="D324" s="4">
        <v>0.88639999999999997</v>
      </c>
      <c r="E324" s="4">
        <v>1285</v>
      </c>
      <c r="F324" s="4"/>
      <c r="G324" s="4"/>
      <c r="H324" s="5">
        <f t="shared" si="4"/>
        <v>3.0553355211043617E-3</v>
      </c>
    </row>
    <row r="325" spans="1:8" ht="13.5" x14ac:dyDescent="0.25">
      <c r="A325" s="1"/>
      <c r="B325" s="3">
        <v>42773</v>
      </c>
      <c r="C325" s="4">
        <v>3.21</v>
      </c>
      <c r="D325" s="4">
        <v>0.87549999999999994</v>
      </c>
      <c r="E325" s="4">
        <v>1407</v>
      </c>
      <c r="F325" s="4"/>
      <c r="G325" s="4"/>
      <c r="H325" s="5">
        <f t="shared" si="4"/>
        <v>-1.2296931407942262E-2</v>
      </c>
    </row>
    <row r="326" spans="1:8" ht="13.5" x14ac:dyDescent="0.25">
      <c r="A326" s="1"/>
      <c r="B326" s="3">
        <v>42774</v>
      </c>
      <c r="C326" s="4">
        <v>3.21</v>
      </c>
      <c r="D326" s="4">
        <v>0.87549999999999994</v>
      </c>
      <c r="E326" s="4">
        <v>258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3.18</v>
      </c>
      <c r="D327" s="4">
        <v>0.86729999999999996</v>
      </c>
      <c r="E327" s="4">
        <v>3500</v>
      </c>
      <c r="F327" s="4"/>
      <c r="G327" s="4"/>
      <c r="H327" s="5">
        <f t="shared" ref="H327:H390" si="5">(D327-D326)/D326</f>
        <v>-9.3660765276984415E-3</v>
      </c>
    </row>
    <row r="328" spans="1:8" ht="13.5" x14ac:dyDescent="0.25">
      <c r="A328" s="1"/>
      <c r="B328" s="3">
        <v>42776</v>
      </c>
      <c r="C328" s="4">
        <v>3.19</v>
      </c>
      <c r="D328" s="4">
        <v>0.87009999999999998</v>
      </c>
      <c r="E328" s="4">
        <v>8671</v>
      </c>
      <c r="F328" s="4"/>
      <c r="G328" s="4"/>
      <c r="H328" s="5">
        <f t="shared" si="5"/>
        <v>3.2284100080710535E-3</v>
      </c>
    </row>
    <row r="329" spans="1:8" ht="13.5" x14ac:dyDescent="0.25">
      <c r="A329" s="1"/>
      <c r="B329" s="3">
        <v>42779</v>
      </c>
      <c r="C329" s="4">
        <v>3.2</v>
      </c>
      <c r="D329" s="4">
        <v>0.87280000000000002</v>
      </c>
      <c r="E329" s="4">
        <v>600</v>
      </c>
      <c r="F329" s="4"/>
      <c r="G329" s="4"/>
      <c r="H329" s="5">
        <f t="shared" si="5"/>
        <v>3.103091598666861E-3</v>
      </c>
    </row>
    <row r="330" spans="1:8" ht="13.5" x14ac:dyDescent="0.25">
      <c r="A330" s="1"/>
      <c r="B330" s="3">
        <v>42780</v>
      </c>
      <c r="C330" s="4">
        <v>3.14</v>
      </c>
      <c r="D330" s="4">
        <v>0.85640000000000005</v>
      </c>
      <c r="E330" s="4">
        <v>1883</v>
      </c>
      <c r="F330" s="4"/>
      <c r="G330" s="4"/>
      <c r="H330" s="5">
        <f t="shared" si="5"/>
        <v>-1.8790100824931221E-2</v>
      </c>
    </row>
    <row r="331" spans="1:8" ht="13.5" x14ac:dyDescent="0.25">
      <c r="A331" s="1"/>
      <c r="B331" s="3">
        <v>42781</v>
      </c>
      <c r="C331" s="4">
        <v>3.11</v>
      </c>
      <c r="D331" s="4">
        <v>0.84819999999999995</v>
      </c>
      <c r="E331" s="4">
        <v>7519</v>
      </c>
      <c r="F331" s="4"/>
      <c r="G331" s="4"/>
      <c r="H331" s="5">
        <f t="shared" si="5"/>
        <v>-9.5749649696404669E-3</v>
      </c>
    </row>
    <row r="332" spans="1:8" ht="13.5" x14ac:dyDescent="0.25">
      <c r="A332" s="1"/>
      <c r="B332" s="3">
        <v>42782</v>
      </c>
      <c r="C332" s="4">
        <v>3.05</v>
      </c>
      <c r="D332" s="4">
        <v>0.83189999999999997</v>
      </c>
      <c r="E332" s="4">
        <v>28599</v>
      </c>
      <c r="F332" s="4"/>
      <c r="G332" s="4"/>
      <c r="H332" s="5">
        <f t="shared" si="5"/>
        <v>-1.9217165762791772E-2</v>
      </c>
    </row>
    <row r="333" spans="1:8" ht="13.5" x14ac:dyDescent="0.25">
      <c r="A333" s="1"/>
      <c r="B333" s="3">
        <v>42783</v>
      </c>
      <c r="C333" s="4">
        <v>3</v>
      </c>
      <c r="D333" s="4">
        <v>0.81820000000000004</v>
      </c>
      <c r="E333" s="4">
        <v>1935</v>
      </c>
      <c r="F333" s="4"/>
      <c r="G333" s="4"/>
      <c r="H333" s="5">
        <f t="shared" si="5"/>
        <v>-1.6468325519894141E-2</v>
      </c>
    </row>
    <row r="334" spans="1:8" ht="13.5" x14ac:dyDescent="0.25">
      <c r="A334" s="1"/>
      <c r="B334" s="3">
        <v>42786</v>
      </c>
      <c r="C334" s="4">
        <v>3.05</v>
      </c>
      <c r="D334" s="4">
        <v>0.83189999999999997</v>
      </c>
      <c r="E334" s="4">
        <v>38790</v>
      </c>
      <c r="F334" s="4"/>
      <c r="G334" s="4"/>
      <c r="H334" s="5">
        <f t="shared" si="5"/>
        <v>1.674407235394761E-2</v>
      </c>
    </row>
    <row r="335" spans="1:8" ht="13.5" x14ac:dyDescent="0.25">
      <c r="A335" s="1"/>
      <c r="B335" s="3">
        <v>42787</v>
      </c>
      <c r="C335" s="4">
        <v>3.18</v>
      </c>
      <c r="D335" s="4">
        <v>0.86729999999999996</v>
      </c>
      <c r="E335" s="4">
        <v>68746</v>
      </c>
      <c r="F335" s="4"/>
      <c r="G335" s="4"/>
      <c r="H335" s="5">
        <f t="shared" si="5"/>
        <v>4.2553191489361687E-2</v>
      </c>
    </row>
    <row r="336" spans="1:8" ht="13.5" x14ac:dyDescent="0.25">
      <c r="A336" s="1"/>
      <c r="B336" s="3">
        <v>42788</v>
      </c>
      <c r="C336" s="4">
        <v>3.27</v>
      </c>
      <c r="D336" s="4">
        <v>0.89190000000000003</v>
      </c>
      <c r="E336" s="4">
        <v>3352</v>
      </c>
      <c r="F336" s="4"/>
      <c r="G336" s="4"/>
      <c r="H336" s="5">
        <f t="shared" si="5"/>
        <v>2.8363887928052656E-2</v>
      </c>
    </row>
    <row r="337" spans="1:8" ht="13.5" x14ac:dyDescent="0.25">
      <c r="A337" s="1"/>
      <c r="B337" s="3">
        <v>42789</v>
      </c>
      <c r="C337" s="4">
        <v>3.27</v>
      </c>
      <c r="D337" s="4">
        <v>0.89190000000000003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3.18</v>
      </c>
      <c r="D338" s="4">
        <v>0.86729999999999996</v>
      </c>
      <c r="E338" s="4">
        <v>640</v>
      </c>
      <c r="F338" s="4"/>
      <c r="G338" s="4"/>
      <c r="H338" s="5">
        <f t="shared" si="5"/>
        <v>-2.7581567440296072E-2</v>
      </c>
    </row>
    <row r="339" spans="1:8" ht="13.5" x14ac:dyDescent="0.25">
      <c r="A339" s="1"/>
      <c r="B339" s="3">
        <v>42793</v>
      </c>
      <c r="C339" s="4">
        <v>3.19</v>
      </c>
      <c r="D339" s="4">
        <v>0.87009999999999998</v>
      </c>
      <c r="E339" s="4">
        <v>14413</v>
      </c>
      <c r="F339" s="4"/>
      <c r="G339" s="4"/>
      <c r="H339" s="5">
        <f t="shared" si="5"/>
        <v>3.2284100080710535E-3</v>
      </c>
    </row>
    <row r="340" spans="1:8" ht="13.5" x14ac:dyDescent="0.25">
      <c r="A340" s="1"/>
      <c r="B340" s="3">
        <v>42794</v>
      </c>
      <c r="C340" s="4">
        <v>3.23</v>
      </c>
      <c r="D340" s="4">
        <v>0.88100000000000001</v>
      </c>
      <c r="E340" s="4">
        <v>3584</v>
      </c>
      <c r="F340" s="4"/>
      <c r="G340" s="4"/>
      <c r="H340" s="5">
        <f t="shared" si="5"/>
        <v>1.2527295713136445E-2</v>
      </c>
    </row>
    <row r="341" spans="1:8" ht="13.5" x14ac:dyDescent="0.25">
      <c r="A341" s="1"/>
      <c r="B341" s="3">
        <v>42795</v>
      </c>
      <c r="C341" s="4">
        <v>3.16</v>
      </c>
      <c r="D341" s="4">
        <v>0.8619</v>
      </c>
      <c r="E341" s="4">
        <v>2990</v>
      </c>
      <c r="F341" s="4"/>
      <c r="G341" s="4"/>
      <c r="H341" s="5">
        <f t="shared" si="5"/>
        <v>-2.1679909194097624E-2</v>
      </c>
    </row>
    <row r="342" spans="1:8" ht="13.5" x14ac:dyDescent="0.25">
      <c r="A342" s="1"/>
      <c r="B342" s="3">
        <v>42796</v>
      </c>
      <c r="C342" s="4">
        <v>3.15</v>
      </c>
      <c r="D342" s="4">
        <v>0.85919999999999996</v>
      </c>
      <c r="E342" s="4">
        <v>35961</v>
      </c>
      <c r="F342" s="4"/>
      <c r="G342" s="4"/>
      <c r="H342" s="5">
        <f t="shared" si="5"/>
        <v>-3.1326139923425404E-3</v>
      </c>
    </row>
    <row r="343" spans="1:8" ht="13.5" x14ac:dyDescent="0.25">
      <c r="A343" s="1"/>
      <c r="B343" s="3">
        <v>42797</v>
      </c>
      <c r="C343" s="4">
        <v>3.17</v>
      </c>
      <c r="D343" s="4">
        <v>0.86460000000000004</v>
      </c>
      <c r="E343" s="4">
        <v>16554</v>
      </c>
      <c r="F343" s="4"/>
      <c r="G343" s="4"/>
      <c r="H343" s="5">
        <f t="shared" si="5"/>
        <v>6.284916201117402E-3</v>
      </c>
    </row>
    <row r="344" spans="1:8" ht="13.5" x14ac:dyDescent="0.25">
      <c r="A344" s="1"/>
      <c r="B344" s="3">
        <v>42800</v>
      </c>
      <c r="C344" s="4">
        <v>3.14</v>
      </c>
      <c r="D344" s="4">
        <v>0.85640000000000005</v>
      </c>
      <c r="E344" s="4">
        <v>7801</v>
      </c>
      <c r="F344" s="4"/>
      <c r="G344" s="4"/>
      <c r="H344" s="5">
        <f t="shared" si="5"/>
        <v>-9.4841545223224438E-3</v>
      </c>
    </row>
    <row r="345" spans="1:8" ht="13.5" x14ac:dyDescent="0.25">
      <c r="A345" s="1"/>
      <c r="B345" s="3">
        <v>42801</v>
      </c>
      <c r="C345" s="4">
        <v>3.2</v>
      </c>
      <c r="D345" s="4">
        <v>0.87280000000000002</v>
      </c>
      <c r="E345" s="4">
        <v>6600</v>
      </c>
      <c r="F345" s="4"/>
      <c r="G345" s="4"/>
      <c r="H345" s="5">
        <f t="shared" si="5"/>
        <v>1.9149929939280674E-2</v>
      </c>
    </row>
    <row r="346" spans="1:8" ht="13.5" x14ac:dyDescent="0.25">
      <c r="A346" s="1"/>
      <c r="B346" s="3">
        <v>42802</v>
      </c>
      <c r="C346" s="4">
        <v>3.11</v>
      </c>
      <c r="D346" s="4">
        <v>0.84819999999999995</v>
      </c>
      <c r="E346" s="4">
        <v>8697</v>
      </c>
      <c r="F346" s="4"/>
      <c r="G346" s="4"/>
      <c r="H346" s="5">
        <f t="shared" si="5"/>
        <v>-2.8185151237396958E-2</v>
      </c>
    </row>
    <row r="347" spans="1:8" ht="13.5" x14ac:dyDescent="0.25">
      <c r="A347" s="1"/>
      <c r="B347" s="3">
        <v>42803</v>
      </c>
      <c r="C347" s="4">
        <v>3.09</v>
      </c>
      <c r="D347" s="4">
        <v>0.84279999999999999</v>
      </c>
      <c r="E347" s="4">
        <v>5829</v>
      </c>
      <c r="F347" s="4"/>
      <c r="G347" s="4"/>
      <c r="H347" s="5">
        <f t="shared" si="5"/>
        <v>-6.3664230134401799E-3</v>
      </c>
    </row>
    <row r="348" spans="1:8" ht="13.5" x14ac:dyDescent="0.25">
      <c r="A348" s="1"/>
      <c r="B348" s="3">
        <v>42804</v>
      </c>
      <c r="C348" s="4">
        <v>3.02</v>
      </c>
      <c r="D348" s="4">
        <v>0.82369999999999999</v>
      </c>
      <c r="E348" s="4">
        <v>3000</v>
      </c>
      <c r="F348" s="4"/>
      <c r="G348" s="4"/>
      <c r="H348" s="5">
        <f t="shared" si="5"/>
        <v>-2.266255339345041E-2</v>
      </c>
    </row>
    <row r="349" spans="1:8" ht="13.5" x14ac:dyDescent="0.25">
      <c r="A349" s="1"/>
      <c r="B349" s="3">
        <v>42807</v>
      </c>
      <c r="C349" s="4">
        <v>3.15</v>
      </c>
      <c r="D349" s="4">
        <v>0.85919999999999996</v>
      </c>
      <c r="E349" s="4">
        <v>34288</v>
      </c>
      <c r="F349" s="4"/>
      <c r="G349" s="4"/>
      <c r="H349" s="5">
        <f t="shared" si="5"/>
        <v>4.3098215369673398E-2</v>
      </c>
    </row>
    <row r="350" spans="1:8" ht="13.5" x14ac:dyDescent="0.25">
      <c r="A350" s="1"/>
      <c r="B350" s="3">
        <v>42808</v>
      </c>
      <c r="C350" s="4">
        <v>3.19</v>
      </c>
      <c r="D350" s="4">
        <v>0.87009999999999998</v>
      </c>
      <c r="E350" s="4">
        <v>22</v>
      </c>
      <c r="F350" s="4"/>
      <c r="G350" s="4"/>
      <c r="H350" s="5">
        <f t="shared" si="5"/>
        <v>1.268621973929239E-2</v>
      </c>
    </row>
    <row r="351" spans="1:8" ht="13.5" x14ac:dyDescent="0.25">
      <c r="A351" s="1"/>
      <c r="B351" s="3">
        <v>42809</v>
      </c>
      <c r="C351" s="4">
        <v>3.38</v>
      </c>
      <c r="D351" s="4">
        <v>0.92190000000000005</v>
      </c>
      <c r="E351" s="4">
        <v>58927</v>
      </c>
      <c r="F351" s="4"/>
      <c r="G351" s="4"/>
      <c r="H351" s="5">
        <f t="shared" si="5"/>
        <v>5.9533386967015364E-2</v>
      </c>
    </row>
    <row r="352" spans="1:8" ht="13.5" x14ac:dyDescent="0.25">
      <c r="A352" s="1"/>
      <c r="B352" s="3">
        <v>42810</v>
      </c>
      <c r="C352" s="4">
        <v>3.5</v>
      </c>
      <c r="D352" s="4">
        <v>0.9546</v>
      </c>
      <c r="E352" s="4">
        <v>75127</v>
      </c>
      <c r="F352" s="4"/>
      <c r="G352" s="4"/>
      <c r="H352" s="5">
        <f t="shared" si="5"/>
        <v>3.5470224536283707E-2</v>
      </c>
    </row>
    <row r="353" spans="1:8" ht="13.5" x14ac:dyDescent="0.25">
      <c r="A353" s="1"/>
      <c r="B353" s="3">
        <v>42811</v>
      </c>
      <c r="C353" s="4">
        <v>3.42</v>
      </c>
      <c r="D353" s="4">
        <v>0.93279999999999996</v>
      </c>
      <c r="E353" s="4">
        <v>6099</v>
      </c>
      <c r="F353" s="4"/>
      <c r="G353" s="4"/>
      <c r="H353" s="5">
        <f t="shared" si="5"/>
        <v>-2.2836790278650786E-2</v>
      </c>
    </row>
    <row r="354" spans="1:8" ht="13.5" x14ac:dyDescent="0.25">
      <c r="A354" s="1"/>
      <c r="B354" s="3">
        <v>42815</v>
      </c>
      <c r="C354" s="4">
        <v>3.4</v>
      </c>
      <c r="D354" s="4">
        <v>0.92730000000000001</v>
      </c>
      <c r="E354" s="4">
        <v>27791</v>
      </c>
      <c r="F354" s="4"/>
      <c r="G354" s="4"/>
      <c r="H354" s="5">
        <f t="shared" si="5"/>
        <v>-5.8962264150942854E-3</v>
      </c>
    </row>
    <row r="355" spans="1:8" ht="13.5" x14ac:dyDescent="0.25">
      <c r="A355" s="1"/>
      <c r="B355" s="3">
        <v>42816</v>
      </c>
      <c r="C355" s="4">
        <v>3.28</v>
      </c>
      <c r="D355" s="4">
        <v>0.89459999999999995</v>
      </c>
      <c r="E355" s="4">
        <v>49527</v>
      </c>
      <c r="F355" s="4"/>
      <c r="G355" s="4"/>
      <c r="H355" s="5">
        <f t="shared" si="5"/>
        <v>-3.5263668715626077E-2</v>
      </c>
    </row>
    <row r="356" spans="1:8" ht="13.5" x14ac:dyDescent="0.25">
      <c r="A356" s="1"/>
      <c r="B356" s="3">
        <v>42817</v>
      </c>
      <c r="C356" s="4">
        <v>3.3</v>
      </c>
      <c r="D356" s="4">
        <v>0.90010000000000001</v>
      </c>
      <c r="E356" s="4">
        <v>6266</v>
      </c>
      <c r="F356" s="4"/>
      <c r="G356" s="4"/>
      <c r="H356" s="5">
        <f t="shared" si="5"/>
        <v>6.1479991057456522E-3</v>
      </c>
    </row>
    <row r="357" spans="1:8" ht="13.5" x14ac:dyDescent="0.25">
      <c r="A357" s="1"/>
      <c r="B357" s="3">
        <v>42818</v>
      </c>
      <c r="C357" s="4">
        <v>3.29</v>
      </c>
      <c r="D357" s="4">
        <v>0.89729999999999999</v>
      </c>
      <c r="E357" s="4">
        <v>5780</v>
      </c>
      <c r="F357" s="4"/>
      <c r="G357" s="4"/>
      <c r="H357" s="5">
        <f t="shared" si="5"/>
        <v>-3.1107654705033049E-3</v>
      </c>
    </row>
    <row r="358" spans="1:8" ht="13.5" x14ac:dyDescent="0.25">
      <c r="A358" s="1"/>
      <c r="B358" s="3">
        <v>42821</v>
      </c>
      <c r="C358" s="4">
        <v>3.24</v>
      </c>
      <c r="D358" s="4">
        <v>0.88370000000000004</v>
      </c>
      <c r="E358" s="4">
        <v>1195</v>
      </c>
      <c r="F358" s="4"/>
      <c r="G358" s="4"/>
      <c r="H358" s="5">
        <f t="shared" si="5"/>
        <v>-1.5156580853672066E-2</v>
      </c>
    </row>
    <row r="359" spans="1:8" ht="13.5" x14ac:dyDescent="0.25">
      <c r="A359" s="1"/>
      <c r="B359" s="3">
        <v>42822</v>
      </c>
      <c r="C359" s="4">
        <v>3.2</v>
      </c>
      <c r="D359" s="4">
        <v>0.87280000000000002</v>
      </c>
      <c r="E359" s="4">
        <v>22436</v>
      </c>
      <c r="F359" s="4"/>
      <c r="G359" s="4"/>
      <c r="H359" s="5">
        <f t="shared" si="5"/>
        <v>-1.2334502659273532E-2</v>
      </c>
    </row>
    <row r="360" spans="1:8" ht="13.5" x14ac:dyDescent="0.25">
      <c r="A360" s="1"/>
      <c r="B360" s="3">
        <v>42823</v>
      </c>
      <c r="C360" s="4">
        <v>3.25</v>
      </c>
      <c r="D360" s="4">
        <v>0.88639999999999997</v>
      </c>
      <c r="E360" s="4">
        <v>1</v>
      </c>
      <c r="F360" s="4"/>
      <c r="G360" s="4"/>
      <c r="H360" s="5">
        <f t="shared" si="5"/>
        <v>1.5582034830430734E-2</v>
      </c>
    </row>
    <row r="361" spans="1:8" ht="13.5" x14ac:dyDescent="0.25">
      <c r="A361" s="1"/>
      <c r="B361" s="3">
        <v>42824</v>
      </c>
      <c r="C361" s="4">
        <v>3.25</v>
      </c>
      <c r="D361" s="4">
        <v>0.88639999999999997</v>
      </c>
      <c r="E361" s="4">
        <v>2410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3.25</v>
      </c>
      <c r="D362" s="4">
        <v>0.88639999999999997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3.29</v>
      </c>
      <c r="D363" s="4">
        <v>0.89729999999999999</v>
      </c>
      <c r="E363" s="4">
        <v>743</v>
      </c>
      <c r="F363" s="4"/>
      <c r="G363" s="4"/>
      <c r="H363" s="5">
        <f t="shared" si="5"/>
        <v>1.2296931407942262E-2</v>
      </c>
    </row>
    <row r="364" spans="1:8" ht="13.5" x14ac:dyDescent="0.25">
      <c r="A364" s="1"/>
      <c r="B364" s="3">
        <v>42829</v>
      </c>
      <c r="C364" s="4">
        <v>3.29</v>
      </c>
      <c r="D364" s="4">
        <v>0.89729999999999999</v>
      </c>
      <c r="E364" s="4">
        <v>13180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42830</v>
      </c>
      <c r="C365" s="4">
        <v>3.28</v>
      </c>
      <c r="D365" s="4">
        <v>0.89459999999999995</v>
      </c>
      <c r="E365" s="4">
        <v>9694</v>
      </c>
      <c r="F365" s="4"/>
      <c r="G365" s="4"/>
      <c r="H365" s="5">
        <f t="shared" si="5"/>
        <v>-3.0090270812437709E-3</v>
      </c>
    </row>
    <row r="366" spans="1:8" ht="13.5" x14ac:dyDescent="0.25">
      <c r="A366" s="1"/>
      <c r="B366" s="3">
        <v>42831</v>
      </c>
      <c r="C366" s="4">
        <v>3.25</v>
      </c>
      <c r="D366" s="4">
        <v>0.88639999999999997</v>
      </c>
      <c r="E366" s="4">
        <v>685</v>
      </c>
      <c r="F366" s="4"/>
      <c r="G366" s="4"/>
      <c r="H366" s="5">
        <f t="shared" si="5"/>
        <v>-9.1661077576570375E-3</v>
      </c>
    </row>
    <row r="367" spans="1:8" ht="13.5" x14ac:dyDescent="0.25">
      <c r="A367" s="1"/>
      <c r="B367" s="3">
        <v>42832</v>
      </c>
      <c r="C367" s="4">
        <v>3.16</v>
      </c>
      <c r="D367" s="4">
        <v>0.8619</v>
      </c>
      <c r="E367" s="4">
        <v>1000</v>
      </c>
      <c r="F367" s="4"/>
      <c r="G367" s="4"/>
      <c r="H367" s="5">
        <f t="shared" si="5"/>
        <v>-2.7639891696750865E-2</v>
      </c>
    </row>
    <row r="368" spans="1:8" ht="13.5" x14ac:dyDescent="0.25">
      <c r="A368" s="1"/>
      <c r="B368" s="3">
        <v>42835</v>
      </c>
      <c r="C368" s="4">
        <v>3.19</v>
      </c>
      <c r="D368" s="4">
        <v>0.87009999999999998</v>
      </c>
      <c r="E368" s="4">
        <v>753</v>
      </c>
      <c r="F368" s="4"/>
      <c r="G368" s="4"/>
      <c r="H368" s="5">
        <f t="shared" si="5"/>
        <v>9.5138647174846103E-3</v>
      </c>
    </row>
    <row r="369" spans="1:8" ht="13.5" x14ac:dyDescent="0.25">
      <c r="A369" s="1"/>
      <c r="B369" s="3">
        <v>42836</v>
      </c>
      <c r="C369" s="4">
        <v>3.2</v>
      </c>
      <c r="D369" s="4">
        <v>0.87280000000000002</v>
      </c>
      <c r="E369" s="4">
        <v>3703</v>
      </c>
      <c r="F369" s="4"/>
      <c r="G369" s="4"/>
      <c r="H369" s="5">
        <f t="shared" si="5"/>
        <v>3.103091598666861E-3</v>
      </c>
    </row>
    <row r="370" spans="1:8" ht="13.5" x14ac:dyDescent="0.25">
      <c r="A370" s="1"/>
      <c r="B370" s="3">
        <v>42837</v>
      </c>
      <c r="C370" s="4">
        <v>3.2</v>
      </c>
      <c r="D370" s="4">
        <v>0.87280000000000002</v>
      </c>
      <c r="E370" s="4">
        <v>3027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3.2</v>
      </c>
      <c r="D371" s="4">
        <v>0.87280000000000002</v>
      </c>
      <c r="E371" s="4">
        <v>3012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3.2</v>
      </c>
      <c r="D372" s="4">
        <v>0.87280000000000002</v>
      </c>
      <c r="E372" s="4">
        <v>8633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3.23</v>
      </c>
      <c r="D373" s="4">
        <v>0.88100000000000001</v>
      </c>
      <c r="E373" s="4">
        <v>28184</v>
      </c>
      <c r="F373" s="4"/>
      <c r="G373" s="4"/>
      <c r="H373" s="5">
        <f t="shared" si="5"/>
        <v>9.3950504124656106E-3</v>
      </c>
    </row>
    <row r="374" spans="1:8" ht="13.5" x14ac:dyDescent="0.25">
      <c r="A374" s="1"/>
      <c r="B374" s="3">
        <v>42843</v>
      </c>
      <c r="C374" s="4">
        <v>3.28</v>
      </c>
      <c r="D374" s="4">
        <v>0.89459999999999995</v>
      </c>
      <c r="E374" s="4">
        <v>4772</v>
      </c>
      <c r="F374" s="4"/>
      <c r="G374" s="4"/>
      <c r="H374" s="5">
        <f t="shared" si="5"/>
        <v>1.5437003405221278E-2</v>
      </c>
    </row>
    <row r="375" spans="1:8" ht="13.5" x14ac:dyDescent="0.25">
      <c r="A375" s="1"/>
      <c r="B375" s="3">
        <v>42844</v>
      </c>
      <c r="C375" s="4">
        <v>3.23</v>
      </c>
      <c r="D375" s="4">
        <v>0.88100000000000001</v>
      </c>
      <c r="E375" s="4">
        <v>11890</v>
      </c>
      <c r="F375" s="4"/>
      <c r="G375" s="4"/>
      <c r="H375" s="5">
        <f t="shared" si="5"/>
        <v>-1.5202325061479931E-2</v>
      </c>
    </row>
    <row r="376" spans="1:8" ht="13.5" x14ac:dyDescent="0.25">
      <c r="A376" s="1"/>
      <c r="B376" s="3">
        <v>42845</v>
      </c>
      <c r="C376" s="4">
        <v>3.29</v>
      </c>
      <c r="D376" s="4">
        <v>0.89729999999999999</v>
      </c>
      <c r="E376" s="4">
        <v>4617</v>
      </c>
      <c r="F376" s="4"/>
      <c r="G376" s="4"/>
      <c r="H376" s="5">
        <f t="shared" si="5"/>
        <v>1.8501702610669673E-2</v>
      </c>
    </row>
    <row r="377" spans="1:8" ht="13.5" x14ac:dyDescent="0.25">
      <c r="A377" s="1"/>
      <c r="B377" s="3">
        <v>42846</v>
      </c>
      <c r="C377" s="4">
        <v>3.2</v>
      </c>
      <c r="D377" s="4">
        <v>0.87280000000000002</v>
      </c>
      <c r="E377" s="4">
        <v>5535</v>
      </c>
      <c r="F377" s="4"/>
      <c r="G377" s="4"/>
      <c r="H377" s="5">
        <f t="shared" si="5"/>
        <v>-2.7304134626100488E-2</v>
      </c>
    </row>
    <row r="378" spans="1:8" ht="13.5" x14ac:dyDescent="0.25">
      <c r="A378" s="1"/>
      <c r="B378" s="3">
        <v>42849</v>
      </c>
      <c r="C378" s="4">
        <v>3.18</v>
      </c>
      <c r="D378" s="4">
        <v>0.86729999999999996</v>
      </c>
      <c r="E378" s="4">
        <v>18717</v>
      </c>
      <c r="F378" s="4"/>
      <c r="G378" s="4"/>
      <c r="H378" s="5">
        <f t="shared" si="5"/>
        <v>-6.3015582034831119E-3</v>
      </c>
    </row>
    <row r="379" spans="1:8" ht="13.5" x14ac:dyDescent="0.25">
      <c r="A379" s="1"/>
      <c r="B379" s="3">
        <v>42850</v>
      </c>
      <c r="C379" s="4">
        <v>3.2</v>
      </c>
      <c r="D379" s="4">
        <v>0.87280000000000002</v>
      </c>
      <c r="E379" s="4">
        <v>808</v>
      </c>
      <c r="F379" s="4"/>
      <c r="G379" s="4"/>
      <c r="H379" s="5">
        <f t="shared" si="5"/>
        <v>6.3415196587110123E-3</v>
      </c>
    </row>
    <row r="380" spans="1:8" ht="13.5" x14ac:dyDescent="0.25">
      <c r="A380" s="1"/>
      <c r="B380" s="3">
        <v>42851</v>
      </c>
      <c r="C380" s="4">
        <v>3.28</v>
      </c>
      <c r="D380" s="4">
        <v>0.89459999999999995</v>
      </c>
      <c r="E380" s="4">
        <v>7122</v>
      </c>
      <c r="F380" s="4"/>
      <c r="G380" s="4"/>
      <c r="H380" s="5">
        <f t="shared" si="5"/>
        <v>2.4977085242896345E-2</v>
      </c>
    </row>
    <row r="381" spans="1:8" ht="13.5" x14ac:dyDescent="0.25">
      <c r="A381" s="1"/>
      <c r="B381" s="3">
        <v>42852</v>
      </c>
      <c r="C381" s="4">
        <v>3.24</v>
      </c>
      <c r="D381" s="4">
        <v>0.88370000000000004</v>
      </c>
      <c r="E381" s="4">
        <v>201</v>
      </c>
      <c r="F381" s="4"/>
      <c r="G381" s="4"/>
      <c r="H381" s="5">
        <f t="shared" si="5"/>
        <v>-1.2184216409568422E-2</v>
      </c>
    </row>
    <row r="382" spans="1:8" ht="13.5" x14ac:dyDescent="0.25">
      <c r="A382" s="1"/>
      <c r="B382" s="3">
        <v>42853</v>
      </c>
      <c r="C382" s="4">
        <v>3.15</v>
      </c>
      <c r="D382" s="4">
        <v>0.85919999999999996</v>
      </c>
      <c r="E382" s="4">
        <v>22609</v>
      </c>
      <c r="F382" s="4"/>
      <c r="G382" s="4"/>
      <c r="H382" s="5">
        <f t="shared" si="5"/>
        <v>-2.7724340839651553E-2</v>
      </c>
    </row>
    <row r="383" spans="1:8" ht="13.5" x14ac:dyDescent="0.25">
      <c r="A383" s="1"/>
      <c r="B383" s="3">
        <v>42857</v>
      </c>
      <c r="C383" s="4">
        <v>3.12</v>
      </c>
      <c r="D383" s="4">
        <v>0.85099999999999998</v>
      </c>
      <c r="E383" s="4">
        <v>16935</v>
      </c>
      <c r="F383" s="4"/>
      <c r="G383" s="4"/>
      <c r="H383" s="5">
        <f t="shared" si="5"/>
        <v>-9.5437616387336888E-3</v>
      </c>
    </row>
    <row r="384" spans="1:8" ht="13.5" x14ac:dyDescent="0.25">
      <c r="A384" s="1"/>
      <c r="B384" s="3">
        <v>42858</v>
      </c>
      <c r="C384" s="4">
        <v>3.12</v>
      </c>
      <c r="D384" s="4">
        <v>0.85099999999999998</v>
      </c>
      <c r="E384" s="4">
        <v>9341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3.21</v>
      </c>
      <c r="D385" s="4">
        <v>0.87549999999999994</v>
      </c>
      <c r="E385" s="4">
        <v>3345</v>
      </c>
      <c r="F385" s="4"/>
      <c r="G385" s="4"/>
      <c r="H385" s="5">
        <f t="shared" si="5"/>
        <v>2.8789659224441794E-2</v>
      </c>
    </row>
    <row r="386" spans="1:8" ht="13.5" x14ac:dyDescent="0.25">
      <c r="A386" s="1"/>
      <c r="B386" s="3">
        <v>42860</v>
      </c>
      <c r="C386" s="4">
        <v>3.25</v>
      </c>
      <c r="D386" s="4">
        <v>0.88639999999999997</v>
      </c>
      <c r="E386" s="4">
        <v>250</v>
      </c>
      <c r="F386" s="4"/>
      <c r="G386" s="4"/>
      <c r="H386" s="5">
        <f t="shared" si="5"/>
        <v>1.2450028555111389E-2</v>
      </c>
    </row>
    <row r="387" spans="1:8" ht="13.5" x14ac:dyDescent="0.25">
      <c r="A387" s="1"/>
      <c r="B387" s="3">
        <v>42863</v>
      </c>
      <c r="C387" s="4">
        <v>3.24</v>
      </c>
      <c r="D387" s="4">
        <v>0.88370000000000004</v>
      </c>
      <c r="E387" s="4">
        <v>713</v>
      </c>
      <c r="F387" s="4"/>
      <c r="G387" s="4"/>
      <c r="H387" s="5">
        <f t="shared" si="5"/>
        <v>-3.0460288808663413E-3</v>
      </c>
    </row>
    <row r="388" spans="1:8" ht="13.5" x14ac:dyDescent="0.25">
      <c r="A388" s="1"/>
      <c r="B388" s="3">
        <v>42864</v>
      </c>
      <c r="C388" s="4">
        <v>3.25</v>
      </c>
      <c r="D388" s="4">
        <v>0.88639999999999997</v>
      </c>
      <c r="E388" s="4">
        <v>4313</v>
      </c>
      <c r="F388" s="4"/>
      <c r="G388" s="4"/>
      <c r="H388" s="5">
        <f t="shared" si="5"/>
        <v>3.0553355211043617E-3</v>
      </c>
    </row>
    <row r="389" spans="1:8" ht="13.5" x14ac:dyDescent="0.25">
      <c r="A389" s="1"/>
      <c r="B389" s="3">
        <v>42865</v>
      </c>
      <c r="C389" s="4">
        <v>3.25</v>
      </c>
      <c r="D389" s="4">
        <v>0.88639999999999997</v>
      </c>
      <c r="E389" s="4">
        <v>3803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3.25</v>
      </c>
      <c r="D390" s="4">
        <v>0.88639999999999997</v>
      </c>
      <c r="E390" s="4">
        <v>1042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3.24</v>
      </c>
      <c r="D391" s="4">
        <v>0.88370000000000004</v>
      </c>
      <c r="E391" s="4">
        <v>1967</v>
      </c>
      <c r="F391" s="4"/>
      <c r="G391" s="4"/>
      <c r="H391" s="5">
        <f t="shared" ref="H391:H454" si="6">(D391-D390)/D390</f>
        <v>-3.0460288808663413E-3</v>
      </c>
    </row>
    <row r="392" spans="1:8" ht="13.5" x14ac:dyDescent="0.25">
      <c r="A392" s="1"/>
      <c r="B392" s="3">
        <v>42870</v>
      </c>
      <c r="C392" s="4">
        <v>3.25</v>
      </c>
      <c r="D392" s="4">
        <v>0.88639999999999997</v>
      </c>
      <c r="E392" s="4">
        <v>835</v>
      </c>
      <c r="F392" s="4"/>
      <c r="G392" s="4"/>
      <c r="H392" s="5">
        <f t="shared" si="6"/>
        <v>3.0553355211043617E-3</v>
      </c>
    </row>
    <row r="393" spans="1:8" ht="13.5" x14ac:dyDescent="0.25">
      <c r="A393" s="1"/>
      <c r="B393" s="3">
        <v>42871</v>
      </c>
      <c r="C393" s="4">
        <v>3.25</v>
      </c>
      <c r="D393" s="4">
        <v>0.88639999999999997</v>
      </c>
      <c r="E393" s="4">
        <v>3901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3.2</v>
      </c>
      <c r="D394" s="4">
        <v>0.87280000000000002</v>
      </c>
      <c r="E394" s="4">
        <v>495</v>
      </c>
      <c r="F394" s="4"/>
      <c r="G394" s="4"/>
      <c r="H394" s="5">
        <f t="shared" si="6"/>
        <v>-1.5342960288808603E-2</v>
      </c>
    </row>
    <row r="395" spans="1:8" ht="13.5" x14ac:dyDescent="0.25">
      <c r="A395" s="1"/>
      <c r="B395" s="3">
        <v>42873</v>
      </c>
      <c r="C395" s="4">
        <v>3.17</v>
      </c>
      <c r="D395" s="4">
        <v>0.86460000000000004</v>
      </c>
      <c r="E395" s="4">
        <v>4420</v>
      </c>
      <c r="F395" s="4"/>
      <c r="G395" s="4"/>
      <c r="H395" s="5">
        <f t="shared" si="6"/>
        <v>-9.3950504124656106E-3</v>
      </c>
    </row>
    <row r="396" spans="1:8" ht="13.5" x14ac:dyDescent="0.25">
      <c r="A396" s="1"/>
      <c r="B396" s="3">
        <v>42874</v>
      </c>
      <c r="C396" s="4">
        <v>3.18</v>
      </c>
      <c r="D396" s="4">
        <v>0.86729999999999996</v>
      </c>
      <c r="E396" s="4">
        <v>4831</v>
      </c>
      <c r="F396" s="4"/>
      <c r="G396" s="4"/>
      <c r="H396" s="5">
        <f t="shared" si="6"/>
        <v>3.122831367106089E-3</v>
      </c>
    </row>
    <row r="397" spans="1:8" ht="13.5" x14ac:dyDescent="0.25">
      <c r="A397" s="1"/>
      <c r="B397" s="3">
        <v>42877</v>
      </c>
      <c r="C397" s="4">
        <v>3.19</v>
      </c>
      <c r="D397" s="4">
        <v>0.87009999999999998</v>
      </c>
      <c r="E397" s="4">
        <v>4509</v>
      </c>
      <c r="F397" s="4"/>
      <c r="G397" s="4"/>
      <c r="H397" s="5">
        <f t="shared" si="6"/>
        <v>3.2284100080710535E-3</v>
      </c>
    </row>
    <row r="398" spans="1:8" ht="13.5" x14ac:dyDescent="0.25">
      <c r="A398" s="1"/>
      <c r="B398" s="3">
        <v>42878</v>
      </c>
      <c r="C398" s="4">
        <v>3.19</v>
      </c>
      <c r="D398" s="4">
        <v>0.87009999999999998</v>
      </c>
      <c r="E398" s="4">
        <v>0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3.19</v>
      </c>
      <c r="D399" s="4">
        <v>0.87009999999999998</v>
      </c>
      <c r="E399" s="4">
        <v>4370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3.19</v>
      </c>
      <c r="D400" s="4">
        <v>0.87009999999999998</v>
      </c>
      <c r="E400" s="4">
        <v>10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3.24</v>
      </c>
      <c r="D401" s="4">
        <v>0.88370000000000004</v>
      </c>
      <c r="E401" s="4">
        <v>1517</v>
      </c>
      <c r="F401" s="4"/>
      <c r="G401" s="4"/>
      <c r="H401" s="5">
        <f t="shared" si="6"/>
        <v>1.5630387311803308E-2</v>
      </c>
    </row>
    <row r="402" spans="1:8" ht="13.5" x14ac:dyDescent="0.25">
      <c r="A402" s="1"/>
      <c r="B402" s="3">
        <v>42884</v>
      </c>
      <c r="C402" s="4">
        <v>3.25</v>
      </c>
      <c r="D402" s="4">
        <v>0.88639999999999997</v>
      </c>
      <c r="E402" s="4">
        <v>772</v>
      </c>
      <c r="F402" s="4"/>
      <c r="G402" s="4"/>
      <c r="H402" s="5">
        <f t="shared" si="6"/>
        <v>3.0553355211043617E-3</v>
      </c>
    </row>
    <row r="403" spans="1:8" ht="13.5" x14ac:dyDescent="0.25">
      <c r="A403" s="1"/>
      <c r="B403" s="3">
        <v>42885</v>
      </c>
      <c r="C403" s="4">
        <v>3.25</v>
      </c>
      <c r="D403" s="4">
        <v>0.88639999999999997</v>
      </c>
      <c r="E403" s="4">
        <v>113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3.25</v>
      </c>
      <c r="D404" s="4">
        <v>0.88639999999999997</v>
      </c>
      <c r="E404" s="4">
        <v>331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3.24</v>
      </c>
      <c r="D405" s="4">
        <v>0.88370000000000004</v>
      </c>
      <c r="E405" s="4">
        <v>1001</v>
      </c>
      <c r="F405" s="4"/>
      <c r="G405" s="4"/>
      <c r="H405" s="5">
        <f t="shared" si="6"/>
        <v>-3.0460288808663413E-3</v>
      </c>
    </row>
    <row r="406" spans="1:8" ht="13.5" x14ac:dyDescent="0.25">
      <c r="A406" s="1"/>
      <c r="B406" s="3">
        <v>42888</v>
      </c>
      <c r="C406" s="4">
        <v>3.24</v>
      </c>
      <c r="D406" s="4">
        <v>0.88370000000000004</v>
      </c>
      <c r="E406" s="4">
        <v>294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3.2</v>
      </c>
      <c r="D407" s="4">
        <v>0.87280000000000002</v>
      </c>
      <c r="E407" s="4">
        <v>477</v>
      </c>
      <c r="F407" s="4"/>
      <c r="G407" s="4"/>
      <c r="H407" s="5">
        <f t="shared" si="6"/>
        <v>-1.2334502659273532E-2</v>
      </c>
    </row>
    <row r="408" spans="1:8" ht="13.5" x14ac:dyDescent="0.25">
      <c r="A408" s="1"/>
      <c r="B408" s="3">
        <v>42892</v>
      </c>
      <c r="C408" s="4">
        <v>3.2</v>
      </c>
      <c r="D408" s="4">
        <v>0.87280000000000002</v>
      </c>
      <c r="E408" s="4">
        <v>1351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3.2</v>
      </c>
      <c r="D409" s="4">
        <v>0.87280000000000002</v>
      </c>
      <c r="E409" s="4">
        <v>526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3.19</v>
      </c>
      <c r="D410" s="4">
        <v>0.87009999999999998</v>
      </c>
      <c r="E410" s="4">
        <v>583</v>
      </c>
      <c r="F410" s="4"/>
      <c r="G410" s="4"/>
      <c r="H410" s="5">
        <f t="shared" si="6"/>
        <v>-3.0934922089826257E-3</v>
      </c>
    </row>
    <row r="411" spans="1:8" ht="13.5" x14ac:dyDescent="0.25">
      <c r="A411" s="1"/>
      <c r="B411" s="3">
        <v>42895</v>
      </c>
      <c r="C411" s="4">
        <v>3.19</v>
      </c>
      <c r="D411" s="4">
        <v>0.87009999999999998</v>
      </c>
      <c r="E411" s="4">
        <v>1125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3.15</v>
      </c>
      <c r="D412" s="4">
        <v>0.85919999999999996</v>
      </c>
      <c r="E412" s="4">
        <v>1155</v>
      </c>
      <c r="F412" s="4"/>
      <c r="G412" s="4"/>
      <c r="H412" s="5">
        <f t="shared" si="6"/>
        <v>-1.2527295713136445E-2</v>
      </c>
    </row>
    <row r="413" spans="1:8" ht="13.5" x14ac:dyDescent="0.25">
      <c r="A413" s="1"/>
      <c r="B413" s="3">
        <v>42899</v>
      </c>
      <c r="C413" s="4">
        <v>3.18</v>
      </c>
      <c r="D413" s="4">
        <v>0.86729999999999996</v>
      </c>
      <c r="E413" s="4">
        <v>720</v>
      </c>
      <c r="F413" s="4"/>
      <c r="G413" s="4"/>
      <c r="H413" s="5">
        <f t="shared" si="6"/>
        <v>9.4273743016759729E-3</v>
      </c>
    </row>
    <row r="414" spans="1:8" ht="13.5" x14ac:dyDescent="0.25">
      <c r="A414" s="1"/>
      <c r="B414" s="3">
        <v>42900</v>
      </c>
      <c r="C414" s="4">
        <v>3.16</v>
      </c>
      <c r="D414" s="4">
        <v>0.8619</v>
      </c>
      <c r="E414" s="4">
        <v>1510</v>
      </c>
      <c r="F414" s="4"/>
      <c r="G414" s="4"/>
      <c r="H414" s="5">
        <f t="shared" si="6"/>
        <v>-6.2262193012797883E-3</v>
      </c>
    </row>
    <row r="415" spans="1:8" ht="13.5" x14ac:dyDescent="0.25">
      <c r="A415" s="1"/>
      <c r="B415" s="3">
        <v>42901</v>
      </c>
      <c r="C415" s="4">
        <v>3.16</v>
      </c>
      <c r="D415" s="4">
        <v>0.8619</v>
      </c>
      <c r="E415" s="4">
        <v>350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3.17</v>
      </c>
      <c r="D416" s="4">
        <v>0.86460000000000004</v>
      </c>
      <c r="E416" s="4">
        <v>373</v>
      </c>
      <c r="F416" s="4"/>
      <c r="G416" s="4"/>
      <c r="H416" s="5">
        <f t="shared" si="6"/>
        <v>3.1326139923425404E-3</v>
      </c>
    </row>
    <row r="417" spans="1:8" ht="13.5" x14ac:dyDescent="0.25">
      <c r="A417" s="1"/>
      <c r="B417" s="3">
        <v>42905</v>
      </c>
      <c r="C417" s="4">
        <v>3.17</v>
      </c>
      <c r="D417" s="4">
        <v>0.86460000000000004</v>
      </c>
      <c r="E417" s="4">
        <v>1665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3.16</v>
      </c>
      <c r="D418" s="4">
        <v>0.8619</v>
      </c>
      <c r="E418" s="4">
        <v>557</v>
      </c>
      <c r="F418" s="4"/>
      <c r="G418" s="4"/>
      <c r="H418" s="5">
        <f t="shared" si="6"/>
        <v>-3.1228313671062173E-3</v>
      </c>
    </row>
    <row r="419" spans="1:8" ht="13.5" x14ac:dyDescent="0.25">
      <c r="A419" s="1"/>
      <c r="B419" s="3">
        <v>42907</v>
      </c>
      <c r="C419" s="4">
        <v>3.15</v>
      </c>
      <c r="D419" s="4">
        <v>0.85919999999999996</v>
      </c>
      <c r="E419" s="4">
        <v>844</v>
      </c>
      <c r="F419" s="4"/>
      <c r="G419" s="4"/>
      <c r="H419" s="5">
        <f t="shared" si="6"/>
        <v>-3.1326139923425404E-3</v>
      </c>
    </row>
    <row r="420" spans="1:8" ht="13.5" x14ac:dyDescent="0.25">
      <c r="A420" s="1"/>
      <c r="B420" s="3">
        <v>42908</v>
      </c>
      <c r="C420" s="4">
        <v>3.16</v>
      </c>
      <c r="D420" s="4">
        <v>0.8619</v>
      </c>
      <c r="E420" s="4">
        <v>1700</v>
      </c>
      <c r="F420" s="4"/>
      <c r="G420" s="4"/>
      <c r="H420" s="5">
        <f t="shared" si="6"/>
        <v>3.142458100558701E-3</v>
      </c>
    </row>
    <row r="421" spans="1:8" ht="13.5" x14ac:dyDescent="0.25">
      <c r="A421" s="1"/>
      <c r="B421" s="3">
        <v>42909</v>
      </c>
      <c r="C421" s="4">
        <v>3.16</v>
      </c>
      <c r="D421" s="4">
        <v>0.8619</v>
      </c>
      <c r="E421" s="4">
        <v>1158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3.17</v>
      </c>
      <c r="D422" s="4">
        <v>0.86460000000000004</v>
      </c>
      <c r="E422" s="4">
        <v>1833</v>
      </c>
      <c r="F422" s="4"/>
      <c r="G422" s="4"/>
      <c r="H422" s="5">
        <f t="shared" si="6"/>
        <v>3.1326139923425404E-3</v>
      </c>
    </row>
    <row r="423" spans="1:8" ht="13.5" x14ac:dyDescent="0.25">
      <c r="A423" s="1"/>
      <c r="B423" s="3">
        <v>42915</v>
      </c>
      <c r="C423" s="4">
        <v>3.17</v>
      </c>
      <c r="D423" s="4">
        <v>0.86460000000000004</v>
      </c>
      <c r="E423" s="4">
        <v>185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3.17</v>
      </c>
      <c r="D424" s="4">
        <v>0.86460000000000004</v>
      </c>
      <c r="E424" s="4">
        <v>850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3.17</v>
      </c>
      <c r="D425" s="4">
        <v>0.86460000000000004</v>
      </c>
      <c r="E425" s="4">
        <v>5055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3.28</v>
      </c>
      <c r="D426" s="4">
        <v>0.89459999999999995</v>
      </c>
      <c r="E426" s="4">
        <v>8767</v>
      </c>
      <c r="F426" s="4"/>
      <c r="G426" s="4"/>
      <c r="H426" s="5">
        <f t="shared" si="6"/>
        <v>3.469812630117964E-2</v>
      </c>
    </row>
    <row r="427" spans="1:8" ht="13.5" x14ac:dyDescent="0.25">
      <c r="A427" s="1"/>
      <c r="B427" s="3">
        <v>42921</v>
      </c>
      <c r="C427" s="4">
        <v>3.28</v>
      </c>
      <c r="D427" s="4">
        <v>0.89459999999999995</v>
      </c>
      <c r="E427" s="4">
        <v>7041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3.46</v>
      </c>
      <c r="D428" s="4">
        <v>0.94369999999999998</v>
      </c>
      <c r="E428" s="4">
        <v>21405</v>
      </c>
      <c r="F428" s="4"/>
      <c r="G428" s="4"/>
      <c r="H428" s="5">
        <f t="shared" si="6"/>
        <v>5.4884864744019712E-2</v>
      </c>
    </row>
    <row r="429" spans="1:8" ht="13.5" x14ac:dyDescent="0.25">
      <c r="A429" s="1"/>
      <c r="B429" s="3">
        <v>42923</v>
      </c>
      <c r="C429" s="4">
        <v>2.95</v>
      </c>
      <c r="D429" s="4">
        <v>0.84319999999999995</v>
      </c>
      <c r="E429" s="4">
        <v>790</v>
      </c>
      <c r="F429" s="4"/>
      <c r="G429" s="4"/>
      <c r="H429" s="5">
        <f t="shared" si="6"/>
        <v>-0.10649570838190106</v>
      </c>
    </row>
    <row r="430" spans="1:8" ht="13.5" x14ac:dyDescent="0.25">
      <c r="A430" s="1"/>
      <c r="B430" s="3">
        <v>42926</v>
      </c>
      <c r="C430" s="4">
        <v>3</v>
      </c>
      <c r="D430" s="4">
        <v>0.94189999999999996</v>
      </c>
      <c r="E430" s="4">
        <v>3102</v>
      </c>
      <c r="F430" s="4"/>
      <c r="G430" s="4"/>
      <c r="H430" s="5">
        <f t="shared" si="6"/>
        <v>0.11705407969639471</v>
      </c>
    </row>
    <row r="431" spans="1:8" ht="13.5" x14ac:dyDescent="0.25">
      <c r="A431" s="1"/>
      <c r="B431" s="3">
        <v>42927</v>
      </c>
      <c r="C431" s="4">
        <v>2.95</v>
      </c>
      <c r="D431" s="4">
        <v>0.92620000000000002</v>
      </c>
      <c r="E431" s="4">
        <v>7585</v>
      </c>
      <c r="F431" s="4"/>
      <c r="G431" s="4"/>
      <c r="H431" s="5">
        <f t="shared" si="6"/>
        <v>-1.6668436139717524E-2</v>
      </c>
    </row>
    <row r="432" spans="1:8" ht="13.5" x14ac:dyDescent="0.25">
      <c r="A432" s="1"/>
      <c r="B432" s="3">
        <v>42928</v>
      </c>
      <c r="C432" s="4">
        <v>2.93</v>
      </c>
      <c r="D432" s="4">
        <v>0.91990000000000005</v>
      </c>
      <c r="E432" s="4">
        <v>5589</v>
      </c>
      <c r="F432" s="4"/>
      <c r="G432" s="4"/>
      <c r="H432" s="5">
        <f t="shared" si="6"/>
        <v>-6.8019866119628288E-3</v>
      </c>
    </row>
    <row r="433" spans="1:8" ht="13.5" x14ac:dyDescent="0.25">
      <c r="A433" s="1"/>
      <c r="B433" s="3">
        <v>42929</v>
      </c>
      <c r="C433" s="4">
        <v>2.83</v>
      </c>
      <c r="D433" s="4">
        <v>0.88849999999999996</v>
      </c>
      <c r="E433" s="4">
        <v>6114</v>
      </c>
      <c r="F433" s="4"/>
      <c r="G433" s="4"/>
      <c r="H433" s="5">
        <f t="shared" si="6"/>
        <v>-3.4134145015762681E-2</v>
      </c>
    </row>
    <row r="434" spans="1:8" ht="13.5" x14ac:dyDescent="0.25">
      <c r="A434" s="1"/>
      <c r="B434" s="3">
        <v>42930</v>
      </c>
      <c r="C434" s="4">
        <v>2.83</v>
      </c>
      <c r="D434" s="4">
        <v>0.88849999999999996</v>
      </c>
      <c r="E434" s="4">
        <v>3129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2.8</v>
      </c>
      <c r="D435" s="4">
        <v>0.87909999999999999</v>
      </c>
      <c r="E435" s="4">
        <v>1240</v>
      </c>
      <c r="F435" s="4"/>
      <c r="G435" s="4"/>
      <c r="H435" s="5">
        <f t="shared" si="6"/>
        <v>-1.0579628587506995E-2</v>
      </c>
    </row>
    <row r="436" spans="1:8" ht="13.5" x14ac:dyDescent="0.25">
      <c r="A436" s="1"/>
      <c r="B436" s="3">
        <v>42934</v>
      </c>
      <c r="C436" s="4">
        <v>2.72</v>
      </c>
      <c r="D436" s="4">
        <v>0.85399999999999998</v>
      </c>
      <c r="E436" s="4">
        <v>3360</v>
      </c>
      <c r="F436" s="4"/>
      <c r="G436" s="4"/>
      <c r="H436" s="5">
        <f t="shared" si="6"/>
        <v>-2.8551928108292584E-2</v>
      </c>
    </row>
    <row r="437" spans="1:8" ht="13.5" x14ac:dyDescent="0.25">
      <c r="A437" s="1"/>
      <c r="B437" s="3">
        <v>42935</v>
      </c>
      <c r="C437" s="4">
        <v>2.72</v>
      </c>
      <c r="D437" s="4">
        <v>0.85399999999999998</v>
      </c>
      <c r="E437" s="4">
        <v>2977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2.64</v>
      </c>
      <c r="D438" s="4">
        <v>0.82889999999999997</v>
      </c>
      <c r="E438" s="4">
        <v>603</v>
      </c>
      <c r="F438" s="4"/>
      <c r="G438" s="4"/>
      <c r="H438" s="5">
        <f t="shared" si="6"/>
        <v>-2.9391100702576126E-2</v>
      </c>
    </row>
    <row r="439" spans="1:8" ht="13.5" x14ac:dyDescent="0.25">
      <c r="A439" s="1"/>
      <c r="B439" s="3">
        <v>42937</v>
      </c>
      <c r="C439" s="4">
        <v>2.68</v>
      </c>
      <c r="D439" s="4">
        <v>0.84140000000000004</v>
      </c>
      <c r="E439" s="4">
        <v>5134</v>
      </c>
      <c r="F439" s="4"/>
      <c r="G439" s="4"/>
      <c r="H439" s="5">
        <f t="shared" si="6"/>
        <v>1.5080226806611252E-2</v>
      </c>
    </row>
    <row r="440" spans="1:8" ht="13.5" x14ac:dyDescent="0.25">
      <c r="A440" s="1"/>
      <c r="B440" s="3">
        <v>42940</v>
      </c>
      <c r="C440" s="4">
        <v>2.72</v>
      </c>
      <c r="D440" s="4">
        <v>0.85399999999999998</v>
      </c>
      <c r="E440" s="4">
        <v>139</v>
      </c>
      <c r="F440" s="4"/>
      <c r="G440" s="4"/>
      <c r="H440" s="5">
        <f t="shared" si="6"/>
        <v>1.4975041597337703E-2</v>
      </c>
    </row>
    <row r="441" spans="1:8" ht="13.5" x14ac:dyDescent="0.25">
      <c r="A441" s="1"/>
      <c r="B441" s="3">
        <v>42942</v>
      </c>
      <c r="C441" s="4">
        <v>2.72</v>
      </c>
      <c r="D441" s="4">
        <v>0.85399999999999998</v>
      </c>
      <c r="E441" s="4">
        <v>3651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2.69</v>
      </c>
      <c r="D442" s="4">
        <v>0.84460000000000002</v>
      </c>
      <c r="E442" s="4">
        <v>641</v>
      </c>
      <c r="F442" s="4"/>
      <c r="G442" s="4"/>
      <c r="H442" s="5">
        <f t="shared" si="6"/>
        <v>-1.1007025761124081E-2</v>
      </c>
    </row>
    <row r="443" spans="1:8" ht="13.5" x14ac:dyDescent="0.25">
      <c r="A443" s="1"/>
      <c r="B443" s="3">
        <v>42944</v>
      </c>
      <c r="C443" s="4">
        <v>2.65</v>
      </c>
      <c r="D443" s="4">
        <v>0.83199999999999996</v>
      </c>
      <c r="E443" s="4">
        <v>1209</v>
      </c>
      <c r="F443" s="4"/>
      <c r="G443" s="4"/>
      <c r="H443" s="5">
        <f t="shared" si="6"/>
        <v>-1.4918304522851119E-2</v>
      </c>
    </row>
    <row r="444" spans="1:8" ht="13.5" x14ac:dyDescent="0.25">
      <c r="A444" s="1"/>
      <c r="B444" s="3">
        <v>42947</v>
      </c>
      <c r="C444" s="4">
        <v>2.65</v>
      </c>
      <c r="D444" s="4">
        <v>0.83199999999999996</v>
      </c>
      <c r="E444" s="4">
        <v>319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2.6</v>
      </c>
      <c r="D445" s="4">
        <v>0.81630000000000003</v>
      </c>
      <c r="E445" s="4">
        <v>515</v>
      </c>
      <c r="F445" s="4"/>
      <c r="G445" s="4"/>
      <c r="H445" s="5">
        <f t="shared" si="6"/>
        <v>-1.887019230769223E-2</v>
      </c>
    </row>
    <row r="446" spans="1:8" ht="13.5" x14ac:dyDescent="0.25">
      <c r="A446" s="1"/>
      <c r="B446" s="3">
        <v>42949</v>
      </c>
      <c r="C446" s="4">
        <v>2.69</v>
      </c>
      <c r="D446" s="4">
        <v>0.84460000000000002</v>
      </c>
      <c r="E446" s="4">
        <v>224</v>
      </c>
      <c r="F446" s="4"/>
      <c r="G446" s="4"/>
      <c r="H446" s="5">
        <f t="shared" si="6"/>
        <v>3.4668626730368725E-2</v>
      </c>
    </row>
    <row r="447" spans="1:8" ht="13.5" x14ac:dyDescent="0.25">
      <c r="A447" s="1"/>
      <c r="B447" s="3">
        <v>42950</v>
      </c>
      <c r="C447" s="4">
        <v>2.63</v>
      </c>
      <c r="D447" s="4">
        <v>0.82569999999999999</v>
      </c>
      <c r="E447" s="4">
        <v>864</v>
      </c>
      <c r="F447" s="4"/>
      <c r="G447" s="4"/>
      <c r="H447" s="5">
        <f t="shared" si="6"/>
        <v>-2.2377456784276613E-2</v>
      </c>
    </row>
    <row r="448" spans="1:8" ht="13.5" x14ac:dyDescent="0.25">
      <c r="A448" s="1"/>
      <c r="B448" s="3">
        <v>42951</v>
      </c>
      <c r="C448" s="4">
        <v>2.7</v>
      </c>
      <c r="D448" s="4">
        <v>0.84770000000000001</v>
      </c>
      <c r="E448" s="4">
        <v>2108</v>
      </c>
      <c r="F448" s="4"/>
      <c r="G448" s="4"/>
      <c r="H448" s="5">
        <f t="shared" si="6"/>
        <v>2.6644059585806006E-2</v>
      </c>
    </row>
    <row r="449" spans="1:8" ht="13.5" x14ac:dyDescent="0.25">
      <c r="A449" s="1"/>
      <c r="B449" s="3">
        <v>42954</v>
      </c>
      <c r="C449" s="4">
        <v>2.7</v>
      </c>
      <c r="D449" s="4">
        <v>0.84770000000000001</v>
      </c>
      <c r="E449" s="4">
        <v>1166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2.62</v>
      </c>
      <c r="D450" s="4">
        <v>0.8226</v>
      </c>
      <c r="E450" s="4">
        <v>8574</v>
      </c>
      <c r="F450" s="4"/>
      <c r="G450" s="4"/>
      <c r="H450" s="5">
        <f t="shared" si="6"/>
        <v>-2.9609531673941265E-2</v>
      </c>
    </row>
    <row r="451" spans="1:8" ht="13.5" x14ac:dyDescent="0.25">
      <c r="A451" s="1"/>
      <c r="B451" s="3">
        <v>42956</v>
      </c>
      <c r="C451" s="4">
        <v>2.69</v>
      </c>
      <c r="D451" s="4">
        <v>0.84460000000000002</v>
      </c>
      <c r="E451" s="4">
        <v>20</v>
      </c>
      <c r="F451" s="4"/>
      <c r="G451" s="4"/>
      <c r="H451" s="5">
        <f t="shared" si="6"/>
        <v>2.6744468757597884E-2</v>
      </c>
    </row>
    <row r="452" spans="1:8" ht="13.5" x14ac:dyDescent="0.25">
      <c r="A452" s="1"/>
      <c r="B452" s="3">
        <v>42957</v>
      </c>
      <c r="C452" s="4">
        <v>2.69</v>
      </c>
      <c r="D452" s="4">
        <v>0.84460000000000002</v>
      </c>
      <c r="E452" s="4">
        <v>190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2.63</v>
      </c>
      <c r="D453" s="4">
        <v>0.82569999999999999</v>
      </c>
      <c r="E453" s="4">
        <v>456</v>
      </c>
      <c r="F453" s="4"/>
      <c r="G453" s="4"/>
      <c r="H453" s="5">
        <f t="shared" si="6"/>
        <v>-2.2377456784276613E-2</v>
      </c>
    </row>
    <row r="454" spans="1:8" ht="13.5" x14ac:dyDescent="0.25">
      <c r="A454" s="1"/>
      <c r="B454" s="3">
        <v>42961</v>
      </c>
      <c r="C454" s="4">
        <v>2.63</v>
      </c>
      <c r="D454" s="4">
        <v>0.82569999999999999</v>
      </c>
      <c r="E454" s="4">
        <v>403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2.62</v>
      </c>
      <c r="D455" s="4">
        <v>0.8226</v>
      </c>
      <c r="E455" s="4">
        <v>1337</v>
      </c>
      <c r="F455" s="4"/>
      <c r="G455" s="4"/>
      <c r="H455" s="5">
        <f t="shared" ref="H455:H518" si="7">(D455-D454)/D454</f>
        <v>-3.7543902143635601E-3</v>
      </c>
    </row>
    <row r="456" spans="1:8" ht="13.5" x14ac:dyDescent="0.25">
      <c r="A456" s="1"/>
      <c r="B456" s="3">
        <v>42963</v>
      </c>
      <c r="C456" s="4">
        <v>2.62</v>
      </c>
      <c r="D456" s="4">
        <v>0.8226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2.62</v>
      </c>
      <c r="D457" s="4">
        <v>0.8226</v>
      </c>
      <c r="E457" s="4">
        <v>13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2.57</v>
      </c>
      <c r="D458" s="4">
        <v>0.80689999999999995</v>
      </c>
      <c r="E458" s="4">
        <v>733</v>
      </c>
      <c r="F458" s="4"/>
      <c r="G458" s="4"/>
      <c r="H458" s="5">
        <f t="shared" si="7"/>
        <v>-1.9085825431558529E-2</v>
      </c>
    </row>
    <row r="459" spans="1:8" ht="13.5" x14ac:dyDescent="0.25">
      <c r="A459" s="1"/>
      <c r="B459" s="3">
        <v>42968</v>
      </c>
      <c r="C459" s="4">
        <v>2.57</v>
      </c>
      <c r="D459" s="4">
        <v>0.80689999999999995</v>
      </c>
      <c r="E459" s="4">
        <v>1938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2.52</v>
      </c>
      <c r="D460" s="4">
        <v>0.79120000000000001</v>
      </c>
      <c r="E460" s="4">
        <v>433</v>
      </c>
      <c r="F460" s="4"/>
      <c r="G460" s="4"/>
      <c r="H460" s="5">
        <f t="shared" si="7"/>
        <v>-1.9457181806915278E-2</v>
      </c>
    </row>
    <row r="461" spans="1:8" ht="13.5" x14ac:dyDescent="0.25">
      <c r="A461" s="1"/>
      <c r="B461" s="3">
        <v>42970</v>
      </c>
      <c r="C461" s="4">
        <v>2.5</v>
      </c>
      <c r="D461" s="4">
        <v>0.78490000000000004</v>
      </c>
      <c r="E461" s="4">
        <v>5843</v>
      </c>
      <c r="F461" s="4"/>
      <c r="G461" s="4"/>
      <c r="H461" s="5">
        <f t="shared" si="7"/>
        <v>-7.9625884732052229E-3</v>
      </c>
    </row>
    <row r="462" spans="1:8" ht="13.5" x14ac:dyDescent="0.25">
      <c r="A462" s="1"/>
      <c r="B462" s="3">
        <v>42971</v>
      </c>
      <c r="C462" s="4">
        <v>2.54</v>
      </c>
      <c r="D462" s="4">
        <v>0.79749999999999999</v>
      </c>
      <c r="E462" s="4">
        <v>6010</v>
      </c>
      <c r="F462" s="4"/>
      <c r="G462" s="4"/>
      <c r="H462" s="5">
        <f t="shared" si="7"/>
        <v>1.6053000382214223E-2</v>
      </c>
    </row>
    <row r="463" spans="1:8" ht="13.5" x14ac:dyDescent="0.25">
      <c r="A463" s="1"/>
      <c r="B463" s="3">
        <v>42972</v>
      </c>
      <c r="C463" s="4">
        <v>2.54</v>
      </c>
      <c r="D463" s="4">
        <v>0.79749999999999999</v>
      </c>
      <c r="E463" s="4">
        <v>500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2.54</v>
      </c>
      <c r="D464" s="4">
        <v>0.79749999999999999</v>
      </c>
      <c r="E464" s="4">
        <v>2107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2.61</v>
      </c>
      <c r="D465" s="4">
        <v>0.81950000000000001</v>
      </c>
      <c r="E465" s="4">
        <v>3307</v>
      </c>
      <c r="F465" s="4"/>
      <c r="G465" s="4"/>
      <c r="H465" s="5">
        <f t="shared" si="7"/>
        <v>2.7586206896551748E-2</v>
      </c>
    </row>
    <row r="466" spans="1:8" ht="13.5" x14ac:dyDescent="0.25">
      <c r="A466" s="1"/>
      <c r="B466" s="3">
        <v>42977</v>
      </c>
      <c r="C466" s="4">
        <v>2.62</v>
      </c>
      <c r="D466" s="4">
        <v>0.8226</v>
      </c>
      <c r="E466" s="4">
        <v>10</v>
      </c>
      <c r="F466" s="4"/>
      <c r="G466" s="4"/>
      <c r="H466" s="5">
        <f t="shared" si="7"/>
        <v>3.7827943868212221E-3</v>
      </c>
    </row>
    <row r="467" spans="1:8" ht="13.5" x14ac:dyDescent="0.25">
      <c r="A467" s="1"/>
      <c r="B467" s="3">
        <v>42978</v>
      </c>
      <c r="C467" s="4">
        <v>2.62</v>
      </c>
      <c r="D467" s="4">
        <v>0.8226</v>
      </c>
      <c r="E467" s="4">
        <v>0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2.6</v>
      </c>
      <c r="D468" s="4">
        <v>0.81630000000000003</v>
      </c>
      <c r="E468" s="4">
        <v>140</v>
      </c>
      <c r="F468" s="4"/>
      <c r="G468" s="4"/>
      <c r="H468" s="5">
        <f t="shared" si="7"/>
        <v>-7.6586433260393541E-3</v>
      </c>
    </row>
    <row r="469" spans="1:8" ht="13.5" x14ac:dyDescent="0.25">
      <c r="A469" s="1"/>
      <c r="B469" s="3">
        <v>42983</v>
      </c>
      <c r="C469" s="4">
        <v>2.6</v>
      </c>
      <c r="D469" s="4">
        <v>0.81630000000000003</v>
      </c>
      <c r="E469" s="4">
        <v>501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2.5</v>
      </c>
      <c r="D470" s="4">
        <v>0.78490000000000004</v>
      </c>
      <c r="E470" s="4">
        <v>2101</v>
      </c>
      <c r="F470" s="4"/>
      <c r="G470" s="4"/>
      <c r="H470" s="5">
        <f t="shared" si="7"/>
        <v>-3.8466250153129954E-2</v>
      </c>
    </row>
    <row r="471" spans="1:8" ht="13.5" x14ac:dyDescent="0.25">
      <c r="A471" s="1"/>
      <c r="B471" s="3">
        <v>42985</v>
      </c>
      <c r="C471" s="4">
        <v>2.5499999999999998</v>
      </c>
      <c r="D471" s="4">
        <v>0.80059999999999998</v>
      </c>
      <c r="E471" s="4">
        <v>2436</v>
      </c>
      <c r="F471" s="4"/>
      <c r="G471" s="4"/>
      <c r="H471" s="5">
        <f t="shared" si="7"/>
        <v>2.0002548095298681E-2</v>
      </c>
    </row>
    <row r="472" spans="1:8" ht="13.5" x14ac:dyDescent="0.25">
      <c r="A472" s="1"/>
      <c r="B472" s="3">
        <v>42986</v>
      </c>
      <c r="C472" s="4">
        <v>2.59</v>
      </c>
      <c r="D472" s="4">
        <v>0.81320000000000003</v>
      </c>
      <c r="E472" s="4">
        <v>10</v>
      </c>
      <c r="F472" s="4"/>
      <c r="G472" s="4"/>
      <c r="H472" s="5">
        <f t="shared" si="7"/>
        <v>1.5738196352735517E-2</v>
      </c>
    </row>
    <row r="473" spans="1:8" ht="13.5" x14ac:dyDescent="0.25">
      <c r="A473" s="1"/>
      <c r="B473" s="3">
        <v>42989</v>
      </c>
      <c r="C473" s="4">
        <v>2.59</v>
      </c>
      <c r="D473" s="4">
        <v>0.81320000000000003</v>
      </c>
      <c r="E473" s="4">
        <v>1823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2.5499999999999998</v>
      </c>
      <c r="D474" s="4">
        <v>0.80059999999999998</v>
      </c>
      <c r="E474" s="4">
        <v>367</v>
      </c>
      <c r="F474" s="4"/>
      <c r="G474" s="4"/>
      <c r="H474" s="5">
        <f t="shared" si="7"/>
        <v>-1.5494343334973014E-2</v>
      </c>
    </row>
    <row r="475" spans="1:8" ht="13.5" x14ac:dyDescent="0.25">
      <c r="A475" s="1"/>
      <c r="B475" s="3">
        <v>42991</v>
      </c>
      <c r="C475" s="4">
        <v>2.58</v>
      </c>
      <c r="D475" s="4">
        <v>0.81</v>
      </c>
      <c r="E475" s="4">
        <v>780</v>
      </c>
      <c r="F475" s="4"/>
      <c r="G475" s="4"/>
      <c r="H475" s="5">
        <f t="shared" si="7"/>
        <v>1.1741194104421778E-2</v>
      </c>
    </row>
    <row r="476" spans="1:8" ht="13.5" x14ac:dyDescent="0.25">
      <c r="A476" s="1"/>
      <c r="B476" s="3">
        <v>42992</v>
      </c>
      <c r="C476" s="4">
        <v>2.58</v>
      </c>
      <c r="D476" s="4">
        <v>0.81</v>
      </c>
      <c r="E476" s="4">
        <v>526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2.57</v>
      </c>
      <c r="D477" s="4">
        <v>0.80689999999999995</v>
      </c>
      <c r="E477" s="4">
        <v>35</v>
      </c>
      <c r="F477" s="4"/>
      <c r="G477" s="4"/>
      <c r="H477" s="5">
        <f t="shared" si="7"/>
        <v>-3.8271604938272868E-3</v>
      </c>
    </row>
    <row r="478" spans="1:8" ht="13.5" x14ac:dyDescent="0.25">
      <c r="A478" s="1"/>
      <c r="B478" s="3">
        <v>42996</v>
      </c>
      <c r="C478" s="4">
        <v>2.56</v>
      </c>
      <c r="D478" s="4">
        <v>0.80379999999999996</v>
      </c>
      <c r="E478" s="4">
        <v>1838</v>
      </c>
      <c r="F478" s="4"/>
      <c r="G478" s="4"/>
      <c r="H478" s="5">
        <f t="shared" si="7"/>
        <v>-3.8418639236584358E-3</v>
      </c>
    </row>
    <row r="479" spans="1:8" ht="13.5" x14ac:dyDescent="0.25">
      <c r="A479" s="1"/>
      <c r="B479" s="3">
        <v>42997</v>
      </c>
      <c r="C479" s="4">
        <v>2.66</v>
      </c>
      <c r="D479" s="4">
        <v>0.83520000000000005</v>
      </c>
      <c r="E479" s="4">
        <v>9177</v>
      </c>
      <c r="F479" s="4"/>
      <c r="G479" s="4"/>
      <c r="H479" s="5">
        <f t="shared" si="7"/>
        <v>3.9064443891515421E-2</v>
      </c>
    </row>
    <row r="480" spans="1:8" ht="13.5" x14ac:dyDescent="0.25">
      <c r="A480" s="1"/>
      <c r="B480" s="3">
        <v>42998</v>
      </c>
      <c r="C480" s="4">
        <v>2.69</v>
      </c>
      <c r="D480" s="4">
        <v>0.84460000000000002</v>
      </c>
      <c r="E480" s="4">
        <v>10876</v>
      </c>
      <c r="F480" s="4"/>
      <c r="G480" s="4"/>
      <c r="H480" s="5">
        <f t="shared" si="7"/>
        <v>1.1254789272030608E-2</v>
      </c>
    </row>
    <row r="481" spans="1:8" ht="13.5" x14ac:dyDescent="0.25">
      <c r="A481" s="1"/>
      <c r="B481" s="3">
        <v>43000</v>
      </c>
      <c r="C481" s="4">
        <v>2.64</v>
      </c>
      <c r="D481" s="4">
        <v>0.82889999999999997</v>
      </c>
      <c r="E481" s="4">
        <v>20963</v>
      </c>
      <c r="F481" s="4"/>
      <c r="G481" s="4"/>
      <c r="H481" s="5">
        <f t="shared" si="7"/>
        <v>-1.8588681032441448E-2</v>
      </c>
    </row>
    <row r="482" spans="1:8" ht="13.5" x14ac:dyDescent="0.25">
      <c r="A482" s="1"/>
      <c r="B482" s="3">
        <v>43003</v>
      </c>
      <c r="C482" s="4">
        <v>2.61</v>
      </c>
      <c r="D482" s="4">
        <v>0.81950000000000001</v>
      </c>
      <c r="E482" s="4">
        <v>7247</v>
      </c>
      <c r="F482" s="4"/>
      <c r="G482" s="4"/>
      <c r="H482" s="5">
        <f t="shared" si="7"/>
        <v>-1.1340330558571558E-2</v>
      </c>
    </row>
    <row r="483" spans="1:8" ht="13.5" x14ac:dyDescent="0.25">
      <c r="A483" s="1"/>
      <c r="B483" s="3">
        <v>43004</v>
      </c>
      <c r="C483" s="4">
        <v>2.6</v>
      </c>
      <c r="D483" s="4">
        <v>0.81630000000000003</v>
      </c>
      <c r="E483" s="4">
        <v>2235</v>
      </c>
      <c r="F483" s="4"/>
      <c r="G483" s="4"/>
      <c r="H483" s="5">
        <f t="shared" si="7"/>
        <v>-3.9048200122025387E-3</v>
      </c>
    </row>
    <row r="484" spans="1:8" ht="13.5" x14ac:dyDescent="0.25">
      <c r="A484" s="1"/>
      <c r="B484" s="3">
        <v>43005</v>
      </c>
      <c r="C484" s="4">
        <v>2.6</v>
      </c>
      <c r="D484" s="4">
        <v>0.81630000000000003</v>
      </c>
      <c r="E484" s="4">
        <v>1584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2.6</v>
      </c>
      <c r="D485" s="4">
        <v>0.81630000000000003</v>
      </c>
      <c r="E485" s="4">
        <v>433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2.61</v>
      </c>
      <c r="D486" s="4">
        <v>0.81950000000000001</v>
      </c>
      <c r="E486" s="4">
        <v>50</v>
      </c>
      <c r="F486" s="4"/>
      <c r="G486" s="4"/>
      <c r="H486" s="5">
        <f t="shared" si="7"/>
        <v>3.9201274041406105E-3</v>
      </c>
    </row>
    <row r="487" spans="1:8" ht="13.5" x14ac:dyDescent="0.25">
      <c r="A487" s="1"/>
      <c r="B487" s="3">
        <v>43010</v>
      </c>
      <c r="C487" s="4">
        <v>2.54</v>
      </c>
      <c r="D487" s="4">
        <v>0.79749999999999999</v>
      </c>
      <c r="E487" s="4">
        <v>1467</v>
      </c>
      <c r="F487" s="4"/>
      <c r="G487" s="4"/>
      <c r="H487" s="5">
        <f t="shared" si="7"/>
        <v>-2.6845637583892641E-2</v>
      </c>
    </row>
    <row r="488" spans="1:8" ht="13.5" x14ac:dyDescent="0.25">
      <c r="A488" s="1"/>
      <c r="B488" s="3">
        <v>43011</v>
      </c>
      <c r="C488" s="4">
        <v>2.5099999999999998</v>
      </c>
      <c r="D488" s="4">
        <v>0.78810000000000002</v>
      </c>
      <c r="E488" s="4">
        <v>4843</v>
      </c>
      <c r="F488" s="4"/>
      <c r="G488" s="4"/>
      <c r="H488" s="5">
        <f t="shared" si="7"/>
        <v>-1.1786833855799327E-2</v>
      </c>
    </row>
    <row r="489" spans="1:8" ht="13.5" x14ac:dyDescent="0.25">
      <c r="A489" s="1"/>
      <c r="B489" s="3">
        <v>43012</v>
      </c>
      <c r="C489" s="4">
        <v>2.58</v>
      </c>
      <c r="D489" s="4">
        <v>0.81</v>
      </c>
      <c r="E489" s="4">
        <v>355</v>
      </c>
      <c r="F489" s="4"/>
      <c r="G489" s="4"/>
      <c r="H489" s="5">
        <f t="shared" si="7"/>
        <v>2.7788351732013741E-2</v>
      </c>
    </row>
    <row r="490" spans="1:8" ht="13.5" x14ac:dyDescent="0.25">
      <c r="A490" s="1"/>
      <c r="B490" s="3">
        <v>43013</v>
      </c>
      <c r="C490" s="4">
        <v>2.5499999999999998</v>
      </c>
      <c r="D490" s="4">
        <v>0.80059999999999998</v>
      </c>
      <c r="E490" s="4">
        <v>200</v>
      </c>
      <c r="F490" s="4"/>
      <c r="G490" s="4"/>
      <c r="H490" s="5">
        <f t="shared" si="7"/>
        <v>-1.1604938271605031E-2</v>
      </c>
    </row>
    <row r="491" spans="1:8" ht="13.5" x14ac:dyDescent="0.25">
      <c r="A491" s="1"/>
      <c r="B491" s="3">
        <v>43014</v>
      </c>
      <c r="C491" s="4">
        <v>2.62</v>
      </c>
      <c r="D491" s="4">
        <v>0.8226</v>
      </c>
      <c r="E491" s="4">
        <v>50</v>
      </c>
      <c r="F491" s="4"/>
      <c r="G491" s="4"/>
      <c r="H491" s="5">
        <f t="shared" si="7"/>
        <v>2.7479390457157159E-2</v>
      </c>
    </row>
    <row r="492" spans="1:8" ht="13.5" x14ac:dyDescent="0.25">
      <c r="A492" s="1"/>
      <c r="B492" s="3">
        <v>43017</v>
      </c>
      <c r="C492" s="4">
        <v>2.62</v>
      </c>
      <c r="D492" s="4">
        <v>0.8226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2.67</v>
      </c>
      <c r="D493" s="4">
        <v>0.83830000000000005</v>
      </c>
      <c r="E493" s="4">
        <v>1</v>
      </c>
      <c r="F493" s="4"/>
      <c r="G493" s="4"/>
      <c r="H493" s="5">
        <f t="shared" si="7"/>
        <v>1.9085825431558529E-2</v>
      </c>
    </row>
    <row r="494" spans="1:8" ht="13.5" x14ac:dyDescent="0.25">
      <c r="A494" s="1"/>
      <c r="B494" s="3">
        <v>43019</v>
      </c>
      <c r="C494" s="4">
        <v>2.67</v>
      </c>
      <c r="D494" s="4">
        <v>0.83830000000000005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2.59</v>
      </c>
      <c r="D495" s="4">
        <v>0.81320000000000003</v>
      </c>
      <c r="E495" s="4">
        <v>10</v>
      </c>
      <c r="F495" s="4"/>
      <c r="G495" s="4"/>
      <c r="H495" s="5">
        <f t="shared" si="7"/>
        <v>-2.9941548371704652E-2</v>
      </c>
    </row>
    <row r="496" spans="1:8" ht="13.5" x14ac:dyDescent="0.25">
      <c r="A496" s="1"/>
      <c r="B496" s="3">
        <v>43021</v>
      </c>
      <c r="C496" s="4">
        <v>2.52</v>
      </c>
      <c r="D496" s="4">
        <v>0.79120000000000001</v>
      </c>
      <c r="E496" s="4">
        <v>905</v>
      </c>
      <c r="F496" s="4"/>
      <c r="G496" s="4"/>
      <c r="H496" s="5">
        <f t="shared" si="7"/>
        <v>-2.7053615346778182E-2</v>
      </c>
    </row>
    <row r="497" spans="1:8" ht="13.5" x14ac:dyDescent="0.25">
      <c r="A497" s="1"/>
      <c r="B497" s="3">
        <v>43024</v>
      </c>
      <c r="C497" s="4">
        <v>2.59</v>
      </c>
      <c r="D497" s="4">
        <v>0.81320000000000003</v>
      </c>
      <c r="E497" s="4">
        <v>4959</v>
      </c>
      <c r="F497" s="4"/>
      <c r="G497" s="4"/>
      <c r="H497" s="5">
        <f t="shared" si="7"/>
        <v>2.7805864509605687E-2</v>
      </c>
    </row>
    <row r="498" spans="1:8" ht="13.5" x14ac:dyDescent="0.25">
      <c r="A498" s="1"/>
      <c r="B498" s="3">
        <v>43025</v>
      </c>
      <c r="C498" s="4">
        <v>2.59</v>
      </c>
      <c r="D498" s="4">
        <v>0.81320000000000003</v>
      </c>
      <c r="E498" s="4">
        <v>1742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2.59</v>
      </c>
      <c r="D499" s="4">
        <v>0.81320000000000003</v>
      </c>
      <c r="E499" s="4">
        <v>460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2.59</v>
      </c>
      <c r="D500" s="4">
        <v>0.81320000000000003</v>
      </c>
      <c r="E500" s="4">
        <v>1060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2.59</v>
      </c>
      <c r="D501" s="4">
        <v>0.81320000000000003</v>
      </c>
      <c r="E501" s="4">
        <v>101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2.52</v>
      </c>
      <c r="D502" s="4">
        <v>0.79120000000000001</v>
      </c>
      <c r="E502" s="4">
        <v>6610</v>
      </c>
      <c r="F502" s="4"/>
      <c r="G502" s="4"/>
      <c r="H502" s="5">
        <f t="shared" si="7"/>
        <v>-2.7053615346778182E-2</v>
      </c>
    </row>
    <row r="503" spans="1:8" ht="13.5" x14ac:dyDescent="0.25">
      <c r="A503" s="1"/>
      <c r="B503" s="3">
        <v>43032</v>
      </c>
      <c r="C503" s="4">
        <v>2.59</v>
      </c>
      <c r="D503" s="4">
        <v>0.81320000000000003</v>
      </c>
      <c r="E503" s="4">
        <v>4853</v>
      </c>
      <c r="F503" s="4"/>
      <c r="G503" s="4"/>
      <c r="H503" s="5">
        <f t="shared" si="7"/>
        <v>2.7805864509605687E-2</v>
      </c>
    </row>
    <row r="504" spans="1:8" ht="13.5" x14ac:dyDescent="0.25">
      <c r="A504" s="1"/>
      <c r="B504" s="3">
        <v>43033</v>
      </c>
      <c r="C504" s="4">
        <v>2.59</v>
      </c>
      <c r="D504" s="4">
        <v>0.81320000000000003</v>
      </c>
      <c r="E504" s="4">
        <v>100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2.67</v>
      </c>
      <c r="D505" s="4">
        <v>0.83830000000000005</v>
      </c>
      <c r="E505" s="4">
        <v>24273</v>
      </c>
      <c r="F505" s="4"/>
      <c r="G505" s="4"/>
      <c r="H505" s="5">
        <f t="shared" si="7"/>
        <v>3.0865715691096914E-2</v>
      </c>
    </row>
    <row r="506" spans="1:8" ht="13.5" x14ac:dyDescent="0.25">
      <c r="A506" s="1"/>
      <c r="B506" s="3">
        <v>43035</v>
      </c>
      <c r="C506" s="4">
        <v>2.75</v>
      </c>
      <c r="D506" s="4">
        <v>0.86339999999999995</v>
      </c>
      <c r="E506" s="4">
        <v>4574</v>
      </c>
      <c r="F506" s="4"/>
      <c r="G506" s="4"/>
      <c r="H506" s="5">
        <f t="shared" si="7"/>
        <v>2.994154837170452E-2</v>
      </c>
    </row>
    <row r="507" spans="1:8" ht="13.5" x14ac:dyDescent="0.25">
      <c r="A507" s="1"/>
      <c r="B507" s="3">
        <v>43038</v>
      </c>
      <c r="C507" s="4">
        <v>2.68</v>
      </c>
      <c r="D507" s="4">
        <v>0.84140000000000004</v>
      </c>
      <c r="E507" s="4">
        <v>1780</v>
      </c>
      <c r="F507" s="4"/>
      <c r="G507" s="4"/>
      <c r="H507" s="5">
        <f t="shared" si="7"/>
        <v>-2.5480657864257482E-2</v>
      </c>
    </row>
    <row r="508" spans="1:8" ht="13.5" x14ac:dyDescent="0.25">
      <c r="A508" s="1"/>
      <c r="B508" s="3">
        <v>43039</v>
      </c>
      <c r="C508" s="4">
        <v>2.76</v>
      </c>
      <c r="D508" s="4">
        <v>0.86660000000000004</v>
      </c>
      <c r="E508" s="4">
        <v>6011</v>
      </c>
      <c r="F508" s="4"/>
      <c r="G508" s="4"/>
      <c r="H508" s="5">
        <f t="shared" si="7"/>
        <v>2.9950083194675538E-2</v>
      </c>
    </row>
    <row r="509" spans="1:8" ht="13.5" x14ac:dyDescent="0.25">
      <c r="A509" s="1"/>
      <c r="B509" s="3">
        <v>43040</v>
      </c>
      <c r="C509" s="4">
        <v>2.92</v>
      </c>
      <c r="D509" s="4">
        <v>0.91679999999999995</v>
      </c>
      <c r="E509" s="4">
        <v>38842</v>
      </c>
      <c r="F509" s="4"/>
      <c r="G509" s="4"/>
      <c r="H509" s="5">
        <f t="shared" si="7"/>
        <v>5.7927532887145063E-2</v>
      </c>
    </row>
    <row r="510" spans="1:8" ht="13.5" x14ac:dyDescent="0.25">
      <c r="A510" s="1"/>
      <c r="B510" s="3">
        <v>43041</v>
      </c>
      <c r="C510" s="4">
        <v>2.95</v>
      </c>
      <c r="D510" s="4">
        <v>0.92620000000000002</v>
      </c>
      <c r="E510" s="4">
        <v>36788</v>
      </c>
      <c r="F510" s="4"/>
      <c r="G510" s="4"/>
      <c r="H510" s="5">
        <f t="shared" si="7"/>
        <v>1.0253054101221723E-2</v>
      </c>
    </row>
    <row r="511" spans="1:8" ht="13.5" x14ac:dyDescent="0.25">
      <c r="A511" s="1"/>
      <c r="B511" s="3">
        <v>43042</v>
      </c>
      <c r="C511" s="4">
        <v>2.95</v>
      </c>
      <c r="D511" s="4">
        <v>0.92620000000000002</v>
      </c>
      <c r="E511" s="4">
        <v>24835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2.99</v>
      </c>
      <c r="D512" s="4">
        <v>0.93879999999999997</v>
      </c>
      <c r="E512" s="4">
        <v>30</v>
      </c>
      <c r="F512" s="4"/>
      <c r="G512" s="4"/>
      <c r="H512" s="5">
        <f t="shared" si="7"/>
        <v>1.3603973223925658E-2</v>
      </c>
    </row>
    <row r="513" spans="1:8" ht="13.5" x14ac:dyDescent="0.25">
      <c r="A513" s="1"/>
      <c r="B513" s="3">
        <v>43046</v>
      </c>
      <c r="C513" s="4">
        <v>3</v>
      </c>
      <c r="D513" s="4">
        <v>0.94189999999999996</v>
      </c>
      <c r="E513" s="4">
        <v>16372</v>
      </c>
      <c r="F513" s="4"/>
      <c r="G513" s="4"/>
      <c r="H513" s="5">
        <f t="shared" si="7"/>
        <v>3.3020877716233403E-3</v>
      </c>
    </row>
    <row r="514" spans="1:8" ht="13.5" x14ac:dyDescent="0.25">
      <c r="A514" s="1"/>
      <c r="B514" s="3">
        <v>43047</v>
      </c>
      <c r="C514" s="4">
        <v>3</v>
      </c>
      <c r="D514" s="4">
        <v>0.94189999999999996</v>
      </c>
      <c r="E514" s="4">
        <v>6620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2.99</v>
      </c>
      <c r="D515" s="4">
        <v>0.93879999999999997</v>
      </c>
      <c r="E515" s="4">
        <v>46</v>
      </c>
      <c r="F515" s="4"/>
      <c r="G515" s="4"/>
      <c r="H515" s="5">
        <f t="shared" si="7"/>
        <v>-3.2912198747212995E-3</v>
      </c>
    </row>
    <row r="516" spans="1:8" ht="13.5" x14ac:dyDescent="0.25">
      <c r="A516" s="1"/>
      <c r="B516" s="3">
        <v>43049</v>
      </c>
      <c r="C516" s="4">
        <v>2.94</v>
      </c>
      <c r="D516" s="4">
        <v>0.92310000000000003</v>
      </c>
      <c r="E516" s="4">
        <v>1150</v>
      </c>
      <c r="F516" s="4"/>
      <c r="G516" s="4"/>
      <c r="H516" s="5">
        <f t="shared" si="7"/>
        <v>-1.6723476778866569E-2</v>
      </c>
    </row>
    <row r="517" spans="1:8" ht="13.5" x14ac:dyDescent="0.25">
      <c r="A517" s="1"/>
      <c r="B517" s="3">
        <v>43052</v>
      </c>
      <c r="C517" s="4">
        <v>2.94</v>
      </c>
      <c r="D517" s="4">
        <v>0.92310000000000003</v>
      </c>
      <c r="E517" s="4">
        <v>95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2.94</v>
      </c>
      <c r="D518" s="4">
        <v>0.92310000000000003</v>
      </c>
      <c r="E518" s="4">
        <v>3190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2.95</v>
      </c>
      <c r="D519" s="4">
        <v>0.92620000000000002</v>
      </c>
      <c r="E519" s="4">
        <v>5590</v>
      </c>
      <c r="F519" s="4"/>
      <c r="G519" s="4"/>
      <c r="H519" s="5">
        <f t="shared" ref="H519:H582" si="8">(D519-D518)/D518</f>
        <v>3.3582493770988966E-3</v>
      </c>
    </row>
    <row r="520" spans="1:8" ht="13.5" x14ac:dyDescent="0.25">
      <c r="A520" s="1"/>
      <c r="B520" s="3">
        <v>43055</v>
      </c>
      <c r="C520" s="4">
        <v>2.97</v>
      </c>
      <c r="D520" s="4">
        <v>0.9325</v>
      </c>
      <c r="E520" s="4">
        <v>80</v>
      </c>
      <c r="F520" s="4"/>
      <c r="G520" s="4"/>
      <c r="H520" s="5">
        <f t="shared" si="8"/>
        <v>6.8019866119628288E-3</v>
      </c>
    </row>
    <row r="521" spans="1:8" ht="13.5" x14ac:dyDescent="0.25">
      <c r="A521" s="1"/>
      <c r="B521" s="3">
        <v>43056</v>
      </c>
      <c r="C521" s="4">
        <v>2.9</v>
      </c>
      <c r="D521" s="4">
        <v>0.91049999999999998</v>
      </c>
      <c r="E521" s="4">
        <v>13292</v>
      </c>
      <c r="F521" s="4"/>
      <c r="G521" s="4"/>
      <c r="H521" s="5">
        <f t="shared" si="8"/>
        <v>-2.3592493297587152E-2</v>
      </c>
    </row>
    <row r="522" spans="1:8" ht="13.5" x14ac:dyDescent="0.25">
      <c r="A522" s="1"/>
      <c r="B522" s="3">
        <v>43059</v>
      </c>
      <c r="C522" s="4">
        <v>2.94</v>
      </c>
      <c r="D522" s="4">
        <v>0.92310000000000003</v>
      </c>
      <c r="E522" s="4">
        <v>33</v>
      </c>
      <c r="F522" s="4"/>
      <c r="G522" s="4"/>
      <c r="H522" s="5">
        <f t="shared" si="8"/>
        <v>1.383855024711703E-2</v>
      </c>
    </row>
    <row r="523" spans="1:8" ht="13.5" x14ac:dyDescent="0.25">
      <c r="A523" s="1"/>
      <c r="B523" s="3">
        <v>43060</v>
      </c>
      <c r="C523" s="4">
        <v>2.93</v>
      </c>
      <c r="D523" s="4">
        <v>0.91990000000000005</v>
      </c>
      <c r="E523" s="4">
        <v>25</v>
      </c>
      <c r="F523" s="4"/>
      <c r="G523" s="4"/>
      <c r="H523" s="5">
        <f t="shared" si="8"/>
        <v>-3.4665800021665915E-3</v>
      </c>
    </row>
    <row r="524" spans="1:8" ht="13.5" x14ac:dyDescent="0.25">
      <c r="A524" s="1"/>
      <c r="B524" s="3">
        <v>43061</v>
      </c>
      <c r="C524" s="4">
        <v>2.97</v>
      </c>
      <c r="D524" s="4">
        <v>0.9325</v>
      </c>
      <c r="E524" s="4">
        <v>10</v>
      </c>
      <c r="F524" s="4"/>
      <c r="G524" s="4"/>
      <c r="H524" s="5">
        <f t="shared" si="8"/>
        <v>1.3697140993586198E-2</v>
      </c>
    </row>
    <row r="525" spans="1:8" ht="13.5" x14ac:dyDescent="0.25">
      <c r="A525" s="1"/>
      <c r="B525" s="3">
        <v>43062</v>
      </c>
      <c r="C525" s="4">
        <v>2.97</v>
      </c>
      <c r="D525" s="4">
        <v>0.9325</v>
      </c>
      <c r="E525" s="4">
        <v>0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3.04</v>
      </c>
      <c r="D526" s="4">
        <v>0.95450000000000002</v>
      </c>
      <c r="E526" s="4">
        <v>25214</v>
      </c>
      <c r="F526" s="4"/>
      <c r="G526" s="4"/>
      <c r="H526" s="5">
        <f t="shared" si="8"/>
        <v>2.3592493297587152E-2</v>
      </c>
    </row>
    <row r="527" spans="1:8" ht="13.5" x14ac:dyDescent="0.25">
      <c r="A527" s="1"/>
      <c r="B527" s="3">
        <v>43066</v>
      </c>
      <c r="C527" s="4">
        <v>3</v>
      </c>
      <c r="D527" s="4">
        <v>0.94189999999999996</v>
      </c>
      <c r="E527" s="4">
        <v>2222</v>
      </c>
      <c r="F527" s="4"/>
      <c r="G527" s="4"/>
      <c r="H527" s="5">
        <f t="shared" si="8"/>
        <v>-1.3200628601362027E-2</v>
      </c>
    </row>
    <row r="528" spans="1:8" ht="13.5" x14ac:dyDescent="0.25">
      <c r="A528" s="1"/>
      <c r="B528" s="3">
        <v>43067</v>
      </c>
      <c r="C528" s="4">
        <v>3</v>
      </c>
      <c r="D528" s="4">
        <v>0.94189999999999996</v>
      </c>
      <c r="E528" s="4">
        <v>12804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2.95</v>
      </c>
      <c r="D529" s="4">
        <v>0.92620000000000002</v>
      </c>
      <c r="E529" s="4">
        <v>1692</v>
      </c>
      <c r="F529" s="4"/>
      <c r="G529" s="4"/>
      <c r="H529" s="5">
        <f t="shared" si="8"/>
        <v>-1.6668436139717524E-2</v>
      </c>
    </row>
    <row r="530" spans="1:8" ht="13.5" x14ac:dyDescent="0.25">
      <c r="A530" s="1"/>
      <c r="B530" s="3">
        <v>43069</v>
      </c>
      <c r="C530" s="4">
        <v>3</v>
      </c>
      <c r="D530" s="4">
        <v>0.94189999999999996</v>
      </c>
      <c r="E530" s="4">
        <v>2560</v>
      </c>
      <c r="F530" s="4"/>
      <c r="G530" s="4"/>
      <c r="H530" s="5">
        <f t="shared" si="8"/>
        <v>1.6950982509177214E-2</v>
      </c>
    </row>
    <row r="531" spans="1:8" ht="13.5" x14ac:dyDescent="0.25">
      <c r="A531" s="1"/>
      <c r="B531" s="3">
        <v>43073</v>
      </c>
      <c r="C531" s="4">
        <v>3</v>
      </c>
      <c r="D531" s="4">
        <v>0.94189999999999996</v>
      </c>
      <c r="E531" s="4">
        <v>100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3</v>
      </c>
      <c r="D532" s="4">
        <v>0.94189999999999996</v>
      </c>
      <c r="E532" s="4">
        <v>4504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3</v>
      </c>
      <c r="D533" s="4">
        <v>0.94189999999999996</v>
      </c>
      <c r="E533" s="4">
        <v>0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43076</v>
      </c>
      <c r="C534" s="4">
        <v>3</v>
      </c>
      <c r="D534" s="4">
        <v>0.94189999999999996</v>
      </c>
      <c r="E534" s="4">
        <v>25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2.91</v>
      </c>
      <c r="D535" s="4">
        <v>0.91369999999999996</v>
      </c>
      <c r="E535" s="4">
        <v>3843</v>
      </c>
      <c r="F535" s="4"/>
      <c r="G535" s="4"/>
      <c r="H535" s="5">
        <f t="shared" si="8"/>
        <v>-2.9939484021658355E-2</v>
      </c>
    </row>
    <row r="536" spans="1:8" ht="13.5" x14ac:dyDescent="0.25">
      <c r="A536" s="1"/>
      <c r="B536" s="3">
        <v>43080</v>
      </c>
      <c r="C536" s="4">
        <v>2.9</v>
      </c>
      <c r="D536" s="4">
        <v>0.91049999999999998</v>
      </c>
      <c r="E536" s="4">
        <v>1156</v>
      </c>
      <c r="F536" s="4"/>
      <c r="G536" s="4"/>
      <c r="H536" s="5">
        <f t="shared" si="8"/>
        <v>-3.5022436248221306E-3</v>
      </c>
    </row>
    <row r="537" spans="1:8" ht="13.5" x14ac:dyDescent="0.25">
      <c r="A537" s="1"/>
      <c r="B537" s="3">
        <v>43081</v>
      </c>
      <c r="C537" s="4">
        <v>2.9</v>
      </c>
      <c r="D537" s="4">
        <v>0.91049999999999998</v>
      </c>
      <c r="E537" s="4">
        <v>7819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3.03</v>
      </c>
      <c r="D538" s="4">
        <v>0.95130000000000003</v>
      </c>
      <c r="E538" s="4">
        <v>27242</v>
      </c>
      <c r="F538" s="4"/>
      <c r="G538" s="4"/>
      <c r="H538" s="5">
        <f t="shared" si="8"/>
        <v>4.4810543657331205E-2</v>
      </c>
    </row>
    <row r="539" spans="1:8" ht="13.5" x14ac:dyDescent="0.25">
      <c r="A539" s="1"/>
      <c r="B539" s="3">
        <v>43083</v>
      </c>
      <c r="C539" s="4">
        <v>3.05</v>
      </c>
      <c r="D539" s="4">
        <v>0.95760000000000001</v>
      </c>
      <c r="E539" s="4">
        <v>44256</v>
      </c>
      <c r="F539" s="4"/>
      <c r="G539" s="4"/>
      <c r="H539" s="5">
        <f t="shared" si="8"/>
        <v>6.6225165562913612E-3</v>
      </c>
    </row>
    <row r="540" spans="1:8" ht="13.5" x14ac:dyDescent="0.25">
      <c r="A540" s="1"/>
      <c r="B540" s="3">
        <v>43084</v>
      </c>
      <c r="C540" s="4">
        <v>3</v>
      </c>
      <c r="D540" s="4">
        <v>0.94189999999999996</v>
      </c>
      <c r="E540" s="4">
        <v>455</v>
      </c>
      <c r="F540" s="4"/>
      <c r="G540" s="4"/>
      <c r="H540" s="5">
        <f t="shared" si="8"/>
        <v>-1.6395154553049338E-2</v>
      </c>
    </row>
    <row r="541" spans="1:8" ht="13.5" x14ac:dyDescent="0.25">
      <c r="A541" s="1"/>
      <c r="B541" s="3">
        <v>43087</v>
      </c>
      <c r="C541" s="4">
        <v>3</v>
      </c>
      <c r="D541" s="4">
        <v>0.94189999999999996</v>
      </c>
      <c r="E541" s="4">
        <v>766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3.09</v>
      </c>
      <c r="D542" s="4">
        <v>0.97019999999999995</v>
      </c>
      <c r="E542" s="4">
        <v>15859</v>
      </c>
      <c r="F542" s="4"/>
      <c r="G542" s="4"/>
      <c r="H542" s="5">
        <f t="shared" si="8"/>
        <v>3.0045652404713869E-2</v>
      </c>
    </row>
    <row r="543" spans="1:8" ht="13.5" x14ac:dyDescent="0.25">
      <c r="A543" s="1"/>
      <c r="B543" s="3">
        <v>43089</v>
      </c>
      <c r="C543" s="4">
        <v>3.18</v>
      </c>
      <c r="D543" s="4">
        <v>0.99839999999999995</v>
      </c>
      <c r="E543" s="4">
        <v>14607</v>
      </c>
      <c r="F543" s="4"/>
      <c r="G543" s="4"/>
      <c r="H543" s="5">
        <f t="shared" si="8"/>
        <v>2.9066171923314784E-2</v>
      </c>
    </row>
    <row r="544" spans="1:8" ht="13.5" x14ac:dyDescent="0.25">
      <c r="A544" s="1"/>
      <c r="B544" s="3">
        <v>43090</v>
      </c>
      <c r="C544" s="4">
        <v>3.1</v>
      </c>
      <c r="D544" s="4">
        <v>0.97330000000000005</v>
      </c>
      <c r="E544" s="4">
        <v>451</v>
      </c>
      <c r="F544" s="4"/>
      <c r="G544" s="4"/>
      <c r="H544" s="5">
        <f t="shared" si="8"/>
        <v>-2.5140224358974259E-2</v>
      </c>
    </row>
    <row r="545" spans="1:8" ht="13.5" x14ac:dyDescent="0.25">
      <c r="A545" s="1"/>
      <c r="B545" s="3">
        <v>43091</v>
      </c>
      <c r="C545" s="4">
        <v>3.15</v>
      </c>
      <c r="D545" s="4">
        <v>0.98899999999999999</v>
      </c>
      <c r="E545" s="4">
        <v>17372</v>
      </c>
      <c r="F545" s="4"/>
      <c r="G545" s="4"/>
      <c r="H545" s="5">
        <f t="shared" si="8"/>
        <v>1.6130689407171411E-2</v>
      </c>
    </row>
    <row r="546" spans="1:8" ht="13.5" x14ac:dyDescent="0.25">
      <c r="A546" s="1"/>
      <c r="B546" s="3">
        <v>43094</v>
      </c>
      <c r="C546" s="4">
        <v>3.1</v>
      </c>
      <c r="D546" s="4">
        <v>0.97330000000000005</v>
      </c>
      <c r="E546" s="4">
        <v>400</v>
      </c>
      <c r="F546" s="4"/>
      <c r="G546" s="4"/>
      <c r="H546" s="5">
        <f t="shared" si="8"/>
        <v>-1.5874620829120258E-2</v>
      </c>
    </row>
    <row r="547" spans="1:8" ht="13.5" x14ac:dyDescent="0.25">
      <c r="A547" s="1"/>
      <c r="B547" s="3">
        <v>43095</v>
      </c>
      <c r="C547" s="4">
        <v>3.1</v>
      </c>
      <c r="D547" s="4">
        <v>0.97330000000000005</v>
      </c>
      <c r="E547" s="4">
        <v>3715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3.1</v>
      </c>
      <c r="D548" s="4">
        <v>0.97330000000000005</v>
      </c>
      <c r="E548" s="4">
        <v>15658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3.1</v>
      </c>
      <c r="D549" s="4">
        <v>0.97330000000000005</v>
      </c>
      <c r="E549" s="4">
        <v>1401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3.06</v>
      </c>
      <c r="D550" s="4">
        <v>0.9607</v>
      </c>
      <c r="E550" s="4">
        <v>1214</v>
      </c>
      <c r="F550" s="4"/>
      <c r="G550" s="4"/>
      <c r="H550" s="5">
        <f t="shared" si="8"/>
        <v>-1.2945648823589905E-2</v>
      </c>
    </row>
    <row r="551" spans="1:8" ht="13.5" x14ac:dyDescent="0.25">
      <c r="A551" s="1"/>
      <c r="B551" s="3">
        <v>43102</v>
      </c>
      <c r="C551" s="4">
        <v>3.12</v>
      </c>
      <c r="D551" s="4">
        <v>0.97960000000000003</v>
      </c>
      <c r="E551" s="4">
        <v>2717</v>
      </c>
      <c r="F551" s="4"/>
      <c r="G551" s="4"/>
      <c r="H551" s="5">
        <f t="shared" si="8"/>
        <v>1.9673154991152315E-2</v>
      </c>
    </row>
    <row r="552" spans="1:8" ht="13.5" x14ac:dyDescent="0.25">
      <c r="A552" s="1"/>
      <c r="B552" s="3">
        <v>43103</v>
      </c>
      <c r="C552" s="4">
        <v>3.03</v>
      </c>
      <c r="D552" s="4">
        <v>0.95130000000000003</v>
      </c>
      <c r="E552" s="4">
        <v>65</v>
      </c>
      <c r="F552" s="4"/>
      <c r="G552" s="4"/>
      <c r="H552" s="5">
        <f t="shared" si="8"/>
        <v>-2.8889342588811751E-2</v>
      </c>
    </row>
    <row r="553" spans="1:8" ht="13.5" x14ac:dyDescent="0.25">
      <c r="A553" s="1"/>
      <c r="B553" s="3">
        <v>43104</v>
      </c>
      <c r="C553" s="4">
        <v>3.1</v>
      </c>
      <c r="D553" s="4">
        <v>0.97330000000000005</v>
      </c>
      <c r="E553" s="4">
        <v>6349</v>
      </c>
      <c r="F553" s="4"/>
      <c r="G553" s="4"/>
      <c r="H553" s="5">
        <f t="shared" si="8"/>
        <v>2.3126248291811227E-2</v>
      </c>
    </row>
    <row r="554" spans="1:8" ht="13.5" x14ac:dyDescent="0.25">
      <c r="A554" s="1"/>
      <c r="B554" s="3">
        <v>43105</v>
      </c>
      <c r="C554" s="4">
        <v>3.01</v>
      </c>
      <c r="D554" s="4">
        <v>0.94499999999999995</v>
      </c>
      <c r="E554" s="4">
        <v>2525</v>
      </c>
      <c r="F554" s="4"/>
      <c r="G554" s="4"/>
      <c r="H554" s="5">
        <f t="shared" si="8"/>
        <v>-2.9076338230761431E-2</v>
      </c>
    </row>
    <row r="555" spans="1:8" ht="13.5" x14ac:dyDescent="0.25">
      <c r="A555" s="1"/>
      <c r="B555" s="3">
        <v>43108</v>
      </c>
      <c r="C555" s="4">
        <v>3</v>
      </c>
      <c r="D555" s="4">
        <v>0.94189999999999996</v>
      </c>
      <c r="E555" s="4">
        <v>1399</v>
      </c>
      <c r="F555" s="4"/>
      <c r="G555" s="4"/>
      <c r="H555" s="5">
        <f t="shared" si="8"/>
        <v>-3.2804232804232716E-3</v>
      </c>
    </row>
    <row r="556" spans="1:8" ht="13.5" x14ac:dyDescent="0.25">
      <c r="A556" s="1"/>
      <c r="B556" s="3">
        <v>43109</v>
      </c>
      <c r="C556" s="4">
        <v>2.97</v>
      </c>
      <c r="D556" s="4">
        <v>0.9325</v>
      </c>
      <c r="E556" s="4">
        <v>3000</v>
      </c>
      <c r="F556" s="4"/>
      <c r="G556" s="4"/>
      <c r="H556" s="5">
        <f t="shared" si="8"/>
        <v>-9.9798280072194122E-3</v>
      </c>
    </row>
    <row r="557" spans="1:8" ht="13.5" x14ac:dyDescent="0.25">
      <c r="A557" s="1"/>
      <c r="B557" s="3">
        <v>43110</v>
      </c>
      <c r="C557" s="4">
        <v>2.94</v>
      </c>
      <c r="D557" s="4">
        <v>0.92310000000000003</v>
      </c>
      <c r="E557" s="4">
        <v>81</v>
      </c>
      <c r="F557" s="4"/>
      <c r="G557" s="4"/>
      <c r="H557" s="5">
        <f t="shared" si="8"/>
        <v>-1.0080428954423555E-2</v>
      </c>
    </row>
    <row r="558" spans="1:8" ht="13.5" x14ac:dyDescent="0.25">
      <c r="A558" s="1"/>
      <c r="B558" s="3">
        <v>43111</v>
      </c>
      <c r="C558" s="4">
        <v>2.9</v>
      </c>
      <c r="D558" s="4">
        <v>0.91049999999999998</v>
      </c>
      <c r="E558" s="4">
        <v>4800</v>
      </c>
      <c r="F558" s="4"/>
      <c r="G558" s="4"/>
      <c r="H558" s="5">
        <f t="shared" si="8"/>
        <v>-1.3649658758531096E-2</v>
      </c>
    </row>
    <row r="559" spans="1:8" ht="13.5" x14ac:dyDescent="0.25">
      <c r="A559" s="1"/>
      <c r="B559" s="3">
        <v>43112</v>
      </c>
      <c r="C559" s="4">
        <v>2.98</v>
      </c>
      <c r="D559" s="4">
        <v>0.93559999999999999</v>
      </c>
      <c r="E559" s="4">
        <v>15946</v>
      </c>
      <c r="F559" s="4"/>
      <c r="G559" s="4"/>
      <c r="H559" s="5">
        <f t="shared" si="8"/>
        <v>2.7567270730367941E-2</v>
      </c>
    </row>
    <row r="560" spans="1:8" ht="13.5" x14ac:dyDescent="0.25">
      <c r="A560" s="1"/>
      <c r="B560" s="3">
        <v>43115</v>
      </c>
      <c r="C560" s="4">
        <v>3.02</v>
      </c>
      <c r="D560" s="4">
        <v>0.94820000000000004</v>
      </c>
      <c r="E560" s="4">
        <v>4586</v>
      </c>
      <c r="F560" s="4"/>
      <c r="G560" s="4"/>
      <c r="H560" s="5">
        <f t="shared" si="8"/>
        <v>1.3467293715262993E-2</v>
      </c>
    </row>
    <row r="561" spans="1:8" ht="13.5" x14ac:dyDescent="0.25">
      <c r="A561" s="1"/>
      <c r="B561" s="3">
        <v>43116</v>
      </c>
      <c r="C561" s="4">
        <v>3.02</v>
      </c>
      <c r="D561" s="4">
        <v>0.94820000000000004</v>
      </c>
      <c r="E561" s="4">
        <v>12673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2.94</v>
      </c>
      <c r="D562" s="4">
        <v>0.92310000000000003</v>
      </c>
      <c r="E562" s="4">
        <v>3595</v>
      </c>
      <c r="F562" s="4"/>
      <c r="G562" s="4"/>
      <c r="H562" s="5">
        <f t="shared" si="8"/>
        <v>-2.6471208605779381E-2</v>
      </c>
    </row>
    <row r="563" spans="1:8" ht="13.5" x14ac:dyDescent="0.25">
      <c r="A563" s="1"/>
      <c r="B563" s="3">
        <v>43118</v>
      </c>
      <c r="C563" s="4">
        <v>3.11</v>
      </c>
      <c r="D563" s="4">
        <v>0.97640000000000005</v>
      </c>
      <c r="E563" s="4">
        <v>9575</v>
      </c>
      <c r="F563" s="4"/>
      <c r="G563" s="4"/>
      <c r="H563" s="5">
        <f t="shared" si="8"/>
        <v>5.774022316108765E-2</v>
      </c>
    </row>
    <row r="564" spans="1:8" ht="13.5" x14ac:dyDescent="0.25">
      <c r="A564" s="1"/>
      <c r="B564" s="3">
        <v>43119</v>
      </c>
      <c r="C564" s="4">
        <v>3.22</v>
      </c>
      <c r="D564" s="4">
        <v>1.0109999999999999</v>
      </c>
      <c r="E564" s="4">
        <v>26711</v>
      </c>
      <c r="F564" s="4"/>
      <c r="G564" s="4"/>
      <c r="H564" s="5">
        <f t="shared" si="8"/>
        <v>3.5436296599754044E-2</v>
      </c>
    </row>
    <row r="565" spans="1:8" ht="13.5" x14ac:dyDescent="0.25">
      <c r="A565" s="1"/>
      <c r="B565" s="3">
        <v>43122</v>
      </c>
      <c r="C565" s="4">
        <v>3.3</v>
      </c>
      <c r="D565" s="4">
        <v>1.0361</v>
      </c>
      <c r="E565" s="4">
        <v>10102</v>
      </c>
      <c r="F565" s="4"/>
      <c r="G565" s="4"/>
      <c r="H565" s="5">
        <f t="shared" si="8"/>
        <v>2.4826904055390824E-2</v>
      </c>
    </row>
    <row r="566" spans="1:8" ht="13.5" x14ac:dyDescent="0.25">
      <c r="A566" s="1"/>
      <c r="B566" s="3">
        <v>43123</v>
      </c>
      <c r="C566" s="4">
        <v>3.3</v>
      </c>
      <c r="D566" s="4">
        <v>1.0361</v>
      </c>
      <c r="E566" s="4">
        <v>41975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3.25</v>
      </c>
      <c r="D567" s="4">
        <v>1.0204</v>
      </c>
      <c r="E567" s="4">
        <v>11959</v>
      </c>
      <c r="F567" s="4"/>
      <c r="G567" s="4"/>
      <c r="H567" s="5">
        <f t="shared" si="8"/>
        <v>-1.5152977511823228E-2</v>
      </c>
    </row>
    <row r="568" spans="1:8" ht="13.5" x14ac:dyDescent="0.25">
      <c r="A568" s="1"/>
      <c r="B568" s="3">
        <v>43125</v>
      </c>
      <c r="C568" s="4">
        <v>3.28</v>
      </c>
      <c r="D568" s="4">
        <v>1.0298</v>
      </c>
      <c r="E568" s="4">
        <v>1870</v>
      </c>
      <c r="F568" s="4"/>
      <c r="G568" s="4"/>
      <c r="H568" s="5">
        <f t="shared" si="8"/>
        <v>9.2120736965896465E-3</v>
      </c>
    </row>
    <row r="569" spans="1:8" ht="13.5" x14ac:dyDescent="0.25">
      <c r="A569" s="1"/>
      <c r="B569" s="3">
        <v>43126</v>
      </c>
      <c r="C569" s="4">
        <v>3.28</v>
      </c>
      <c r="D569" s="4">
        <v>1.0298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3.24</v>
      </c>
      <c r="D570" s="4">
        <v>1.0173000000000001</v>
      </c>
      <c r="E570" s="4">
        <v>503</v>
      </c>
      <c r="F570" s="4"/>
      <c r="G570" s="4"/>
      <c r="H570" s="5">
        <f t="shared" si="8"/>
        <v>-1.2138279277529574E-2</v>
      </c>
    </row>
    <row r="571" spans="1:8" ht="13.5" x14ac:dyDescent="0.25">
      <c r="A571" s="1"/>
      <c r="B571" s="3">
        <v>43130</v>
      </c>
      <c r="C571" s="4">
        <v>3.19</v>
      </c>
      <c r="D571" s="4">
        <v>1.0016</v>
      </c>
      <c r="E571" s="4">
        <v>1000</v>
      </c>
      <c r="F571" s="4"/>
      <c r="G571" s="4"/>
      <c r="H571" s="5">
        <f t="shared" si="8"/>
        <v>-1.5433008945247267E-2</v>
      </c>
    </row>
    <row r="572" spans="1:8" ht="13.5" x14ac:dyDescent="0.25">
      <c r="A572" s="1"/>
      <c r="B572" s="3">
        <v>43131</v>
      </c>
      <c r="C572" s="4">
        <v>3.15</v>
      </c>
      <c r="D572" s="4">
        <v>0.98899999999999999</v>
      </c>
      <c r="E572" s="4">
        <v>2997</v>
      </c>
      <c r="F572" s="4"/>
      <c r="G572" s="4"/>
      <c r="H572" s="5">
        <f t="shared" si="8"/>
        <v>-1.2579872204472898E-2</v>
      </c>
    </row>
    <row r="573" spans="1:8" ht="13.5" x14ac:dyDescent="0.25">
      <c r="A573" s="1"/>
      <c r="B573" s="3">
        <v>43132</v>
      </c>
      <c r="C573" s="4">
        <v>3.06</v>
      </c>
      <c r="D573" s="4">
        <v>0.9607</v>
      </c>
      <c r="E573" s="4">
        <v>3544</v>
      </c>
      <c r="F573" s="4"/>
      <c r="G573" s="4"/>
      <c r="H573" s="5">
        <f t="shared" si="8"/>
        <v>-2.8614762386248729E-2</v>
      </c>
    </row>
    <row r="574" spans="1:8" ht="13.5" x14ac:dyDescent="0.25">
      <c r="A574" s="1"/>
      <c r="B574" s="3">
        <v>43133</v>
      </c>
      <c r="C574" s="4">
        <v>3.14</v>
      </c>
      <c r="D574" s="4">
        <v>0.9859</v>
      </c>
      <c r="E574" s="4">
        <v>5511</v>
      </c>
      <c r="F574" s="4"/>
      <c r="G574" s="4"/>
      <c r="H574" s="5">
        <f t="shared" si="8"/>
        <v>2.6230873321536379E-2</v>
      </c>
    </row>
    <row r="575" spans="1:8" ht="13.5" x14ac:dyDescent="0.25">
      <c r="A575" s="1"/>
      <c r="B575" s="3">
        <v>43136</v>
      </c>
      <c r="C575" s="4">
        <v>3.2</v>
      </c>
      <c r="D575" s="4">
        <v>1.0046999999999999</v>
      </c>
      <c r="E575" s="4">
        <v>1239</v>
      </c>
      <c r="F575" s="4"/>
      <c r="G575" s="4"/>
      <c r="H575" s="5">
        <f t="shared" si="8"/>
        <v>1.906887108225979E-2</v>
      </c>
    </row>
    <row r="576" spans="1:8" ht="13.5" x14ac:dyDescent="0.25">
      <c r="A576" s="1"/>
      <c r="B576" s="3">
        <v>43137</v>
      </c>
      <c r="C576" s="4">
        <v>3.19</v>
      </c>
      <c r="D576" s="4">
        <v>1.0016</v>
      </c>
      <c r="E576" s="4">
        <v>1182</v>
      </c>
      <c r="F576" s="4"/>
      <c r="G576" s="4"/>
      <c r="H576" s="5">
        <f t="shared" si="8"/>
        <v>-3.085498158654206E-3</v>
      </c>
    </row>
    <row r="577" spans="1:8" ht="13.5" x14ac:dyDescent="0.25">
      <c r="A577" s="1"/>
      <c r="B577" s="3">
        <v>43138</v>
      </c>
      <c r="C577" s="4">
        <v>3.1</v>
      </c>
      <c r="D577" s="4">
        <v>0.97330000000000005</v>
      </c>
      <c r="E577" s="4">
        <v>230</v>
      </c>
      <c r="F577" s="4"/>
      <c r="G577" s="4"/>
      <c r="H577" s="5">
        <f t="shared" si="8"/>
        <v>-2.8254792332268359E-2</v>
      </c>
    </row>
    <row r="578" spans="1:8" ht="13.5" x14ac:dyDescent="0.25">
      <c r="A578" s="1"/>
      <c r="B578" s="3">
        <v>43139</v>
      </c>
      <c r="C578" s="4">
        <v>3.1</v>
      </c>
      <c r="D578" s="4">
        <v>0.97330000000000005</v>
      </c>
      <c r="E578" s="4">
        <v>1444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3.15</v>
      </c>
      <c r="D579" s="4">
        <v>0.98899999999999999</v>
      </c>
      <c r="E579" s="4">
        <v>573</v>
      </c>
      <c r="F579" s="4"/>
      <c r="G579" s="4"/>
      <c r="H579" s="5">
        <f t="shared" si="8"/>
        <v>1.6130689407171411E-2</v>
      </c>
    </row>
    <row r="580" spans="1:8" ht="13.5" x14ac:dyDescent="0.25">
      <c r="A580" s="1"/>
      <c r="B580" s="3">
        <v>43143</v>
      </c>
      <c r="C580" s="4">
        <v>3.06</v>
      </c>
      <c r="D580" s="4">
        <v>0.9607</v>
      </c>
      <c r="E580" s="4">
        <v>2099</v>
      </c>
      <c r="F580" s="4"/>
      <c r="G580" s="4"/>
      <c r="H580" s="5">
        <f t="shared" si="8"/>
        <v>-2.8614762386248729E-2</v>
      </c>
    </row>
    <row r="581" spans="1:8" ht="13.5" x14ac:dyDescent="0.25">
      <c r="A581" s="1"/>
      <c r="B581" s="3">
        <v>43144</v>
      </c>
      <c r="C581" s="4">
        <v>3</v>
      </c>
      <c r="D581" s="4">
        <v>0.94189999999999996</v>
      </c>
      <c r="E581" s="4">
        <v>3066</v>
      </c>
      <c r="F581" s="4"/>
      <c r="G581" s="4"/>
      <c r="H581" s="5">
        <f t="shared" si="8"/>
        <v>-1.9569064224003372E-2</v>
      </c>
    </row>
    <row r="582" spans="1:8" ht="13.5" x14ac:dyDescent="0.25">
      <c r="A582" s="1"/>
      <c r="B582" s="3">
        <v>43145</v>
      </c>
      <c r="C582" s="4">
        <v>3.09</v>
      </c>
      <c r="D582" s="4">
        <v>0.97019999999999995</v>
      </c>
      <c r="E582" s="4">
        <v>12787</v>
      </c>
      <c r="F582" s="4"/>
      <c r="G582" s="4"/>
      <c r="H582" s="5">
        <f t="shared" si="8"/>
        <v>3.0045652404713869E-2</v>
      </c>
    </row>
    <row r="583" spans="1:8" ht="13.5" x14ac:dyDescent="0.25">
      <c r="A583" s="1"/>
      <c r="B583" s="3">
        <v>43146</v>
      </c>
      <c r="C583" s="4">
        <v>3.08</v>
      </c>
      <c r="D583" s="4">
        <v>0.96699999999999997</v>
      </c>
      <c r="E583" s="4">
        <v>520</v>
      </c>
      <c r="F583" s="4"/>
      <c r="G583" s="4"/>
      <c r="H583" s="5">
        <f t="shared" ref="H583:H646" si="9">(D583-D582)/D582</f>
        <v>-3.2982890125747072E-3</v>
      </c>
    </row>
    <row r="584" spans="1:8" ht="13.5" x14ac:dyDescent="0.25">
      <c r="A584" s="1"/>
      <c r="B584" s="3">
        <v>43147</v>
      </c>
      <c r="C584" s="4">
        <v>3.08</v>
      </c>
      <c r="D584" s="4">
        <v>0.96699999999999997</v>
      </c>
      <c r="E584" s="4">
        <v>10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3.08</v>
      </c>
      <c r="D585" s="4">
        <v>0.96699999999999997</v>
      </c>
      <c r="E585" s="4">
        <v>2334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3.08</v>
      </c>
      <c r="D586" s="4">
        <v>0.96699999999999997</v>
      </c>
      <c r="E586" s="4">
        <v>5285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3.08</v>
      </c>
      <c r="D587" s="4">
        <v>0.96699999999999997</v>
      </c>
      <c r="E587" s="4">
        <v>824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3.1</v>
      </c>
      <c r="D588" s="4">
        <v>0.97330000000000005</v>
      </c>
      <c r="E588" s="4">
        <v>5129</v>
      </c>
      <c r="F588" s="4"/>
      <c r="G588" s="4"/>
      <c r="H588" s="5">
        <f t="shared" si="9"/>
        <v>6.5149948293692691E-3</v>
      </c>
    </row>
    <row r="589" spans="1:8" ht="13.5" x14ac:dyDescent="0.25">
      <c r="A589" s="1"/>
      <c r="B589" s="3">
        <v>43154</v>
      </c>
      <c r="C589" s="4">
        <v>3.05</v>
      </c>
      <c r="D589" s="4">
        <v>0.95760000000000001</v>
      </c>
      <c r="E589" s="4">
        <v>2480</v>
      </c>
      <c r="F589" s="4"/>
      <c r="G589" s="4"/>
      <c r="H589" s="5">
        <f t="shared" si="9"/>
        <v>-1.6130689407171526E-2</v>
      </c>
    </row>
    <row r="590" spans="1:8" ht="13.5" x14ac:dyDescent="0.25">
      <c r="A590" s="1"/>
      <c r="B590" s="3">
        <v>43157</v>
      </c>
      <c r="C590" s="4">
        <v>3.1</v>
      </c>
      <c r="D590" s="4">
        <v>0.97330000000000005</v>
      </c>
      <c r="E590" s="4">
        <v>3164</v>
      </c>
      <c r="F590" s="4"/>
      <c r="G590" s="4"/>
      <c r="H590" s="5">
        <f t="shared" si="9"/>
        <v>1.6395154553049338E-2</v>
      </c>
    </row>
    <row r="591" spans="1:8" ht="13.5" x14ac:dyDescent="0.25">
      <c r="A591" s="1"/>
      <c r="B591" s="3">
        <v>43158</v>
      </c>
      <c r="C591" s="4">
        <v>3.04</v>
      </c>
      <c r="D591" s="4">
        <v>0.95450000000000002</v>
      </c>
      <c r="E591" s="4">
        <v>1143</v>
      </c>
      <c r="F591" s="4"/>
      <c r="G591" s="4"/>
      <c r="H591" s="5">
        <f t="shared" si="9"/>
        <v>-1.9315729990753146E-2</v>
      </c>
    </row>
    <row r="592" spans="1:8" ht="13.5" x14ac:dyDescent="0.25">
      <c r="A592" s="1"/>
      <c r="B592" s="3">
        <v>43159</v>
      </c>
      <c r="C592" s="4">
        <v>3.09</v>
      </c>
      <c r="D592" s="4">
        <v>0.97019999999999995</v>
      </c>
      <c r="E592" s="4">
        <v>2126</v>
      </c>
      <c r="F592" s="4"/>
      <c r="G592" s="4"/>
      <c r="H592" s="5">
        <f t="shared" si="9"/>
        <v>1.6448402304871594E-2</v>
      </c>
    </row>
    <row r="593" spans="1:8" ht="13.5" x14ac:dyDescent="0.25">
      <c r="A593" s="1"/>
      <c r="B593" s="3">
        <v>43160</v>
      </c>
      <c r="C593" s="4">
        <v>3.18</v>
      </c>
      <c r="D593" s="4">
        <v>0.99839999999999995</v>
      </c>
      <c r="E593" s="4">
        <v>24770</v>
      </c>
      <c r="F593" s="4"/>
      <c r="G593" s="4"/>
      <c r="H593" s="5">
        <f t="shared" si="9"/>
        <v>2.9066171923314784E-2</v>
      </c>
    </row>
    <row r="594" spans="1:8" ht="13.5" x14ac:dyDescent="0.25">
      <c r="A594" s="1"/>
      <c r="B594" s="3">
        <v>43161</v>
      </c>
      <c r="C594" s="4">
        <v>3.2</v>
      </c>
      <c r="D594" s="4">
        <v>1.0046999999999999</v>
      </c>
      <c r="E594" s="4">
        <v>11014</v>
      </c>
      <c r="F594" s="4"/>
      <c r="G594" s="4"/>
      <c r="H594" s="5">
        <f t="shared" si="9"/>
        <v>6.3100961538461262E-3</v>
      </c>
    </row>
    <row r="595" spans="1:8" ht="13.5" x14ac:dyDescent="0.25">
      <c r="A595" s="1"/>
      <c r="B595" s="3">
        <v>43164</v>
      </c>
      <c r="C595" s="4">
        <v>3.11</v>
      </c>
      <c r="D595" s="4">
        <v>0.97640000000000005</v>
      </c>
      <c r="E595" s="4">
        <v>3157</v>
      </c>
      <c r="F595" s="4"/>
      <c r="G595" s="4"/>
      <c r="H595" s="5">
        <f t="shared" si="9"/>
        <v>-2.816761222255388E-2</v>
      </c>
    </row>
    <row r="596" spans="1:8" ht="13.5" x14ac:dyDescent="0.25">
      <c r="A596" s="1"/>
      <c r="B596" s="3">
        <v>43165</v>
      </c>
      <c r="C596" s="4">
        <v>3.17</v>
      </c>
      <c r="D596" s="4">
        <v>0.99529999999999996</v>
      </c>
      <c r="E596" s="4">
        <v>4605</v>
      </c>
      <c r="F596" s="4"/>
      <c r="G596" s="4"/>
      <c r="H596" s="5">
        <f t="shared" si="9"/>
        <v>1.9356820975010156E-2</v>
      </c>
    </row>
    <row r="597" spans="1:8" ht="13.5" x14ac:dyDescent="0.25">
      <c r="A597" s="1"/>
      <c r="B597" s="3">
        <v>43166</v>
      </c>
      <c r="C597" s="4">
        <v>3.15</v>
      </c>
      <c r="D597" s="4">
        <v>0.98899999999999999</v>
      </c>
      <c r="E597" s="4">
        <v>6665</v>
      </c>
      <c r="F597" s="4"/>
      <c r="G597" s="4"/>
      <c r="H597" s="5">
        <f t="shared" si="9"/>
        <v>-6.3297498241735887E-3</v>
      </c>
    </row>
    <row r="598" spans="1:8" ht="13.5" x14ac:dyDescent="0.25">
      <c r="A598" s="1"/>
      <c r="B598" s="3">
        <v>43167</v>
      </c>
      <c r="C598" s="4">
        <v>3.06</v>
      </c>
      <c r="D598" s="4">
        <v>0.9607</v>
      </c>
      <c r="E598" s="4">
        <v>590</v>
      </c>
      <c r="F598" s="4"/>
      <c r="G598" s="4"/>
      <c r="H598" s="5">
        <f t="shared" si="9"/>
        <v>-2.8614762386248729E-2</v>
      </c>
    </row>
    <row r="599" spans="1:8" ht="13.5" x14ac:dyDescent="0.25">
      <c r="A599" s="1"/>
      <c r="B599" s="3">
        <v>43168</v>
      </c>
      <c r="C599" s="4">
        <v>3.07</v>
      </c>
      <c r="D599" s="4">
        <v>0.96389999999999998</v>
      </c>
      <c r="E599" s="4">
        <v>2620</v>
      </c>
      <c r="F599" s="4"/>
      <c r="G599" s="4"/>
      <c r="H599" s="5">
        <f t="shared" si="9"/>
        <v>3.3309045487665044E-3</v>
      </c>
    </row>
    <row r="600" spans="1:8" ht="13.5" x14ac:dyDescent="0.25">
      <c r="A600" s="1"/>
      <c r="B600" s="3">
        <v>43171</v>
      </c>
      <c r="C600" s="4">
        <v>3.09</v>
      </c>
      <c r="D600" s="4">
        <v>0.97019999999999995</v>
      </c>
      <c r="E600" s="4">
        <v>895</v>
      </c>
      <c r="F600" s="4"/>
      <c r="G600" s="4"/>
      <c r="H600" s="5">
        <f t="shared" si="9"/>
        <v>6.5359477124182722E-3</v>
      </c>
    </row>
    <row r="601" spans="1:8" ht="13.5" x14ac:dyDescent="0.25">
      <c r="A601" s="1"/>
      <c r="B601" s="3">
        <v>43172</v>
      </c>
      <c r="C601" s="4">
        <v>3.09</v>
      </c>
      <c r="D601" s="4">
        <v>0.97019999999999995</v>
      </c>
      <c r="E601" s="4">
        <v>300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3.04</v>
      </c>
      <c r="D602" s="4">
        <v>0.95450000000000002</v>
      </c>
      <c r="E602" s="4">
        <v>7320</v>
      </c>
      <c r="F602" s="4"/>
      <c r="G602" s="4"/>
      <c r="H602" s="5">
        <f t="shared" si="9"/>
        <v>-1.6182230467944689E-2</v>
      </c>
    </row>
    <row r="603" spans="1:8" ht="13.5" x14ac:dyDescent="0.25">
      <c r="A603" s="1"/>
      <c r="B603" s="3">
        <v>43174</v>
      </c>
      <c r="C603" s="4">
        <v>3</v>
      </c>
      <c r="D603" s="4">
        <v>0.94189999999999996</v>
      </c>
      <c r="E603" s="4">
        <v>1400</v>
      </c>
      <c r="F603" s="4"/>
      <c r="G603" s="4"/>
      <c r="H603" s="5">
        <f t="shared" si="9"/>
        <v>-1.3200628601362027E-2</v>
      </c>
    </row>
    <row r="604" spans="1:8" ht="13.5" x14ac:dyDescent="0.25">
      <c r="A604" s="1"/>
      <c r="B604" s="3">
        <v>43175</v>
      </c>
      <c r="C604" s="4">
        <v>3.04</v>
      </c>
      <c r="D604" s="4">
        <v>0.95450000000000002</v>
      </c>
      <c r="E604" s="4">
        <v>3458</v>
      </c>
      <c r="F604" s="4"/>
      <c r="G604" s="4"/>
      <c r="H604" s="5">
        <f t="shared" si="9"/>
        <v>1.3377216264996343E-2</v>
      </c>
    </row>
    <row r="605" spans="1:8" ht="13.5" x14ac:dyDescent="0.25">
      <c r="A605" s="1"/>
      <c r="B605" s="3">
        <v>43178</v>
      </c>
      <c r="C605" s="4">
        <v>3.04</v>
      </c>
      <c r="D605" s="4">
        <v>0.95450000000000002</v>
      </c>
      <c r="E605" s="4">
        <v>323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3</v>
      </c>
      <c r="D606" s="4">
        <v>0.94189999999999996</v>
      </c>
      <c r="E606" s="4">
        <v>2450</v>
      </c>
      <c r="F606" s="4"/>
      <c r="G606" s="4"/>
      <c r="H606" s="5">
        <f t="shared" si="9"/>
        <v>-1.3200628601362027E-2</v>
      </c>
    </row>
    <row r="607" spans="1:8" ht="13.5" x14ac:dyDescent="0.25">
      <c r="A607" s="1"/>
      <c r="B607" s="3">
        <v>43181</v>
      </c>
      <c r="C607" s="4">
        <v>3.09</v>
      </c>
      <c r="D607" s="4">
        <v>0.97019999999999995</v>
      </c>
      <c r="E607" s="4">
        <v>8951</v>
      </c>
      <c r="F607" s="4"/>
      <c r="G607" s="4"/>
      <c r="H607" s="5">
        <f t="shared" si="9"/>
        <v>3.0045652404713869E-2</v>
      </c>
    </row>
    <row r="608" spans="1:8" ht="13.5" x14ac:dyDescent="0.25">
      <c r="A608" s="1"/>
      <c r="B608" s="3">
        <v>43182</v>
      </c>
      <c r="C608" s="4">
        <v>3.09</v>
      </c>
      <c r="D608" s="4">
        <v>0.97019999999999995</v>
      </c>
      <c r="E608" s="4">
        <v>20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3.08</v>
      </c>
      <c r="D609" s="4">
        <v>0.96699999999999997</v>
      </c>
      <c r="E609" s="4">
        <v>140</v>
      </c>
      <c r="F609" s="4"/>
      <c r="G609" s="4"/>
      <c r="H609" s="5">
        <f t="shared" si="9"/>
        <v>-3.2982890125747072E-3</v>
      </c>
    </row>
    <row r="610" spans="1:8" ht="13.5" x14ac:dyDescent="0.25">
      <c r="A610" s="1"/>
      <c r="B610" s="3">
        <v>43186</v>
      </c>
      <c r="C610" s="4">
        <v>3</v>
      </c>
      <c r="D610" s="4">
        <v>0.94189999999999996</v>
      </c>
      <c r="E610" s="4">
        <v>9562</v>
      </c>
      <c r="F610" s="4"/>
      <c r="G610" s="4"/>
      <c r="H610" s="5">
        <f t="shared" si="9"/>
        <v>-2.5956566701137551E-2</v>
      </c>
    </row>
    <row r="611" spans="1:8" ht="13.5" x14ac:dyDescent="0.25">
      <c r="A611" s="1"/>
      <c r="B611" s="3">
        <v>43187</v>
      </c>
      <c r="C611" s="4">
        <v>3.08</v>
      </c>
      <c r="D611" s="4">
        <v>0.96699999999999997</v>
      </c>
      <c r="E611" s="4">
        <v>5745</v>
      </c>
      <c r="F611" s="4"/>
      <c r="G611" s="4"/>
      <c r="H611" s="5">
        <f t="shared" si="9"/>
        <v>2.6648264146937054E-2</v>
      </c>
    </row>
    <row r="612" spans="1:8" ht="13.5" x14ac:dyDescent="0.25">
      <c r="A612" s="1"/>
      <c r="B612" s="3">
        <v>43188</v>
      </c>
      <c r="C612" s="4">
        <v>3.2</v>
      </c>
      <c r="D612" s="4">
        <v>1.0046999999999999</v>
      </c>
      <c r="E612" s="4">
        <v>91634</v>
      </c>
      <c r="F612" s="4"/>
      <c r="G612" s="4"/>
      <c r="H612" s="5">
        <f t="shared" si="9"/>
        <v>3.8986556359875857E-2</v>
      </c>
    </row>
    <row r="613" spans="1:8" ht="13.5" x14ac:dyDescent="0.25">
      <c r="A613" s="1"/>
      <c r="B613" s="3">
        <v>43189</v>
      </c>
      <c r="C613" s="4">
        <v>3.29</v>
      </c>
      <c r="D613" s="4">
        <v>1.0329999999999999</v>
      </c>
      <c r="E613" s="4">
        <v>11182</v>
      </c>
      <c r="F613" s="4"/>
      <c r="G613" s="4"/>
      <c r="H613" s="5">
        <f t="shared" si="9"/>
        <v>2.8167612222553991E-2</v>
      </c>
    </row>
    <row r="614" spans="1:8" ht="13.5" x14ac:dyDescent="0.25">
      <c r="A614" s="1"/>
      <c r="B614" s="3">
        <v>43192</v>
      </c>
      <c r="C614" s="4">
        <v>3.2</v>
      </c>
      <c r="D614" s="4">
        <v>1.0046999999999999</v>
      </c>
      <c r="E614" s="4">
        <v>10970</v>
      </c>
      <c r="F614" s="4"/>
      <c r="G614" s="4"/>
      <c r="H614" s="5">
        <f t="shared" si="9"/>
        <v>-2.7395934172313643E-2</v>
      </c>
    </row>
    <row r="615" spans="1:8" ht="13.5" x14ac:dyDescent="0.25">
      <c r="A615" s="1"/>
      <c r="B615" s="3">
        <v>43193</v>
      </c>
      <c r="C615" s="4">
        <v>3.11</v>
      </c>
      <c r="D615" s="4">
        <v>0.97640000000000005</v>
      </c>
      <c r="E615" s="4">
        <v>12021</v>
      </c>
      <c r="F615" s="4"/>
      <c r="G615" s="4"/>
      <c r="H615" s="5">
        <f t="shared" si="9"/>
        <v>-2.816761222255388E-2</v>
      </c>
    </row>
    <row r="616" spans="1:8" ht="13.5" x14ac:dyDescent="0.25">
      <c r="A616" s="1"/>
      <c r="B616" s="3">
        <v>43194</v>
      </c>
      <c r="C616" s="4">
        <v>3.19</v>
      </c>
      <c r="D616" s="4">
        <v>1.0016</v>
      </c>
      <c r="E616" s="4">
        <v>9910</v>
      </c>
      <c r="F616" s="4"/>
      <c r="G616" s="4"/>
      <c r="H616" s="5">
        <f t="shared" si="9"/>
        <v>2.5809094633346987E-2</v>
      </c>
    </row>
    <row r="617" spans="1:8" ht="13.5" x14ac:dyDescent="0.25">
      <c r="A617" s="1"/>
      <c r="B617" s="3">
        <v>43195</v>
      </c>
      <c r="C617" s="4">
        <v>3.16</v>
      </c>
      <c r="D617" s="4">
        <v>0.99209999999999998</v>
      </c>
      <c r="E617" s="4">
        <v>4701</v>
      </c>
      <c r="F617" s="4"/>
      <c r="G617" s="4"/>
      <c r="H617" s="5">
        <f t="shared" si="9"/>
        <v>-9.484824281150224E-3</v>
      </c>
    </row>
    <row r="618" spans="1:8" ht="13.5" x14ac:dyDescent="0.25">
      <c r="A618" s="1"/>
      <c r="B618" s="3">
        <v>43196</v>
      </c>
      <c r="C618" s="4">
        <v>3.12</v>
      </c>
      <c r="D618" s="4">
        <v>0.97960000000000003</v>
      </c>
      <c r="E618" s="4">
        <v>5269</v>
      </c>
      <c r="F618" s="4"/>
      <c r="G618" s="4"/>
      <c r="H618" s="5">
        <f t="shared" si="9"/>
        <v>-1.2599536337062751E-2</v>
      </c>
    </row>
    <row r="619" spans="1:8" ht="13.5" x14ac:dyDescent="0.25">
      <c r="A619" s="1"/>
      <c r="B619" s="3">
        <v>43200</v>
      </c>
      <c r="C619" s="4">
        <v>3.11</v>
      </c>
      <c r="D619" s="4">
        <v>0.97640000000000005</v>
      </c>
      <c r="E619" s="4">
        <v>5318</v>
      </c>
      <c r="F619" s="4"/>
      <c r="G619" s="4"/>
      <c r="H619" s="5">
        <f t="shared" si="9"/>
        <v>-3.2666394446712746E-3</v>
      </c>
    </row>
    <row r="620" spans="1:8" ht="13.5" x14ac:dyDescent="0.25">
      <c r="A620" s="1"/>
      <c r="B620" s="3">
        <v>43201</v>
      </c>
      <c r="C620" s="4">
        <v>3.1</v>
      </c>
      <c r="D620" s="4">
        <v>0.97330000000000005</v>
      </c>
      <c r="E620" s="4">
        <v>6691</v>
      </c>
      <c r="F620" s="4"/>
      <c r="G620" s="4"/>
      <c r="H620" s="5">
        <f t="shared" si="9"/>
        <v>-3.1749283080704542E-3</v>
      </c>
    </row>
    <row r="621" spans="1:8" ht="13.5" x14ac:dyDescent="0.25">
      <c r="A621" s="1"/>
      <c r="B621" s="3">
        <v>43202</v>
      </c>
      <c r="C621" s="4">
        <v>3.1</v>
      </c>
      <c r="D621" s="4">
        <v>0.97330000000000005</v>
      </c>
      <c r="E621" s="4">
        <v>1135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3.19</v>
      </c>
      <c r="D622" s="4">
        <v>1.0016</v>
      </c>
      <c r="E622" s="4">
        <v>28630</v>
      </c>
      <c r="F622" s="4"/>
      <c r="G622" s="4"/>
      <c r="H622" s="5">
        <f t="shared" si="9"/>
        <v>2.9076338230761316E-2</v>
      </c>
    </row>
    <row r="623" spans="1:8" ht="13.5" x14ac:dyDescent="0.25">
      <c r="A623" s="1"/>
      <c r="B623" s="3">
        <v>43206</v>
      </c>
      <c r="C623" s="4">
        <v>3.3</v>
      </c>
      <c r="D623" s="4">
        <v>1.0361</v>
      </c>
      <c r="E623" s="4">
        <v>8042</v>
      </c>
      <c r="F623" s="4"/>
      <c r="G623" s="4"/>
      <c r="H623" s="5">
        <f t="shared" si="9"/>
        <v>3.444488817891371E-2</v>
      </c>
    </row>
    <row r="624" spans="1:8" ht="13.5" x14ac:dyDescent="0.25">
      <c r="A624" s="1"/>
      <c r="B624" s="3">
        <v>43207</v>
      </c>
      <c r="C624" s="4">
        <v>3.28</v>
      </c>
      <c r="D624" s="4">
        <v>1.0298</v>
      </c>
      <c r="E624" s="4">
        <v>150</v>
      </c>
      <c r="F624" s="4"/>
      <c r="G624" s="4"/>
      <c r="H624" s="5">
        <f t="shared" si="9"/>
        <v>-6.080494160795263E-3</v>
      </c>
    </row>
    <row r="625" spans="1:8" ht="13.5" x14ac:dyDescent="0.25">
      <c r="A625" s="1"/>
      <c r="B625" s="3">
        <v>43208</v>
      </c>
      <c r="C625" s="4">
        <v>3.29</v>
      </c>
      <c r="D625" s="4">
        <v>1.0329999999999999</v>
      </c>
      <c r="E625" s="4">
        <v>1401</v>
      </c>
      <c r="F625" s="4"/>
      <c r="G625" s="4"/>
      <c r="H625" s="5">
        <f t="shared" si="9"/>
        <v>3.1073994950474551E-3</v>
      </c>
    </row>
    <row r="626" spans="1:8" ht="13.5" x14ac:dyDescent="0.25">
      <c r="A626" s="1"/>
      <c r="B626" s="3">
        <v>43209</v>
      </c>
      <c r="C626" s="4">
        <v>3.29</v>
      </c>
      <c r="D626" s="4">
        <v>1.0329999999999999</v>
      </c>
      <c r="E626" s="4">
        <v>2314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3.28</v>
      </c>
      <c r="D627" s="4">
        <v>1.0298</v>
      </c>
      <c r="E627" s="4">
        <v>4002</v>
      </c>
      <c r="F627" s="4"/>
      <c r="G627" s="4"/>
      <c r="H627" s="5">
        <f t="shared" si="9"/>
        <v>-3.0977734753144916E-3</v>
      </c>
    </row>
    <row r="628" spans="1:8" ht="13.5" x14ac:dyDescent="0.25">
      <c r="A628" s="1"/>
      <c r="B628" s="3">
        <v>43213</v>
      </c>
      <c r="C628" s="4">
        <v>3.26</v>
      </c>
      <c r="D628" s="4">
        <v>1.0235000000000001</v>
      </c>
      <c r="E628" s="4">
        <v>8536</v>
      </c>
      <c r="F628" s="4"/>
      <c r="G628" s="4"/>
      <c r="H628" s="5">
        <f t="shared" si="9"/>
        <v>-6.1176927558749001E-3</v>
      </c>
    </row>
    <row r="629" spans="1:8" ht="13.5" x14ac:dyDescent="0.25">
      <c r="A629" s="1"/>
      <c r="B629" s="3">
        <v>43214</v>
      </c>
      <c r="C629" s="4">
        <v>3.2</v>
      </c>
      <c r="D629" s="4">
        <v>1.0046999999999999</v>
      </c>
      <c r="E629" s="4">
        <v>3657</v>
      </c>
      <c r="F629" s="4"/>
      <c r="G629" s="4"/>
      <c r="H629" s="5">
        <f t="shared" si="9"/>
        <v>-1.8368343917928822E-2</v>
      </c>
    </row>
    <row r="630" spans="1:8" ht="13.5" x14ac:dyDescent="0.25">
      <c r="A630" s="1"/>
      <c r="B630" s="3">
        <v>43215</v>
      </c>
      <c r="C630" s="4">
        <v>3.2</v>
      </c>
      <c r="D630" s="4">
        <v>1.0046999999999999</v>
      </c>
      <c r="E630" s="4">
        <v>5161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3.19</v>
      </c>
      <c r="D631" s="4">
        <v>1.0016</v>
      </c>
      <c r="E631" s="4">
        <v>3873</v>
      </c>
      <c r="F631" s="4"/>
      <c r="G631" s="4"/>
      <c r="H631" s="5">
        <f t="shared" si="9"/>
        <v>-3.085498158654206E-3</v>
      </c>
    </row>
    <row r="632" spans="1:8" ht="13.5" x14ac:dyDescent="0.25">
      <c r="A632" s="1"/>
      <c r="B632" s="3">
        <v>43217</v>
      </c>
      <c r="C632" s="4">
        <v>3.18</v>
      </c>
      <c r="D632" s="4">
        <v>0.99839999999999995</v>
      </c>
      <c r="E632" s="4">
        <v>820</v>
      </c>
      <c r="F632" s="4"/>
      <c r="G632" s="4"/>
      <c r="H632" s="5">
        <f t="shared" si="9"/>
        <v>-3.1948881789138294E-3</v>
      </c>
    </row>
    <row r="633" spans="1:8" ht="13.5" x14ac:dyDescent="0.25">
      <c r="A633" s="1"/>
      <c r="B633" s="3">
        <v>43220</v>
      </c>
      <c r="C633" s="4">
        <v>3.19</v>
      </c>
      <c r="D633" s="4">
        <v>1.0016</v>
      </c>
      <c r="E633" s="4">
        <v>2930</v>
      </c>
      <c r="F633" s="4"/>
      <c r="G633" s="4"/>
      <c r="H633" s="5">
        <f t="shared" si="9"/>
        <v>3.205128205128297E-3</v>
      </c>
    </row>
    <row r="634" spans="1:8" ht="13.5" x14ac:dyDescent="0.25">
      <c r="A634" s="1"/>
      <c r="B634" s="3">
        <v>43222</v>
      </c>
      <c r="C634" s="4">
        <v>3.38</v>
      </c>
      <c r="D634" s="4">
        <v>1.0611999999999999</v>
      </c>
      <c r="E634" s="4">
        <v>58860</v>
      </c>
      <c r="F634" s="4"/>
      <c r="G634" s="4"/>
      <c r="H634" s="5">
        <f t="shared" si="9"/>
        <v>5.9504792332268241E-2</v>
      </c>
    </row>
    <row r="635" spans="1:8" ht="13.5" x14ac:dyDescent="0.25">
      <c r="A635" s="1"/>
      <c r="B635" s="3">
        <v>43223</v>
      </c>
      <c r="C635" s="4">
        <v>3.58</v>
      </c>
      <c r="D635" s="4">
        <v>1.1240000000000001</v>
      </c>
      <c r="E635" s="4">
        <v>120418</v>
      </c>
      <c r="F635" s="4"/>
      <c r="G635" s="4"/>
      <c r="H635" s="5">
        <f t="shared" si="9"/>
        <v>5.9178288729740097E-2</v>
      </c>
    </row>
    <row r="636" spans="1:8" ht="13.5" x14ac:dyDescent="0.25">
      <c r="A636" s="1"/>
      <c r="B636" s="3">
        <v>43224</v>
      </c>
      <c r="C636" s="4">
        <v>3.64</v>
      </c>
      <c r="D636" s="4">
        <v>1.1428</v>
      </c>
      <c r="E636" s="4">
        <v>42744</v>
      </c>
      <c r="F636" s="4"/>
      <c r="G636" s="4"/>
      <c r="H636" s="5">
        <f t="shared" si="9"/>
        <v>1.6725978647686768E-2</v>
      </c>
    </row>
    <row r="637" spans="1:8" ht="13.5" x14ac:dyDescent="0.25">
      <c r="A637" s="1"/>
      <c r="B637" s="3">
        <v>43227</v>
      </c>
      <c r="C637" s="4">
        <v>3.6</v>
      </c>
      <c r="D637" s="4">
        <v>1.1303000000000001</v>
      </c>
      <c r="E637" s="4">
        <v>2605</v>
      </c>
      <c r="F637" s="4"/>
      <c r="G637" s="4"/>
      <c r="H637" s="5">
        <f t="shared" si="9"/>
        <v>-1.0938046902345079E-2</v>
      </c>
    </row>
    <row r="638" spans="1:8" ht="13.5" x14ac:dyDescent="0.25">
      <c r="A638" s="1"/>
      <c r="B638" s="3">
        <v>43228</v>
      </c>
      <c r="C638" s="4">
        <v>3.66</v>
      </c>
      <c r="D638" s="4">
        <v>1.1491</v>
      </c>
      <c r="E638" s="4">
        <v>14531</v>
      </c>
      <c r="F638" s="4"/>
      <c r="G638" s="4"/>
      <c r="H638" s="5">
        <f t="shared" si="9"/>
        <v>1.6632752366628263E-2</v>
      </c>
    </row>
    <row r="639" spans="1:8" ht="13.5" x14ac:dyDescent="0.25">
      <c r="A639" s="1"/>
      <c r="B639" s="3">
        <v>43229</v>
      </c>
      <c r="C639" s="4">
        <v>3.57</v>
      </c>
      <c r="D639" s="4">
        <v>1.1209</v>
      </c>
      <c r="E639" s="4">
        <v>4195</v>
      </c>
      <c r="F639" s="4"/>
      <c r="G639" s="4"/>
      <c r="H639" s="5">
        <f t="shared" si="9"/>
        <v>-2.4540945087459753E-2</v>
      </c>
    </row>
    <row r="640" spans="1:8" ht="13.5" x14ac:dyDescent="0.25">
      <c r="A640" s="1"/>
      <c r="B640" s="3">
        <v>43230</v>
      </c>
      <c r="C640" s="4">
        <v>3.58</v>
      </c>
      <c r="D640" s="4">
        <v>1.1240000000000001</v>
      </c>
      <c r="E640" s="4">
        <v>4803</v>
      </c>
      <c r="F640" s="4"/>
      <c r="G640" s="4"/>
      <c r="H640" s="5">
        <f t="shared" si="9"/>
        <v>2.7656347577840151E-3</v>
      </c>
    </row>
    <row r="641" spans="1:8" ht="13.5" x14ac:dyDescent="0.25">
      <c r="A641" s="1"/>
      <c r="B641" s="3">
        <v>43231</v>
      </c>
      <c r="C641" s="4">
        <v>3.58</v>
      </c>
      <c r="D641" s="4">
        <v>1.1240000000000001</v>
      </c>
      <c r="E641" s="4">
        <v>2486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3.54</v>
      </c>
      <c r="D642" s="4">
        <v>1.1114999999999999</v>
      </c>
      <c r="E642" s="4">
        <v>26676</v>
      </c>
      <c r="F642" s="4"/>
      <c r="G642" s="4"/>
      <c r="H642" s="5">
        <f t="shared" si="9"/>
        <v>-1.1120996441281296E-2</v>
      </c>
    </row>
    <row r="643" spans="1:8" ht="13.5" x14ac:dyDescent="0.25">
      <c r="A643" s="1"/>
      <c r="B643" s="3">
        <v>43235</v>
      </c>
      <c r="C643" s="4">
        <v>3.62</v>
      </c>
      <c r="D643" s="4">
        <v>1.1366000000000001</v>
      </c>
      <c r="E643" s="4">
        <v>4503</v>
      </c>
      <c r="F643" s="4"/>
      <c r="G643" s="4"/>
      <c r="H643" s="5">
        <f t="shared" si="9"/>
        <v>2.2582096266306903E-2</v>
      </c>
    </row>
    <row r="644" spans="1:8" ht="13.5" x14ac:dyDescent="0.25">
      <c r="A644" s="1"/>
      <c r="B644" s="3">
        <v>43236</v>
      </c>
      <c r="C644" s="4">
        <v>3.66</v>
      </c>
      <c r="D644" s="4">
        <v>1.1491</v>
      </c>
      <c r="E644" s="4">
        <v>30222</v>
      </c>
      <c r="F644" s="4"/>
      <c r="G644" s="4"/>
      <c r="H644" s="5">
        <f t="shared" si="9"/>
        <v>1.0997712475804992E-2</v>
      </c>
    </row>
    <row r="645" spans="1:8" ht="13.5" x14ac:dyDescent="0.25">
      <c r="A645" s="1"/>
      <c r="B645" s="3">
        <v>43237</v>
      </c>
      <c r="C645" s="4">
        <v>3.64</v>
      </c>
      <c r="D645" s="4">
        <v>1.1428</v>
      </c>
      <c r="E645" s="4">
        <v>1933</v>
      </c>
      <c r="F645" s="4"/>
      <c r="G645" s="4"/>
      <c r="H645" s="5">
        <f t="shared" si="9"/>
        <v>-5.4825515620920478E-3</v>
      </c>
    </row>
    <row r="646" spans="1:8" ht="13.5" x14ac:dyDescent="0.25">
      <c r="A646" s="1"/>
      <c r="B646" s="3">
        <v>43238</v>
      </c>
      <c r="C646" s="4">
        <v>3.62</v>
      </c>
      <c r="D646" s="4">
        <v>1.1366000000000001</v>
      </c>
      <c r="E646" s="4">
        <v>8755</v>
      </c>
      <c r="F646" s="4"/>
      <c r="G646" s="4"/>
      <c r="H646" s="5">
        <f t="shared" si="9"/>
        <v>-5.4252712635631632E-3</v>
      </c>
    </row>
    <row r="647" spans="1:8" ht="13.5" x14ac:dyDescent="0.25">
      <c r="A647" s="1"/>
      <c r="B647" s="3">
        <v>43241</v>
      </c>
      <c r="C647" s="4">
        <v>3.62</v>
      </c>
      <c r="D647" s="4">
        <v>1.1366000000000001</v>
      </c>
      <c r="E647" s="4">
        <v>100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3.62</v>
      </c>
      <c r="D648" s="4">
        <v>1.1366000000000001</v>
      </c>
      <c r="E648" s="4">
        <v>31775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3.62</v>
      </c>
      <c r="D649" s="4">
        <v>1.1366000000000001</v>
      </c>
      <c r="E649" s="4">
        <v>2100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3.68</v>
      </c>
      <c r="D650" s="4">
        <v>1.1554</v>
      </c>
      <c r="E650" s="4">
        <v>42785</v>
      </c>
      <c r="F650" s="4"/>
      <c r="G650" s="4"/>
      <c r="H650" s="5">
        <f t="shared" si="10"/>
        <v>1.6540559563610703E-2</v>
      </c>
    </row>
    <row r="651" spans="1:8" ht="13.5" x14ac:dyDescent="0.25">
      <c r="A651" s="1"/>
      <c r="B651" s="3">
        <v>43245</v>
      </c>
      <c r="C651" s="4">
        <v>3.68</v>
      </c>
      <c r="D651" s="4">
        <v>1.1554</v>
      </c>
      <c r="E651" s="4">
        <v>1008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3.68</v>
      </c>
      <c r="D652" s="4">
        <v>1.1554</v>
      </c>
      <c r="E652" s="4">
        <v>8</v>
      </c>
      <c r="F652" s="4"/>
      <c r="G652" s="4"/>
      <c r="H652" s="5">
        <f t="shared" si="10"/>
        <v>0</v>
      </c>
    </row>
    <row r="653" spans="1:8" ht="13.5" x14ac:dyDescent="0.25">
      <c r="A653" s="1"/>
      <c r="B653" s="3">
        <v>43249</v>
      </c>
      <c r="C653" s="4">
        <v>3.68</v>
      </c>
      <c r="D653" s="4">
        <v>1.1554</v>
      </c>
      <c r="E653" s="4">
        <v>7758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3.71</v>
      </c>
      <c r="D654" s="4">
        <v>1.1648000000000001</v>
      </c>
      <c r="E654" s="4">
        <v>1600</v>
      </c>
      <c r="F654" s="4"/>
      <c r="G654" s="4"/>
      <c r="H654" s="5">
        <f t="shared" si="10"/>
        <v>8.1357105764238141E-3</v>
      </c>
    </row>
    <row r="655" spans="1:8" ht="13.5" x14ac:dyDescent="0.25">
      <c r="A655" s="1"/>
      <c r="B655" s="3">
        <v>43251</v>
      </c>
      <c r="C655" s="4">
        <v>3.7</v>
      </c>
      <c r="D655" s="4">
        <v>1.1617</v>
      </c>
      <c r="E655" s="4">
        <v>8295</v>
      </c>
      <c r="F655" s="4"/>
      <c r="G655" s="4"/>
      <c r="H655" s="5">
        <f t="shared" si="10"/>
        <v>-2.661401098901187E-3</v>
      </c>
    </row>
    <row r="656" spans="1:8" ht="13.5" x14ac:dyDescent="0.25">
      <c r="A656" s="1"/>
      <c r="B656" s="3">
        <v>43252</v>
      </c>
      <c r="C656" s="4">
        <v>3.65</v>
      </c>
      <c r="D656" s="4">
        <v>1.1459999999999999</v>
      </c>
      <c r="E656" s="4">
        <v>5663</v>
      </c>
      <c r="F656" s="4"/>
      <c r="G656" s="4"/>
      <c r="H656" s="5">
        <f t="shared" si="10"/>
        <v>-1.3514676766807307E-2</v>
      </c>
    </row>
    <row r="657" spans="1:8" ht="13.5" x14ac:dyDescent="0.25">
      <c r="A657" s="1"/>
      <c r="B657" s="3">
        <v>43255</v>
      </c>
      <c r="C657" s="4">
        <v>3.72</v>
      </c>
      <c r="D657" s="4">
        <v>1.1679999999999999</v>
      </c>
      <c r="E657" s="4">
        <v>7780</v>
      </c>
      <c r="F657" s="4"/>
      <c r="G657" s="4"/>
      <c r="H657" s="5">
        <f t="shared" si="10"/>
        <v>1.9197207678883089E-2</v>
      </c>
    </row>
    <row r="658" spans="1:8" ht="13.5" x14ac:dyDescent="0.25">
      <c r="A658" s="1"/>
      <c r="B658" s="3">
        <v>43256</v>
      </c>
      <c r="C658" s="4">
        <v>3.7</v>
      </c>
      <c r="D658" s="4">
        <v>1.1617</v>
      </c>
      <c r="E658" s="4">
        <v>575</v>
      </c>
      <c r="F658" s="4"/>
      <c r="G658" s="4"/>
      <c r="H658" s="5">
        <f t="shared" si="10"/>
        <v>-5.3938356164383331E-3</v>
      </c>
    </row>
    <row r="659" spans="1:8" ht="13.5" x14ac:dyDescent="0.25">
      <c r="A659" s="1"/>
      <c r="B659" s="3">
        <v>43257</v>
      </c>
      <c r="C659" s="4">
        <v>3.7</v>
      </c>
      <c r="D659" s="4">
        <v>1.1617</v>
      </c>
      <c r="E659" s="4">
        <v>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3.7</v>
      </c>
      <c r="D660" s="4">
        <v>1.1617</v>
      </c>
      <c r="E660" s="4">
        <v>602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3.7</v>
      </c>
      <c r="D661" s="4">
        <v>1.1617</v>
      </c>
      <c r="E661" s="4">
        <v>2611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3.7</v>
      </c>
      <c r="D662" s="4">
        <v>1.1617</v>
      </c>
      <c r="E662" s="4">
        <v>913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3.7</v>
      </c>
      <c r="D663" s="4">
        <v>1.1617</v>
      </c>
      <c r="E663" s="4">
        <v>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3.62</v>
      </c>
      <c r="D664" s="4">
        <v>1.1366000000000001</v>
      </c>
      <c r="E664" s="4">
        <v>3836</v>
      </c>
      <c r="F664" s="4"/>
      <c r="G664" s="4"/>
      <c r="H664" s="5">
        <f t="shared" si="10"/>
        <v>-2.1606266678144016E-2</v>
      </c>
    </row>
    <row r="665" spans="1:8" ht="13.5" x14ac:dyDescent="0.25">
      <c r="A665" s="1"/>
      <c r="B665" s="3">
        <v>43265</v>
      </c>
      <c r="C665" s="4">
        <v>3.65</v>
      </c>
      <c r="D665" s="4">
        <v>1.1459999999999999</v>
      </c>
      <c r="E665" s="4">
        <v>884</v>
      </c>
      <c r="F665" s="4"/>
      <c r="G665" s="4"/>
      <c r="H665" s="5">
        <f t="shared" si="10"/>
        <v>8.2702797818052544E-3</v>
      </c>
    </row>
    <row r="666" spans="1:8" ht="13.5" x14ac:dyDescent="0.25">
      <c r="A666" s="1"/>
      <c r="B666" s="3">
        <v>43269</v>
      </c>
      <c r="C666" s="4">
        <v>3.7</v>
      </c>
      <c r="D666" s="4">
        <v>1.1617</v>
      </c>
      <c r="E666" s="4">
        <v>2344</v>
      </c>
      <c r="F666" s="4"/>
      <c r="G666" s="4"/>
      <c r="H666" s="5">
        <f t="shared" si="10"/>
        <v>1.3699825479930235E-2</v>
      </c>
    </row>
    <row r="667" spans="1:8" ht="13.5" x14ac:dyDescent="0.25">
      <c r="A667" s="1"/>
      <c r="B667" s="3">
        <v>43270</v>
      </c>
      <c r="C667" s="4">
        <v>3.7</v>
      </c>
      <c r="D667" s="4">
        <v>1.1617</v>
      </c>
      <c r="E667" s="4">
        <v>107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3.69</v>
      </c>
      <c r="D668" s="4">
        <v>1.1585000000000001</v>
      </c>
      <c r="E668" s="4">
        <v>1965</v>
      </c>
      <c r="F668" s="4"/>
      <c r="G668" s="4"/>
      <c r="H668" s="5">
        <f t="shared" si="10"/>
        <v>-2.7545837996039166E-3</v>
      </c>
    </row>
    <row r="669" spans="1:8" ht="13.5" x14ac:dyDescent="0.25">
      <c r="A669" s="1"/>
      <c r="B669" s="3">
        <v>43272</v>
      </c>
      <c r="C669" s="4">
        <v>3.68</v>
      </c>
      <c r="D669" s="4">
        <v>1.1554</v>
      </c>
      <c r="E669" s="4">
        <v>14391</v>
      </c>
      <c r="F669" s="4"/>
      <c r="G669" s="4"/>
      <c r="H669" s="5">
        <f t="shared" si="10"/>
        <v>-2.675873974967719E-3</v>
      </c>
    </row>
    <row r="670" spans="1:8" ht="13.5" x14ac:dyDescent="0.25">
      <c r="A670" s="1"/>
      <c r="B670" s="3">
        <v>43273</v>
      </c>
      <c r="C670" s="4">
        <v>3.67</v>
      </c>
      <c r="D670" s="4">
        <v>1.1523000000000001</v>
      </c>
      <c r="E670" s="4">
        <v>3884</v>
      </c>
      <c r="F670" s="4"/>
      <c r="G670" s="4"/>
      <c r="H670" s="5">
        <f t="shared" si="10"/>
        <v>-2.6830534879694313E-3</v>
      </c>
    </row>
    <row r="671" spans="1:8" ht="13.5" x14ac:dyDescent="0.25">
      <c r="A671" s="1"/>
      <c r="B671" s="3">
        <v>43276</v>
      </c>
      <c r="C671" s="4">
        <v>3.7</v>
      </c>
      <c r="D671" s="4">
        <v>1.1617</v>
      </c>
      <c r="E671" s="4">
        <v>3664</v>
      </c>
      <c r="F671" s="4"/>
      <c r="G671" s="4"/>
      <c r="H671" s="5">
        <f t="shared" si="10"/>
        <v>8.1575978477825672E-3</v>
      </c>
    </row>
    <row r="672" spans="1:8" ht="13.5" x14ac:dyDescent="0.25">
      <c r="A672" s="1"/>
      <c r="B672" s="3">
        <v>43277</v>
      </c>
      <c r="C672" s="4">
        <v>3.73</v>
      </c>
      <c r="D672" s="4">
        <v>1.1711</v>
      </c>
      <c r="E672" s="4">
        <v>5701</v>
      </c>
      <c r="F672" s="4"/>
      <c r="G672" s="4"/>
      <c r="H672" s="5">
        <f t="shared" si="10"/>
        <v>8.091589911336898E-3</v>
      </c>
    </row>
    <row r="673" spans="1:8" ht="13.5" x14ac:dyDescent="0.25">
      <c r="A673" s="1"/>
      <c r="B673" s="3">
        <v>43278</v>
      </c>
      <c r="C673" s="4">
        <v>3.73</v>
      </c>
      <c r="D673" s="4">
        <v>1.1711</v>
      </c>
      <c r="E673" s="4">
        <v>4097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3.7</v>
      </c>
      <c r="D674" s="4">
        <v>1.1617</v>
      </c>
      <c r="E674" s="4">
        <v>1425</v>
      </c>
      <c r="F674" s="4"/>
      <c r="G674" s="4"/>
      <c r="H674" s="5">
        <f t="shared" si="10"/>
        <v>-8.0266416189907555E-3</v>
      </c>
    </row>
    <row r="675" spans="1:8" ht="13.5" x14ac:dyDescent="0.25">
      <c r="A675" s="1"/>
      <c r="B675" s="3">
        <v>43280</v>
      </c>
      <c r="C675" s="4">
        <v>3.69</v>
      </c>
      <c r="D675" s="4">
        <v>1.1585000000000001</v>
      </c>
      <c r="E675" s="4">
        <v>1300</v>
      </c>
      <c r="F675" s="4"/>
      <c r="G675" s="4"/>
      <c r="H675" s="5">
        <f t="shared" si="10"/>
        <v>-2.7545837996039166E-3</v>
      </c>
    </row>
    <row r="676" spans="1:8" ht="13.5" x14ac:dyDescent="0.25">
      <c r="A676" s="1"/>
      <c r="B676" s="3">
        <v>43283</v>
      </c>
      <c r="C676" s="4">
        <v>3.64</v>
      </c>
      <c r="D676" s="4">
        <v>1.1428</v>
      </c>
      <c r="E676" s="4">
        <v>155</v>
      </c>
      <c r="F676" s="4"/>
      <c r="G676" s="4"/>
      <c r="H676" s="5">
        <f t="shared" si="10"/>
        <v>-1.3552006905481265E-2</v>
      </c>
    </row>
    <row r="677" spans="1:8" ht="13.5" x14ac:dyDescent="0.25">
      <c r="A677" s="1"/>
      <c r="B677" s="3">
        <v>43284</v>
      </c>
      <c r="C677" s="4">
        <v>3.66</v>
      </c>
      <c r="D677" s="4">
        <v>1.1491</v>
      </c>
      <c r="E677" s="4">
        <v>2461</v>
      </c>
      <c r="F677" s="4"/>
      <c r="G677" s="4"/>
      <c r="H677" s="5">
        <f t="shared" si="10"/>
        <v>5.5127756387819147E-3</v>
      </c>
    </row>
    <row r="678" spans="1:8" ht="13.5" x14ac:dyDescent="0.25">
      <c r="A678" s="1"/>
      <c r="B678" s="3">
        <v>43285</v>
      </c>
      <c r="C678" s="4">
        <v>3.7</v>
      </c>
      <c r="D678" s="4">
        <v>1.1617</v>
      </c>
      <c r="E678" s="4">
        <v>6041</v>
      </c>
      <c r="F678" s="4"/>
      <c r="G678" s="4"/>
      <c r="H678" s="5">
        <f t="shared" si="10"/>
        <v>1.0965103124184096E-2</v>
      </c>
    </row>
    <row r="679" spans="1:8" ht="13.5" x14ac:dyDescent="0.25">
      <c r="A679" s="1"/>
      <c r="B679" s="3">
        <v>43286</v>
      </c>
      <c r="C679" s="4">
        <v>3.44</v>
      </c>
      <c r="D679" s="4">
        <v>1.1358999999999999</v>
      </c>
      <c r="E679" s="4">
        <v>44</v>
      </c>
      <c r="F679" s="4"/>
      <c r="G679" s="4"/>
      <c r="H679" s="5">
        <f t="shared" si="10"/>
        <v>-2.2208831884307521E-2</v>
      </c>
    </row>
    <row r="680" spans="1:8" ht="13.5" x14ac:dyDescent="0.25">
      <c r="A680" s="1"/>
      <c r="B680" s="3">
        <v>43287</v>
      </c>
      <c r="C680" s="4">
        <v>3.43</v>
      </c>
      <c r="D680" s="4">
        <v>1.1873</v>
      </c>
      <c r="E680" s="4">
        <v>6940</v>
      </c>
      <c r="F680" s="4"/>
      <c r="G680" s="4"/>
      <c r="H680" s="5">
        <f t="shared" si="10"/>
        <v>4.5250462188573037E-2</v>
      </c>
    </row>
    <row r="681" spans="1:8" ht="13.5" x14ac:dyDescent="0.25">
      <c r="A681" s="1"/>
      <c r="B681" s="3">
        <v>43290</v>
      </c>
      <c r="C681" s="4">
        <v>3.43</v>
      </c>
      <c r="D681" s="4">
        <v>1.1873</v>
      </c>
      <c r="E681" s="4">
        <v>0</v>
      </c>
      <c r="F681" s="4"/>
      <c r="G681" s="4"/>
      <c r="H681" s="5">
        <f t="shared" si="10"/>
        <v>0</v>
      </c>
    </row>
    <row r="682" spans="1:8" ht="13.5" x14ac:dyDescent="0.25">
      <c r="A682" s="1"/>
      <c r="B682" s="3">
        <v>43291</v>
      </c>
      <c r="C682" s="4">
        <v>3.41</v>
      </c>
      <c r="D682" s="4">
        <v>1.1802999999999999</v>
      </c>
      <c r="E682" s="4">
        <v>218</v>
      </c>
      <c r="F682" s="4"/>
      <c r="G682" s="4"/>
      <c r="H682" s="5">
        <f t="shared" si="10"/>
        <v>-5.8957298071255094E-3</v>
      </c>
    </row>
    <row r="683" spans="1:8" ht="13.5" x14ac:dyDescent="0.25">
      <c r="A683" s="1"/>
      <c r="B683" s="3">
        <v>43292</v>
      </c>
      <c r="C683" s="4">
        <v>3.34</v>
      </c>
      <c r="D683" s="4">
        <v>1.1560999999999999</v>
      </c>
      <c r="E683" s="4">
        <v>507</v>
      </c>
      <c r="F683" s="4"/>
      <c r="G683" s="4"/>
      <c r="H683" s="5">
        <f t="shared" si="10"/>
        <v>-2.0503261882572229E-2</v>
      </c>
    </row>
    <row r="684" spans="1:8" ht="13.5" x14ac:dyDescent="0.25">
      <c r="A684" s="1"/>
      <c r="B684" s="3">
        <v>43293</v>
      </c>
      <c r="C684" s="4">
        <v>3.34</v>
      </c>
      <c r="D684" s="4">
        <v>1.1560999999999999</v>
      </c>
      <c r="E684" s="4">
        <v>1028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3.4</v>
      </c>
      <c r="D685" s="4">
        <v>1.1769000000000001</v>
      </c>
      <c r="E685" s="4">
        <v>129</v>
      </c>
      <c r="F685" s="4"/>
      <c r="G685" s="4"/>
      <c r="H685" s="5">
        <f t="shared" si="10"/>
        <v>1.7991523224634681E-2</v>
      </c>
    </row>
    <row r="686" spans="1:8" ht="13.5" x14ac:dyDescent="0.25">
      <c r="A686" s="1"/>
      <c r="B686" s="3">
        <v>43297</v>
      </c>
      <c r="C686" s="4">
        <v>3.5</v>
      </c>
      <c r="D686" s="4">
        <v>1.2115</v>
      </c>
      <c r="E686" s="4">
        <v>6916</v>
      </c>
      <c r="F686" s="4"/>
      <c r="G686" s="4"/>
      <c r="H686" s="5">
        <f t="shared" si="10"/>
        <v>2.9399269266717615E-2</v>
      </c>
    </row>
    <row r="687" spans="1:8" ht="13.5" x14ac:dyDescent="0.25">
      <c r="A687" s="1"/>
      <c r="B687" s="3">
        <v>43298</v>
      </c>
      <c r="C687" s="4">
        <v>3.59</v>
      </c>
      <c r="D687" s="4">
        <v>1.2425999999999999</v>
      </c>
      <c r="E687" s="4">
        <v>12099</v>
      </c>
      <c r="F687" s="4"/>
      <c r="G687" s="4"/>
      <c r="H687" s="5">
        <f t="shared" si="10"/>
        <v>2.5670656211308217E-2</v>
      </c>
    </row>
    <row r="688" spans="1:8" ht="13.5" x14ac:dyDescent="0.25">
      <c r="A688" s="1"/>
      <c r="B688" s="3">
        <v>43299</v>
      </c>
      <c r="C688" s="4">
        <v>3.59</v>
      </c>
      <c r="D688" s="4">
        <v>1.2425999999999999</v>
      </c>
      <c r="E688" s="4">
        <v>5833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3.68</v>
      </c>
      <c r="D689" s="4">
        <v>1.2738</v>
      </c>
      <c r="E689" s="4">
        <v>18675</v>
      </c>
      <c r="F689" s="4"/>
      <c r="G689" s="4"/>
      <c r="H689" s="5">
        <f t="shared" si="10"/>
        <v>2.5108643167552003E-2</v>
      </c>
    </row>
    <row r="690" spans="1:8" ht="13.5" x14ac:dyDescent="0.25">
      <c r="A690" s="1"/>
      <c r="B690" s="3">
        <v>43301</v>
      </c>
      <c r="C690" s="4">
        <v>3.66</v>
      </c>
      <c r="D690" s="4">
        <v>1.2668999999999999</v>
      </c>
      <c r="E690" s="4">
        <v>6172</v>
      </c>
      <c r="F690" s="4"/>
      <c r="G690" s="4"/>
      <c r="H690" s="5">
        <f t="shared" si="10"/>
        <v>-5.4168629298163981E-3</v>
      </c>
    </row>
    <row r="691" spans="1:8" ht="13.5" x14ac:dyDescent="0.25">
      <c r="A691" s="1"/>
      <c r="B691" s="3">
        <v>43304</v>
      </c>
      <c r="C691" s="4">
        <v>3.66</v>
      </c>
      <c r="D691" s="4">
        <v>1.2668999999999999</v>
      </c>
      <c r="E691" s="4">
        <v>10855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3.7</v>
      </c>
      <c r="D692" s="4">
        <v>1.2806999999999999</v>
      </c>
      <c r="E692" s="4">
        <v>407</v>
      </c>
      <c r="F692" s="4"/>
      <c r="G692" s="4"/>
      <c r="H692" s="5">
        <f t="shared" si="10"/>
        <v>1.0892730286526195E-2</v>
      </c>
    </row>
    <row r="693" spans="1:8" ht="13.5" x14ac:dyDescent="0.25">
      <c r="A693" s="1"/>
      <c r="B693" s="3">
        <v>43307</v>
      </c>
      <c r="C693" s="4">
        <v>3.68</v>
      </c>
      <c r="D693" s="4">
        <v>1.2738</v>
      </c>
      <c r="E693" s="4">
        <v>5100</v>
      </c>
      <c r="F693" s="4"/>
      <c r="G693" s="4"/>
      <c r="H693" s="5">
        <f t="shared" si="10"/>
        <v>-5.3876786132583017E-3</v>
      </c>
    </row>
    <row r="694" spans="1:8" ht="13.5" x14ac:dyDescent="0.25">
      <c r="A694" s="1"/>
      <c r="B694" s="3">
        <v>43308</v>
      </c>
      <c r="C694" s="4">
        <v>3.62</v>
      </c>
      <c r="D694" s="4">
        <v>1.2529999999999999</v>
      </c>
      <c r="E694" s="4">
        <v>6055</v>
      </c>
      <c r="F694" s="4"/>
      <c r="G694" s="4"/>
      <c r="H694" s="5">
        <f t="shared" si="10"/>
        <v>-1.6329094049301423E-2</v>
      </c>
    </row>
    <row r="695" spans="1:8" ht="13.5" x14ac:dyDescent="0.25">
      <c r="A695" s="1"/>
      <c r="B695" s="3">
        <v>43311</v>
      </c>
      <c r="C695" s="4">
        <v>3.62</v>
      </c>
      <c r="D695" s="4">
        <v>1.2529999999999999</v>
      </c>
      <c r="E695" s="4">
        <v>2660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3.64</v>
      </c>
      <c r="D696" s="4">
        <v>1.2599</v>
      </c>
      <c r="E696" s="4">
        <v>213</v>
      </c>
      <c r="F696" s="4"/>
      <c r="G696" s="4"/>
      <c r="H696" s="5">
        <f t="shared" si="10"/>
        <v>5.5067837190743247E-3</v>
      </c>
    </row>
    <row r="697" spans="1:8" ht="13.5" x14ac:dyDescent="0.25">
      <c r="A697" s="1"/>
      <c r="B697" s="3">
        <v>43313</v>
      </c>
      <c r="C697" s="4">
        <v>3.55</v>
      </c>
      <c r="D697" s="4">
        <v>1.2287999999999999</v>
      </c>
      <c r="E697" s="4">
        <v>1857</v>
      </c>
      <c r="F697" s="4"/>
      <c r="G697" s="4"/>
      <c r="H697" s="5">
        <f t="shared" si="10"/>
        <v>-2.468449876974373E-2</v>
      </c>
    </row>
    <row r="698" spans="1:8" ht="13.5" x14ac:dyDescent="0.25">
      <c r="A698" s="1"/>
      <c r="B698" s="3">
        <v>43314</v>
      </c>
      <c r="C698" s="4">
        <v>3.55</v>
      </c>
      <c r="D698" s="4">
        <v>1.2287999999999999</v>
      </c>
      <c r="E698" s="4">
        <v>2105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3.5</v>
      </c>
      <c r="D699" s="4">
        <v>1.2115</v>
      </c>
      <c r="E699" s="4">
        <v>2703</v>
      </c>
      <c r="F699" s="4"/>
      <c r="G699" s="4"/>
      <c r="H699" s="5">
        <f t="shared" si="10"/>
        <v>-1.4078776041666564E-2</v>
      </c>
    </row>
    <row r="700" spans="1:8" ht="13.5" x14ac:dyDescent="0.25">
      <c r="A700" s="1"/>
      <c r="B700" s="3">
        <v>43318</v>
      </c>
      <c r="C700" s="4">
        <v>3.45</v>
      </c>
      <c r="D700" s="4">
        <v>1.1941999999999999</v>
      </c>
      <c r="E700" s="4">
        <v>572</v>
      </c>
      <c r="F700" s="4"/>
      <c r="G700" s="4"/>
      <c r="H700" s="5">
        <f t="shared" si="10"/>
        <v>-1.4279818406933631E-2</v>
      </c>
    </row>
    <row r="701" spans="1:8" ht="13.5" x14ac:dyDescent="0.25">
      <c r="A701" s="1"/>
      <c r="B701" s="3">
        <v>43319</v>
      </c>
      <c r="C701" s="4">
        <v>3.5</v>
      </c>
      <c r="D701" s="4">
        <v>1.2115</v>
      </c>
      <c r="E701" s="4">
        <v>376</v>
      </c>
      <c r="F701" s="4"/>
      <c r="G701" s="4"/>
      <c r="H701" s="5">
        <f t="shared" si="10"/>
        <v>1.448668564729534E-2</v>
      </c>
    </row>
    <row r="702" spans="1:8" ht="13.5" x14ac:dyDescent="0.25">
      <c r="A702" s="1"/>
      <c r="B702" s="3">
        <v>43320</v>
      </c>
      <c r="C702" s="4">
        <v>3.5</v>
      </c>
      <c r="D702" s="4">
        <v>1.2115</v>
      </c>
      <c r="E702" s="4">
        <v>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3.36</v>
      </c>
      <c r="D703" s="4">
        <v>1.163</v>
      </c>
      <c r="E703" s="4">
        <v>2902</v>
      </c>
      <c r="F703" s="4"/>
      <c r="G703" s="4"/>
      <c r="H703" s="5">
        <f t="shared" si="10"/>
        <v>-4.0033016921172088E-2</v>
      </c>
    </row>
    <row r="704" spans="1:8" ht="13.5" x14ac:dyDescent="0.25">
      <c r="A704" s="1"/>
      <c r="B704" s="3">
        <v>43322</v>
      </c>
      <c r="C704" s="4">
        <v>3.36</v>
      </c>
      <c r="D704" s="4">
        <v>1.163</v>
      </c>
      <c r="E704" s="4">
        <v>5120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3.42</v>
      </c>
      <c r="D705" s="4">
        <v>1.1838</v>
      </c>
      <c r="E705" s="4">
        <v>76</v>
      </c>
      <c r="F705" s="4"/>
      <c r="G705" s="4"/>
      <c r="H705" s="5">
        <f t="shared" si="10"/>
        <v>1.7884780739466834E-2</v>
      </c>
    </row>
    <row r="706" spans="1:8" ht="13.5" x14ac:dyDescent="0.25">
      <c r="A706" s="1"/>
      <c r="B706" s="3">
        <v>43327</v>
      </c>
      <c r="C706" s="4">
        <v>3.43</v>
      </c>
      <c r="D706" s="4">
        <v>1.1873</v>
      </c>
      <c r="E706" s="4">
        <v>2120</v>
      </c>
      <c r="F706" s="4"/>
      <c r="G706" s="4"/>
      <c r="H706" s="5">
        <f t="shared" si="10"/>
        <v>2.9565805034634726E-3</v>
      </c>
    </row>
    <row r="707" spans="1:8" ht="13.5" x14ac:dyDescent="0.25">
      <c r="A707" s="1"/>
      <c r="B707" s="3">
        <v>43328</v>
      </c>
      <c r="C707" s="4">
        <v>3.4</v>
      </c>
      <c r="D707" s="4">
        <v>1.1769000000000001</v>
      </c>
      <c r="E707" s="4">
        <v>307</v>
      </c>
      <c r="F707" s="4"/>
      <c r="G707" s="4"/>
      <c r="H707" s="5">
        <f t="shared" si="10"/>
        <v>-8.7593699991577231E-3</v>
      </c>
    </row>
    <row r="708" spans="1:8" ht="13.5" x14ac:dyDescent="0.25">
      <c r="A708" s="1"/>
      <c r="B708" s="3">
        <v>43329</v>
      </c>
      <c r="C708" s="4">
        <v>3.43</v>
      </c>
      <c r="D708" s="4">
        <v>1.1873</v>
      </c>
      <c r="E708" s="4">
        <v>14210</v>
      </c>
      <c r="F708" s="4"/>
      <c r="G708" s="4"/>
      <c r="H708" s="5">
        <f t="shared" si="10"/>
        <v>8.836774577279263E-3</v>
      </c>
    </row>
    <row r="709" spans="1:8" ht="13.5" x14ac:dyDescent="0.25">
      <c r="A709" s="1"/>
      <c r="B709" s="3">
        <v>43332</v>
      </c>
      <c r="C709" s="4">
        <v>3.43</v>
      </c>
      <c r="D709" s="4">
        <v>1.1873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3.5</v>
      </c>
      <c r="D710" s="4">
        <v>1.2115</v>
      </c>
      <c r="E710" s="4">
        <v>50</v>
      </c>
      <c r="F710" s="4"/>
      <c r="G710" s="4"/>
      <c r="H710" s="5">
        <f t="shared" si="10"/>
        <v>2.0382380190347847E-2</v>
      </c>
    </row>
    <row r="711" spans="1:8" ht="13.5" x14ac:dyDescent="0.25">
      <c r="A711" s="1"/>
      <c r="B711" s="3">
        <v>43336</v>
      </c>
      <c r="C711" s="4">
        <v>3.5</v>
      </c>
      <c r="D711" s="4">
        <v>1.2115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3.6</v>
      </c>
      <c r="D712" s="4">
        <v>1.2461</v>
      </c>
      <c r="E712" s="4">
        <v>10</v>
      </c>
      <c r="F712" s="4"/>
      <c r="G712" s="4"/>
      <c r="H712" s="5">
        <f t="shared" si="11"/>
        <v>2.8559636813867077E-2</v>
      </c>
    </row>
    <row r="713" spans="1:8" ht="13.5" x14ac:dyDescent="0.25">
      <c r="A713" s="1"/>
      <c r="B713" s="3">
        <v>43340</v>
      </c>
      <c r="C713" s="4">
        <v>3.6</v>
      </c>
      <c r="D713" s="4">
        <v>1.2461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3.5</v>
      </c>
      <c r="D714" s="4">
        <v>1.2115</v>
      </c>
      <c r="E714" s="4">
        <v>524</v>
      </c>
      <c r="F714" s="4"/>
      <c r="G714" s="4"/>
      <c r="H714" s="5">
        <f t="shared" si="11"/>
        <v>-2.7766631891501456E-2</v>
      </c>
    </row>
    <row r="715" spans="1:8" ht="13.5" x14ac:dyDescent="0.25">
      <c r="A715" s="1"/>
      <c r="B715" s="3">
        <v>43342</v>
      </c>
      <c r="C715" s="4">
        <v>3.5</v>
      </c>
      <c r="D715" s="4">
        <v>1.2115</v>
      </c>
      <c r="E715" s="4">
        <v>460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3.6</v>
      </c>
      <c r="D716" s="4">
        <v>1.2461</v>
      </c>
      <c r="E716" s="4">
        <v>32942</v>
      </c>
      <c r="F716" s="4"/>
      <c r="G716" s="4"/>
      <c r="H716" s="5">
        <f t="shared" si="11"/>
        <v>2.8559636813867077E-2</v>
      </c>
    </row>
    <row r="717" spans="1:8" ht="13.5" x14ac:dyDescent="0.25">
      <c r="A717" s="1"/>
      <c r="B717" s="3">
        <v>43346</v>
      </c>
      <c r="C717" s="4">
        <v>3.6</v>
      </c>
      <c r="D717" s="4">
        <v>1.2461</v>
      </c>
      <c r="E717" s="4">
        <v>21811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3.5</v>
      </c>
      <c r="D718" s="4">
        <v>1.2115</v>
      </c>
      <c r="E718" s="4">
        <v>320</v>
      </c>
      <c r="F718" s="4"/>
      <c r="G718" s="4"/>
      <c r="H718" s="5">
        <f t="shared" si="11"/>
        <v>-2.7766631891501456E-2</v>
      </c>
    </row>
    <row r="719" spans="1:8" ht="13.5" x14ac:dyDescent="0.25">
      <c r="A719" s="1"/>
      <c r="B719" s="3">
        <v>43348</v>
      </c>
      <c r="C719" s="4">
        <v>3.4</v>
      </c>
      <c r="D719" s="4">
        <v>1.1769000000000001</v>
      </c>
      <c r="E719" s="4">
        <v>1184</v>
      </c>
      <c r="F719" s="4"/>
      <c r="G719" s="4"/>
      <c r="H719" s="5">
        <f t="shared" si="11"/>
        <v>-2.8559636813867077E-2</v>
      </c>
    </row>
    <row r="720" spans="1:8" ht="13.5" x14ac:dyDescent="0.25">
      <c r="A720" s="1"/>
      <c r="B720" s="3">
        <v>43349</v>
      </c>
      <c r="C720" s="4">
        <v>3.4</v>
      </c>
      <c r="D720" s="4">
        <v>1.1769000000000001</v>
      </c>
      <c r="E720" s="4">
        <v>105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3.35</v>
      </c>
      <c r="D721" s="4">
        <v>1.1596</v>
      </c>
      <c r="E721" s="4">
        <v>6454</v>
      </c>
      <c r="F721" s="4"/>
      <c r="G721" s="4"/>
      <c r="H721" s="5">
        <f t="shared" si="11"/>
        <v>-1.4699634633358903E-2</v>
      </c>
    </row>
    <row r="722" spans="1:8" ht="13.5" x14ac:dyDescent="0.25">
      <c r="A722" s="1"/>
      <c r="B722" s="3">
        <v>43353</v>
      </c>
      <c r="C722" s="4">
        <v>3.25</v>
      </c>
      <c r="D722" s="4">
        <v>1.125</v>
      </c>
      <c r="E722" s="4">
        <v>9783</v>
      </c>
      <c r="F722" s="4"/>
      <c r="G722" s="4"/>
      <c r="H722" s="5">
        <f t="shared" si="11"/>
        <v>-2.9837875129354919E-2</v>
      </c>
    </row>
    <row r="723" spans="1:8" ht="13.5" x14ac:dyDescent="0.25">
      <c r="A723" s="1"/>
      <c r="B723" s="3">
        <v>43355</v>
      </c>
      <c r="C723" s="4">
        <v>3.2</v>
      </c>
      <c r="D723" s="4">
        <v>1.1075999999999999</v>
      </c>
      <c r="E723" s="4">
        <v>10808</v>
      </c>
      <c r="F723" s="4"/>
      <c r="G723" s="4"/>
      <c r="H723" s="5">
        <f t="shared" si="11"/>
        <v>-1.546666666666674E-2</v>
      </c>
    </row>
    <row r="724" spans="1:8" ht="13.5" x14ac:dyDescent="0.25">
      <c r="A724" s="1"/>
      <c r="B724" s="3">
        <v>43356</v>
      </c>
      <c r="C724" s="4">
        <v>3.19</v>
      </c>
      <c r="D724" s="4">
        <v>1.1042000000000001</v>
      </c>
      <c r="E724" s="4">
        <v>3099</v>
      </c>
      <c r="F724" s="4"/>
      <c r="G724" s="4"/>
      <c r="H724" s="5">
        <f t="shared" si="11"/>
        <v>-3.0697002527987072E-3</v>
      </c>
    </row>
    <row r="725" spans="1:8" ht="13.5" x14ac:dyDescent="0.25">
      <c r="A725" s="1"/>
      <c r="B725" s="3">
        <v>43357</v>
      </c>
      <c r="C725" s="4">
        <v>3.2</v>
      </c>
      <c r="D725" s="4">
        <v>1.1075999999999999</v>
      </c>
      <c r="E725" s="4">
        <v>668</v>
      </c>
      <c r="F725" s="4"/>
      <c r="G725" s="4"/>
      <c r="H725" s="5">
        <f t="shared" si="11"/>
        <v>3.0791523274767683E-3</v>
      </c>
    </row>
    <row r="726" spans="1:8" ht="13.5" x14ac:dyDescent="0.25">
      <c r="A726" s="1"/>
      <c r="B726" s="3">
        <v>43360</v>
      </c>
      <c r="C726" s="4">
        <v>3.15</v>
      </c>
      <c r="D726" s="4">
        <v>1.0903</v>
      </c>
      <c r="E726" s="4">
        <v>9176</v>
      </c>
      <c r="F726" s="4"/>
      <c r="G726" s="4"/>
      <c r="H726" s="5">
        <f t="shared" si="11"/>
        <v>-1.5619357168652828E-2</v>
      </c>
    </row>
    <row r="727" spans="1:8" ht="13.5" x14ac:dyDescent="0.25">
      <c r="A727" s="1"/>
      <c r="B727" s="3">
        <v>43361</v>
      </c>
      <c r="C727" s="4">
        <v>3.15</v>
      </c>
      <c r="D727" s="4">
        <v>1.0903</v>
      </c>
      <c r="E727" s="4">
        <v>6775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3.1</v>
      </c>
      <c r="D728" s="4">
        <v>1.073</v>
      </c>
      <c r="E728" s="4">
        <v>1162</v>
      </c>
      <c r="F728" s="4"/>
      <c r="G728" s="4"/>
      <c r="H728" s="5">
        <f t="shared" si="11"/>
        <v>-1.5867192515821419E-2</v>
      </c>
    </row>
    <row r="729" spans="1:8" ht="13.5" x14ac:dyDescent="0.25">
      <c r="A729" s="1"/>
      <c r="B729" s="3">
        <v>43363</v>
      </c>
      <c r="C729" s="4">
        <v>3.15</v>
      </c>
      <c r="D729" s="4">
        <v>1.0903</v>
      </c>
      <c r="E729" s="4">
        <v>106</v>
      </c>
      <c r="F729" s="4"/>
      <c r="G729" s="4"/>
      <c r="H729" s="5">
        <f t="shared" si="11"/>
        <v>1.612301957129552E-2</v>
      </c>
    </row>
    <row r="730" spans="1:8" ht="13.5" x14ac:dyDescent="0.25">
      <c r="A730" s="1"/>
      <c r="B730" s="3">
        <v>43364</v>
      </c>
      <c r="C730" s="4">
        <v>3.15</v>
      </c>
      <c r="D730" s="4">
        <v>1.0903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3.2</v>
      </c>
      <c r="D731" s="4">
        <v>1.1075999999999999</v>
      </c>
      <c r="E731" s="4">
        <v>1205</v>
      </c>
      <c r="F731" s="4"/>
      <c r="G731" s="4"/>
      <c r="H731" s="5">
        <f t="shared" si="11"/>
        <v>1.5867192515821214E-2</v>
      </c>
    </row>
    <row r="732" spans="1:8" ht="13.5" x14ac:dyDescent="0.25">
      <c r="A732" s="1"/>
      <c r="B732" s="3">
        <v>43368</v>
      </c>
      <c r="C732" s="4">
        <v>3.2</v>
      </c>
      <c r="D732" s="4">
        <v>1.1075999999999999</v>
      </c>
      <c r="E732" s="4">
        <v>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3.35</v>
      </c>
      <c r="D733" s="4">
        <v>1.1596</v>
      </c>
      <c r="E733" s="4">
        <v>777</v>
      </c>
      <c r="F733" s="4"/>
      <c r="G733" s="4"/>
      <c r="H733" s="5">
        <f t="shared" si="11"/>
        <v>4.6948356807511783E-2</v>
      </c>
    </row>
    <row r="734" spans="1:8" ht="13.5" x14ac:dyDescent="0.25">
      <c r="A734" s="1"/>
      <c r="B734" s="3">
        <v>43370</v>
      </c>
      <c r="C734" s="4">
        <v>3.25</v>
      </c>
      <c r="D734" s="4">
        <v>1.125</v>
      </c>
      <c r="E734" s="4">
        <v>812</v>
      </c>
      <c r="F734" s="4"/>
      <c r="G734" s="4"/>
      <c r="H734" s="5">
        <f t="shared" si="11"/>
        <v>-2.9837875129354919E-2</v>
      </c>
    </row>
    <row r="735" spans="1:8" ht="13.5" x14ac:dyDescent="0.25">
      <c r="A735" s="1"/>
      <c r="B735" s="3">
        <v>43371</v>
      </c>
      <c r="C735" s="4">
        <v>3.16</v>
      </c>
      <c r="D735" s="4">
        <v>1.0938000000000001</v>
      </c>
      <c r="E735" s="4">
        <v>8290</v>
      </c>
      <c r="F735" s="4"/>
      <c r="G735" s="4"/>
      <c r="H735" s="5">
        <f t="shared" si="11"/>
        <v>-2.7733333333333238E-2</v>
      </c>
    </row>
    <row r="736" spans="1:8" ht="13.5" x14ac:dyDescent="0.25">
      <c r="A736" s="1"/>
      <c r="B736" s="3">
        <v>43374</v>
      </c>
      <c r="C736" s="4">
        <v>3.24</v>
      </c>
      <c r="D736" s="4">
        <v>1.1214999999999999</v>
      </c>
      <c r="E736" s="4">
        <v>39776</v>
      </c>
      <c r="F736" s="4"/>
      <c r="G736" s="4"/>
      <c r="H736" s="5">
        <f t="shared" si="11"/>
        <v>2.5324556591698511E-2</v>
      </c>
    </row>
    <row r="737" spans="1:8" ht="13.5" x14ac:dyDescent="0.25">
      <c r="A737" s="1"/>
      <c r="B737" s="3">
        <v>43375</v>
      </c>
      <c r="C737" s="4">
        <v>3.2</v>
      </c>
      <c r="D737" s="4">
        <v>1.1075999999999999</v>
      </c>
      <c r="E737" s="4">
        <v>15522</v>
      </c>
      <c r="F737" s="4"/>
      <c r="G737" s="4"/>
      <c r="H737" s="5">
        <f t="shared" si="11"/>
        <v>-1.2394115024520752E-2</v>
      </c>
    </row>
    <row r="738" spans="1:8" ht="13.5" x14ac:dyDescent="0.25">
      <c r="A738" s="1"/>
      <c r="B738" s="3">
        <v>43376</v>
      </c>
      <c r="C738" s="4">
        <v>3.14</v>
      </c>
      <c r="D738" s="4">
        <v>1.0869</v>
      </c>
      <c r="E738" s="4">
        <v>50</v>
      </c>
      <c r="F738" s="4"/>
      <c r="G738" s="4"/>
      <c r="H738" s="5">
        <f t="shared" si="11"/>
        <v>-1.8689057421451737E-2</v>
      </c>
    </row>
    <row r="739" spans="1:8" ht="13.5" x14ac:dyDescent="0.25">
      <c r="A739" s="1"/>
      <c r="B739" s="3">
        <v>43377</v>
      </c>
      <c r="C739" s="4">
        <v>3.14</v>
      </c>
      <c r="D739" s="4">
        <v>1.0869</v>
      </c>
      <c r="E739" s="4">
        <v>5415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3.19</v>
      </c>
      <c r="D740" s="4">
        <v>1.1042000000000001</v>
      </c>
      <c r="E740" s="4">
        <v>36</v>
      </c>
      <c r="F740" s="4"/>
      <c r="G740" s="4"/>
      <c r="H740" s="5">
        <f t="shared" si="11"/>
        <v>1.5916827675039189E-2</v>
      </c>
    </row>
    <row r="741" spans="1:8" ht="13.5" x14ac:dyDescent="0.25">
      <c r="A741" s="1"/>
      <c r="B741" s="3">
        <v>43381</v>
      </c>
      <c r="C741" s="4">
        <v>3.2</v>
      </c>
      <c r="D741" s="4">
        <v>1.1075999999999999</v>
      </c>
      <c r="E741" s="4">
        <v>2231</v>
      </c>
      <c r="F741" s="4"/>
      <c r="G741" s="4"/>
      <c r="H741" s="5">
        <f t="shared" si="11"/>
        <v>3.0791523274767683E-3</v>
      </c>
    </row>
    <row r="742" spans="1:8" ht="13.5" x14ac:dyDescent="0.25">
      <c r="A742" s="1"/>
      <c r="B742" s="3">
        <v>43382</v>
      </c>
      <c r="C742" s="4">
        <v>3.2</v>
      </c>
      <c r="D742" s="4">
        <v>1.1075999999999999</v>
      </c>
      <c r="E742" s="4">
        <v>0</v>
      </c>
      <c r="F742" s="4"/>
      <c r="G742" s="4"/>
      <c r="H742" s="5">
        <f t="shared" si="11"/>
        <v>0</v>
      </c>
    </row>
    <row r="743" spans="1:8" ht="13.5" x14ac:dyDescent="0.25">
      <c r="A743" s="1"/>
      <c r="B743" s="3">
        <v>43383</v>
      </c>
      <c r="C743" s="4">
        <v>3.2</v>
      </c>
      <c r="D743" s="4">
        <v>1.1075999999999999</v>
      </c>
      <c r="E743" s="4">
        <v>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3.11</v>
      </c>
      <c r="D744" s="4">
        <v>1.0765</v>
      </c>
      <c r="E744" s="4">
        <v>1204</v>
      </c>
      <c r="F744" s="4"/>
      <c r="G744" s="4"/>
      <c r="H744" s="5">
        <f t="shared" si="11"/>
        <v>-2.8078728782954053E-2</v>
      </c>
    </row>
    <row r="745" spans="1:8" ht="13.5" x14ac:dyDescent="0.25">
      <c r="A745" s="1"/>
      <c r="B745" s="3">
        <v>43385</v>
      </c>
      <c r="C745" s="4">
        <v>3.1</v>
      </c>
      <c r="D745" s="4">
        <v>1.073</v>
      </c>
      <c r="E745" s="4">
        <v>9035</v>
      </c>
      <c r="F745" s="4"/>
      <c r="G745" s="4"/>
      <c r="H745" s="5">
        <f t="shared" si="11"/>
        <v>-3.2512772875058602E-3</v>
      </c>
    </row>
    <row r="746" spans="1:8" ht="13.5" x14ac:dyDescent="0.25">
      <c r="A746" s="1"/>
      <c r="B746" s="3">
        <v>43389</v>
      </c>
      <c r="C746" s="4">
        <v>3.14</v>
      </c>
      <c r="D746" s="4">
        <v>1.0869</v>
      </c>
      <c r="E746" s="4">
        <v>250</v>
      </c>
      <c r="F746" s="4"/>
      <c r="G746" s="4"/>
      <c r="H746" s="5">
        <f t="shared" si="11"/>
        <v>1.2954333643988838E-2</v>
      </c>
    </row>
    <row r="747" spans="1:8" ht="13.5" x14ac:dyDescent="0.25">
      <c r="A747" s="1"/>
      <c r="B747" s="3">
        <v>43390</v>
      </c>
      <c r="C747" s="4">
        <v>3.14</v>
      </c>
      <c r="D747" s="4">
        <v>1.0869</v>
      </c>
      <c r="E747" s="4">
        <v>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3.14</v>
      </c>
      <c r="D748" s="4">
        <v>1.0869</v>
      </c>
      <c r="E748" s="4">
        <v>1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3.23</v>
      </c>
      <c r="D749" s="4">
        <v>1.1180000000000001</v>
      </c>
      <c r="E749" s="4">
        <v>15737</v>
      </c>
      <c r="F749" s="4"/>
      <c r="G749" s="4"/>
      <c r="H749" s="5">
        <f t="shared" si="11"/>
        <v>2.8613487901370988E-2</v>
      </c>
    </row>
    <row r="750" spans="1:8" ht="13.5" x14ac:dyDescent="0.25">
      <c r="A750" s="1"/>
      <c r="B750" s="3">
        <v>43395</v>
      </c>
      <c r="C750" s="4">
        <v>3.29</v>
      </c>
      <c r="D750" s="4">
        <v>1.1388</v>
      </c>
      <c r="E750" s="4">
        <v>1500</v>
      </c>
      <c r="F750" s="4"/>
      <c r="G750" s="4"/>
      <c r="H750" s="5">
        <f t="shared" si="11"/>
        <v>1.8604651162790631E-2</v>
      </c>
    </row>
    <row r="751" spans="1:8" ht="13.5" x14ac:dyDescent="0.25">
      <c r="A751" s="1"/>
      <c r="B751" s="3">
        <v>43396</v>
      </c>
      <c r="C751" s="4">
        <v>3.31</v>
      </c>
      <c r="D751" s="4">
        <v>1.1456999999999999</v>
      </c>
      <c r="E751" s="4">
        <v>316</v>
      </c>
      <c r="F751" s="4"/>
      <c r="G751" s="4"/>
      <c r="H751" s="5">
        <f t="shared" si="11"/>
        <v>6.0590094836669352E-3</v>
      </c>
    </row>
    <row r="752" spans="1:8" ht="13.5" x14ac:dyDescent="0.25">
      <c r="A752" s="1"/>
      <c r="B752" s="3">
        <v>43397</v>
      </c>
      <c r="C752" s="4">
        <v>3.31</v>
      </c>
      <c r="D752" s="4">
        <v>1.1456999999999999</v>
      </c>
      <c r="E752" s="4">
        <v>5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3.25</v>
      </c>
      <c r="D753" s="4">
        <v>1.125</v>
      </c>
      <c r="E753" s="4">
        <v>50</v>
      </c>
      <c r="F753" s="4"/>
      <c r="G753" s="4"/>
      <c r="H753" s="5">
        <f t="shared" si="11"/>
        <v>-1.8067556952081645E-2</v>
      </c>
    </row>
    <row r="754" spans="1:8" ht="13.5" x14ac:dyDescent="0.25">
      <c r="A754" s="1"/>
      <c r="B754" s="3">
        <v>43399</v>
      </c>
      <c r="C754" s="4">
        <v>3.25</v>
      </c>
      <c r="D754" s="4">
        <v>1.125</v>
      </c>
      <c r="E754" s="4">
        <v>913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3.19</v>
      </c>
      <c r="D755" s="4">
        <v>1.1042000000000001</v>
      </c>
      <c r="E755" s="4">
        <v>186</v>
      </c>
      <c r="F755" s="4"/>
      <c r="G755" s="4"/>
      <c r="H755" s="5">
        <f t="shared" si="11"/>
        <v>-1.8488888888888826E-2</v>
      </c>
    </row>
    <row r="756" spans="1:8" ht="13.5" x14ac:dyDescent="0.25">
      <c r="A756" s="1"/>
      <c r="B756" s="3">
        <v>43403</v>
      </c>
      <c r="C756" s="4">
        <v>3.29</v>
      </c>
      <c r="D756" s="4">
        <v>1.1388</v>
      </c>
      <c r="E756" s="4">
        <v>102</v>
      </c>
      <c r="F756" s="4"/>
      <c r="G756" s="4"/>
      <c r="H756" s="5">
        <f t="shared" si="11"/>
        <v>3.133490309726495E-2</v>
      </c>
    </row>
    <row r="757" spans="1:8" ht="13.5" x14ac:dyDescent="0.25">
      <c r="A757" s="1"/>
      <c r="B757" s="3">
        <v>43404</v>
      </c>
      <c r="C757" s="4">
        <v>3.29</v>
      </c>
      <c r="D757" s="4">
        <v>1.1388</v>
      </c>
      <c r="E757" s="4">
        <v>267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3.2</v>
      </c>
      <c r="D758" s="4">
        <v>1.1075999999999999</v>
      </c>
      <c r="E758" s="4">
        <v>2</v>
      </c>
      <c r="F758" s="4"/>
      <c r="G758" s="4"/>
      <c r="H758" s="5">
        <f t="shared" si="11"/>
        <v>-2.7397260273972705E-2</v>
      </c>
    </row>
    <row r="759" spans="1:8" ht="13.5" x14ac:dyDescent="0.25">
      <c r="A759" s="1"/>
      <c r="B759" s="3">
        <v>43406</v>
      </c>
      <c r="C759" s="4">
        <v>3.2</v>
      </c>
      <c r="D759" s="4">
        <v>1.1075999999999999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3.2</v>
      </c>
      <c r="D760" s="4">
        <v>1.1075999999999999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3.29</v>
      </c>
      <c r="D761" s="4">
        <v>1.1388</v>
      </c>
      <c r="E761" s="4">
        <v>29</v>
      </c>
      <c r="F761" s="4"/>
      <c r="G761" s="4"/>
      <c r="H761" s="5">
        <f t="shared" si="11"/>
        <v>2.816901408450715E-2</v>
      </c>
    </row>
    <row r="762" spans="1:8" ht="13.5" x14ac:dyDescent="0.25">
      <c r="A762" s="1"/>
      <c r="B762" s="3">
        <v>43411</v>
      </c>
      <c r="C762" s="4">
        <v>3.29</v>
      </c>
      <c r="D762" s="4">
        <v>1.1388</v>
      </c>
      <c r="E762" s="4">
        <v>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3.29</v>
      </c>
      <c r="D763" s="4">
        <v>1.1388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3.2</v>
      </c>
      <c r="D764" s="4">
        <v>1.1075999999999999</v>
      </c>
      <c r="E764" s="4">
        <v>133</v>
      </c>
      <c r="F764" s="4"/>
      <c r="G764" s="4"/>
      <c r="H764" s="5">
        <f t="shared" si="11"/>
        <v>-2.7397260273972705E-2</v>
      </c>
    </row>
    <row r="765" spans="1:8" ht="13.5" x14ac:dyDescent="0.25">
      <c r="A765" s="1"/>
      <c r="B765" s="3">
        <v>43416</v>
      </c>
      <c r="C765" s="4">
        <v>3.07</v>
      </c>
      <c r="D765" s="4">
        <v>1.0626</v>
      </c>
      <c r="E765" s="4">
        <v>11453</v>
      </c>
      <c r="F765" s="4"/>
      <c r="G765" s="4"/>
      <c r="H765" s="5">
        <f t="shared" si="11"/>
        <v>-4.0628385698808174E-2</v>
      </c>
    </row>
    <row r="766" spans="1:8" ht="13.5" x14ac:dyDescent="0.25">
      <c r="A766" s="1"/>
      <c r="B766" s="3">
        <v>43417</v>
      </c>
      <c r="C766" s="4">
        <v>3.04</v>
      </c>
      <c r="D766" s="4">
        <v>1.0523</v>
      </c>
      <c r="E766" s="4">
        <v>426</v>
      </c>
      <c r="F766" s="4"/>
      <c r="G766" s="4"/>
      <c r="H766" s="5">
        <f t="shared" si="11"/>
        <v>-9.6932053453792355E-3</v>
      </c>
    </row>
    <row r="767" spans="1:8" ht="13.5" x14ac:dyDescent="0.25">
      <c r="A767" s="1"/>
      <c r="B767" s="3">
        <v>43418</v>
      </c>
      <c r="C767" s="4">
        <v>3.13</v>
      </c>
      <c r="D767" s="4">
        <v>1.0833999999999999</v>
      </c>
      <c r="E767" s="4">
        <v>4882</v>
      </c>
      <c r="F767" s="4"/>
      <c r="G767" s="4"/>
      <c r="H767" s="5">
        <f t="shared" si="11"/>
        <v>2.955430960752628E-2</v>
      </c>
    </row>
    <row r="768" spans="1:8" ht="13.5" x14ac:dyDescent="0.25">
      <c r="A768" s="1"/>
      <c r="B768" s="3">
        <v>43419</v>
      </c>
      <c r="C768" s="4">
        <v>3.18</v>
      </c>
      <c r="D768" s="4">
        <v>1.1007</v>
      </c>
      <c r="E768" s="4">
        <v>428</v>
      </c>
      <c r="F768" s="4"/>
      <c r="G768" s="4"/>
      <c r="H768" s="5">
        <f t="shared" si="11"/>
        <v>1.5968248107808836E-2</v>
      </c>
    </row>
    <row r="769" spans="1:8" ht="13.5" x14ac:dyDescent="0.25">
      <c r="A769" s="1"/>
      <c r="B769" s="3">
        <v>43420</v>
      </c>
      <c r="C769" s="4">
        <v>3.22</v>
      </c>
      <c r="D769" s="4">
        <v>1.1146</v>
      </c>
      <c r="E769" s="4">
        <v>3599</v>
      </c>
      <c r="F769" s="4"/>
      <c r="G769" s="4"/>
      <c r="H769" s="5">
        <f t="shared" si="11"/>
        <v>1.2628327428000385E-2</v>
      </c>
    </row>
    <row r="770" spans="1:8" ht="13.5" x14ac:dyDescent="0.25">
      <c r="A770" s="1"/>
      <c r="B770" s="3">
        <v>43423</v>
      </c>
      <c r="C770" s="4">
        <v>3.22</v>
      </c>
      <c r="D770" s="4">
        <v>1.1146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3.13</v>
      </c>
      <c r="D771" s="4">
        <v>1.0833999999999999</v>
      </c>
      <c r="E771" s="4">
        <v>85</v>
      </c>
      <c r="F771" s="4"/>
      <c r="G771" s="4"/>
      <c r="H771" s="5">
        <f t="shared" si="11"/>
        <v>-2.7992104790956502E-2</v>
      </c>
    </row>
    <row r="772" spans="1:8" ht="13.5" x14ac:dyDescent="0.25">
      <c r="A772" s="1"/>
      <c r="B772" s="3">
        <v>43426</v>
      </c>
      <c r="C772" s="4">
        <v>3.22</v>
      </c>
      <c r="D772" s="4">
        <v>1.1146</v>
      </c>
      <c r="E772" s="4">
        <v>449</v>
      </c>
      <c r="F772" s="4"/>
      <c r="G772" s="4"/>
      <c r="H772" s="5">
        <f t="shared" si="11"/>
        <v>2.8798227801366181E-2</v>
      </c>
    </row>
    <row r="773" spans="1:8" ht="13.5" x14ac:dyDescent="0.25">
      <c r="A773" s="1"/>
      <c r="B773" s="3">
        <v>43427</v>
      </c>
      <c r="C773" s="4">
        <v>3.22</v>
      </c>
      <c r="D773" s="4">
        <v>1.1146</v>
      </c>
      <c r="E773" s="4">
        <v>1158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3.2</v>
      </c>
      <c r="D774" s="4">
        <v>1.1075999999999999</v>
      </c>
      <c r="E774" s="4">
        <v>1204</v>
      </c>
      <c r="F774" s="4"/>
      <c r="G774" s="4"/>
      <c r="H774" s="5">
        <f t="shared" si="11"/>
        <v>-6.2802799210480145E-3</v>
      </c>
    </row>
    <row r="775" spans="1:8" ht="13.5" x14ac:dyDescent="0.25">
      <c r="A775" s="1"/>
      <c r="B775" s="3">
        <v>43431</v>
      </c>
      <c r="C775" s="4">
        <v>3.2</v>
      </c>
      <c r="D775" s="4">
        <v>1.1075999999999999</v>
      </c>
      <c r="E775" s="4">
        <v>295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3.15</v>
      </c>
      <c r="D776" s="4">
        <v>1.0903</v>
      </c>
      <c r="E776" s="4">
        <v>147</v>
      </c>
      <c r="F776" s="4"/>
      <c r="G776" s="4"/>
      <c r="H776" s="5">
        <f t="shared" si="12"/>
        <v>-1.5619357168652828E-2</v>
      </c>
    </row>
    <row r="777" spans="1:8" ht="13.5" x14ac:dyDescent="0.25">
      <c r="A777" s="1"/>
      <c r="B777" s="3">
        <v>43433</v>
      </c>
      <c r="C777" s="4">
        <v>3.24</v>
      </c>
      <c r="D777" s="4">
        <v>1.1214999999999999</v>
      </c>
      <c r="E777" s="4">
        <v>1154</v>
      </c>
      <c r="F777" s="4"/>
      <c r="G777" s="4"/>
      <c r="H777" s="5">
        <f t="shared" si="12"/>
        <v>2.8615977253966699E-2</v>
      </c>
    </row>
    <row r="778" spans="1:8" ht="13.5" x14ac:dyDescent="0.25">
      <c r="A778" s="1"/>
      <c r="B778" s="3">
        <v>43434</v>
      </c>
      <c r="C778" s="4">
        <v>3.33</v>
      </c>
      <c r="D778" s="4">
        <v>1.1526000000000001</v>
      </c>
      <c r="E778" s="4">
        <v>5796</v>
      </c>
      <c r="F778" s="4"/>
      <c r="G778" s="4"/>
      <c r="H778" s="5">
        <f t="shared" si="12"/>
        <v>2.7730717788675995E-2</v>
      </c>
    </row>
    <row r="779" spans="1:8" ht="13.5" x14ac:dyDescent="0.25">
      <c r="A779" s="1"/>
      <c r="B779" s="3">
        <v>43437</v>
      </c>
      <c r="C779" s="4">
        <v>3.24</v>
      </c>
      <c r="D779" s="4">
        <v>1.1214999999999999</v>
      </c>
      <c r="E779" s="4">
        <v>397</v>
      </c>
      <c r="F779" s="4"/>
      <c r="G779" s="4"/>
      <c r="H779" s="5">
        <f t="shared" si="12"/>
        <v>-2.6982474405691591E-2</v>
      </c>
    </row>
    <row r="780" spans="1:8" ht="13.5" x14ac:dyDescent="0.25">
      <c r="A780" s="1"/>
      <c r="B780" s="3">
        <v>43438</v>
      </c>
      <c r="C780" s="4">
        <v>3.32</v>
      </c>
      <c r="D780" s="4">
        <v>1.1492</v>
      </c>
      <c r="E780" s="4">
        <v>1556</v>
      </c>
      <c r="F780" s="4"/>
      <c r="G780" s="4"/>
      <c r="H780" s="5">
        <f t="shared" si="12"/>
        <v>2.4699063753901077E-2</v>
      </c>
    </row>
    <row r="781" spans="1:8" ht="13.5" x14ac:dyDescent="0.25">
      <c r="A781" s="1"/>
      <c r="B781" s="3">
        <v>43439</v>
      </c>
      <c r="C781" s="4">
        <v>3.35</v>
      </c>
      <c r="D781" s="4">
        <v>1.1596</v>
      </c>
      <c r="E781" s="4">
        <v>3155</v>
      </c>
      <c r="F781" s="4"/>
      <c r="G781" s="4"/>
      <c r="H781" s="5">
        <f t="shared" si="12"/>
        <v>9.0497737556560782E-3</v>
      </c>
    </row>
    <row r="782" spans="1:8" ht="13.5" x14ac:dyDescent="0.25">
      <c r="A782" s="1"/>
      <c r="B782" s="3">
        <v>43440</v>
      </c>
      <c r="C782" s="4">
        <v>3.33</v>
      </c>
      <c r="D782" s="4">
        <v>1.1526000000000001</v>
      </c>
      <c r="E782" s="4">
        <v>2668</v>
      </c>
      <c r="F782" s="4"/>
      <c r="G782" s="4"/>
      <c r="H782" s="5">
        <f t="shared" si="12"/>
        <v>-6.036564332528368E-3</v>
      </c>
    </row>
    <row r="783" spans="1:8" ht="13.5" x14ac:dyDescent="0.25">
      <c r="A783" s="1"/>
      <c r="B783" s="3">
        <v>43441</v>
      </c>
      <c r="C783" s="4">
        <v>3.33</v>
      </c>
      <c r="D783" s="4">
        <v>1.1526000000000001</v>
      </c>
      <c r="E783" s="4">
        <v>1553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3.34</v>
      </c>
      <c r="D784" s="4">
        <v>1.1560999999999999</v>
      </c>
      <c r="E784" s="4">
        <v>170</v>
      </c>
      <c r="F784" s="4"/>
      <c r="G784" s="4"/>
      <c r="H784" s="5">
        <f t="shared" si="12"/>
        <v>3.0366128752384492E-3</v>
      </c>
    </row>
    <row r="785" spans="1:8" ht="13.5" x14ac:dyDescent="0.25">
      <c r="A785" s="1"/>
      <c r="B785" s="3">
        <v>43445</v>
      </c>
      <c r="C785" s="4">
        <v>3.33</v>
      </c>
      <c r="D785" s="4">
        <v>1.1526000000000001</v>
      </c>
      <c r="E785" s="4">
        <v>9546</v>
      </c>
      <c r="F785" s="4"/>
      <c r="G785" s="4"/>
      <c r="H785" s="5">
        <f t="shared" si="12"/>
        <v>-3.0274197733758646E-3</v>
      </c>
    </row>
    <row r="786" spans="1:8" ht="13.5" x14ac:dyDescent="0.25">
      <c r="A786" s="1"/>
      <c r="B786" s="3">
        <v>43446</v>
      </c>
      <c r="C786" s="4">
        <v>3.24</v>
      </c>
      <c r="D786" s="4">
        <v>1.1214999999999999</v>
      </c>
      <c r="E786" s="4">
        <v>7928</v>
      </c>
      <c r="F786" s="4"/>
      <c r="G786" s="4"/>
      <c r="H786" s="5">
        <f t="shared" si="12"/>
        <v>-2.6982474405691591E-2</v>
      </c>
    </row>
    <row r="787" spans="1:8" ht="13.5" x14ac:dyDescent="0.25">
      <c r="A787" s="1"/>
      <c r="B787" s="3">
        <v>43447</v>
      </c>
      <c r="C787" s="4">
        <v>3.33</v>
      </c>
      <c r="D787" s="4">
        <v>1.1526000000000001</v>
      </c>
      <c r="E787" s="4">
        <v>2002</v>
      </c>
      <c r="F787" s="4"/>
      <c r="G787" s="4"/>
      <c r="H787" s="5">
        <f t="shared" si="12"/>
        <v>2.7730717788675995E-2</v>
      </c>
    </row>
    <row r="788" spans="1:8" ht="13.5" x14ac:dyDescent="0.25">
      <c r="A788" s="1"/>
      <c r="B788" s="3">
        <v>43448</v>
      </c>
      <c r="C788" s="4">
        <v>3.3</v>
      </c>
      <c r="D788" s="4">
        <v>1.1423000000000001</v>
      </c>
      <c r="E788" s="4">
        <v>1</v>
      </c>
      <c r="F788" s="4"/>
      <c r="G788" s="4"/>
      <c r="H788" s="5">
        <f t="shared" si="12"/>
        <v>-8.9363178899878326E-3</v>
      </c>
    </row>
    <row r="789" spans="1:8" ht="13.5" x14ac:dyDescent="0.25">
      <c r="A789" s="1"/>
      <c r="B789" s="3">
        <v>43451</v>
      </c>
      <c r="C789" s="4">
        <v>3.3</v>
      </c>
      <c r="D789" s="4">
        <v>1.1423000000000001</v>
      </c>
      <c r="E789" s="4">
        <v>2239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3.25</v>
      </c>
      <c r="D790" s="4">
        <v>1.125</v>
      </c>
      <c r="E790" s="4">
        <v>5000</v>
      </c>
      <c r="F790" s="4"/>
      <c r="G790" s="4"/>
      <c r="H790" s="5">
        <f t="shared" si="12"/>
        <v>-1.5144883130526211E-2</v>
      </c>
    </row>
    <row r="791" spans="1:8" ht="13.5" x14ac:dyDescent="0.25">
      <c r="A791" s="1"/>
      <c r="B791" s="3">
        <v>43453</v>
      </c>
      <c r="C791" s="4">
        <v>3.25</v>
      </c>
      <c r="D791" s="4">
        <v>1.125</v>
      </c>
      <c r="E791" s="4">
        <v>2706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3.3</v>
      </c>
      <c r="D792" s="4">
        <v>1.1423000000000001</v>
      </c>
      <c r="E792" s="4">
        <v>356</v>
      </c>
      <c r="F792" s="4"/>
      <c r="G792" s="4"/>
      <c r="H792" s="5">
        <f t="shared" si="12"/>
        <v>1.537777777777786E-2</v>
      </c>
    </row>
    <row r="793" spans="1:8" ht="13.5" x14ac:dyDescent="0.25">
      <c r="A793" s="1"/>
      <c r="B793" s="3">
        <v>43455</v>
      </c>
      <c r="C793" s="4">
        <v>3.3</v>
      </c>
      <c r="D793" s="4">
        <v>1.1423000000000001</v>
      </c>
      <c r="E793" s="4">
        <v>1253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3.39</v>
      </c>
      <c r="D794" s="4">
        <v>1.1734</v>
      </c>
      <c r="E794" s="4">
        <v>5116</v>
      </c>
      <c r="F794" s="4"/>
      <c r="G794" s="4"/>
      <c r="H794" s="5">
        <f t="shared" si="12"/>
        <v>2.7225772564124926E-2</v>
      </c>
    </row>
    <row r="795" spans="1:8" ht="13.5" x14ac:dyDescent="0.25">
      <c r="A795" s="1"/>
      <c r="B795" s="3">
        <v>43459</v>
      </c>
      <c r="C795" s="4">
        <v>3.39</v>
      </c>
      <c r="D795" s="4">
        <v>1.1734</v>
      </c>
      <c r="E795" s="4">
        <v>1002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3.39</v>
      </c>
      <c r="D796" s="4">
        <v>1.1734</v>
      </c>
      <c r="E796" s="4">
        <v>50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3.37</v>
      </c>
      <c r="D797" s="4">
        <v>1.1665000000000001</v>
      </c>
      <c r="E797" s="4">
        <v>2939</v>
      </c>
      <c r="F797" s="4"/>
      <c r="G797" s="4"/>
      <c r="H797" s="5">
        <f t="shared" si="12"/>
        <v>-5.8803477075165386E-3</v>
      </c>
    </row>
    <row r="798" spans="1:8" ht="13.5" x14ac:dyDescent="0.25">
      <c r="A798" s="1"/>
      <c r="B798" s="3">
        <v>43462</v>
      </c>
      <c r="C798" s="4">
        <v>3.42</v>
      </c>
      <c r="D798" s="4">
        <v>1.1838</v>
      </c>
      <c r="E798" s="4">
        <v>10808</v>
      </c>
      <c r="F798" s="4"/>
      <c r="G798" s="4"/>
      <c r="H798" s="5">
        <f t="shared" si="12"/>
        <v>1.4830690098585401E-2</v>
      </c>
    </row>
    <row r="799" spans="1:8" ht="13.5" x14ac:dyDescent="0.25">
      <c r="A799" s="1"/>
      <c r="B799" s="3">
        <v>43465</v>
      </c>
      <c r="C799" s="4">
        <v>3.42</v>
      </c>
      <c r="D799" s="4">
        <v>1.1838</v>
      </c>
      <c r="E799" s="4">
        <v>0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3.4</v>
      </c>
      <c r="D800" s="4">
        <v>1.1769000000000001</v>
      </c>
      <c r="E800" s="4">
        <v>457</v>
      </c>
      <c r="F800" s="4"/>
      <c r="G800" s="4"/>
      <c r="H800" s="5">
        <f t="shared" si="12"/>
        <v>-5.8286872782563831E-3</v>
      </c>
    </row>
    <row r="801" spans="1:8" ht="13.5" x14ac:dyDescent="0.25">
      <c r="A801" s="1"/>
      <c r="B801" s="3">
        <v>43468</v>
      </c>
      <c r="C801" s="4">
        <v>3.3</v>
      </c>
      <c r="D801" s="4">
        <v>1.1423000000000001</v>
      </c>
      <c r="E801" s="4">
        <v>550</v>
      </c>
      <c r="F801" s="4"/>
      <c r="G801" s="4"/>
      <c r="H801" s="5">
        <f t="shared" si="12"/>
        <v>-2.9399269266717615E-2</v>
      </c>
    </row>
    <row r="802" spans="1:8" ht="13.5" x14ac:dyDescent="0.25">
      <c r="A802" s="1"/>
      <c r="B802" s="3">
        <v>43469</v>
      </c>
      <c r="C802" s="4">
        <v>3.38</v>
      </c>
      <c r="D802" s="4">
        <v>1.1698999999999999</v>
      </c>
      <c r="E802" s="4">
        <v>5167</v>
      </c>
      <c r="F802" s="4"/>
      <c r="G802" s="4"/>
      <c r="H802" s="5">
        <f t="shared" si="12"/>
        <v>2.4161778867197625E-2</v>
      </c>
    </row>
    <row r="803" spans="1:8" ht="13.5" x14ac:dyDescent="0.25">
      <c r="A803" s="1"/>
      <c r="B803" s="3">
        <v>43472</v>
      </c>
      <c r="C803" s="4">
        <v>3.49</v>
      </c>
      <c r="D803" s="4">
        <v>1.208</v>
      </c>
      <c r="E803" s="4">
        <v>13987</v>
      </c>
      <c r="F803" s="4"/>
      <c r="G803" s="4"/>
      <c r="H803" s="5">
        <f t="shared" si="12"/>
        <v>3.2566886058637515E-2</v>
      </c>
    </row>
    <row r="804" spans="1:8" ht="13.5" x14ac:dyDescent="0.25">
      <c r="A804" s="1"/>
      <c r="B804" s="3">
        <v>43473</v>
      </c>
      <c r="C804" s="4">
        <v>3.59</v>
      </c>
      <c r="D804" s="4">
        <v>1.2425999999999999</v>
      </c>
      <c r="E804" s="4">
        <v>13958</v>
      </c>
      <c r="F804" s="4"/>
      <c r="G804" s="4"/>
      <c r="H804" s="5">
        <f t="shared" si="12"/>
        <v>2.8642384105960237E-2</v>
      </c>
    </row>
    <row r="805" spans="1:8" ht="13.5" x14ac:dyDescent="0.25">
      <c r="A805" s="1"/>
      <c r="B805" s="3">
        <v>43474</v>
      </c>
      <c r="C805" s="4">
        <v>3.69</v>
      </c>
      <c r="D805" s="4">
        <v>1.2773000000000001</v>
      </c>
      <c r="E805" s="4">
        <v>7581</v>
      </c>
      <c r="F805" s="4"/>
      <c r="G805" s="4"/>
      <c r="H805" s="5">
        <f t="shared" si="12"/>
        <v>2.7925317881860756E-2</v>
      </c>
    </row>
    <row r="806" spans="1:8" ht="13.5" x14ac:dyDescent="0.25">
      <c r="A806" s="1"/>
      <c r="B806" s="3">
        <v>43475</v>
      </c>
      <c r="C806" s="4">
        <v>3.74</v>
      </c>
      <c r="D806" s="4">
        <v>1.2946</v>
      </c>
      <c r="E806" s="4">
        <v>1796</v>
      </c>
      <c r="F806" s="4"/>
      <c r="G806" s="4"/>
      <c r="H806" s="5">
        <f t="shared" si="12"/>
        <v>1.3544194785876356E-2</v>
      </c>
    </row>
    <row r="807" spans="1:8" ht="13.5" x14ac:dyDescent="0.25">
      <c r="A807" s="1"/>
      <c r="B807" s="3">
        <v>43476</v>
      </c>
      <c r="C807" s="4">
        <v>3.59</v>
      </c>
      <c r="D807" s="4">
        <v>1.2425999999999999</v>
      </c>
      <c r="E807" s="4">
        <v>6704</v>
      </c>
      <c r="F807" s="4"/>
      <c r="G807" s="4"/>
      <c r="H807" s="5">
        <f t="shared" si="12"/>
        <v>-4.0166846902518191E-2</v>
      </c>
    </row>
    <row r="808" spans="1:8" ht="13.5" x14ac:dyDescent="0.25">
      <c r="A808" s="1"/>
      <c r="B808" s="3">
        <v>43480</v>
      </c>
      <c r="C808" s="4">
        <v>3.54</v>
      </c>
      <c r="D808" s="4">
        <v>1.2253000000000001</v>
      </c>
      <c r="E808" s="4">
        <v>4513</v>
      </c>
      <c r="F808" s="4"/>
      <c r="G808" s="4"/>
      <c r="H808" s="5">
        <f t="shared" si="12"/>
        <v>-1.3922420730725794E-2</v>
      </c>
    </row>
    <row r="809" spans="1:8" ht="13.5" x14ac:dyDescent="0.25">
      <c r="A809" s="1"/>
      <c r="B809" s="3">
        <v>43481</v>
      </c>
      <c r="C809" s="4">
        <v>3.54</v>
      </c>
      <c r="D809" s="4">
        <v>1.2253000000000001</v>
      </c>
      <c r="E809" s="4">
        <v>673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3.53</v>
      </c>
      <c r="D810" s="4">
        <v>1.2219</v>
      </c>
      <c r="E810" s="4">
        <v>634</v>
      </c>
      <c r="F810" s="4"/>
      <c r="G810" s="4"/>
      <c r="H810" s="5">
        <f t="shared" si="12"/>
        <v>-2.7748306537175135E-3</v>
      </c>
    </row>
    <row r="811" spans="1:8" ht="13.5" x14ac:dyDescent="0.25">
      <c r="A811" s="1"/>
      <c r="B811" s="3">
        <v>43483</v>
      </c>
      <c r="C811" s="4">
        <v>3.56</v>
      </c>
      <c r="D811" s="4">
        <v>1.2323</v>
      </c>
      <c r="E811" s="4">
        <v>71</v>
      </c>
      <c r="F811" s="4"/>
      <c r="G811" s="4"/>
      <c r="H811" s="5">
        <f t="shared" si="12"/>
        <v>8.5113348064489447E-3</v>
      </c>
    </row>
    <row r="812" spans="1:8" ht="13.5" x14ac:dyDescent="0.25">
      <c r="A812" s="1"/>
      <c r="B812" s="3">
        <v>43486</v>
      </c>
      <c r="C812" s="4">
        <v>3.48</v>
      </c>
      <c r="D812" s="4">
        <v>1.2045999999999999</v>
      </c>
      <c r="E812" s="4">
        <v>202</v>
      </c>
      <c r="F812" s="4"/>
      <c r="G812" s="4"/>
      <c r="H812" s="5">
        <f t="shared" si="12"/>
        <v>-2.2478292623549508E-2</v>
      </c>
    </row>
    <row r="813" spans="1:8" ht="13.5" x14ac:dyDescent="0.25">
      <c r="A813" s="1"/>
      <c r="B813" s="3">
        <v>43487</v>
      </c>
      <c r="C813" s="4">
        <v>3.57</v>
      </c>
      <c r="D813" s="4">
        <v>1.2357</v>
      </c>
      <c r="E813" s="4">
        <v>4348</v>
      </c>
      <c r="F813" s="4"/>
      <c r="G813" s="4"/>
      <c r="H813" s="5">
        <f t="shared" si="12"/>
        <v>2.5817698821185564E-2</v>
      </c>
    </row>
    <row r="814" spans="1:8" ht="13.5" x14ac:dyDescent="0.25">
      <c r="A814" s="1"/>
      <c r="B814" s="3">
        <v>43488</v>
      </c>
      <c r="C814" s="4">
        <v>3.58</v>
      </c>
      <c r="D814" s="4">
        <v>1.2392000000000001</v>
      </c>
      <c r="E814" s="4">
        <v>500</v>
      </c>
      <c r="F814" s="4"/>
      <c r="G814" s="4"/>
      <c r="H814" s="5">
        <f t="shared" si="12"/>
        <v>2.8324026867363101E-3</v>
      </c>
    </row>
    <row r="815" spans="1:8" ht="13.5" x14ac:dyDescent="0.25">
      <c r="A815" s="1"/>
      <c r="B815" s="3">
        <v>43489</v>
      </c>
      <c r="C815" s="4">
        <v>3.57</v>
      </c>
      <c r="D815" s="4">
        <v>1.2357</v>
      </c>
      <c r="E815" s="4">
        <v>2310</v>
      </c>
      <c r="F815" s="4"/>
      <c r="G815" s="4"/>
      <c r="H815" s="5">
        <f t="shared" si="12"/>
        <v>-2.8244028405423325E-3</v>
      </c>
    </row>
    <row r="816" spans="1:8" ht="13.5" x14ac:dyDescent="0.25">
      <c r="A816" s="1"/>
      <c r="B816" s="3">
        <v>43490</v>
      </c>
      <c r="C816" s="4">
        <v>3.58</v>
      </c>
      <c r="D816" s="4">
        <v>1.2392000000000001</v>
      </c>
      <c r="E816" s="4">
        <v>2350</v>
      </c>
      <c r="F816" s="4"/>
      <c r="G816" s="4"/>
      <c r="H816" s="5">
        <f t="shared" si="12"/>
        <v>2.8324026867363101E-3</v>
      </c>
    </row>
    <row r="817" spans="1:8" ht="13.5" x14ac:dyDescent="0.25">
      <c r="A817" s="1"/>
      <c r="B817" s="3">
        <v>43493</v>
      </c>
      <c r="C817" s="4">
        <v>3.48</v>
      </c>
      <c r="D817" s="4">
        <v>1.2045999999999999</v>
      </c>
      <c r="E817" s="4">
        <v>4109</v>
      </c>
      <c r="F817" s="4"/>
      <c r="G817" s="4"/>
      <c r="H817" s="5">
        <f t="shared" si="12"/>
        <v>-2.7921239509361026E-2</v>
      </c>
    </row>
    <row r="818" spans="1:8" ht="13.5" x14ac:dyDescent="0.25">
      <c r="A818" s="1"/>
      <c r="B818" s="3">
        <v>43494</v>
      </c>
      <c r="C818" s="4">
        <v>3.58</v>
      </c>
      <c r="D818" s="4">
        <v>1.2392000000000001</v>
      </c>
      <c r="E818" s="4">
        <v>5647</v>
      </c>
      <c r="F818" s="4"/>
      <c r="G818" s="4"/>
      <c r="H818" s="5">
        <f t="shared" si="12"/>
        <v>2.8723227627428349E-2</v>
      </c>
    </row>
    <row r="819" spans="1:8" ht="13.5" x14ac:dyDescent="0.25">
      <c r="A819" s="1"/>
      <c r="B819" s="3">
        <v>43495</v>
      </c>
      <c r="C819" s="4">
        <v>3.58</v>
      </c>
      <c r="D819" s="4">
        <v>1.2392000000000001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3.5</v>
      </c>
      <c r="D820" s="4">
        <v>1.2115</v>
      </c>
      <c r="E820" s="4">
        <v>5127</v>
      </c>
      <c r="F820" s="4"/>
      <c r="G820" s="4"/>
      <c r="H820" s="5">
        <f t="shared" si="12"/>
        <v>-2.2353131052291846E-2</v>
      </c>
    </row>
    <row r="821" spans="1:8" ht="13.5" x14ac:dyDescent="0.25">
      <c r="A821" s="1"/>
      <c r="B821" s="3">
        <v>43497</v>
      </c>
      <c r="C821" s="4">
        <v>3.49</v>
      </c>
      <c r="D821" s="4">
        <v>1.208</v>
      </c>
      <c r="E821" s="4">
        <v>157</v>
      </c>
      <c r="F821" s="4"/>
      <c r="G821" s="4"/>
      <c r="H821" s="5">
        <f t="shared" si="12"/>
        <v>-2.8889806025588598E-3</v>
      </c>
    </row>
    <row r="822" spans="1:8" ht="13.5" x14ac:dyDescent="0.25">
      <c r="A822" s="1"/>
      <c r="B822" s="3">
        <v>43500</v>
      </c>
      <c r="C822" s="4">
        <v>3.47</v>
      </c>
      <c r="D822" s="4">
        <v>1.2011000000000001</v>
      </c>
      <c r="E822" s="4">
        <v>2441</v>
      </c>
      <c r="F822" s="4"/>
      <c r="G822" s="4"/>
      <c r="H822" s="5">
        <f t="shared" si="12"/>
        <v>-5.7119205298012468E-3</v>
      </c>
    </row>
    <row r="823" spans="1:8" ht="13.5" x14ac:dyDescent="0.25">
      <c r="A823" s="1"/>
      <c r="B823" s="3">
        <v>43501</v>
      </c>
      <c r="C823" s="4">
        <v>3.5</v>
      </c>
      <c r="D823" s="4">
        <v>1.2115</v>
      </c>
      <c r="E823" s="4">
        <v>3266</v>
      </c>
      <c r="F823" s="4"/>
      <c r="G823" s="4"/>
      <c r="H823" s="5">
        <f t="shared" si="12"/>
        <v>8.6587294979601735E-3</v>
      </c>
    </row>
    <row r="824" spans="1:8" ht="13.5" x14ac:dyDescent="0.25">
      <c r="A824" s="1"/>
      <c r="B824" s="3">
        <v>43502</v>
      </c>
      <c r="C824" s="4">
        <v>3.48</v>
      </c>
      <c r="D824" s="4">
        <v>1.2045999999999999</v>
      </c>
      <c r="E824" s="4">
        <v>108</v>
      </c>
      <c r="F824" s="4"/>
      <c r="G824" s="4"/>
      <c r="H824" s="5">
        <f t="shared" si="12"/>
        <v>-5.6954189021874765E-3</v>
      </c>
    </row>
    <row r="825" spans="1:8" ht="13.5" x14ac:dyDescent="0.25">
      <c r="A825" s="1"/>
      <c r="B825" s="3">
        <v>43503</v>
      </c>
      <c r="C825" s="4">
        <v>3.48</v>
      </c>
      <c r="D825" s="4">
        <v>1.2045999999999999</v>
      </c>
      <c r="E825" s="4">
        <v>2090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3.51</v>
      </c>
      <c r="D826" s="4">
        <v>1.2149000000000001</v>
      </c>
      <c r="E826" s="4">
        <v>7716</v>
      </c>
      <c r="F826" s="4"/>
      <c r="G826" s="4"/>
      <c r="H826" s="5">
        <f t="shared" si="12"/>
        <v>8.5505562012287879E-3</v>
      </c>
    </row>
    <row r="827" spans="1:8" ht="13.5" x14ac:dyDescent="0.25">
      <c r="A827" s="1"/>
      <c r="B827" s="3">
        <v>43507</v>
      </c>
      <c r="C827" s="4">
        <v>3.58</v>
      </c>
      <c r="D827" s="4">
        <v>1.2392000000000001</v>
      </c>
      <c r="E827" s="4">
        <v>6793</v>
      </c>
      <c r="F827" s="4"/>
      <c r="G827" s="4"/>
      <c r="H827" s="5">
        <f t="shared" si="12"/>
        <v>2.0001646226026824E-2</v>
      </c>
    </row>
    <row r="828" spans="1:8" ht="13.5" x14ac:dyDescent="0.25">
      <c r="A828" s="1"/>
      <c r="B828" s="3">
        <v>43508</v>
      </c>
      <c r="C828" s="4">
        <v>3.58</v>
      </c>
      <c r="D828" s="4">
        <v>1.2392000000000001</v>
      </c>
      <c r="E828" s="4">
        <v>4521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3.52</v>
      </c>
      <c r="D829" s="4">
        <v>1.2183999999999999</v>
      </c>
      <c r="E829" s="4">
        <v>1604</v>
      </c>
      <c r="F829" s="4"/>
      <c r="G829" s="4"/>
      <c r="H829" s="5">
        <f t="shared" si="12"/>
        <v>-1.6785022595222847E-2</v>
      </c>
    </row>
    <row r="830" spans="1:8" ht="13.5" x14ac:dyDescent="0.25">
      <c r="A830" s="1"/>
      <c r="B830" s="3">
        <v>43510</v>
      </c>
      <c r="C830" s="4">
        <v>3.59</v>
      </c>
      <c r="D830" s="4">
        <v>1.2425999999999999</v>
      </c>
      <c r="E830" s="4">
        <v>297</v>
      </c>
      <c r="F830" s="4"/>
      <c r="G830" s="4"/>
      <c r="H830" s="5">
        <f t="shared" si="12"/>
        <v>1.9862114248194354E-2</v>
      </c>
    </row>
    <row r="831" spans="1:8" ht="13.5" x14ac:dyDescent="0.25">
      <c r="A831" s="1"/>
      <c r="B831" s="3">
        <v>43511</v>
      </c>
      <c r="C831" s="4">
        <v>3.59</v>
      </c>
      <c r="D831" s="4">
        <v>1.2425999999999999</v>
      </c>
      <c r="E831" s="4">
        <v>3652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3.6</v>
      </c>
      <c r="D832" s="4">
        <v>1.2461</v>
      </c>
      <c r="E832" s="4">
        <v>463</v>
      </c>
      <c r="F832" s="4"/>
      <c r="G832" s="4"/>
      <c r="H832" s="5">
        <f t="shared" si="12"/>
        <v>2.8166747143087549E-3</v>
      </c>
    </row>
    <row r="833" spans="1:8" ht="13.5" x14ac:dyDescent="0.25">
      <c r="A833" s="1"/>
      <c r="B833" s="3">
        <v>43515</v>
      </c>
      <c r="C833" s="4">
        <v>3.6</v>
      </c>
      <c r="D833" s="4">
        <v>1.2461</v>
      </c>
      <c r="E833" s="4">
        <v>10138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3.64</v>
      </c>
      <c r="D834" s="4">
        <v>1.2599</v>
      </c>
      <c r="E834" s="4">
        <v>3</v>
      </c>
      <c r="F834" s="4"/>
      <c r="G834" s="4"/>
      <c r="H834" s="5">
        <f t="shared" si="12"/>
        <v>1.1074552604124897E-2</v>
      </c>
    </row>
    <row r="835" spans="1:8" ht="13.5" x14ac:dyDescent="0.25">
      <c r="A835" s="1"/>
      <c r="B835" s="3">
        <v>43517</v>
      </c>
      <c r="C835" s="4">
        <v>3.86</v>
      </c>
      <c r="D835" s="4">
        <v>1.3361000000000001</v>
      </c>
      <c r="E835" s="4">
        <v>152162</v>
      </c>
      <c r="F835" s="4"/>
      <c r="G835" s="4"/>
      <c r="H835" s="5">
        <f t="shared" si="12"/>
        <v>6.048099055480597E-2</v>
      </c>
    </row>
    <row r="836" spans="1:8" ht="13.5" x14ac:dyDescent="0.25">
      <c r="A836" s="1"/>
      <c r="B836" s="3">
        <v>43518</v>
      </c>
      <c r="C836" s="4">
        <v>4.09</v>
      </c>
      <c r="D836" s="4">
        <v>1.4157</v>
      </c>
      <c r="E836" s="4">
        <v>129784</v>
      </c>
      <c r="F836" s="4"/>
      <c r="G836" s="4"/>
      <c r="H836" s="5">
        <f t="shared" si="12"/>
        <v>5.9576379013546808E-2</v>
      </c>
    </row>
    <row r="837" spans="1:8" ht="13.5" x14ac:dyDescent="0.25">
      <c r="A837" s="1"/>
      <c r="B837" s="3">
        <v>43521</v>
      </c>
      <c r="C837" s="4">
        <v>4.33</v>
      </c>
      <c r="D837" s="4">
        <v>1.4987999999999999</v>
      </c>
      <c r="E837" s="4">
        <v>23495</v>
      </c>
      <c r="F837" s="4"/>
      <c r="G837" s="4"/>
      <c r="H837" s="5">
        <f t="shared" si="12"/>
        <v>5.8698876880695028E-2</v>
      </c>
    </row>
    <row r="838" spans="1:8" ht="13.5" x14ac:dyDescent="0.25">
      <c r="A838" s="1"/>
      <c r="B838" s="3">
        <v>43522</v>
      </c>
      <c r="C838" s="4">
        <v>4.59</v>
      </c>
      <c r="D838" s="4">
        <v>1.5888</v>
      </c>
      <c r="E838" s="4">
        <v>116939</v>
      </c>
      <c r="F838" s="4"/>
      <c r="G838" s="4"/>
      <c r="H838" s="5">
        <f t="shared" si="12"/>
        <v>6.0048038430744653E-2</v>
      </c>
    </row>
    <row r="839" spans="1:8" ht="13.5" x14ac:dyDescent="0.25">
      <c r="A839" s="1"/>
      <c r="B839" s="3">
        <v>43523</v>
      </c>
      <c r="C839" s="4">
        <v>4.63</v>
      </c>
      <c r="D839" s="4">
        <v>1.6026</v>
      </c>
      <c r="E839" s="4">
        <v>75158</v>
      </c>
      <c r="F839" s="4"/>
      <c r="G839" s="4"/>
      <c r="H839" s="5">
        <f t="shared" ref="H839:H902" si="13">(D839-D838)/D838</f>
        <v>8.6858006042296286E-3</v>
      </c>
    </row>
    <row r="840" spans="1:8" ht="13.5" x14ac:dyDescent="0.25">
      <c r="A840" s="1"/>
      <c r="B840" s="3">
        <v>43524</v>
      </c>
      <c r="C840" s="4">
        <v>4.8</v>
      </c>
      <c r="D840" s="4">
        <v>1.6615</v>
      </c>
      <c r="E840" s="4">
        <v>121744</v>
      </c>
      <c r="F840" s="4"/>
      <c r="G840" s="4"/>
      <c r="H840" s="5">
        <f t="shared" si="13"/>
        <v>3.6752776737801043E-2</v>
      </c>
    </row>
    <row r="841" spans="1:8" ht="13.5" x14ac:dyDescent="0.25">
      <c r="A841" s="1"/>
      <c r="B841" s="3">
        <v>43525</v>
      </c>
      <c r="C841" s="4">
        <v>4.8099999999999996</v>
      </c>
      <c r="D841" s="4">
        <v>1.6649</v>
      </c>
      <c r="E841" s="4">
        <v>21242</v>
      </c>
      <c r="F841" s="4"/>
      <c r="G841" s="4"/>
      <c r="H841" s="5">
        <f t="shared" si="13"/>
        <v>2.046343665362666E-3</v>
      </c>
    </row>
    <row r="842" spans="1:8" ht="13.5" x14ac:dyDescent="0.25">
      <c r="A842" s="1"/>
      <c r="B842" s="3">
        <v>43528</v>
      </c>
      <c r="C842" s="4">
        <v>4.8</v>
      </c>
      <c r="D842" s="4">
        <v>1.6615</v>
      </c>
      <c r="E842" s="4">
        <v>29325</v>
      </c>
      <c r="F842" s="4"/>
      <c r="G842" s="4"/>
      <c r="H842" s="5">
        <f t="shared" si="13"/>
        <v>-2.0421646945762927E-3</v>
      </c>
    </row>
    <row r="843" spans="1:8" ht="13.5" x14ac:dyDescent="0.25">
      <c r="A843" s="1"/>
      <c r="B843" s="3">
        <v>43529</v>
      </c>
      <c r="C843" s="4">
        <v>4.8499999999999996</v>
      </c>
      <c r="D843" s="4">
        <v>1.6788000000000001</v>
      </c>
      <c r="E843" s="4">
        <v>23738</v>
      </c>
      <c r="F843" s="4">
        <v>4.8268000000000004</v>
      </c>
      <c r="G843" s="4">
        <v>114578.5784</v>
      </c>
      <c r="H843" s="5">
        <f t="shared" si="13"/>
        <v>1.0412278061992231E-2</v>
      </c>
    </row>
    <row r="844" spans="1:8" ht="13.5" x14ac:dyDescent="0.25">
      <c r="A844" s="1"/>
      <c r="B844" s="3">
        <v>43530</v>
      </c>
      <c r="C844" s="4">
        <v>4.84</v>
      </c>
      <c r="D844" s="4">
        <v>1.6753</v>
      </c>
      <c r="E844" s="4">
        <v>23793</v>
      </c>
      <c r="F844" s="4">
        <v>4.8108000000000004</v>
      </c>
      <c r="G844" s="4">
        <v>114463.36440000001</v>
      </c>
      <c r="H844" s="5">
        <f t="shared" si="13"/>
        <v>-2.0848224922564084E-3</v>
      </c>
    </row>
    <row r="845" spans="1:8" ht="13.5" x14ac:dyDescent="0.25">
      <c r="A845" s="1"/>
      <c r="B845" s="3">
        <v>43531</v>
      </c>
      <c r="C845" s="4">
        <v>5.1100000000000003</v>
      </c>
      <c r="D845" s="4">
        <v>1.7687999999999999</v>
      </c>
      <c r="E845" s="4">
        <v>117838</v>
      </c>
      <c r="F845" s="4">
        <v>5.0849000000000002</v>
      </c>
      <c r="G845" s="4">
        <v>599194.44620000001</v>
      </c>
      <c r="H845" s="5">
        <f t="shared" si="13"/>
        <v>5.5810899540380779E-2</v>
      </c>
    </row>
    <row r="846" spans="1:8" ht="13.5" x14ac:dyDescent="0.25">
      <c r="A846" s="1"/>
      <c r="B846" s="3">
        <v>43532</v>
      </c>
      <c r="C846" s="4">
        <v>5.0999999999999996</v>
      </c>
      <c r="D846" s="4">
        <v>1.7653000000000001</v>
      </c>
      <c r="E846" s="4">
        <v>32694</v>
      </c>
      <c r="F846" s="4">
        <v>5.0956999999999999</v>
      </c>
      <c r="G846" s="4">
        <v>166598.81580000001</v>
      </c>
      <c r="H846" s="5">
        <f t="shared" si="13"/>
        <v>-1.9787426503843492E-3</v>
      </c>
    </row>
    <row r="847" spans="1:8" ht="13.5" x14ac:dyDescent="0.25">
      <c r="A847" s="1"/>
      <c r="B847" s="3">
        <v>43535</v>
      </c>
      <c r="C847" s="4">
        <v>5.07</v>
      </c>
      <c r="D847" s="4">
        <v>1.7548999999999999</v>
      </c>
      <c r="E847" s="4">
        <v>20107</v>
      </c>
      <c r="F847" s="4">
        <v>4.9657</v>
      </c>
      <c r="G847" s="4">
        <v>99845.329899999997</v>
      </c>
      <c r="H847" s="5">
        <f t="shared" si="13"/>
        <v>-5.8913499121963329E-3</v>
      </c>
    </row>
    <row r="848" spans="1:8" ht="13.5" x14ac:dyDescent="0.25">
      <c r="A848" s="1"/>
      <c r="B848" s="3">
        <v>43536</v>
      </c>
      <c r="C848" s="4">
        <v>4.97</v>
      </c>
      <c r="D848" s="4">
        <v>1.7202999999999999</v>
      </c>
      <c r="E848" s="4">
        <v>17439</v>
      </c>
      <c r="F848" s="4">
        <v>4.9733999999999998</v>
      </c>
      <c r="G848" s="4">
        <v>86731.122600000002</v>
      </c>
      <c r="H848" s="5">
        <f t="shared" si="13"/>
        <v>-1.9716223146618021E-2</v>
      </c>
    </row>
    <row r="849" spans="1:8" ht="13.5" x14ac:dyDescent="0.25">
      <c r="A849" s="1"/>
      <c r="B849" s="3">
        <v>43537</v>
      </c>
      <c r="C849" s="4">
        <v>4.95</v>
      </c>
      <c r="D849" s="4">
        <v>1.7134</v>
      </c>
      <c r="E849" s="4">
        <v>53000</v>
      </c>
      <c r="F849" s="4">
        <v>4.8807</v>
      </c>
      <c r="G849" s="4">
        <v>258677.1</v>
      </c>
      <c r="H849" s="5">
        <f t="shared" si="13"/>
        <v>-4.0109283264546337E-3</v>
      </c>
    </row>
    <row r="850" spans="1:8" ht="13.5" x14ac:dyDescent="0.25">
      <c r="A850" s="1"/>
      <c r="B850" s="3">
        <v>43538</v>
      </c>
      <c r="C850" s="4">
        <v>4.9000000000000004</v>
      </c>
      <c r="D850" s="4">
        <v>1.6960999999999999</v>
      </c>
      <c r="E850" s="4">
        <v>20775</v>
      </c>
      <c r="F850" s="4">
        <v>4.8895</v>
      </c>
      <c r="G850" s="4">
        <v>101579.3625</v>
      </c>
      <c r="H850" s="5">
        <f t="shared" si="13"/>
        <v>-1.0096883389751427E-2</v>
      </c>
    </row>
    <row r="851" spans="1:8" ht="13.5" x14ac:dyDescent="0.25">
      <c r="A851" s="1"/>
      <c r="B851" s="3">
        <v>43539</v>
      </c>
      <c r="C851" s="4">
        <v>4.9000000000000004</v>
      </c>
      <c r="D851" s="4">
        <v>1.6960999999999999</v>
      </c>
      <c r="E851" s="4">
        <v>17796</v>
      </c>
      <c r="F851" s="4">
        <v>4.8651</v>
      </c>
      <c r="G851" s="4">
        <v>86579.319600000003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4.8</v>
      </c>
      <c r="D852" s="4">
        <v>1.6615</v>
      </c>
      <c r="E852" s="4">
        <v>909</v>
      </c>
      <c r="F852" s="4">
        <v>4.8002000000000002</v>
      </c>
      <c r="G852" s="4">
        <v>4363.3818000000001</v>
      </c>
      <c r="H852" s="5">
        <f t="shared" si="13"/>
        <v>-2.0399740581333627E-2</v>
      </c>
    </row>
    <row r="853" spans="1:8" ht="13.5" x14ac:dyDescent="0.25">
      <c r="A853" s="1"/>
      <c r="B853" s="3">
        <v>43543</v>
      </c>
      <c r="C853" s="4">
        <v>4.9400000000000004</v>
      </c>
      <c r="D853" s="4">
        <v>1.7099</v>
      </c>
      <c r="E853" s="4">
        <v>5415</v>
      </c>
      <c r="F853" s="4">
        <v>4.8677999999999999</v>
      </c>
      <c r="G853" s="4">
        <v>26359.136999999999</v>
      </c>
      <c r="H853" s="5">
        <f t="shared" si="13"/>
        <v>2.9130303942220884E-2</v>
      </c>
    </row>
    <row r="854" spans="1:8" ht="13.5" x14ac:dyDescent="0.25">
      <c r="A854" s="1"/>
      <c r="B854" s="3">
        <v>43545</v>
      </c>
      <c r="C854" s="4">
        <v>4.87</v>
      </c>
      <c r="D854" s="4">
        <v>1.6857</v>
      </c>
      <c r="E854" s="4">
        <v>8938</v>
      </c>
      <c r="F854" s="4">
        <v>4.8422999999999998</v>
      </c>
      <c r="G854" s="4">
        <v>43280.477400000003</v>
      </c>
      <c r="H854" s="5">
        <f t="shared" si="13"/>
        <v>-1.4152874437101585E-2</v>
      </c>
    </row>
    <row r="855" spans="1:8" ht="13.5" x14ac:dyDescent="0.25">
      <c r="A855" s="1"/>
      <c r="B855" s="3">
        <v>43546</v>
      </c>
      <c r="C855" s="4">
        <v>4.92</v>
      </c>
      <c r="D855" s="4">
        <v>1.7030000000000001</v>
      </c>
      <c r="E855" s="4">
        <v>10985</v>
      </c>
      <c r="F855" s="4">
        <v>4.8356000000000003</v>
      </c>
      <c r="G855" s="4">
        <v>53119.065999999999</v>
      </c>
      <c r="H855" s="5">
        <f t="shared" si="13"/>
        <v>1.0262798837278337E-2</v>
      </c>
    </row>
    <row r="856" spans="1:8" ht="13.5" x14ac:dyDescent="0.25">
      <c r="A856" s="1"/>
      <c r="B856" s="3">
        <v>43549</v>
      </c>
      <c r="C856" s="4">
        <v>4.9000000000000004</v>
      </c>
      <c r="D856" s="4">
        <v>1.6960999999999999</v>
      </c>
      <c r="E856" s="4">
        <v>3610</v>
      </c>
      <c r="F856" s="4">
        <v>4.9013</v>
      </c>
      <c r="G856" s="4">
        <v>17693.692999999999</v>
      </c>
      <c r="H856" s="5">
        <f t="shared" si="13"/>
        <v>-4.0516735173224475E-3</v>
      </c>
    </row>
    <row r="857" spans="1:8" ht="13.5" x14ac:dyDescent="0.25">
      <c r="A857" s="1"/>
      <c r="B857" s="3">
        <v>43550</v>
      </c>
      <c r="C857" s="4">
        <v>4.99</v>
      </c>
      <c r="D857" s="4">
        <v>1.7272000000000001</v>
      </c>
      <c r="E857" s="4">
        <v>24468</v>
      </c>
      <c r="F857" s="4">
        <v>4.9470999999999998</v>
      </c>
      <c r="G857" s="4">
        <v>121045.6428</v>
      </c>
      <c r="H857" s="5">
        <f t="shared" si="13"/>
        <v>1.833618300807743E-2</v>
      </c>
    </row>
    <row r="858" spans="1:8" ht="13.5" x14ac:dyDescent="0.25">
      <c r="A858" s="1"/>
      <c r="B858" s="3">
        <v>43551</v>
      </c>
      <c r="C858" s="4">
        <v>5</v>
      </c>
      <c r="D858" s="4">
        <v>1.7306999999999999</v>
      </c>
      <c r="E858" s="4">
        <v>55888</v>
      </c>
      <c r="F858" s="4">
        <v>5.1014999999999997</v>
      </c>
      <c r="G858" s="4">
        <v>285112.63199999998</v>
      </c>
      <c r="H858" s="5">
        <f t="shared" si="13"/>
        <v>2.0264011116256581E-3</v>
      </c>
    </row>
    <row r="859" spans="1:8" ht="13.5" x14ac:dyDescent="0.25">
      <c r="A859" s="1"/>
      <c r="B859" s="3">
        <v>43552</v>
      </c>
      <c r="C859" s="4">
        <v>5.05</v>
      </c>
      <c r="D859" s="4">
        <v>1.748</v>
      </c>
      <c r="E859" s="4">
        <v>7890</v>
      </c>
      <c r="F859" s="4">
        <v>5.0881999999999996</v>
      </c>
      <c r="G859" s="4">
        <v>40145.898000000001</v>
      </c>
      <c r="H859" s="5">
        <f t="shared" si="13"/>
        <v>9.9959553937713601E-3</v>
      </c>
    </row>
    <row r="860" spans="1:8" ht="13.5" x14ac:dyDescent="0.25">
      <c r="A860" s="1"/>
      <c r="B860" s="3">
        <v>43553</v>
      </c>
      <c r="C860" s="4">
        <v>4.99</v>
      </c>
      <c r="D860" s="4">
        <v>1.7272000000000001</v>
      </c>
      <c r="E860" s="4">
        <v>550</v>
      </c>
      <c r="F860" s="4">
        <v>4.9945000000000004</v>
      </c>
      <c r="G860" s="4">
        <v>2746.9749999999999</v>
      </c>
      <c r="H860" s="5">
        <f t="shared" si="13"/>
        <v>-1.1899313501144124E-2</v>
      </c>
    </row>
    <row r="861" spans="1:8" ht="13.5" x14ac:dyDescent="0.25">
      <c r="A861" s="1"/>
      <c r="B861" s="3">
        <v>43556</v>
      </c>
      <c r="C861" s="4">
        <v>4.95</v>
      </c>
      <c r="D861" s="4">
        <v>1.7134</v>
      </c>
      <c r="E861" s="4">
        <v>5644</v>
      </c>
      <c r="F861" s="4">
        <v>4.8499999999999996</v>
      </c>
      <c r="G861" s="4">
        <v>27373.4</v>
      </c>
      <c r="H861" s="5">
        <f t="shared" si="13"/>
        <v>-7.9898100972672723E-3</v>
      </c>
    </row>
    <row r="862" spans="1:8" ht="13.5" x14ac:dyDescent="0.25">
      <c r="A862" s="1"/>
      <c r="B862" s="3">
        <v>43557</v>
      </c>
      <c r="C862" s="4">
        <v>4.95</v>
      </c>
      <c r="D862" s="4">
        <v>1.7134</v>
      </c>
      <c r="E862" s="4">
        <v>470</v>
      </c>
      <c r="F862" s="4">
        <v>4.8540999999999999</v>
      </c>
      <c r="G862" s="4">
        <v>2281.4270000000001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5.08</v>
      </c>
      <c r="D863" s="4">
        <v>1.7584</v>
      </c>
      <c r="E863" s="4">
        <v>6995</v>
      </c>
      <c r="F863" s="4">
        <v>4.9424000000000001</v>
      </c>
      <c r="G863" s="4">
        <v>34572.088000000003</v>
      </c>
      <c r="H863" s="5">
        <f t="shared" si="13"/>
        <v>2.626356951091393E-2</v>
      </c>
    </row>
    <row r="864" spans="1:8" ht="13.5" x14ac:dyDescent="0.25">
      <c r="A864" s="1"/>
      <c r="B864" s="3">
        <v>43559</v>
      </c>
      <c r="C864" s="4">
        <v>5.04</v>
      </c>
      <c r="D864" s="4">
        <v>1.7444999999999999</v>
      </c>
      <c r="E864" s="4">
        <v>3146</v>
      </c>
      <c r="F864" s="4">
        <v>5.0326000000000004</v>
      </c>
      <c r="G864" s="4">
        <v>15832.559600000001</v>
      </c>
      <c r="H864" s="5">
        <f t="shared" si="13"/>
        <v>-7.9049135577798132E-3</v>
      </c>
    </row>
    <row r="865" spans="1:8" ht="13.5" x14ac:dyDescent="0.25">
      <c r="A865" s="1"/>
      <c r="B865" s="3">
        <v>43560</v>
      </c>
      <c r="C865" s="4">
        <v>5</v>
      </c>
      <c r="D865" s="4">
        <v>1.7306999999999999</v>
      </c>
      <c r="E865" s="4">
        <v>4230</v>
      </c>
      <c r="F865" s="4">
        <v>4.9691000000000001</v>
      </c>
      <c r="G865" s="4">
        <v>21019.293000000001</v>
      </c>
      <c r="H865" s="5">
        <f t="shared" si="13"/>
        <v>-7.9105760963026853E-3</v>
      </c>
    </row>
    <row r="866" spans="1:8" ht="13.5" x14ac:dyDescent="0.25">
      <c r="A866" s="1"/>
      <c r="B866" s="3">
        <v>43563</v>
      </c>
      <c r="C866" s="4">
        <v>5.04</v>
      </c>
      <c r="D866" s="4">
        <v>1.7444999999999999</v>
      </c>
      <c r="E866" s="4">
        <v>2177</v>
      </c>
      <c r="F866" s="4">
        <v>5.0008999999999997</v>
      </c>
      <c r="G866" s="4">
        <v>10886.9593</v>
      </c>
      <c r="H866" s="5">
        <f t="shared" si="13"/>
        <v>7.9736522794245299E-3</v>
      </c>
    </row>
    <row r="867" spans="1:8" ht="13.5" x14ac:dyDescent="0.25">
      <c r="A867" s="1"/>
      <c r="B867" s="3">
        <v>43565</v>
      </c>
      <c r="C867" s="4">
        <v>5.01</v>
      </c>
      <c r="D867" s="4">
        <v>1.7342</v>
      </c>
      <c r="E867" s="4">
        <v>1350</v>
      </c>
      <c r="F867" s="4">
        <v>4.9284999999999997</v>
      </c>
      <c r="G867" s="4">
        <v>6653.4750000000004</v>
      </c>
      <c r="H867" s="5">
        <f t="shared" si="13"/>
        <v>-5.9042705646316857E-3</v>
      </c>
    </row>
    <row r="868" spans="1:8" ht="13.5" x14ac:dyDescent="0.25">
      <c r="A868" s="1"/>
      <c r="B868" s="3">
        <v>43566</v>
      </c>
      <c r="C868" s="4">
        <v>5.14</v>
      </c>
      <c r="D868" s="4">
        <v>1.7791999999999999</v>
      </c>
      <c r="E868" s="4">
        <v>45213</v>
      </c>
      <c r="F868" s="4">
        <v>5.0198</v>
      </c>
      <c r="G868" s="4">
        <v>226960.21739999999</v>
      </c>
      <c r="H868" s="5">
        <f t="shared" si="13"/>
        <v>2.5948564179448696E-2</v>
      </c>
    </row>
    <row r="869" spans="1:8" ht="13.5" x14ac:dyDescent="0.25">
      <c r="A869" s="1"/>
      <c r="B869" s="3">
        <v>43567</v>
      </c>
      <c r="C869" s="4">
        <v>5.04</v>
      </c>
      <c r="D869" s="4">
        <v>1.7444999999999999</v>
      </c>
      <c r="E869" s="4">
        <v>4585</v>
      </c>
      <c r="F869" s="4">
        <v>5.1492000000000004</v>
      </c>
      <c r="G869" s="4">
        <v>23609.081999999999</v>
      </c>
      <c r="H869" s="5">
        <f t="shared" si="13"/>
        <v>-1.9503147482014364E-2</v>
      </c>
    </row>
    <row r="870" spans="1:8" ht="13.5" x14ac:dyDescent="0.25">
      <c r="A870" s="1"/>
      <c r="B870" s="3">
        <v>43570</v>
      </c>
      <c r="C870" s="4">
        <v>5.0999999999999996</v>
      </c>
      <c r="D870" s="4">
        <v>1.7653000000000001</v>
      </c>
      <c r="E870" s="4">
        <v>300</v>
      </c>
      <c r="F870" s="4">
        <v>5.1233000000000004</v>
      </c>
      <c r="G870" s="4">
        <v>1536.99</v>
      </c>
      <c r="H870" s="5">
        <f t="shared" si="13"/>
        <v>1.1923187159644685E-2</v>
      </c>
    </row>
    <row r="871" spans="1:8" ht="13.5" x14ac:dyDescent="0.25">
      <c r="A871" s="1"/>
      <c r="B871" s="3">
        <v>43571</v>
      </c>
      <c r="C871" s="4">
        <v>5.24</v>
      </c>
      <c r="D871" s="4">
        <v>1.8138000000000001</v>
      </c>
      <c r="E871" s="4">
        <v>46371</v>
      </c>
      <c r="F871" s="4">
        <v>5.2331000000000003</v>
      </c>
      <c r="G871" s="4">
        <v>242664.08009999999</v>
      </c>
      <c r="H871" s="5">
        <f t="shared" si="13"/>
        <v>2.747408372514586E-2</v>
      </c>
    </row>
    <row r="872" spans="1:8" ht="13.5" x14ac:dyDescent="0.25">
      <c r="A872" s="1"/>
      <c r="B872" s="3">
        <v>43572</v>
      </c>
      <c r="C872" s="4">
        <v>5.4</v>
      </c>
      <c r="D872" s="4">
        <v>1.8691</v>
      </c>
      <c r="E872" s="4">
        <v>147760</v>
      </c>
      <c r="F872" s="4">
        <v>5.3552</v>
      </c>
      <c r="G872" s="4">
        <v>791284.35199999996</v>
      </c>
      <c r="H872" s="5">
        <f t="shared" si="13"/>
        <v>3.0488477230124548E-2</v>
      </c>
    </row>
    <row r="873" spans="1:8" ht="13.5" x14ac:dyDescent="0.25">
      <c r="A873" s="1"/>
      <c r="B873" s="3">
        <v>43573</v>
      </c>
      <c r="C873" s="4">
        <v>5.49</v>
      </c>
      <c r="D873" s="4">
        <v>1.9003000000000001</v>
      </c>
      <c r="E873" s="4">
        <v>41572</v>
      </c>
      <c r="F873" s="4">
        <v>5.4320000000000004</v>
      </c>
      <c r="G873" s="4">
        <v>225819.10399999999</v>
      </c>
      <c r="H873" s="5">
        <f t="shared" si="13"/>
        <v>1.6692525814563222E-2</v>
      </c>
    </row>
    <row r="874" spans="1:8" ht="13.5" x14ac:dyDescent="0.25">
      <c r="A874" s="1"/>
      <c r="B874" s="3">
        <v>43574</v>
      </c>
      <c r="C874" s="4">
        <v>5.69</v>
      </c>
      <c r="D874" s="4">
        <v>1.9695</v>
      </c>
      <c r="E874" s="4">
        <v>36466</v>
      </c>
      <c r="F874" s="4">
        <v>5.6322000000000001</v>
      </c>
      <c r="G874" s="4">
        <v>205383.8052</v>
      </c>
      <c r="H874" s="5">
        <f t="shared" si="13"/>
        <v>3.6415302846918865E-2</v>
      </c>
    </row>
    <row r="875" spans="1:8" ht="13.5" x14ac:dyDescent="0.25">
      <c r="A875" s="1"/>
      <c r="B875" s="3">
        <v>43577</v>
      </c>
      <c r="C875" s="4">
        <v>5.8</v>
      </c>
      <c r="D875" s="4">
        <v>2.0076000000000001</v>
      </c>
      <c r="E875" s="4">
        <v>33120</v>
      </c>
      <c r="F875" s="4">
        <v>5.7469999999999999</v>
      </c>
      <c r="G875" s="4">
        <v>190340.64</v>
      </c>
      <c r="H875" s="5">
        <f t="shared" si="13"/>
        <v>1.9345011424219356E-2</v>
      </c>
    </row>
    <row r="876" spans="1:8" ht="13.5" x14ac:dyDescent="0.25">
      <c r="A876" s="1"/>
      <c r="B876" s="3">
        <v>43578</v>
      </c>
      <c r="C876" s="4">
        <v>5.98</v>
      </c>
      <c r="D876" s="4">
        <v>2.0699000000000001</v>
      </c>
      <c r="E876" s="4">
        <v>40564</v>
      </c>
      <c r="F876" s="4">
        <v>5.9090999999999996</v>
      </c>
      <c r="G876" s="4">
        <v>239696.73240000001</v>
      </c>
      <c r="H876" s="5">
        <f t="shared" si="13"/>
        <v>3.1032078103207822E-2</v>
      </c>
    </row>
    <row r="877" spans="1:8" ht="13.5" x14ac:dyDescent="0.25">
      <c r="A877" s="1"/>
      <c r="B877" s="3">
        <v>43579</v>
      </c>
      <c r="C877" s="4">
        <v>6.05</v>
      </c>
      <c r="D877" s="4">
        <v>2.0941000000000001</v>
      </c>
      <c r="E877" s="4">
        <v>102499</v>
      </c>
      <c r="F877" s="4">
        <v>6.0629999999999997</v>
      </c>
      <c r="G877" s="4">
        <v>621451.43700000003</v>
      </c>
      <c r="H877" s="5">
        <f t="shared" si="13"/>
        <v>1.1691386057297453E-2</v>
      </c>
    </row>
    <row r="878" spans="1:8" ht="13.5" x14ac:dyDescent="0.25">
      <c r="A878" s="1"/>
      <c r="B878" s="3">
        <v>43580</v>
      </c>
      <c r="C878" s="4">
        <v>5.86</v>
      </c>
      <c r="D878" s="4">
        <v>2.0284</v>
      </c>
      <c r="E878" s="4">
        <v>5422</v>
      </c>
      <c r="F878" s="4">
        <v>5.9827000000000004</v>
      </c>
      <c r="G878" s="4">
        <v>32438.199400000001</v>
      </c>
      <c r="H878" s="5">
        <f t="shared" si="13"/>
        <v>-3.1373859892077784E-2</v>
      </c>
    </row>
    <row r="879" spans="1:8" ht="13.5" x14ac:dyDescent="0.25">
      <c r="A879" s="1"/>
      <c r="B879" s="3">
        <v>43581</v>
      </c>
      <c r="C879" s="4">
        <v>5.98</v>
      </c>
      <c r="D879" s="4">
        <v>2.0699000000000001</v>
      </c>
      <c r="E879" s="4">
        <v>12776</v>
      </c>
      <c r="F879" s="4">
        <v>5.8091999999999997</v>
      </c>
      <c r="G879" s="4">
        <v>74218.339200000002</v>
      </c>
      <c r="H879" s="5">
        <f t="shared" si="13"/>
        <v>2.0459475448629506E-2</v>
      </c>
    </row>
    <row r="880" spans="1:8" ht="13.5" x14ac:dyDescent="0.25">
      <c r="A880" s="1"/>
      <c r="B880" s="3">
        <v>43584</v>
      </c>
      <c r="C880" s="4">
        <v>5.95</v>
      </c>
      <c r="D880" s="4">
        <v>2.0594999999999999</v>
      </c>
      <c r="E880" s="4">
        <v>22673</v>
      </c>
      <c r="F880" s="4">
        <v>5.9250999999999996</v>
      </c>
      <c r="G880" s="4">
        <v>134339.7923</v>
      </c>
      <c r="H880" s="5">
        <f t="shared" si="13"/>
        <v>-5.0243973138799879E-3</v>
      </c>
    </row>
    <row r="881" spans="1:8" ht="13.5" x14ac:dyDescent="0.25">
      <c r="A881" s="1"/>
      <c r="B881" s="3">
        <v>43585</v>
      </c>
      <c r="C881" s="4">
        <v>5.94</v>
      </c>
      <c r="D881" s="4">
        <v>2.0560999999999998</v>
      </c>
      <c r="E881" s="4">
        <v>29043</v>
      </c>
      <c r="F881" s="4">
        <v>5.8540999999999999</v>
      </c>
      <c r="G881" s="4">
        <v>170020.6263</v>
      </c>
      <c r="H881" s="5">
        <f t="shared" si="13"/>
        <v>-1.6508861374120271E-3</v>
      </c>
    </row>
    <row r="882" spans="1:8" ht="13.5" x14ac:dyDescent="0.25">
      <c r="A882" s="1"/>
      <c r="B882" s="3">
        <v>43587</v>
      </c>
      <c r="C882" s="4">
        <v>5.8</v>
      </c>
      <c r="D882" s="4">
        <v>2.0076000000000001</v>
      </c>
      <c r="E882" s="4">
        <v>14167</v>
      </c>
      <c r="F882" s="4">
        <v>5.8395000000000001</v>
      </c>
      <c r="G882" s="4">
        <v>82728.196500000005</v>
      </c>
      <c r="H882" s="5">
        <f t="shared" si="13"/>
        <v>-2.3588346870288299E-2</v>
      </c>
    </row>
    <row r="883" spans="1:8" ht="13.5" x14ac:dyDescent="0.25">
      <c r="A883" s="1"/>
      <c r="B883" s="3">
        <v>43588</v>
      </c>
      <c r="C883" s="4">
        <v>5.77</v>
      </c>
      <c r="D883" s="4">
        <v>1.9972000000000001</v>
      </c>
      <c r="E883" s="4">
        <v>4748</v>
      </c>
      <c r="F883" s="4">
        <v>5.7558999999999996</v>
      </c>
      <c r="G883" s="4">
        <v>27329.013200000001</v>
      </c>
      <c r="H883" s="5">
        <f t="shared" si="13"/>
        <v>-5.180314803745748E-3</v>
      </c>
    </row>
    <row r="884" spans="1:8" ht="13.5" x14ac:dyDescent="0.25">
      <c r="A884" s="1"/>
      <c r="B884" s="3">
        <v>43591</v>
      </c>
      <c r="C884" s="4">
        <v>5.8</v>
      </c>
      <c r="D884" s="4">
        <v>2.0076000000000001</v>
      </c>
      <c r="E884" s="4">
        <v>980</v>
      </c>
      <c r="F884" s="4">
        <v>5.5883000000000003</v>
      </c>
      <c r="G884" s="4">
        <v>5476.5339999999997</v>
      </c>
      <c r="H884" s="5">
        <f t="shared" si="13"/>
        <v>5.2072902062887862E-3</v>
      </c>
    </row>
    <row r="885" spans="1:8" ht="13.5" x14ac:dyDescent="0.25">
      <c r="A885" s="1"/>
      <c r="B885" s="3">
        <v>43592</v>
      </c>
      <c r="C885" s="4">
        <v>5.76</v>
      </c>
      <c r="D885" s="4">
        <v>1.9938</v>
      </c>
      <c r="E885" s="4">
        <v>5855</v>
      </c>
      <c r="F885" s="4">
        <v>5.6483999999999996</v>
      </c>
      <c r="G885" s="4">
        <v>33071.381999999998</v>
      </c>
      <c r="H885" s="5">
        <f t="shared" si="13"/>
        <v>-6.8738792588165145E-3</v>
      </c>
    </row>
    <row r="886" spans="1:8" ht="13.5" x14ac:dyDescent="0.25">
      <c r="A886" s="1"/>
      <c r="B886" s="3">
        <v>43593</v>
      </c>
      <c r="C886" s="4">
        <v>5.69</v>
      </c>
      <c r="D886" s="4">
        <v>1.9695</v>
      </c>
      <c r="E886" s="4">
        <v>792</v>
      </c>
      <c r="F886" s="4">
        <v>5.6262999999999996</v>
      </c>
      <c r="G886" s="4">
        <v>4456.0295999999998</v>
      </c>
      <c r="H886" s="5">
        <f t="shared" si="13"/>
        <v>-1.2187782124586211E-2</v>
      </c>
    </row>
    <row r="887" spans="1:8" ht="13.5" x14ac:dyDescent="0.25">
      <c r="A887" s="1"/>
      <c r="B887" s="3">
        <v>43594</v>
      </c>
      <c r="C887" s="4">
        <v>5.6</v>
      </c>
      <c r="D887" s="4">
        <v>1.9383999999999999</v>
      </c>
      <c r="E887" s="4">
        <v>8820</v>
      </c>
      <c r="F887" s="4">
        <v>5.6</v>
      </c>
      <c r="G887" s="4">
        <v>49392</v>
      </c>
      <c r="H887" s="5">
        <f t="shared" si="13"/>
        <v>-1.5790809850215855E-2</v>
      </c>
    </row>
    <row r="888" spans="1:8" ht="13.5" x14ac:dyDescent="0.25">
      <c r="A888" s="1"/>
      <c r="B888" s="3">
        <v>43595</v>
      </c>
      <c r="C888" s="4">
        <v>5.68</v>
      </c>
      <c r="D888" s="4">
        <v>1.9661</v>
      </c>
      <c r="E888" s="4">
        <v>1400</v>
      </c>
      <c r="F888" s="4">
        <v>5.5256999999999996</v>
      </c>
      <c r="G888" s="4">
        <v>7735.98</v>
      </c>
      <c r="H888" s="5">
        <f t="shared" si="13"/>
        <v>1.4290136194799866E-2</v>
      </c>
    </row>
    <row r="889" spans="1:8" ht="13.5" x14ac:dyDescent="0.25">
      <c r="A889" s="1"/>
      <c r="B889" s="3">
        <v>43598</v>
      </c>
      <c r="C889" s="4">
        <v>5.69</v>
      </c>
      <c r="D889" s="4">
        <v>1.9695</v>
      </c>
      <c r="E889" s="4">
        <v>5</v>
      </c>
      <c r="F889" s="4">
        <v>5.69</v>
      </c>
      <c r="G889" s="4">
        <v>28.45</v>
      </c>
      <c r="H889" s="5">
        <f t="shared" si="13"/>
        <v>1.7293118356136868E-3</v>
      </c>
    </row>
    <row r="890" spans="1:8" ht="13.5" x14ac:dyDescent="0.25">
      <c r="A890" s="1"/>
      <c r="B890" s="3">
        <v>43599</v>
      </c>
      <c r="C890" s="4">
        <v>5.65</v>
      </c>
      <c r="D890" s="4">
        <v>1.9557</v>
      </c>
      <c r="E890" s="4">
        <v>4800</v>
      </c>
      <c r="F890" s="4">
        <v>5.6707999999999998</v>
      </c>
      <c r="G890" s="4">
        <v>27219.84</v>
      </c>
      <c r="H890" s="5">
        <f t="shared" si="13"/>
        <v>-7.0068545316070239E-3</v>
      </c>
    </row>
    <row r="891" spans="1:8" ht="13.5" x14ac:dyDescent="0.25">
      <c r="A891" s="1"/>
      <c r="B891" s="3">
        <v>43600</v>
      </c>
      <c r="C891" s="4">
        <v>5.59</v>
      </c>
      <c r="D891" s="4">
        <v>1.9349000000000001</v>
      </c>
      <c r="E891" s="4">
        <v>260</v>
      </c>
      <c r="F891" s="4">
        <v>5.4073000000000002</v>
      </c>
      <c r="G891" s="4">
        <v>1405.8979999999999</v>
      </c>
      <c r="H891" s="5">
        <f t="shared" si="13"/>
        <v>-1.063557805389371E-2</v>
      </c>
    </row>
    <row r="892" spans="1:8" ht="13.5" x14ac:dyDescent="0.25">
      <c r="A892" s="1"/>
      <c r="B892" s="3">
        <v>43601</v>
      </c>
      <c r="C892" s="4">
        <v>5.54</v>
      </c>
      <c r="D892" s="4">
        <v>1.9176</v>
      </c>
      <c r="E892" s="4">
        <v>2960</v>
      </c>
      <c r="F892" s="4">
        <v>5.4459</v>
      </c>
      <c r="G892" s="4">
        <v>16119.864</v>
      </c>
      <c r="H892" s="5">
        <f t="shared" si="13"/>
        <v>-8.9410305442142197E-3</v>
      </c>
    </row>
    <row r="893" spans="1:8" ht="13.5" x14ac:dyDescent="0.25">
      <c r="A893" s="1"/>
      <c r="B893" s="3">
        <v>43602</v>
      </c>
      <c r="C893" s="4">
        <v>5.5</v>
      </c>
      <c r="D893" s="4">
        <v>1.9037999999999999</v>
      </c>
      <c r="E893" s="4">
        <v>100</v>
      </c>
      <c r="F893" s="4">
        <v>5.532</v>
      </c>
      <c r="G893" s="4">
        <v>553.20000000000005</v>
      </c>
      <c r="H893" s="5">
        <f t="shared" si="13"/>
        <v>-7.1964956195244238E-3</v>
      </c>
    </row>
    <row r="894" spans="1:8" ht="13.5" x14ac:dyDescent="0.25">
      <c r="A894" s="1"/>
      <c r="B894" s="3">
        <v>43605</v>
      </c>
      <c r="C894" s="4">
        <v>5.45</v>
      </c>
      <c r="D894" s="4">
        <v>1.8865000000000001</v>
      </c>
      <c r="E894" s="4">
        <v>1340</v>
      </c>
      <c r="F894" s="4">
        <v>5.45</v>
      </c>
      <c r="G894" s="4">
        <v>7303</v>
      </c>
      <c r="H894" s="5">
        <f t="shared" si="13"/>
        <v>-9.0870889799348001E-3</v>
      </c>
    </row>
    <row r="895" spans="1:8" ht="13.5" x14ac:dyDescent="0.25">
      <c r="A895" s="1"/>
      <c r="B895" s="3">
        <v>43606</v>
      </c>
      <c r="C895" s="4">
        <v>5.44</v>
      </c>
      <c r="D895" s="4">
        <v>1.883</v>
      </c>
      <c r="E895" s="4">
        <v>110</v>
      </c>
      <c r="F895" s="4">
        <v>5.4036</v>
      </c>
      <c r="G895" s="4">
        <v>594.39599999999996</v>
      </c>
      <c r="H895" s="5">
        <f t="shared" si="13"/>
        <v>-1.8552875695733149E-3</v>
      </c>
    </row>
    <row r="896" spans="1:8" ht="13.5" x14ac:dyDescent="0.25">
      <c r="A896" s="1"/>
      <c r="B896" s="3">
        <v>43607</v>
      </c>
      <c r="C896" s="4">
        <v>5.49</v>
      </c>
      <c r="D896" s="4">
        <v>1.9003000000000001</v>
      </c>
      <c r="E896" s="4">
        <v>374</v>
      </c>
      <c r="F896" s="4">
        <v>5.4903000000000004</v>
      </c>
      <c r="G896" s="4">
        <v>2053.3721999999998</v>
      </c>
      <c r="H896" s="5">
        <f t="shared" si="13"/>
        <v>9.1874668082847014E-3</v>
      </c>
    </row>
    <row r="897" spans="1:8" ht="13.5" x14ac:dyDescent="0.25">
      <c r="A897" s="1"/>
      <c r="B897" s="3">
        <v>43608</v>
      </c>
      <c r="C897" s="4">
        <v>5.45</v>
      </c>
      <c r="D897" s="4">
        <v>1.8865000000000001</v>
      </c>
      <c r="E897" s="4">
        <v>3230</v>
      </c>
      <c r="F897" s="4">
        <v>5.3301999999999996</v>
      </c>
      <c r="G897" s="4">
        <v>17216.545999999998</v>
      </c>
      <c r="H897" s="5">
        <f t="shared" si="13"/>
        <v>-7.2620112613798003E-3</v>
      </c>
    </row>
    <row r="898" spans="1:8" ht="13.5" x14ac:dyDescent="0.25">
      <c r="A898" s="1"/>
      <c r="B898" s="3">
        <v>43609</v>
      </c>
      <c r="C898" s="4">
        <v>5.3</v>
      </c>
      <c r="D898" s="4">
        <v>1.8345</v>
      </c>
      <c r="E898" s="4">
        <v>50</v>
      </c>
      <c r="F898" s="4">
        <v>5.3</v>
      </c>
      <c r="G898" s="4">
        <v>265</v>
      </c>
      <c r="H898" s="5">
        <f t="shared" si="13"/>
        <v>-2.756427246223167E-2</v>
      </c>
    </row>
    <row r="899" spans="1:8" ht="13.5" x14ac:dyDescent="0.25">
      <c r="A899" s="1"/>
      <c r="B899" s="3">
        <v>43612</v>
      </c>
      <c r="C899" s="4">
        <v>5.45</v>
      </c>
      <c r="D899" s="4">
        <v>1.8865000000000001</v>
      </c>
      <c r="E899" s="4">
        <v>11227</v>
      </c>
      <c r="F899" s="4">
        <v>5.3876999999999997</v>
      </c>
      <c r="G899" s="4">
        <v>60487.707900000001</v>
      </c>
      <c r="H899" s="5">
        <f t="shared" si="13"/>
        <v>2.8345598255655517E-2</v>
      </c>
    </row>
    <row r="900" spans="1:8" ht="13.5" x14ac:dyDescent="0.25">
      <c r="A900" s="1"/>
      <c r="B900" s="3">
        <v>43613</v>
      </c>
      <c r="C900" s="4">
        <v>5.48</v>
      </c>
      <c r="D900" s="4">
        <v>1.8968</v>
      </c>
      <c r="E900" s="4">
        <v>39</v>
      </c>
      <c r="F900" s="4">
        <v>5.4538000000000002</v>
      </c>
      <c r="G900" s="4">
        <v>212.69820000000001</v>
      </c>
      <c r="H900" s="5">
        <f t="shared" si="13"/>
        <v>5.4598462761727938E-3</v>
      </c>
    </row>
    <row r="901" spans="1:8" ht="13.5" x14ac:dyDescent="0.25">
      <c r="A901" s="1"/>
      <c r="B901" s="3">
        <v>43614</v>
      </c>
      <c r="C901" s="4">
        <v>5.44</v>
      </c>
      <c r="D901" s="4">
        <v>1.883</v>
      </c>
      <c r="E901" s="4">
        <v>2317</v>
      </c>
      <c r="F901" s="4">
        <v>5.3936000000000002</v>
      </c>
      <c r="G901" s="4">
        <v>12496.9712</v>
      </c>
      <c r="H901" s="5">
        <f t="shared" si="13"/>
        <v>-7.2754112188949992E-3</v>
      </c>
    </row>
    <row r="902" spans="1:8" ht="13.5" x14ac:dyDescent="0.25">
      <c r="A902" s="1"/>
      <c r="B902" s="3">
        <v>43615</v>
      </c>
      <c r="C902" s="4">
        <v>5.45</v>
      </c>
      <c r="D902" s="4">
        <v>1.8865000000000001</v>
      </c>
      <c r="E902" s="4">
        <v>11656</v>
      </c>
      <c r="F902" s="4">
        <v>5.4633000000000003</v>
      </c>
      <c r="G902" s="4">
        <v>63680.224800000004</v>
      </c>
      <c r="H902" s="5">
        <f t="shared" si="13"/>
        <v>1.858736059479585E-3</v>
      </c>
    </row>
    <row r="903" spans="1:8" ht="13.5" x14ac:dyDescent="0.25">
      <c r="A903" s="1"/>
      <c r="B903" s="3">
        <v>43616</v>
      </c>
      <c r="C903" s="4">
        <v>5.4</v>
      </c>
      <c r="D903" s="4">
        <v>1.8691</v>
      </c>
      <c r="E903" s="4">
        <v>754</v>
      </c>
      <c r="F903" s="4">
        <v>5.4132999999999996</v>
      </c>
      <c r="G903" s="4">
        <v>4081.6282000000001</v>
      </c>
      <c r="H903" s="5">
        <f t="shared" ref="H903:H966" si="14">(D903-D902)/D902</f>
        <v>-9.2234296315929394E-3</v>
      </c>
    </row>
    <row r="904" spans="1:8" ht="13.5" x14ac:dyDescent="0.25">
      <c r="A904" s="1"/>
      <c r="B904" s="3">
        <v>43619</v>
      </c>
      <c r="C904" s="4">
        <v>5.4</v>
      </c>
      <c r="D904" s="4">
        <v>1.8691</v>
      </c>
      <c r="E904" s="4">
        <v>446</v>
      </c>
      <c r="F904" s="4">
        <v>5.4</v>
      </c>
      <c r="G904" s="4">
        <v>2408.4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5.3</v>
      </c>
      <c r="D905" s="4">
        <v>1.8345</v>
      </c>
      <c r="E905" s="4">
        <v>1175</v>
      </c>
      <c r="F905" s="4">
        <v>5.2786999999999997</v>
      </c>
      <c r="G905" s="4">
        <v>6202.4724999999999</v>
      </c>
      <c r="H905" s="5">
        <f t="shared" si="14"/>
        <v>-1.8511583114868099E-2</v>
      </c>
    </row>
    <row r="906" spans="1:8" ht="13.5" x14ac:dyDescent="0.25">
      <c r="A906" s="1"/>
      <c r="B906" s="3">
        <v>43626</v>
      </c>
      <c r="C906" s="4">
        <v>5.3</v>
      </c>
      <c r="D906" s="4">
        <v>1.8345</v>
      </c>
      <c r="E906" s="4">
        <v>1130</v>
      </c>
      <c r="F906" s="4">
        <v>5.3102</v>
      </c>
      <c r="G906" s="4">
        <v>6000.5259999999998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5.4</v>
      </c>
      <c r="D907" s="4">
        <v>1.8691</v>
      </c>
      <c r="E907" s="4">
        <v>5739</v>
      </c>
      <c r="F907" s="4">
        <v>5.3582999999999998</v>
      </c>
      <c r="G907" s="4">
        <v>30751.2837</v>
      </c>
      <c r="H907" s="5">
        <f t="shared" si="14"/>
        <v>1.8860724993186133E-2</v>
      </c>
    </row>
    <row r="908" spans="1:8" ht="13.5" x14ac:dyDescent="0.25">
      <c r="A908" s="1"/>
      <c r="B908" s="3">
        <v>43628</v>
      </c>
      <c r="C908" s="4">
        <v>5.47</v>
      </c>
      <c r="D908" s="4">
        <v>1.8934</v>
      </c>
      <c r="E908" s="4">
        <v>1321</v>
      </c>
      <c r="F908" s="4">
        <v>5.4010999999999996</v>
      </c>
      <c r="G908" s="4">
        <v>7134.8531000000003</v>
      </c>
      <c r="H908" s="5">
        <f t="shared" si="14"/>
        <v>1.3000909528650146E-2</v>
      </c>
    </row>
    <row r="909" spans="1:8" ht="13.5" x14ac:dyDescent="0.25">
      <c r="A909" s="1"/>
      <c r="B909" s="3">
        <v>43629</v>
      </c>
      <c r="C909" s="4">
        <v>5.47</v>
      </c>
      <c r="D909" s="4">
        <v>1.8934</v>
      </c>
      <c r="E909" s="4">
        <v>310</v>
      </c>
      <c r="F909" s="4">
        <v>5.4207999999999998</v>
      </c>
      <c r="G909" s="4">
        <v>1680.4480000000001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5.5</v>
      </c>
      <c r="D910" s="4">
        <v>1.9037999999999999</v>
      </c>
      <c r="E910" s="4">
        <v>2110</v>
      </c>
      <c r="F910" s="4">
        <v>5.4729000000000001</v>
      </c>
      <c r="G910" s="4">
        <v>11547.819</v>
      </c>
      <c r="H910" s="5">
        <f t="shared" si="14"/>
        <v>5.4927643392838092E-3</v>
      </c>
    </row>
    <row r="911" spans="1:8" ht="13.5" x14ac:dyDescent="0.25">
      <c r="A911" s="1"/>
      <c r="B911" s="3">
        <v>43633</v>
      </c>
      <c r="C911" s="4">
        <v>5.83</v>
      </c>
      <c r="D911" s="4">
        <v>2.0179999999999998</v>
      </c>
      <c r="E911" s="4">
        <v>39144</v>
      </c>
      <c r="F911" s="4">
        <v>5.6680999999999999</v>
      </c>
      <c r="G911" s="4">
        <v>221872.10639999999</v>
      </c>
      <c r="H911" s="5">
        <f t="shared" si="14"/>
        <v>5.9985292572749163E-2</v>
      </c>
    </row>
    <row r="912" spans="1:8" ht="13.5" x14ac:dyDescent="0.25">
      <c r="A912" s="1"/>
      <c r="B912" s="3">
        <v>43634</v>
      </c>
      <c r="C912" s="4">
        <v>5.89</v>
      </c>
      <c r="D912" s="4">
        <v>2.0388000000000002</v>
      </c>
      <c r="E912" s="4">
        <v>16494</v>
      </c>
      <c r="F912" s="4">
        <v>5.8612000000000002</v>
      </c>
      <c r="G912" s="4">
        <v>96674.632800000007</v>
      </c>
      <c r="H912" s="5">
        <f t="shared" si="14"/>
        <v>1.0307234886025954E-2</v>
      </c>
    </row>
    <row r="913" spans="1:8" ht="13.5" x14ac:dyDescent="0.25">
      <c r="A913" s="1"/>
      <c r="B913" s="3">
        <v>43635</v>
      </c>
      <c r="C913" s="4">
        <v>6.18</v>
      </c>
      <c r="D913" s="4">
        <v>2.1391</v>
      </c>
      <c r="E913" s="4">
        <v>38796</v>
      </c>
      <c r="F913" s="4">
        <v>6.0212000000000003</v>
      </c>
      <c r="G913" s="4">
        <v>233598.47519999999</v>
      </c>
      <c r="H913" s="5">
        <f t="shared" si="14"/>
        <v>4.9195605257994816E-2</v>
      </c>
    </row>
    <row r="914" spans="1:8" ht="13.5" x14ac:dyDescent="0.25">
      <c r="A914" s="1"/>
      <c r="B914" s="3">
        <v>43636</v>
      </c>
      <c r="C914" s="4">
        <v>6.1</v>
      </c>
      <c r="D914" s="4">
        <v>2.1114000000000002</v>
      </c>
      <c r="E914" s="4">
        <v>632</v>
      </c>
      <c r="F914" s="4">
        <v>6.1748000000000003</v>
      </c>
      <c r="G914" s="4">
        <v>3902.4735999999998</v>
      </c>
      <c r="H914" s="5">
        <f t="shared" si="14"/>
        <v>-1.294937123089142E-2</v>
      </c>
    </row>
    <row r="915" spans="1:8" ht="13.5" x14ac:dyDescent="0.25">
      <c r="A915" s="1"/>
      <c r="B915" s="3">
        <v>43637</v>
      </c>
      <c r="C915" s="4">
        <v>6.22</v>
      </c>
      <c r="D915" s="4">
        <v>2.153</v>
      </c>
      <c r="E915" s="4">
        <v>51672</v>
      </c>
      <c r="F915" s="4">
        <v>6.1677999999999997</v>
      </c>
      <c r="G915" s="4">
        <v>318702.56160000002</v>
      </c>
      <c r="H915" s="5">
        <f t="shared" si="14"/>
        <v>1.9702567017144953E-2</v>
      </c>
    </row>
    <row r="916" spans="1:8" ht="13.5" x14ac:dyDescent="0.25">
      <c r="A916" s="1"/>
      <c r="B916" s="3">
        <v>43640</v>
      </c>
      <c r="C916" s="4">
        <v>6.18</v>
      </c>
      <c r="D916" s="4">
        <v>2.1391</v>
      </c>
      <c r="E916" s="4">
        <v>12869</v>
      </c>
      <c r="F916" s="4">
        <v>6.0576999999999996</v>
      </c>
      <c r="G916" s="4">
        <v>77956.541299999997</v>
      </c>
      <c r="H916" s="5">
        <f t="shared" si="14"/>
        <v>-6.4561077566186826E-3</v>
      </c>
    </row>
    <row r="917" spans="1:8" ht="13.5" x14ac:dyDescent="0.25">
      <c r="A917" s="1"/>
      <c r="B917" s="3">
        <v>43641</v>
      </c>
      <c r="C917" s="4">
        <v>6.03</v>
      </c>
      <c r="D917" s="4">
        <v>2.0872000000000002</v>
      </c>
      <c r="E917" s="4">
        <v>6484</v>
      </c>
      <c r="F917" s="4">
        <v>6.0582000000000003</v>
      </c>
      <c r="G917" s="4">
        <v>39281.368799999997</v>
      </c>
      <c r="H917" s="5">
        <f t="shared" si="14"/>
        <v>-2.4262540320695542E-2</v>
      </c>
    </row>
    <row r="918" spans="1:8" ht="13.5" x14ac:dyDescent="0.25">
      <c r="A918" s="1"/>
      <c r="B918" s="3">
        <v>43642</v>
      </c>
      <c r="C918" s="4">
        <v>6.2</v>
      </c>
      <c r="D918" s="4">
        <v>2.1461000000000001</v>
      </c>
      <c r="E918" s="4">
        <v>11261</v>
      </c>
      <c r="F918" s="4">
        <v>6.1967999999999996</v>
      </c>
      <c r="G918" s="4">
        <v>69782.164799999999</v>
      </c>
      <c r="H918" s="5">
        <f t="shared" si="14"/>
        <v>2.8219624377155972E-2</v>
      </c>
    </row>
    <row r="919" spans="1:8" ht="13.5" x14ac:dyDescent="0.25">
      <c r="A919" s="1"/>
      <c r="B919" s="3">
        <v>43643</v>
      </c>
      <c r="C919" s="4">
        <v>6.1</v>
      </c>
      <c r="D919" s="4">
        <v>2.1114000000000002</v>
      </c>
      <c r="E919" s="4">
        <v>31628</v>
      </c>
      <c r="F919" s="4">
        <v>6.1961000000000004</v>
      </c>
      <c r="G919" s="4">
        <v>195970.25080000001</v>
      </c>
      <c r="H919" s="5">
        <f t="shared" si="14"/>
        <v>-1.6168864451796258E-2</v>
      </c>
    </row>
    <row r="920" spans="1:8" ht="13.5" x14ac:dyDescent="0.25">
      <c r="A920" s="1"/>
      <c r="B920" s="3">
        <v>43644</v>
      </c>
      <c r="C920" s="4">
        <v>6.18</v>
      </c>
      <c r="D920" s="4">
        <v>2.1391</v>
      </c>
      <c r="E920" s="4">
        <v>16158</v>
      </c>
      <c r="F920" s="4">
        <v>6.0678999999999998</v>
      </c>
      <c r="G920" s="4">
        <v>98045.128200000006</v>
      </c>
      <c r="H920" s="5">
        <f t="shared" si="14"/>
        <v>1.3119257364781582E-2</v>
      </c>
    </row>
    <row r="921" spans="1:8" ht="13.5" x14ac:dyDescent="0.25">
      <c r="A921" s="1"/>
      <c r="B921" s="3">
        <v>43647</v>
      </c>
      <c r="C921" s="4">
        <v>6.18</v>
      </c>
      <c r="D921" s="4">
        <v>2.1391</v>
      </c>
      <c r="E921" s="4">
        <v>850</v>
      </c>
      <c r="F921" s="4">
        <v>6.2035</v>
      </c>
      <c r="G921" s="4">
        <v>5272.9750000000004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6.18</v>
      </c>
      <c r="D922" s="4">
        <v>2.1391</v>
      </c>
      <c r="E922" s="4">
        <v>12210</v>
      </c>
      <c r="F922" s="4">
        <v>6.1475999999999997</v>
      </c>
      <c r="G922" s="4">
        <v>75062.195999999996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6.19</v>
      </c>
      <c r="D923" s="4">
        <v>2.1425999999999998</v>
      </c>
      <c r="E923" s="4">
        <v>4210</v>
      </c>
      <c r="F923" s="4">
        <v>6.1908000000000003</v>
      </c>
      <c r="G923" s="4">
        <v>26063.268</v>
      </c>
      <c r="H923" s="5">
        <f t="shared" si="14"/>
        <v>1.6362021410872968E-3</v>
      </c>
    </row>
    <row r="924" spans="1:8" ht="13.5" x14ac:dyDescent="0.25">
      <c r="A924" s="1"/>
      <c r="B924" s="3">
        <v>43650</v>
      </c>
      <c r="C924" s="4">
        <v>6.15</v>
      </c>
      <c r="D924" s="4">
        <v>2.1288</v>
      </c>
      <c r="E924" s="4">
        <v>4190</v>
      </c>
      <c r="F924" s="4">
        <v>6.1025</v>
      </c>
      <c r="G924" s="4">
        <v>25569.474999999999</v>
      </c>
      <c r="H924" s="5">
        <f t="shared" si="14"/>
        <v>-6.4407728927470429E-3</v>
      </c>
    </row>
    <row r="925" spans="1:8" ht="13.5" x14ac:dyDescent="0.25">
      <c r="A925" s="1"/>
      <c r="B925" s="3">
        <v>43651</v>
      </c>
      <c r="C925" s="4">
        <v>6.2</v>
      </c>
      <c r="D925" s="4">
        <v>2.1461000000000001</v>
      </c>
      <c r="E925" s="4">
        <v>3350</v>
      </c>
      <c r="F925" s="4">
        <v>6.1925999999999997</v>
      </c>
      <c r="G925" s="4">
        <v>20745.21</v>
      </c>
      <c r="H925" s="5">
        <f t="shared" si="14"/>
        <v>8.1266441187523922E-3</v>
      </c>
    </row>
    <row r="926" spans="1:8" ht="13.5" x14ac:dyDescent="0.25">
      <c r="A926" s="1"/>
      <c r="B926" s="3">
        <v>43654</v>
      </c>
      <c r="C926" s="4">
        <v>6.2</v>
      </c>
      <c r="D926" s="4">
        <v>2.1461000000000001</v>
      </c>
      <c r="E926" s="4">
        <v>10</v>
      </c>
      <c r="F926" s="4">
        <v>6.2</v>
      </c>
      <c r="G926" s="4">
        <v>62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5.45</v>
      </c>
      <c r="D927" s="4">
        <v>1.8865000000000001</v>
      </c>
      <c r="E927" s="4">
        <v>45</v>
      </c>
      <c r="F927" s="4">
        <v>6.2222</v>
      </c>
      <c r="G927" s="4">
        <v>279.99900000000002</v>
      </c>
      <c r="H927" s="5">
        <f t="shared" si="14"/>
        <v>-0.12096360840594568</v>
      </c>
    </row>
    <row r="928" spans="1:8" ht="13.5" x14ac:dyDescent="0.25">
      <c r="A928" s="1"/>
      <c r="B928" s="3">
        <v>43656</v>
      </c>
      <c r="C928" s="4">
        <v>5.61</v>
      </c>
      <c r="D928" s="4">
        <v>2.2021999999999999</v>
      </c>
      <c r="E928" s="4">
        <v>471</v>
      </c>
      <c r="F928" s="4">
        <v>5.7356999999999996</v>
      </c>
      <c r="G928" s="4">
        <v>2701.5147000000002</v>
      </c>
      <c r="H928" s="5">
        <f t="shared" si="14"/>
        <v>0.16734693877551013</v>
      </c>
    </row>
    <row r="929" spans="1:8" ht="13.5" x14ac:dyDescent="0.25">
      <c r="A929" s="1"/>
      <c r="B929" s="3">
        <v>43657</v>
      </c>
      <c r="C929" s="4">
        <v>5.64</v>
      </c>
      <c r="D929" s="4">
        <v>2.214</v>
      </c>
      <c r="E929" s="4">
        <v>15483</v>
      </c>
      <c r="F929" s="4">
        <v>5.5952999999999999</v>
      </c>
      <c r="G929" s="4">
        <v>86632.029899999994</v>
      </c>
      <c r="H929" s="5">
        <f t="shared" si="14"/>
        <v>5.3582780855508279E-3</v>
      </c>
    </row>
    <row r="930" spans="1:8" ht="13.5" x14ac:dyDescent="0.25">
      <c r="A930" s="1"/>
      <c r="B930" s="3">
        <v>43658</v>
      </c>
      <c r="C930" s="4">
        <v>5.5</v>
      </c>
      <c r="D930" s="4">
        <v>2.1589999999999998</v>
      </c>
      <c r="E930" s="4">
        <v>1338</v>
      </c>
      <c r="F930" s="4">
        <v>5.5956000000000001</v>
      </c>
      <c r="G930" s="4">
        <v>7486.9128000000001</v>
      </c>
      <c r="H930" s="5">
        <f t="shared" si="14"/>
        <v>-2.4841915085817599E-2</v>
      </c>
    </row>
    <row r="931" spans="1:8" ht="13.5" x14ac:dyDescent="0.25">
      <c r="A931" s="1"/>
      <c r="B931" s="3">
        <v>43661</v>
      </c>
      <c r="C931" s="4">
        <v>5.56</v>
      </c>
      <c r="D931" s="4">
        <v>2.1825999999999999</v>
      </c>
      <c r="E931" s="4">
        <v>1770</v>
      </c>
      <c r="F931" s="4">
        <v>5.4070999999999998</v>
      </c>
      <c r="G931" s="4">
        <v>9570.5669999999991</v>
      </c>
      <c r="H931" s="5">
        <f t="shared" si="14"/>
        <v>1.093098656785552E-2</v>
      </c>
    </row>
    <row r="932" spans="1:8" ht="13.5" x14ac:dyDescent="0.25">
      <c r="A932" s="1"/>
      <c r="B932" s="3">
        <v>43662</v>
      </c>
      <c r="C932" s="4">
        <v>5.54</v>
      </c>
      <c r="D932" s="4">
        <v>2.1747000000000001</v>
      </c>
      <c r="E932" s="4">
        <v>13925</v>
      </c>
      <c r="F932" s="4">
        <v>5.5407999999999999</v>
      </c>
      <c r="G932" s="4">
        <v>77155.64</v>
      </c>
      <c r="H932" s="5">
        <f t="shared" si="14"/>
        <v>-3.6195363328139817E-3</v>
      </c>
    </row>
    <row r="933" spans="1:8" ht="13.5" x14ac:dyDescent="0.25">
      <c r="A933" s="1"/>
      <c r="B933" s="3">
        <v>43663</v>
      </c>
      <c r="C933" s="4">
        <v>5.54</v>
      </c>
      <c r="D933" s="4">
        <v>2.1747000000000001</v>
      </c>
      <c r="E933" s="4">
        <v>1605</v>
      </c>
      <c r="F933" s="4">
        <v>5.4442000000000004</v>
      </c>
      <c r="G933" s="4">
        <v>8737.9410000000007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5.34</v>
      </c>
      <c r="D934" s="4">
        <v>2.0962000000000001</v>
      </c>
      <c r="E934" s="4">
        <v>6990</v>
      </c>
      <c r="F934" s="4">
        <v>5.3856000000000002</v>
      </c>
      <c r="G934" s="4">
        <v>37645.343999999997</v>
      </c>
      <c r="H934" s="5">
        <f t="shared" si="14"/>
        <v>-3.6096932910286483E-2</v>
      </c>
    </row>
    <row r="935" spans="1:8" ht="13.5" x14ac:dyDescent="0.25">
      <c r="A935" s="1"/>
      <c r="B935" s="3">
        <v>43665</v>
      </c>
      <c r="C935" s="4">
        <v>5.3</v>
      </c>
      <c r="D935" s="4">
        <v>2.0804999999999998</v>
      </c>
      <c r="E935" s="4">
        <v>3672</v>
      </c>
      <c r="F935" s="4">
        <v>5.3194999999999997</v>
      </c>
      <c r="G935" s="4">
        <v>19533.204000000002</v>
      </c>
      <c r="H935" s="5">
        <f t="shared" si="14"/>
        <v>-7.4897433451007866E-3</v>
      </c>
    </row>
    <row r="936" spans="1:8" ht="13.5" x14ac:dyDescent="0.25">
      <c r="A936" s="1"/>
      <c r="B936" s="3">
        <v>43668</v>
      </c>
      <c r="C936" s="4">
        <v>5.4</v>
      </c>
      <c r="D936" s="4">
        <v>2.1198000000000001</v>
      </c>
      <c r="E936" s="4">
        <v>3050</v>
      </c>
      <c r="F936" s="4">
        <v>5.3971999999999998</v>
      </c>
      <c r="G936" s="4">
        <v>16461.46</v>
      </c>
      <c r="H936" s="5">
        <f t="shared" si="14"/>
        <v>1.8889689978370747E-2</v>
      </c>
    </row>
    <row r="937" spans="1:8" ht="13.5" x14ac:dyDescent="0.25">
      <c r="A937" s="1"/>
      <c r="B937" s="3">
        <v>43669</v>
      </c>
      <c r="C937" s="4">
        <v>5.22</v>
      </c>
      <c r="D937" s="4">
        <v>2.0491000000000001</v>
      </c>
      <c r="E937" s="4">
        <v>2197</v>
      </c>
      <c r="F937" s="4">
        <v>5.2919999999999998</v>
      </c>
      <c r="G937" s="4">
        <v>11626.523999999999</v>
      </c>
      <c r="H937" s="5">
        <f t="shared" si="14"/>
        <v>-3.3352203038022443E-2</v>
      </c>
    </row>
    <row r="938" spans="1:8" ht="13.5" x14ac:dyDescent="0.25">
      <c r="A938" s="1"/>
      <c r="B938" s="3">
        <v>43670</v>
      </c>
      <c r="C938" s="4">
        <v>5.39</v>
      </c>
      <c r="D938" s="4">
        <v>2.1158000000000001</v>
      </c>
      <c r="E938" s="4">
        <v>7804</v>
      </c>
      <c r="F938" s="4">
        <v>5.3468</v>
      </c>
      <c r="G938" s="4">
        <v>41726.427199999998</v>
      </c>
      <c r="H938" s="5">
        <f t="shared" si="14"/>
        <v>3.2550875994338965E-2</v>
      </c>
    </row>
    <row r="939" spans="1:8" ht="13.5" x14ac:dyDescent="0.25">
      <c r="A939" s="1"/>
      <c r="B939" s="3">
        <v>43672</v>
      </c>
      <c r="C939" s="4">
        <v>5.39</v>
      </c>
      <c r="D939" s="4">
        <v>2.1158000000000001</v>
      </c>
      <c r="E939" s="4">
        <v>23472</v>
      </c>
      <c r="F939" s="4">
        <v>5.3159999999999998</v>
      </c>
      <c r="G939" s="4">
        <v>124777.152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5.23</v>
      </c>
      <c r="D940" s="4">
        <v>2.0529999999999999</v>
      </c>
      <c r="E940" s="4">
        <v>0</v>
      </c>
      <c r="F940" s="4">
        <v>0</v>
      </c>
      <c r="G940" s="4">
        <v>0</v>
      </c>
      <c r="H940" s="5">
        <f t="shared" si="14"/>
        <v>-2.9681444370923616E-2</v>
      </c>
    </row>
    <row r="941" spans="1:8" ht="13.5" x14ac:dyDescent="0.25">
      <c r="A941" s="1"/>
      <c r="B941" s="3">
        <v>43676</v>
      </c>
      <c r="C941" s="4">
        <v>5.35</v>
      </c>
      <c r="D941" s="4">
        <v>2.1000999999999999</v>
      </c>
      <c r="E941" s="4">
        <v>3835</v>
      </c>
      <c r="F941" s="4">
        <v>5.3585000000000003</v>
      </c>
      <c r="G941" s="4">
        <v>20549.8475</v>
      </c>
      <c r="H941" s="5">
        <f t="shared" si="14"/>
        <v>2.2942036044812431E-2</v>
      </c>
    </row>
    <row r="942" spans="1:8" ht="13.5" x14ac:dyDescent="0.25">
      <c r="A942" s="1"/>
      <c r="B942" s="3">
        <v>43677</v>
      </c>
      <c r="C942" s="4">
        <v>5.35</v>
      </c>
      <c r="D942" s="4">
        <v>2.1000999999999999</v>
      </c>
      <c r="E942" s="4">
        <v>249</v>
      </c>
      <c r="F942" s="4">
        <v>5.3019999999999996</v>
      </c>
      <c r="G942" s="4">
        <v>1320.1980000000001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5.34</v>
      </c>
      <c r="D943" s="4">
        <v>2.0962000000000001</v>
      </c>
      <c r="E943" s="4">
        <v>2505</v>
      </c>
      <c r="F943" s="4">
        <v>5.2069000000000001</v>
      </c>
      <c r="G943" s="4">
        <v>13043.2845</v>
      </c>
      <c r="H943" s="5">
        <f t="shared" si="14"/>
        <v>-1.8570544259796165E-3</v>
      </c>
    </row>
    <row r="944" spans="1:8" ht="13.5" x14ac:dyDescent="0.25">
      <c r="A944" s="1"/>
      <c r="B944" s="3">
        <v>43679</v>
      </c>
      <c r="C944" s="4">
        <v>5.25</v>
      </c>
      <c r="D944" s="4">
        <v>2.0609000000000002</v>
      </c>
      <c r="E944" s="4">
        <v>7127</v>
      </c>
      <c r="F944" s="4">
        <v>5.3109999999999999</v>
      </c>
      <c r="G944" s="4">
        <v>37851.497000000003</v>
      </c>
      <c r="H944" s="5">
        <f t="shared" si="14"/>
        <v>-1.6839996183570214E-2</v>
      </c>
    </row>
    <row r="945" spans="1:8" ht="13.5" x14ac:dyDescent="0.25">
      <c r="A945" s="1"/>
      <c r="B945" s="3">
        <v>43682</v>
      </c>
      <c r="C945" s="4">
        <v>5.25</v>
      </c>
      <c r="D945" s="4">
        <v>2.0609000000000002</v>
      </c>
      <c r="E945" s="4">
        <v>261</v>
      </c>
      <c r="F945" s="4">
        <v>5.25</v>
      </c>
      <c r="G945" s="4">
        <v>1370.25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5.0999999999999996</v>
      </c>
      <c r="D946" s="4">
        <v>2.0019999999999998</v>
      </c>
      <c r="E946" s="4">
        <v>59</v>
      </c>
      <c r="F946" s="4">
        <v>5.0999999999999996</v>
      </c>
      <c r="G946" s="4">
        <v>300.89999999999998</v>
      </c>
      <c r="H946" s="5">
        <f t="shared" si="14"/>
        <v>-2.8579746712601481E-2</v>
      </c>
    </row>
    <row r="947" spans="1:8" ht="13.5" x14ac:dyDescent="0.25">
      <c r="A947" s="1"/>
      <c r="B947" s="3">
        <v>43684</v>
      </c>
      <c r="C947" s="4">
        <v>5.0999999999999996</v>
      </c>
      <c r="D947" s="4">
        <v>2.0019999999999998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5.0999999999999996</v>
      </c>
      <c r="D948" s="4">
        <v>2.0019999999999998</v>
      </c>
      <c r="E948" s="4">
        <v>3300</v>
      </c>
      <c r="F948" s="4">
        <v>5.0999999999999996</v>
      </c>
      <c r="G948" s="4">
        <v>16830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5</v>
      </c>
      <c r="D949" s="4">
        <v>1.9628000000000001</v>
      </c>
      <c r="E949" s="4">
        <v>13244</v>
      </c>
      <c r="F949" s="4">
        <v>4.9904999999999999</v>
      </c>
      <c r="G949" s="4">
        <v>66094.182000000001</v>
      </c>
      <c r="H949" s="5">
        <f t="shared" si="14"/>
        <v>-1.9580419580419423E-2</v>
      </c>
    </row>
    <row r="950" spans="1:8" ht="13.5" x14ac:dyDescent="0.25">
      <c r="A950" s="1"/>
      <c r="B950" s="3">
        <v>43691</v>
      </c>
      <c r="C950" s="4">
        <v>5.15</v>
      </c>
      <c r="D950" s="4">
        <v>2.0215999999999998</v>
      </c>
      <c r="E950" s="4">
        <v>10592</v>
      </c>
      <c r="F950" s="4">
        <v>5.0149999999999997</v>
      </c>
      <c r="G950" s="4">
        <v>53118.879999999997</v>
      </c>
      <c r="H950" s="5">
        <f t="shared" si="14"/>
        <v>2.9957203994293732E-2</v>
      </c>
    </row>
    <row r="951" spans="1:8" ht="13.5" x14ac:dyDescent="0.25">
      <c r="A951" s="1"/>
      <c r="B951" s="3">
        <v>43692</v>
      </c>
      <c r="C951" s="4">
        <v>5.15</v>
      </c>
      <c r="D951" s="4">
        <v>2.0215999999999998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5.3</v>
      </c>
      <c r="D952" s="4">
        <v>2.0804999999999998</v>
      </c>
      <c r="E952" s="4">
        <v>284</v>
      </c>
      <c r="F952" s="4">
        <v>5.1138000000000003</v>
      </c>
      <c r="G952" s="4">
        <v>1452.3191999999999</v>
      </c>
      <c r="H952" s="5">
        <f t="shared" si="14"/>
        <v>2.9135338345864639E-2</v>
      </c>
    </row>
    <row r="953" spans="1:8" ht="13.5" x14ac:dyDescent="0.25">
      <c r="A953" s="1"/>
      <c r="B953" s="3">
        <v>43696</v>
      </c>
      <c r="C953" s="4">
        <v>5.3</v>
      </c>
      <c r="D953" s="4">
        <v>2.0804999999999998</v>
      </c>
      <c r="E953" s="4">
        <v>3000</v>
      </c>
      <c r="F953" s="4">
        <v>5.2827000000000002</v>
      </c>
      <c r="G953" s="4">
        <v>15848.1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5.3</v>
      </c>
      <c r="D954" s="4">
        <v>2.0804999999999998</v>
      </c>
      <c r="E954" s="4">
        <v>83</v>
      </c>
      <c r="F954" s="4">
        <v>5.3</v>
      </c>
      <c r="G954" s="4">
        <v>439.9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5.15</v>
      </c>
      <c r="D955" s="4">
        <v>2.0215999999999998</v>
      </c>
      <c r="E955" s="4">
        <v>0</v>
      </c>
      <c r="F955" s="4">
        <v>0</v>
      </c>
      <c r="G955" s="4">
        <v>0</v>
      </c>
      <c r="H955" s="5">
        <f t="shared" si="14"/>
        <v>-2.8310502283105003E-2</v>
      </c>
    </row>
    <row r="956" spans="1:8" ht="13.5" x14ac:dyDescent="0.25">
      <c r="A956" s="1"/>
      <c r="B956" s="3">
        <v>43699</v>
      </c>
      <c r="C956" s="4">
        <v>5.28</v>
      </c>
      <c r="D956" s="4">
        <v>2.0727000000000002</v>
      </c>
      <c r="E956" s="4">
        <v>815</v>
      </c>
      <c r="F956" s="4">
        <v>5.28</v>
      </c>
      <c r="G956" s="4">
        <v>4303.2</v>
      </c>
      <c r="H956" s="5">
        <f t="shared" si="14"/>
        <v>2.5277008310249493E-2</v>
      </c>
    </row>
    <row r="957" spans="1:8" ht="13.5" x14ac:dyDescent="0.25">
      <c r="A957" s="1"/>
      <c r="B957" s="3">
        <v>43700</v>
      </c>
      <c r="C957" s="4">
        <v>5.27</v>
      </c>
      <c r="D957" s="4">
        <v>2.0687000000000002</v>
      </c>
      <c r="E957" s="4">
        <v>126</v>
      </c>
      <c r="F957" s="4">
        <v>5.2683999999999997</v>
      </c>
      <c r="G957" s="4">
        <v>663.8184</v>
      </c>
      <c r="H957" s="5">
        <f t="shared" si="14"/>
        <v>-1.9298499541660651E-3</v>
      </c>
    </row>
    <row r="958" spans="1:8" ht="13.5" x14ac:dyDescent="0.25">
      <c r="A958" s="1"/>
      <c r="B958" s="3">
        <v>43703</v>
      </c>
      <c r="C958" s="4">
        <v>5.27</v>
      </c>
      <c r="D958" s="4">
        <v>2.0687000000000002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5.27</v>
      </c>
      <c r="D959" s="4">
        <v>2.0687000000000002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5.27</v>
      </c>
      <c r="D960" s="4">
        <v>2.0687000000000002</v>
      </c>
      <c r="E960" s="4">
        <v>6010</v>
      </c>
      <c r="F960" s="4">
        <v>5.2659000000000002</v>
      </c>
      <c r="G960" s="4">
        <v>31648.059000000001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5.25</v>
      </c>
      <c r="D961" s="4">
        <v>2.0609000000000002</v>
      </c>
      <c r="E961" s="4">
        <v>500</v>
      </c>
      <c r="F961" s="4">
        <v>5.2539999999999996</v>
      </c>
      <c r="G961" s="4">
        <v>2627</v>
      </c>
      <c r="H961" s="5">
        <f t="shared" si="14"/>
        <v>-3.7704838787644551E-3</v>
      </c>
    </row>
    <row r="962" spans="1:8" ht="13.5" x14ac:dyDescent="0.25">
      <c r="A962" s="1"/>
      <c r="B962" s="3">
        <v>43707</v>
      </c>
      <c r="C962" s="4">
        <v>5.18</v>
      </c>
      <c r="D962" s="4">
        <v>2.0333999999999999</v>
      </c>
      <c r="E962" s="4">
        <v>2107</v>
      </c>
      <c r="F962" s="4">
        <v>5.1961000000000004</v>
      </c>
      <c r="G962" s="4">
        <v>10948.182699999999</v>
      </c>
      <c r="H962" s="5">
        <f t="shared" si="14"/>
        <v>-1.3343684797903974E-2</v>
      </c>
    </row>
    <row r="963" spans="1:8" ht="13.5" x14ac:dyDescent="0.25">
      <c r="A963" s="1"/>
      <c r="B963" s="3">
        <v>43710</v>
      </c>
      <c r="C963" s="4">
        <v>5.18</v>
      </c>
      <c r="D963" s="4">
        <v>2.0333999999999999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5.18</v>
      </c>
      <c r="D964" s="4">
        <v>2.0333999999999999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5.03</v>
      </c>
      <c r="D965" s="4">
        <v>1.9744999999999999</v>
      </c>
      <c r="E965" s="4">
        <v>4818</v>
      </c>
      <c r="F965" s="4">
        <v>5.0342000000000002</v>
      </c>
      <c r="G965" s="4">
        <v>24254.775600000001</v>
      </c>
      <c r="H965" s="5">
        <f t="shared" si="14"/>
        <v>-2.896626340119994E-2</v>
      </c>
    </row>
    <row r="966" spans="1:8" ht="13.5" x14ac:dyDescent="0.25">
      <c r="A966" s="1"/>
      <c r="B966" s="3">
        <v>43713</v>
      </c>
      <c r="C966" s="4">
        <v>5.04</v>
      </c>
      <c r="D966" s="4">
        <v>1.9784999999999999</v>
      </c>
      <c r="E966" s="4">
        <v>2615</v>
      </c>
      <c r="F966" s="4">
        <v>5.0419</v>
      </c>
      <c r="G966" s="4">
        <v>13184.568499999999</v>
      </c>
      <c r="H966" s="5">
        <f t="shared" si="14"/>
        <v>2.0258293238794652E-3</v>
      </c>
    </row>
    <row r="967" spans="1:8" ht="13.5" x14ac:dyDescent="0.25">
      <c r="A967" s="1"/>
      <c r="B967" s="3">
        <v>43714</v>
      </c>
      <c r="C967" s="4">
        <v>5.04</v>
      </c>
      <c r="D967" s="4">
        <v>1.9784999999999999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5.04</v>
      </c>
      <c r="D968" s="4">
        <v>1.9784999999999999</v>
      </c>
      <c r="E968" s="4">
        <v>20</v>
      </c>
      <c r="F968" s="4">
        <v>5.04</v>
      </c>
      <c r="G968" s="4">
        <v>100.8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5.18</v>
      </c>
      <c r="D969" s="4">
        <v>2.0333999999999999</v>
      </c>
      <c r="E969" s="4">
        <v>22172</v>
      </c>
      <c r="F969" s="4">
        <v>5.0548000000000002</v>
      </c>
      <c r="G969" s="4">
        <v>112075.02559999999</v>
      </c>
      <c r="H969" s="5">
        <f t="shared" si="15"/>
        <v>2.77482941622441E-2</v>
      </c>
    </row>
    <row r="970" spans="1:8" ht="13.5" x14ac:dyDescent="0.25">
      <c r="A970" s="1"/>
      <c r="B970" s="3">
        <v>43719</v>
      </c>
      <c r="C970" s="4">
        <v>5.33</v>
      </c>
      <c r="D970" s="4">
        <v>2.0922999999999998</v>
      </c>
      <c r="E970" s="4">
        <v>8745</v>
      </c>
      <c r="F970" s="4">
        <v>5.2187000000000001</v>
      </c>
      <c r="G970" s="4">
        <v>45637.531499999997</v>
      </c>
      <c r="H970" s="5">
        <f t="shared" si="15"/>
        <v>2.896626340119994E-2</v>
      </c>
    </row>
    <row r="971" spans="1:8" ht="13.5" x14ac:dyDescent="0.25">
      <c r="A971" s="1"/>
      <c r="B971" s="3">
        <v>43720</v>
      </c>
      <c r="C971" s="4">
        <v>5.2</v>
      </c>
      <c r="D971" s="4">
        <v>2.0413000000000001</v>
      </c>
      <c r="E971" s="4">
        <v>618</v>
      </c>
      <c r="F971" s="4">
        <v>5.2184999999999997</v>
      </c>
      <c r="G971" s="4">
        <v>3225.0329999999999</v>
      </c>
      <c r="H971" s="5">
        <f t="shared" si="15"/>
        <v>-2.4375089614299916E-2</v>
      </c>
    </row>
    <row r="972" spans="1:8" ht="13.5" x14ac:dyDescent="0.25">
      <c r="A972" s="1"/>
      <c r="B972" s="3">
        <v>43721</v>
      </c>
      <c r="C972" s="4">
        <v>5.2</v>
      </c>
      <c r="D972" s="4">
        <v>2.0413000000000001</v>
      </c>
      <c r="E972" s="4">
        <v>676</v>
      </c>
      <c r="F972" s="4">
        <v>5.1976000000000004</v>
      </c>
      <c r="G972" s="4">
        <v>3513.5776000000001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5.2</v>
      </c>
      <c r="D973" s="4">
        <v>2.0413000000000001</v>
      </c>
      <c r="E973" s="4">
        <v>11093</v>
      </c>
      <c r="F973" s="4">
        <v>5.2055999999999996</v>
      </c>
      <c r="G973" s="4">
        <v>57745.720800000003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5.2</v>
      </c>
      <c r="D974" s="4">
        <v>2.0413000000000001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5.16</v>
      </c>
      <c r="D975" s="4">
        <v>2.0255999999999998</v>
      </c>
      <c r="E975" s="4">
        <v>402</v>
      </c>
      <c r="F975" s="4">
        <v>5.16</v>
      </c>
      <c r="G975" s="4">
        <v>2074.3200000000002</v>
      </c>
      <c r="H975" s="5">
        <f t="shared" si="15"/>
        <v>-7.6911771910058635E-3</v>
      </c>
    </row>
    <row r="976" spans="1:8" ht="13.5" x14ac:dyDescent="0.25">
      <c r="A976" s="1"/>
      <c r="B976" s="3">
        <v>43727</v>
      </c>
      <c r="C976" s="4">
        <v>5.3</v>
      </c>
      <c r="D976" s="4">
        <v>2.0804999999999998</v>
      </c>
      <c r="E976" s="4">
        <v>16600</v>
      </c>
      <c r="F976" s="4">
        <v>5.2960000000000003</v>
      </c>
      <c r="G976" s="4">
        <v>87913.600000000006</v>
      </c>
      <c r="H976" s="5">
        <f t="shared" si="15"/>
        <v>2.7103080568720357E-2</v>
      </c>
    </row>
    <row r="977" spans="1:8" ht="13.5" x14ac:dyDescent="0.25">
      <c r="A977" s="1"/>
      <c r="B977" s="3">
        <v>43728</v>
      </c>
      <c r="C977" s="4">
        <v>5.3</v>
      </c>
      <c r="D977" s="4">
        <v>2.0804999999999998</v>
      </c>
      <c r="E977" s="4">
        <v>44</v>
      </c>
      <c r="F977" s="4">
        <v>5.3</v>
      </c>
      <c r="G977" s="4">
        <v>233.2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5.28</v>
      </c>
      <c r="D978" s="4">
        <v>2.0727000000000002</v>
      </c>
      <c r="E978" s="4">
        <v>206</v>
      </c>
      <c r="F978" s="4">
        <v>5.2801999999999998</v>
      </c>
      <c r="G978" s="4">
        <v>1087.7212</v>
      </c>
      <c r="H978" s="5">
        <f t="shared" si="15"/>
        <v>-3.749098774332894E-3</v>
      </c>
    </row>
    <row r="979" spans="1:8" ht="13.5" x14ac:dyDescent="0.25">
      <c r="A979" s="1"/>
      <c r="B979" s="3">
        <v>43732</v>
      </c>
      <c r="C979" s="4">
        <v>5.13</v>
      </c>
      <c r="D979" s="4">
        <v>2.0137999999999998</v>
      </c>
      <c r="E979" s="4">
        <v>9258</v>
      </c>
      <c r="F979" s="4">
        <v>5.1300999999999997</v>
      </c>
      <c r="G979" s="4">
        <v>47494.465799999998</v>
      </c>
      <c r="H979" s="5">
        <f t="shared" si="15"/>
        <v>-2.8417040575095476E-2</v>
      </c>
    </row>
    <row r="980" spans="1:8" ht="13.5" x14ac:dyDescent="0.25">
      <c r="A980" s="1"/>
      <c r="B980" s="3">
        <v>43733</v>
      </c>
      <c r="C980" s="4">
        <v>5.13</v>
      </c>
      <c r="D980" s="4">
        <v>2.0137999999999998</v>
      </c>
      <c r="E980" s="4">
        <v>3795</v>
      </c>
      <c r="F980" s="4">
        <v>5.13</v>
      </c>
      <c r="G980" s="4">
        <v>19468.349999999999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5.2</v>
      </c>
      <c r="D981" s="4">
        <v>2.0413000000000001</v>
      </c>
      <c r="E981" s="4">
        <v>96</v>
      </c>
      <c r="F981" s="4">
        <v>5.1501999999999999</v>
      </c>
      <c r="G981" s="4">
        <v>494.41919999999999</v>
      </c>
      <c r="H981" s="5">
        <f t="shared" si="15"/>
        <v>1.3655775151455113E-2</v>
      </c>
    </row>
    <row r="982" spans="1:8" ht="13.5" x14ac:dyDescent="0.25">
      <c r="A982" s="1"/>
      <c r="B982" s="3">
        <v>43735</v>
      </c>
      <c r="C982" s="4">
        <v>5.05</v>
      </c>
      <c r="D982" s="4">
        <v>1.9823999999999999</v>
      </c>
      <c r="E982" s="4">
        <v>4958</v>
      </c>
      <c r="F982" s="4">
        <v>5.0692000000000004</v>
      </c>
      <c r="G982" s="4">
        <v>25133.0936</v>
      </c>
      <c r="H982" s="5">
        <f t="shared" si="15"/>
        <v>-2.8854161563709485E-2</v>
      </c>
    </row>
    <row r="983" spans="1:8" ht="13.5" x14ac:dyDescent="0.25">
      <c r="A983" s="1"/>
      <c r="B983" s="3">
        <v>43738</v>
      </c>
      <c r="C983" s="4">
        <v>4.9000000000000004</v>
      </c>
      <c r="D983" s="4">
        <v>1.9235</v>
      </c>
      <c r="E983" s="4">
        <v>9178</v>
      </c>
      <c r="F983" s="4">
        <v>4.9950999999999999</v>
      </c>
      <c r="G983" s="4">
        <v>45845.027800000003</v>
      </c>
      <c r="H983" s="5">
        <f t="shared" si="15"/>
        <v>-2.9711460855528629E-2</v>
      </c>
    </row>
    <row r="984" spans="1:8" ht="13.5" x14ac:dyDescent="0.25">
      <c r="A984" s="1"/>
      <c r="B984" s="3">
        <v>43739</v>
      </c>
      <c r="C984" s="4">
        <v>5.14</v>
      </c>
      <c r="D984" s="4">
        <v>2.0177</v>
      </c>
      <c r="E984" s="4">
        <v>2</v>
      </c>
      <c r="F984" s="4">
        <v>5.09</v>
      </c>
      <c r="G984" s="4">
        <v>10.18</v>
      </c>
      <c r="H984" s="5">
        <f t="shared" si="15"/>
        <v>4.8973225890304166E-2</v>
      </c>
    </row>
    <row r="985" spans="1:8" ht="13.5" x14ac:dyDescent="0.25">
      <c r="A985" s="1"/>
      <c r="B985" s="3">
        <v>43740</v>
      </c>
      <c r="C985" s="4">
        <v>5.0999999999999996</v>
      </c>
      <c r="D985" s="4">
        <v>2.0019999999999998</v>
      </c>
      <c r="E985" s="4">
        <v>2272</v>
      </c>
      <c r="F985" s="4">
        <v>5.0761000000000003</v>
      </c>
      <c r="G985" s="4">
        <v>11532.8992</v>
      </c>
      <c r="H985" s="5">
        <f t="shared" si="15"/>
        <v>-7.7811369380979675E-3</v>
      </c>
    </row>
    <row r="986" spans="1:8" ht="13.5" x14ac:dyDescent="0.25">
      <c r="A986" s="1"/>
      <c r="B986" s="3">
        <v>43741</v>
      </c>
      <c r="C986" s="4">
        <v>5.0999999999999996</v>
      </c>
      <c r="D986" s="4">
        <v>2.0019999999999998</v>
      </c>
      <c r="E986" s="4">
        <v>1263</v>
      </c>
      <c r="F986" s="4">
        <v>5.0301999999999998</v>
      </c>
      <c r="G986" s="4">
        <v>6353.1426000000001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5.0999999999999996</v>
      </c>
      <c r="D987" s="4">
        <v>2.0019999999999998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5</v>
      </c>
      <c r="D988" s="4">
        <v>1.9628000000000001</v>
      </c>
      <c r="E988" s="4">
        <v>7799</v>
      </c>
      <c r="F988" s="4">
        <v>4.9995000000000003</v>
      </c>
      <c r="G988" s="4">
        <v>38991.1005</v>
      </c>
      <c r="H988" s="5">
        <f t="shared" si="15"/>
        <v>-1.9580419580419423E-2</v>
      </c>
    </row>
    <row r="989" spans="1:8" ht="13.5" x14ac:dyDescent="0.25">
      <c r="A989" s="1"/>
      <c r="B989" s="3">
        <v>43746</v>
      </c>
      <c r="C989" s="4">
        <v>5.0199999999999996</v>
      </c>
      <c r="D989" s="4">
        <v>1.9705999999999999</v>
      </c>
      <c r="E989" s="4">
        <v>11339</v>
      </c>
      <c r="F989" s="4">
        <v>5.0995999999999997</v>
      </c>
      <c r="G989" s="4">
        <v>57824.364399999999</v>
      </c>
      <c r="H989" s="5">
        <f t="shared" si="15"/>
        <v>3.9739148155694959E-3</v>
      </c>
    </row>
    <row r="990" spans="1:8" ht="13.5" x14ac:dyDescent="0.25">
      <c r="A990" s="1"/>
      <c r="B990" s="3">
        <v>43747</v>
      </c>
      <c r="C990" s="4">
        <v>5.05</v>
      </c>
      <c r="D990" s="4">
        <v>1.9823999999999999</v>
      </c>
      <c r="E990" s="4">
        <v>2509</v>
      </c>
      <c r="F990" s="4">
        <v>5.0576999999999996</v>
      </c>
      <c r="G990" s="4">
        <v>12689.7693</v>
      </c>
      <c r="H990" s="5">
        <f t="shared" si="15"/>
        <v>5.9880239520958252E-3</v>
      </c>
    </row>
    <row r="991" spans="1:8" ht="13.5" x14ac:dyDescent="0.25">
      <c r="A991" s="1"/>
      <c r="B991" s="3">
        <v>43748</v>
      </c>
      <c r="C991" s="4">
        <v>5.0999999999999996</v>
      </c>
      <c r="D991" s="4">
        <v>2.0019999999999998</v>
      </c>
      <c r="E991" s="4">
        <v>1001</v>
      </c>
      <c r="F991" s="4">
        <v>5.0999999999999996</v>
      </c>
      <c r="G991" s="4">
        <v>5105.1000000000004</v>
      </c>
      <c r="H991" s="5">
        <f t="shared" si="15"/>
        <v>9.8870056497174334E-3</v>
      </c>
    </row>
    <row r="992" spans="1:8" ht="13.5" x14ac:dyDescent="0.25">
      <c r="A992" s="1"/>
      <c r="B992" s="3">
        <v>43749</v>
      </c>
      <c r="C992" s="4">
        <v>5.13</v>
      </c>
      <c r="D992" s="4">
        <v>2.0137999999999998</v>
      </c>
      <c r="E992" s="4">
        <v>3954</v>
      </c>
      <c r="F992" s="4">
        <v>5.1223000000000001</v>
      </c>
      <c r="G992" s="4">
        <v>20253.574199999999</v>
      </c>
      <c r="H992" s="5">
        <f t="shared" si="15"/>
        <v>5.894105894105911E-3</v>
      </c>
    </row>
    <row r="993" spans="1:8" ht="13.5" x14ac:dyDescent="0.25">
      <c r="A993" s="1"/>
      <c r="B993" s="3">
        <v>43752</v>
      </c>
      <c r="C993" s="4">
        <v>5.12</v>
      </c>
      <c r="D993" s="4">
        <v>2.0099</v>
      </c>
      <c r="E993" s="4">
        <v>662</v>
      </c>
      <c r="F993" s="4">
        <v>5.0613000000000001</v>
      </c>
      <c r="G993" s="4">
        <v>3350.5805999999998</v>
      </c>
      <c r="H993" s="5">
        <f t="shared" si="15"/>
        <v>-1.9366372032971462E-3</v>
      </c>
    </row>
    <row r="994" spans="1:8" ht="13.5" x14ac:dyDescent="0.25">
      <c r="A994" s="1"/>
      <c r="B994" s="3">
        <v>43754</v>
      </c>
      <c r="C994" s="4">
        <v>5.13</v>
      </c>
      <c r="D994" s="4">
        <v>2.0137999999999998</v>
      </c>
      <c r="E994" s="4">
        <v>24456</v>
      </c>
      <c r="F994" s="4">
        <v>5.1276000000000002</v>
      </c>
      <c r="G994" s="4">
        <v>125400.58560000001</v>
      </c>
      <c r="H994" s="5">
        <f t="shared" si="15"/>
        <v>1.9403950445294753E-3</v>
      </c>
    </row>
    <row r="995" spans="1:8" ht="13.5" x14ac:dyDescent="0.25">
      <c r="A995" s="1"/>
      <c r="B995" s="3">
        <v>43755</v>
      </c>
      <c r="C995" s="4">
        <v>5.28</v>
      </c>
      <c r="D995" s="4">
        <v>2.0727000000000002</v>
      </c>
      <c r="E995" s="4">
        <v>55181</v>
      </c>
      <c r="F995" s="4">
        <v>5.1368</v>
      </c>
      <c r="G995" s="4">
        <v>283453.76079999999</v>
      </c>
      <c r="H995" s="5">
        <f t="shared" si="15"/>
        <v>2.924818750620737E-2</v>
      </c>
    </row>
    <row r="996" spans="1:8" ht="13.5" x14ac:dyDescent="0.25">
      <c r="A996" s="1"/>
      <c r="B996" s="3">
        <v>43756</v>
      </c>
      <c r="C996" s="4">
        <v>5.35</v>
      </c>
      <c r="D996" s="4">
        <v>2.1000999999999999</v>
      </c>
      <c r="E996" s="4">
        <v>573</v>
      </c>
      <c r="F996" s="4">
        <v>5.3061999999999996</v>
      </c>
      <c r="G996" s="4">
        <v>3040.4526000000001</v>
      </c>
      <c r="H996" s="5">
        <f t="shared" si="15"/>
        <v>1.3219472186037364E-2</v>
      </c>
    </row>
    <row r="997" spans="1:8" ht="13.5" x14ac:dyDescent="0.25">
      <c r="A997" s="1"/>
      <c r="B997" s="3">
        <v>43759</v>
      </c>
      <c r="C997" s="4">
        <v>5.34</v>
      </c>
      <c r="D997" s="4">
        <v>2.0962000000000001</v>
      </c>
      <c r="E997" s="4">
        <v>7233</v>
      </c>
      <c r="F997" s="4">
        <v>5.2108999999999996</v>
      </c>
      <c r="G997" s="4">
        <v>37690.439700000003</v>
      </c>
      <c r="H997" s="5">
        <f t="shared" si="15"/>
        <v>-1.8570544259796165E-3</v>
      </c>
    </row>
    <row r="998" spans="1:8" ht="13.5" x14ac:dyDescent="0.25">
      <c r="A998" s="1"/>
      <c r="B998" s="3">
        <v>43760</v>
      </c>
      <c r="C998" s="4">
        <v>5.3</v>
      </c>
      <c r="D998" s="4">
        <v>2.0804999999999998</v>
      </c>
      <c r="E998" s="4">
        <v>2500</v>
      </c>
      <c r="F998" s="4">
        <v>5.2276999999999996</v>
      </c>
      <c r="G998" s="4">
        <v>13069.25</v>
      </c>
      <c r="H998" s="5">
        <f t="shared" si="15"/>
        <v>-7.4897433451007866E-3</v>
      </c>
    </row>
    <row r="999" spans="1:8" ht="13.5" x14ac:dyDescent="0.25">
      <c r="A999" s="1"/>
      <c r="B999" s="3">
        <v>43761</v>
      </c>
      <c r="C999" s="4">
        <v>5.28</v>
      </c>
      <c r="D999" s="4">
        <v>2.0727000000000002</v>
      </c>
      <c r="E999" s="4">
        <v>8090</v>
      </c>
      <c r="F999" s="4">
        <v>5.2899000000000003</v>
      </c>
      <c r="G999" s="4">
        <v>42795.290999999997</v>
      </c>
      <c r="H999" s="5">
        <f t="shared" si="15"/>
        <v>-3.749098774332894E-3</v>
      </c>
    </row>
    <row r="1000" spans="1:8" ht="13.5" x14ac:dyDescent="0.25">
      <c r="A1000" s="1"/>
      <c r="B1000" s="3">
        <v>43762</v>
      </c>
      <c r="C1000" s="4">
        <v>5.27</v>
      </c>
      <c r="D1000" s="4">
        <v>2.0687000000000002</v>
      </c>
      <c r="E1000" s="4">
        <v>221</v>
      </c>
      <c r="F1000" s="4">
        <v>5.2713999999999999</v>
      </c>
      <c r="G1000" s="4">
        <v>1164.9793999999999</v>
      </c>
      <c r="H1000" s="5">
        <f t="shared" si="15"/>
        <v>-1.9298499541660651E-3</v>
      </c>
    </row>
    <row r="1001" spans="1:8" ht="13.5" x14ac:dyDescent="0.25">
      <c r="A1001" s="1"/>
      <c r="B1001" s="3">
        <v>43763</v>
      </c>
      <c r="C1001" s="4">
        <v>5.2</v>
      </c>
      <c r="D1001" s="4">
        <v>2.0413000000000001</v>
      </c>
      <c r="E1001" s="4">
        <v>5</v>
      </c>
      <c r="F1001" s="4">
        <v>5.2</v>
      </c>
      <c r="G1001" s="4">
        <v>26</v>
      </c>
      <c r="H1001" s="5">
        <f t="shared" si="15"/>
        <v>-1.3245033112582825E-2</v>
      </c>
    </row>
    <row r="1002" spans="1:8" ht="13.5" x14ac:dyDescent="0.25">
      <c r="A1002" s="1"/>
      <c r="B1002" s="3">
        <v>43766</v>
      </c>
      <c r="C1002" s="4">
        <v>5.29</v>
      </c>
      <c r="D1002" s="4">
        <v>2.0766</v>
      </c>
      <c r="E1002" s="4">
        <v>1</v>
      </c>
      <c r="F1002" s="4">
        <v>5.29</v>
      </c>
      <c r="G1002" s="4">
        <v>5.29</v>
      </c>
      <c r="H1002" s="5">
        <f t="shared" si="15"/>
        <v>1.7292901582324934E-2</v>
      </c>
    </row>
    <row r="1003" spans="1:8" ht="13.5" x14ac:dyDescent="0.25">
      <c r="A1003" s="1"/>
      <c r="B1003" s="3">
        <v>43767</v>
      </c>
      <c r="C1003" s="4">
        <v>5.15</v>
      </c>
      <c r="D1003" s="4">
        <v>2.0215999999999998</v>
      </c>
      <c r="E1003" s="4">
        <v>3168</v>
      </c>
      <c r="F1003" s="4">
        <v>5.15</v>
      </c>
      <c r="G1003" s="4">
        <v>16315.2</v>
      </c>
      <c r="H1003" s="5">
        <f t="shared" si="15"/>
        <v>-2.6485601463931502E-2</v>
      </c>
    </row>
    <row r="1004" spans="1:8" ht="13.5" x14ac:dyDescent="0.25">
      <c r="A1004" s="1"/>
      <c r="B1004" s="3">
        <v>43768</v>
      </c>
      <c r="C1004" s="4">
        <v>5</v>
      </c>
      <c r="D1004" s="4">
        <v>1.9628000000000001</v>
      </c>
      <c r="E1004" s="4">
        <v>8771</v>
      </c>
      <c r="F1004" s="4">
        <v>5.0720000000000001</v>
      </c>
      <c r="G1004" s="4">
        <v>44486.512000000002</v>
      </c>
      <c r="H1004" s="5">
        <f t="shared" si="15"/>
        <v>-2.908587257617716E-2</v>
      </c>
    </row>
    <row r="1005" spans="1:8" ht="13.5" x14ac:dyDescent="0.25">
      <c r="A1005" s="1"/>
      <c r="B1005" s="3">
        <v>43769</v>
      </c>
      <c r="C1005" s="4">
        <v>5.15</v>
      </c>
      <c r="D1005" s="4">
        <v>2.0215999999999998</v>
      </c>
      <c r="E1005" s="4">
        <v>1</v>
      </c>
      <c r="F1005" s="4">
        <v>5.15</v>
      </c>
      <c r="G1005" s="4">
        <v>5.15</v>
      </c>
      <c r="H1005" s="5">
        <f t="shared" si="15"/>
        <v>2.9957203994293732E-2</v>
      </c>
    </row>
    <row r="1006" spans="1:8" ht="13.5" x14ac:dyDescent="0.25">
      <c r="A1006" s="1"/>
      <c r="B1006" s="3">
        <v>43770</v>
      </c>
      <c r="C1006" s="4">
        <v>5.14</v>
      </c>
      <c r="D1006" s="4">
        <v>2.0177</v>
      </c>
      <c r="E1006" s="4">
        <v>850</v>
      </c>
      <c r="F1006" s="4">
        <v>5.1075999999999997</v>
      </c>
      <c r="G1006" s="4">
        <v>4341.46</v>
      </c>
      <c r="H1006" s="5">
        <f t="shared" si="15"/>
        <v>-1.9291650178075747E-3</v>
      </c>
    </row>
    <row r="1007" spans="1:8" ht="13.5" x14ac:dyDescent="0.25">
      <c r="A1007" s="1"/>
      <c r="B1007" s="3">
        <v>43773</v>
      </c>
      <c r="C1007" s="4">
        <v>5.14</v>
      </c>
      <c r="D1007" s="4">
        <v>2.0177</v>
      </c>
      <c r="E1007" s="4">
        <v>10</v>
      </c>
      <c r="F1007" s="4">
        <v>5.14</v>
      </c>
      <c r="G1007" s="4">
        <v>51.4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5.0999999999999996</v>
      </c>
      <c r="D1008" s="4">
        <v>2.0019999999999998</v>
      </c>
      <c r="E1008" s="4">
        <v>3168</v>
      </c>
      <c r="F1008" s="4">
        <v>5.0730000000000004</v>
      </c>
      <c r="G1008" s="4">
        <v>16071.263999999999</v>
      </c>
      <c r="H1008" s="5">
        <f t="shared" si="15"/>
        <v>-7.7811369380979675E-3</v>
      </c>
    </row>
    <row r="1009" spans="1:8" ht="13.5" x14ac:dyDescent="0.25">
      <c r="A1009" s="1"/>
      <c r="B1009" s="3">
        <v>43775</v>
      </c>
      <c r="C1009" s="4">
        <v>5.19</v>
      </c>
      <c r="D1009" s="4">
        <v>2.0373000000000001</v>
      </c>
      <c r="E1009" s="4">
        <v>17731</v>
      </c>
      <c r="F1009" s="4">
        <v>5.1345000000000001</v>
      </c>
      <c r="G1009" s="4">
        <v>91039.819499999998</v>
      </c>
      <c r="H1009" s="5">
        <f t="shared" si="15"/>
        <v>1.76323676323678E-2</v>
      </c>
    </row>
    <row r="1010" spans="1:8" ht="13.5" x14ac:dyDescent="0.25">
      <c r="A1010" s="1"/>
      <c r="B1010" s="3">
        <v>43776</v>
      </c>
      <c r="C1010" s="4">
        <v>5.24</v>
      </c>
      <c r="D1010" s="4">
        <v>2.0569999999999999</v>
      </c>
      <c r="E1010" s="4">
        <v>13001</v>
      </c>
      <c r="F1010" s="4">
        <v>5.2107000000000001</v>
      </c>
      <c r="G1010" s="4">
        <v>67744.310700000002</v>
      </c>
      <c r="H1010" s="5">
        <f t="shared" si="15"/>
        <v>9.6696608256024285E-3</v>
      </c>
    </row>
    <row r="1011" spans="1:8" ht="13.5" x14ac:dyDescent="0.25">
      <c r="A1011" s="1"/>
      <c r="B1011" s="3">
        <v>43777</v>
      </c>
      <c r="C1011" s="4">
        <v>5.29</v>
      </c>
      <c r="D1011" s="4">
        <v>2.0766</v>
      </c>
      <c r="E1011" s="4">
        <v>46228</v>
      </c>
      <c r="F1011" s="4">
        <v>5.1944999999999997</v>
      </c>
      <c r="G1011" s="4">
        <v>240131.34599999999</v>
      </c>
      <c r="H1011" s="5">
        <f t="shared" si="15"/>
        <v>9.5284394749635699E-3</v>
      </c>
    </row>
    <row r="1012" spans="1:8" ht="13.5" x14ac:dyDescent="0.25">
      <c r="A1012" s="1"/>
      <c r="B1012" s="3">
        <v>43780</v>
      </c>
      <c r="C1012" s="4">
        <v>5.3</v>
      </c>
      <c r="D1012" s="4">
        <v>2.0804999999999998</v>
      </c>
      <c r="E1012" s="4">
        <v>8501</v>
      </c>
      <c r="F1012" s="4">
        <v>5.2906000000000004</v>
      </c>
      <c r="G1012" s="4">
        <v>44975.390599999999</v>
      </c>
      <c r="H1012" s="5">
        <f t="shared" si="15"/>
        <v>1.8780699219877648E-3</v>
      </c>
    </row>
    <row r="1013" spans="1:8" ht="13.5" x14ac:dyDescent="0.25">
      <c r="A1013" s="1"/>
      <c r="B1013" s="3">
        <v>43781</v>
      </c>
      <c r="C1013" s="4">
        <v>5.15</v>
      </c>
      <c r="D1013" s="4">
        <v>2.0215999999999998</v>
      </c>
      <c r="E1013" s="4">
        <v>0</v>
      </c>
      <c r="F1013" s="4">
        <v>0</v>
      </c>
      <c r="G1013" s="4">
        <v>0</v>
      </c>
      <c r="H1013" s="5">
        <f t="shared" si="15"/>
        <v>-2.8310502283105003E-2</v>
      </c>
    </row>
    <row r="1014" spans="1:8" ht="13.5" x14ac:dyDescent="0.25">
      <c r="A1014" s="1"/>
      <c r="B1014" s="3">
        <v>43782</v>
      </c>
      <c r="C1014" s="4">
        <v>5.22</v>
      </c>
      <c r="D1014" s="4">
        <v>2.0491000000000001</v>
      </c>
      <c r="E1014" s="4">
        <v>28550</v>
      </c>
      <c r="F1014" s="4">
        <v>5.2709000000000001</v>
      </c>
      <c r="G1014" s="4">
        <v>150484.19500000001</v>
      </c>
      <c r="H1014" s="5">
        <f t="shared" si="15"/>
        <v>1.3603086664028643E-2</v>
      </c>
    </row>
    <row r="1015" spans="1:8" ht="13.5" x14ac:dyDescent="0.25">
      <c r="A1015" s="1"/>
      <c r="B1015" s="3">
        <v>43783</v>
      </c>
      <c r="C1015" s="4">
        <v>5.25</v>
      </c>
      <c r="D1015" s="4">
        <v>2.0609000000000002</v>
      </c>
      <c r="E1015" s="4">
        <v>10206</v>
      </c>
      <c r="F1015" s="4">
        <v>5.2119</v>
      </c>
      <c r="G1015" s="4">
        <v>53192.651400000002</v>
      </c>
      <c r="H1015" s="5">
        <f t="shared" si="15"/>
        <v>5.7586257381289502E-3</v>
      </c>
    </row>
    <row r="1016" spans="1:8" ht="13.5" x14ac:dyDescent="0.25">
      <c r="A1016" s="1"/>
      <c r="B1016" s="3">
        <v>43784</v>
      </c>
      <c r="C1016" s="4">
        <v>5.34</v>
      </c>
      <c r="D1016" s="4">
        <v>2.0962000000000001</v>
      </c>
      <c r="E1016" s="4">
        <v>38545</v>
      </c>
      <c r="F1016" s="4">
        <v>5.2885999999999997</v>
      </c>
      <c r="G1016" s="4">
        <v>203849.087</v>
      </c>
      <c r="H1016" s="5">
        <f t="shared" si="15"/>
        <v>1.7128439031491041E-2</v>
      </c>
    </row>
    <row r="1017" spans="1:8" ht="13.5" x14ac:dyDescent="0.25">
      <c r="A1017" s="1"/>
      <c r="B1017" s="3">
        <v>43787</v>
      </c>
      <c r="C1017" s="4">
        <v>5.28</v>
      </c>
      <c r="D1017" s="4">
        <v>2.0727000000000002</v>
      </c>
      <c r="E1017" s="4">
        <v>2079</v>
      </c>
      <c r="F1017" s="4">
        <v>5.2587999999999999</v>
      </c>
      <c r="G1017" s="4">
        <v>10933.0452</v>
      </c>
      <c r="H1017" s="5">
        <f t="shared" si="15"/>
        <v>-1.1210762331838495E-2</v>
      </c>
    </row>
    <row r="1018" spans="1:8" ht="13.5" x14ac:dyDescent="0.25">
      <c r="A1018" s="1"/>
      <c r="B1018" s="3">
        <v>43788</v>
      </c>
      <c r="C1018" s="4">
        <v>5.3</v>
      </c>
      <c r="D1018" s="4">
        <v>2.0804999999999998</v>
      </c>
      <c r="E1018" s="4">
        <v>16129</v>
      </c>
      <c r="F1018" s="4">
        <v>5.3063000000000002</v>
      </c>
      <c r="G1018" s="4">
        <v>85585.312699999995</v>
      </c>
      <c r="H1018" s="5">
        <f t="shared" si="15"/>
        <v>3.7632074106236234E-3</v>
      </c>
    </row>
    <row r="1019" spans="1:8" ht="13.5" x14ac:dyDescent="0.25">
      <c r="A1019" s="1"/>
      <c r="B1019" s="3">
        <v>43789</v>
      </c>
      <c r="C1019" s="4">
        <v>5.36</v>
      </c>
      <c r="D1019" s="4">
        <v>2.1040999999999999</v>
      </c>
      <c r="E1019" s="4">
        <v>4355</v>
      </c>
      <c r="F1019" s="4">
        <v>5.3002000000000002</v>
      </c>
      <c r="G1019" s="4">
        <v>23082.370999999999</v>
      </c>
      <c r="H1019" s="5">
        <f t="shared" si="15"/>
        <v>1.1343427060802724E-2</v>
      </c>
    </row>
    <row r="1020" spans="1:8" ht="13.5" x14ac:dyDescent="0.25">
      <c r="A1020" s="1"/>
      <c r="B1020" s="3">
        <v>43790</v>
      </c>
      <c r="C1020" s="4">
        <v>5.33</v>
      </c>
      <c r="D1020" s="4">
        <v>2.0922999999999998</v>
      </c>
      <c r="E1020" s="4">
        <v>6150</v>
      </c>
      <c r="F1020" s="4">
        <v>5.2820999999999998</v>
      </c>
      <c r="G1020" s="4">
        <v>32484.915000000001</v>
      </c>
      <c r="H1020" s="5">
        <f t="shared" si="15"/>
        <v>-5.6080984744071262E-3</v>
      </c>
    </row>
    <row r="1021" spans="1:8" ht="13.5" x14ac:dyDescent="0.25">
      <c r="A1021" s="1"/>
      <c r="B1021" s="3">
        <v>43791</v>
      </c>
      <c r="C1021" s="4">
        <v>5.32</v>
      </c>
      <c r="D1021" s="4">
        <v>2.0884</v>
      </c>
      <c r="E1021" s="4">
        <v>121</v>
      </c>
      <c r="F1021" s="4">
        <v>5.3296000000000001</v>
      </c>
      <c r="G1021" s="4">
        <v>644.88160000000005</v>
      </c>
      <c r="H1021" s="5">
        <f t="shared" si="15"/>
        <v>-1.8639774410934345E-3</v>
      </c>
    </row>
    <row r="1022" spans="1:8" ht="13.5" x14ac:dyDescent="0.25">
      <c r="A1022" s="1"/>
      <c r="B1022" s="3">
        <v>43794</v>
      </c>
      <c r="C1022" s="4">
        <v>5.4</v>
      </c>
      <c r="D1022" s="4">
        <v>2.1198000000000001</v>
      </c>
      <c r="E1022" s="4">
        <v>37614</v>
      </c>
      <c r="F1022" s="4">
        <v>5.3480999999999996</v>
      </c>
      <c r="G1022" s="4">
        <v>201163.43340000001</v>
      </c>
      <c r="H1022" s="5">
        <f t="shared" si="15"/>
        <v>1.5035433824937796E-2</v>
      </c>
    </row>
    <row r="1023" spans="1:8" ht="13.5" x14ac:dyDescent="0.25">
      <c r="A1023" s="1"/>
      <c r="B1023" s="3">
        <v>43795</v>
      </c>
      <c r="C1023" s="4">
        <v>5.45</v>
      </c>
      <c r="D1023" s="4">
        <v>2.1394000000000002</v>
      </c>
      <c r="E1023" s="4">
        <v>55</v>
      </c>
      <c r="F1023" s="4">
        <v>5.4044999999999996</v>
      </c>
      <c r="G1023" s="4">
        <v>297.2475</v>
      </c>
      <c r="H1023" s="5">
        <f t="shared" si="15"/>
        <v>9.2461552976696205E-3</v>
      </c>
    </row>
    <row r="1024" spans="1:8" ht="13.5" x14ac:dyDescent="0.25">
      <c r="A1024" s="1"/>
      <c r="B1024" s="3">
        <v>43796</v>
      </c>
      <c r="C1024" s="4">
        <v>5.5</v>
      </c>
      <c r="D1024" s="4">
        <v>2.1589999999999998</v>
      </c>
      <c r="E1024" s="4">
        <v>16516</v>
      </c>
      <c r="F1024" s="4">
        <v>5.4419000000000004</v>
      </c>
      <c r="G1024" s="4">
        <v>89878.420400000003</v>
      </c>
      <c r="H1024" s="5">
        <f t="shared" si="15"/>
        <v>9.1614471347104872E-3</v>
      </c>
    </row>
    <row r="1025" spans="1:8" ht="13.5" x14ac:dyDescent="0.25">
      <c r="A1025" s="1"/>
      <c r="B1025" s="3">
        <v>43797</v>
      </c>
      <c r="C1025" s="4">
        <v>5.5</v>
      </c>
      <c r="D1025" s="4">
        <v>2.1589999999999998</v>
      </c>
      <c r="E1025" s="4">
        <v>24892</v>
      </c>
      <c r="F1025" s="4">
        <v>5.5035999999999996</v>
      </c>
      <c r="G1025" s="4">
        <v>136995.61120000001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5.55</v>
      </c>
      <c r="D1026" s="4">
        <v>2.1787000000000001</v>
      </c>
      <c r="E1026" s="4">
        <v>37079</v>
      </c>
      <c r="F1026" s="4">
        <v>5.3737000000000004</v>
      </c>
      <c r="G1026" s="4">
        <v>199251.42230000001</v>
      </c>
      <c r="H1026" s="5">
        <f t="shared" si="15"/>
        <v>9.1245947197778014E-3</v>
      </c>
    </row>
    <row r="1027" spans="1:8" ht="13.5" x14ac:dyDescent="0.25">
      <c r="A1027" s="1"/>
      <c r="B1027" s="3">
        <v>43801</v>
      </c>
      <c r="C1027" s="4">
        <v>5.4</v>
      </c>
      <c r="D1027" s="4">
        <v>2.1198000000000001</v>
      </c>
      <c r="E1027" s="4">
        <v>15090</v>
      </c>
      <c r="F1027" s="4">
        <v>5.3902999999999999</v>
      </c>
      <c r="G1027" s="4">
        <v>81339.626999999993</v>
      </c>
      <c r="H1027" s="5">
        <f t="shared" si="15"/>
        <v>-2.703447009684672E-2</v>
      </c>
    </row>
    <row r="1028" spans="1:8" ht="13.5" x14ac:dyDescent="0.25">
      <c r="A1028" s="1"/>
      <c r="B1028" s="3">
        <v>43802</v>
      </c>
      <c r="C1028" s="4">
        <v>5.45</v>
      </c>
      <c r="D1028" s="4">
        <v>2.1394000000000002</v>
      </c>
      <c r="E1028" s="4">
        <v>10500</v>
      </c>
      <c r="F1028" s="4">
        <v>5.45</v>
      </c>
      <c r="G1028" s="4">
        <v>57225</v>
      </c>
      <c r="H1028" s="5">
        <f t="shared" si="15"/>
        <v>9.2461552976696205E-3</v>
      </c>
    </row>
    <row r="1029" spans="1:8" ht="13.5" x14ac:dyDescent="0.25">
      <c r="A1029" s="1"/>
      <c r="B1029" s="3">
        <v>43803</v>
      </c>
      <c r="C1029" s="4">
        <v>5.45</v>
      </c>
      <c r="D1029" s="4">
        <v>2.1394000000000002</v>
      </c>
      <c r="E1029" s="4">
        <v>90</v>
      </c>
      <c r="F1029" s="4">
        <v>5.4943999999999997</v>
      </c>
      <c r="G1029" s="4">
        <v>494.49599999999998</v>
      </c>
      <c r="H1029" s="5">
        <f t="shared" si="15"/>
        <v>0</v>
      </c>
    </row>
    <row r="1030" spans="1:8" ht="13.5" x14ac:dyDescent="0.25">
      <c r="A1030" s="1"/>
      <c r="B1030" s="3">
        <v>43804</v>
      </c>
      <c r="C1030" s="4">
        <v>5.61</v>
      </c>
      <c r="D1030" s="4">
        <v>2.2021999999999999</v>
      </c>
      <c r="E1030" s="4">
        <v>25655</v>
      </c>
      <c r="F1030" s="4">
        <v>5.5833000000000004</v>
      </c>
      <c r="G1030" s="4">
        <v>143239.56150000001</v>
      </c>
      <c r="H1030" s="5">
        <f t="shared" si="15"/>
        <v>2.9354024492848341E-2</v>
      </c>
    </row>
    <row r="1031" spans="1:8" ht="13.5" x14ac:dyDescent="0.25">
      <c r="A1031" s="1"/>
      <c r="B1031" s="3">
        <v>43805</v>
      </c>
      <c r="C1031" s="4">
        <v>5.62</v>
      </c>
      <c r="D1031" s="4">
        <v>2.2061000000000002</v>
      </c>
      <c r="E1031" s="4">
        <v>7011</v>
      </c>
      <c r="F1031" s="4">
        <v>5.6150000000000002</v>
      </c>
      <c r="G1031" s="4">
        <v>39366.764999999999</v>
      </c>
      <c r="H1031" s="5">
        <f t="shared" ref="H1031:H1094" si="16">(D1031-D1030)/D1030</f>
        <v>1.7709563164109694E-3</v>
      </c>
    </row>
    <row r="1032" spans="1:8" ht="13.5" x14ac:dyDescent="0.25">
      <c r="A1032" s="1"/>
      <c r="B1032" s="3">
        <v>43808</v>
      </c>
      <c r="C1032" s="4">
        <v>5.59</v>
      </c>
      <c r="D1032" s="4">
        <v>2.1943999999999999</v>
      </c>
      <c r="E1032" s="4">
        <v>110</v>
      </c>
      <c r="F1032" s="4">
        <v>5.5172999999999996</v>
      </c>
      <c r="G1032" s="4">
        <v>606.90300000000002</v>
      </c>
      <c r="H1032" s="5">
        <f t="shared" si="16"/>
        <v>-5.3034767236300549E-3</v>
      </c>
    </row>
    <row r="1033" spans="1:8" ht="13.5" x14ac:dyDescent="0.25">
      <c r="A1033" s="1"/>
      <c r="B1033" s="3">
        <v>43809</v>
      </c>
      <c r="C1033" s="4">
        <v>5.46</v>
      </c>
      <c r="D1033" s="4">
        <v>2.1433</v>
      </c>
      <c r="E1033" s="4">
        <v>598</v>
      </c>
      <c r="F1033" s="4">
        <v>5.4922000000000004</v>
      </c>
      <c r="G1033" s="4">
        <v>3284.3355999999999</v>
      </c>
      <c r="H1033" s="5">
        <f t="shared" si="16"/>
        <v>-2.3286547575647069E-2</v>
      </c>
    </row>
    <row r="1034" spans="1:8" ht="13.5" x14ac:dyDescent="0.25">
      <c r="A1034" s="1"/>
      <c r="B1034" s="3">
        <v>43810</v>
      </c>
      <c r="C1034" s="4">
        <v>5.46</v>
      </c>
      <c r="D1034" s="4">
        <v>2.1433</v>
      </c>
      <c r="E1034" s="4">
        <v>8615</v>
      </c>
      <c r="F1034" s="4">
        <v>5.4603000000000002</v>
      </c>
      <c r="G1034" s="4">
        <v>47040.484499999999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5.6</v>
      </c>
      <c r="D1035" s="4">
        <v>2.1983000000000001</v>
      </c>
      <c r="E1035" s="4">
        <v>350</v>
      </c>
      <c r="F1035" s="4">
        <v>5.6</v>
      </c>
      <c r="G1035" s="4">
        <v>1960</v>
      </c>
      <c r="H1035" s="5">
        <f t="shared" si="16"/>
        <v>2.5661363318247636E-2</v>
      </c>
    </row>
    <row r="1036" spans="1:8" ht="13.5" x14ac:dyDescent="0.25">
      <c r="A1036" s="1"/>
      <c r="B1036" s="3">
        <v>43812</v>
      </c>
      <c r="C1036" s="4">
        <v>5.69</v>
      </c>
      <c r="D1036" s="4">
        <v>2.2336</v>
      </c>
      <c r="E1036" s="4">
        <v>625</v>
      </c>
      <c r="F1036" s="4">
        <v>5.6612</v>
      </c>
      <c r="G1036" s="4">
        <v>3538.25</v>
      </c>
      <c r="H1036" s="5">
        <f t="shared" si="16"/>
        <v>1.6057862894054444E-2</v>
      </c>
    </row>
    <row r="1037" spans="1:8" ht="13.5" x14ac:dyDescent="0.25">
      <c r="A1037" s="1"/>
      <c r="B1037" s="3">
        <v>43815</v>
      </c>
      <c r="C1037" s="4">
        <v>5.64</v>
      </c>
      <c r="D1037" s="4">
        <v>2.214</v>
      </c>
      <c r="E1037" s="4">
        <v>257</v>
      </c>
      <c r="F1037" s="4">
        <v>5.6360999999999999</v>
      </c>
      <c r="G1037" s="4">
        <v>1448.4776999999999</v>
      </c>
      <c r="H1037" s="5">
        <f t="shared" si="16"/>
        <v>-8.7750716332378499E-3</v>
      </c>
    </row>
    <row r="1038" spans="1:8" ht="13.5" x14ac:dyDescent="0.25">
      <c r="A1038" s="1"/>
      <c r="B1038" s="3">
        <v>43816</v>
      </c>
      <c r="C1038" s="4">
        <v>5.67</v>
      </c>
      <c r="D1038" s="4">
        <v>2.2258</v>
      </c>
      <c r="E1038" s="4">
        <v>2007</v>
      </c>
      <c r="F1038" s="4">
        <v>5.5597000000000003</v>
      </c>
      <c r="G1038" s="4">
        <v>11158.3179</v>
      </c>
      <c r="H1038" s="5">
        <f t="shared" si="16"/>
        <v>5.3297199638663202E-3</v>
      </c>
    </row>
    <row r="1039" spans="1:8" ht="13.5" x14ac:dyDescent="0.25">
      <c r="A1039" s="1"/>
      <c r="B1039" s="3">
        <v>43817</v>
      </c>
      <c r="C1039" s="4">
        <v>5.6</v>
      </c>
      <c r="D1039" s="4">
        <v>2.1983000000000001</v>
      </c>
      <c r="E1039" s="4">
        <v>57</v>
      </c>
      <c r="F1039" s="4">
        <v>5.5095999999999998</v>
      </c>
      <c r="G1039" s="4">
        <v>314.04719999999998</v>
      </c>
      <c r="H1039" s="5">
        <f t="shared" si="16"/>
        <v>-1.2355108275676098E-2</v>
      </c>
    </row>
    <row r="1040" spans="1:8" ht="13.5" x14ac:dyDescent="0.25">
      <c r="A1040" s="1"/>
      <c r="B1040" s="3">
        <v>43818</v>
      </c>
      <c r="C1040" s="4">
        <v>5.65</v>
      </c>
      <c r="D1040" s="4">
        <v>2.2179000000000002</v>
      </c>
      <c r="E1040" s="4">
        <v>1455</v>
      </c>
      <c r="F1040" s="4">
        <v>5.5056000000000003</v>
      </c>
      <c r="G1040" s="4">
        <v>8010.6480000000001</v>
      </c>
      <c r="H1040" s="5">
        <f t="shared" si="16"/>
        <v>8.9159805304098901E-3</v>
      </c>
    </row>
    <row r="1041" spans="1:8" ht="13.5" x14ac:dyDescent="0.25">
      <c r="A1041" s="1"/>
      <c r="B1041" s="3">
        <v>43819</v>
      </c>
      <c r="C1041" s="4">
        <v>5.53</v>
      </c>
      <c r="D1041" s="4">
        <v>2.1707999999999998</v>
      </c>
      <c r="E1041" s="4">
        <v>3249</v>
      </c>
      <c r="F1041" s="4">
        <v>5.6666999999999996</v>
      </c>
      <c r="G1041" s="4">
        <v>18411.1083</v>
      </c>
      <c r="H1041" s="5">
        <f t="shared" si="16"/>
        <v>-2.1236304612471418E-2</v>
      </c>
    </row>
    <row r="1042" spans="1:8" ht="13.5" x14ac:dyDescent="0.25">
      <c r="A1042" s="1"/>
      <c r="B1042" s="3">
        <v>43822</v>
      </c>
      <c r="C1042" s="4">
        <v>5.74</v>
      </c>
      <c r="D1042" s="4">
        <v>2.2532000000000001</v>
      </c>
      <c r="E1042" s="4">
        <v>35543</v>
      </c>
      <c r="F1042" s="4">
        <v>5.6260000000000003</v>
      </c>
      <c r="G1042" s="4">
        <v>199964.91800000001</v>
      </c>
      <c r="H1042" s="5">
        <f t="shared" si="16"/>
        <v>3.7958356366316684E-2</v>
      </c>
    </row>
    <row r="1043" spans="1:8" ht="13.5" x14ac:dyDescent="0.25">
      <c r="A1043" s="1"/>
      <c r="B1043" s="3">
        <v>43823</v>
      </c>
      <c r="C1043" s="4">
        <v>5.73</v>
      </c>
      <c r="D1043" s="4">
        <v>2.2492999999999999</v>
      </c>
      <c r="E1043" s="4">
        <v>20892</v>
      </c>
      <c r="F1043" s="4">
        <v>5.7142999999999997</v>
      </c>
      <c r="G1043" s="4">
        <v>119383.1556</v>
      </c>
      <c r="H1043" s="5">
        <f t="shared" si="16"/>
        <v>-1.7308716492101175E-3</v>
      </c>
    </row>
    <row r="1044" spans="1:8" ht="13.5" x14ac:dyDescent="0.25">
      <c r="A1044" s="1"/>
      <c r="B1044" s="3">
        <v>43824</v>
      </c>
      <c r="C1044" s="4">
        <v>5.7</v>
      </c>
      <c r="D1044" s="4">
        <v>2.2374999999999998</v>
      </c>
      <c r="E1044" s="4">
        <v>17294</v>
      </c>
      <c r="F1044" s="4">
        <v>5.7329999999999997</v>
      </c>
      <c r="G1044" s="4">
        <v>99146.501999999993</v>
      </c>
      <c r="H1044" s="5">
        <f t="shared" si="16"/>
        <v>-5.2460765571511287E-3</v>
      </c>
    </row>
    <row r="1045" spans="1:8" ht="13.5" x14ac:dyDescent="0.25">
      <c r="A1045" s="1"/>
      <c r="B1045" s="3">
        <v>43825</v>
      </c>
      <c r="C1045" s="4">
        <v>5.73</v>
      </c>
      <c r="D1045" s="4">
        <v>2.2492999999999999</v>
      </c>
      <c r="E1045" s="4">
        <v>17362</v>
      </c>
      <c r="F1045" s="4">
        <v>5.7244999999999999</v>
      </c>
      <c r="G1045" s="4">
        <v>99388.769</v>
      </c>
      <c r="H1045" s="5">
        <f t="shared" si="16"/>
        <v>5.2737430167597915E-3</v>
      </c>
    </row>
    <row r="1046" spans="1:8" ht="13.5" x14ac:dyDescent="0.25">
      <c r="A1046" s="1"/>
      <c r="B1046" s="3">
        <v>43826</v>
      </c>
      <c r="C1046" s="4">
        <v>5.82</v>
      </c>
      <c r="D1046" s="4">
        <v>2.2846000000000002</v>
      </c>
      <c r="E1046" s="4">
        <v>37290</v>
      </c>
      <c r="F1046" s="4">
        <v>5.7424999999999997</v>
      </c>
      <c r="G1046" s="4">
        <v>214137.82500000001</v>
      </c>
      <c r="H1046" s="5">
        <f t="shared" si="16"/>
        <v>1.5693771395545428E-2</v>
      </c>
    </row>
    <row r="1047" spans="1:8" ht="13.5" x14ac:dyDescent="0.25">
      <c r="A1047" s="1"/>
      <c r="B1047" s="3">
        <v>43829</v>
      </c>
      <c r="C1047" s="4">
        <v>5.81</v>
      </c>
      <c r="D1047" s="4">
        <v>2.2806999999999999</v>
      </c>
      <c r="E1047" s="4">
        <v>1379</v>
      </c>
      <c r="F1047" s="4">
        <v>5.7525000000000004</v>
      </c>
      <c r="G1047" s="4">
        <v>7932.6975000000002</v>
      </c>
      <c r="H1047" s="5">
        <f t="shared" si="16"/>
        <v>-1.707082202573858E-3</v>
      </c>
    </row>
    <row r="1048" spans="1:8" ht="13.5" x14ac:dyDescent="0.25">
      <c r="A1048" s="1"/>
      <c r="B1048" s="3">
        <v>43830</v>
      </c>
      <c r="C1048" s="4">
        <v>5.8</v>
      </c>
      <c r="D1048" s="4">
        <v>2.2768000000000002</v>
      </c>
      <c r="E1048" s="4">
        <v>6051</v>
      </c>
      <c r="F1048" s="4">
        <v>5.8449</v>
      </c>
      <c r="G1048" s="4">
        <v>35367.4899</v>
      </c>
      <c r="H1048" s="5">
        <f t="shared" si="16"/>
        <v>-1.7100013153855363E-3</v>
      </c>
    </row>
    <row r="1049" spans="1:8" ht="13.5" x14ac:dyDescent="0.25">
      <c r="A1049" s="1"/>
      <c r="B1049" s="3">
        <v>43832</v>
      </c>
      <c r="C1049" s="4">
        <v>5.9</v>
      </c>
      <c r="D1049" s="4">
        <v>2.3159999999999998</v>
      </c>
      <c r="E1049" s="4">
        <v>3900</v>
      </c>
      <c r="F1049" s="4">
        <v>5.9</v>
      </c>
      <c r="G1049" s="4">
        <v>23010</v>
      </c>
      <c r="H1049" s="5">
        <f t="shared" si="16"/>
        <v>1.7217146872803794E-2</v>
      </c>
    </row>
    <row r="1050" spans="1:8" ht="13.5" x14ac:dyDescent="0.25">
      <c r="A1050" s="1"/>
      <c r="B1050" s="3">
        <v>43833</v>
      </c>
      <c r="C1050" s="4">
        <v>5.77</v>
      </c>
      <c r="D1050" s="4">
        <v>2.2650000000000001</v>
      </c>
      <c r="E1050" s="4">
        <v>14140</v>
      </c>
      <c r="F1050" s="4">
        <v>5.9185999999999996</v>
      </c>
      <c r="G1050" s="4">
        <v>83689.004000000001</v>
      </c>
      <c r="H1050" s="5">
        <f t="shared" si="16"/>
        <v>-2.2020725388600913E-2</v>
      </c>
    </row>
    <row r="1051" spans="1:8" ht="13.5" x14ac:dyDescent="0.25">
      <c r="A1051" s="1"/>
      <c r="B1051" s="3">
        <v>43836</v>
      </c>
      <c r="C1051" s="4">
        <v>5.6</v>
      </c>
      <c r="D1051" s="4">
        <v>2.1983000000000001</v>
      </c>
      <c r="E1051" s="4">
        <v>2606</v>
      </c>
      <c r="F1051" s="4">
        <v>5.8464</v>
      </c>
      <c r="G1051" s="4">
        <v>15235.7184</v>
      </c>
      <c r="H1051" s="5">
        <f t="shared" si="16"/>
        <v>-2.944812362030904E-2</v>
      </c>
    </row>
    <row r="1052" spans="1:8" ht="13.5" x14ac:dyDescent="0.25">
      <c r="A1052" s="1"/>
      <c r="B1052" s="3">
        <v>43837</v>
      </c>
      <c r="C1052" s="4">
        <v>5.5</v>
      </c>
      <c r="D1052" s="4">
        <v>2.1589999999999998</v>
      </c>
      <c r="E1052" s="4">
        <v>2392</v>
      </c>
      <c r="F1052" s="4">
        <v>5.4955999999999996</v>
      </c>
      <c r="G1052" s="4">
        <v>13145.475200000001</v>
      </c>
      <c r="H1052" s="5">
        <f t="shared" si="16"/>
        <v>-1.7877450757403598E-2</v>
      </c>
    </row>
    <row r="1053" spans="1:8" ht="13.5" x14ac:dyDescent="0.25">
      <c r="A1053" s="1"/>
      <c r="B1053" s="3">
        <v>43838</v>
      </c>
      <c r="C1053" s="4">
        <v>5.34</v>
      </c>
      <c r="D1053" s="4">
        <v>2.0962000000000001</v>
      </c>
      <c r="E1053" s="4">
        <v>508</v>
      </c>
      <c r="F1053" s="4">
        <v>5.34</v>
      </c>
      <c r="G1053" s="4">
        <v>2712.72</v>
      </c>
      <c r="H1053" s="5">
        <f t="shared" si="16"/>
        <v>-2.9087540528022118E-2</v>
      </c>
    </row>
    <row r="1054" spans="1:8" ht="13.5" x14ac:dyDescent="0.25">
      <c r="A1054" s="1"/>
      <c r="B1054" s="3">
        <v>43839</v>
      </c>
      <c r="C1054" s="4">
        <v>5.33</v>
      </c>
      <c r="D1054" s="4">
        <v>2.0922999999999998</v>
      </c>
      <c r="E1054" s="4">
        <v>76</v>
      </c>
      <c r="F1054" s="4">
        <v>5.33</v>
      </c>
      <c r="G1054" s="4">
        <v>405.08</v>
      </c>
      <c r="H1054" s="5">
        <f t="shared" si="16"/>
        <v>-1.8605094933690661E-3</v>
      </c>
    </row>
    <row r="1055" spans="1:8" ht="13.5" x14ac:dyDescent="0.25">
      <c r="A1055" s="1"/>
      <c r="B1055" s="3">
        <v>43840</v>
      </c>
      <c r="C1055" s="4">
        <v>5.33</v>
      </c>
      <c r="D1055" s="4">
        <v>2.0922999999999998</v>
      </c>
      <c r="E1055" s="4">
        <v>448</v>
      </c>
      <c r="F1055" s="4">
        <v>5.33</v>
      </c>
      <c r="G1055" s="4">
        <v>2387.84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5.32</v>
      </c>
      <c r="D1056" s="4">
        <v>2.0884</v>
      </c>
      <c r="E1056" s="4">
        <v>733</v>
      </c>
      <c r="F1056" s="4">
        <v>5.3789999999999996</v>
      </c>
      <c r="G1056" s="4">
        <v>3942.8069999999998</v>
      </c>
      <c r="H1056" s="5">
        <f t="shared" si="16"/>
        <v>-1.8639774410934345E-3</v>
      </c>
    </row>
    <row r="1057" spans="1:8" ht="13.5" x14ac:dyDescent="0.25">
      <c r="A1057" s="1"/>
      <c r="B1057" s="3">
        <v>43845</v>
      </c>
      <c r="C1057" s="4">
        <v>5.21</v>
      </c>
      <c r="D1057" s="4">
        <v>2.0451999999999999</v>
      </c>
      <c r="E1057" s="4">
        <v>1942</v>
      </c>
      <c r="F1057" s="4">
        <v>5.2130999999999998</v>
      </c>
      <c r="G1057" s="4">
        <v>10123.840200000001</v>
      </c>
      <c r="H1057" s="5">
        <f t="shared" si="16"/>
        <v>-2.0685692396092765E-2</v>
      </c>
    </row>
    <row r="1058" spans="1:8" ht="13.5" x14ac:dyDescent="0.25">
      <c r="A1058" s="1"/>
      <c r="B1058" s="3">
        <v>43846</v>
      </c>
      <c r="C1058" s="4">
        <v>5.21</v>
      </c>
      <c r="D1058" s="4">
        <v>2.0451999999999999</v>
      </c>
      <c r="E1058" s="4">
        <v>2937</v>
      </c>
      <c r="F1058" s="4">
        <v>5.2102000000000004</v>
      </c>
      <c r="G1058" s="4">
        <v>15302.357400000001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5.35</v>
      </c>
      <c r="D1059" s="4">
        <v>2.1000999999999999</v>
      </c>
      <c r="E1059" s="4">
        <v>25</v>
      </c>
      <c r="F1059" s="4">
        <v>5.35</v>
      </c>
      <c r="G1059" s="4">
        <v>133.75</v>
      </c>
      <c r="H1059" s="5">
        <f t="shared" si="16"/>
        <v>2.6843340504596105E-2</v>
      </c>
    </row>
    <row r="1060" spans="1:8" ht="13.5" x14ac:dyDescent="0.25">
      <c r="A1060" s="1"/>
      <c r="B1060" s="3">
        <v>43850</v>
      </c>
      <c r="C1060" s="4">
        <v>5.39</v>
      </c>
      <c r="D1060" s="4">
        <v>2.1158000000000001</v>
      </c>
      <c r="E1060" s="4">
        <v>605</v>
      </c>
      <c r="F1060" s="4">
        <v>5.2419000000000002</v>
      </c>
      <c r="G1060" s="4">
        <v>3171.3494999999998</v>
      </c>
      <c r="H1060" s="5">
        <f t="shared" si="16"/>
        <v>7.4758344840723159E-3</v>
      </c>
    </row>
    <row r="1061" spans="1:8" ht="13.5" x14ac:dyDescent="0.25">
      <c r="A1061" s="1"/>
      <c r="B1061" s="3">
        <v>43851</v>
      </c>
      <c r="C1061" s="4">
        <v>5.3</v>
      </c>
      <c r="D1061" s="4">
        <v>2.0804999999999998</v>
      </c>
      <c r="E1061" s="4">
        <v>959</v>
      </c>
      <c r="F1061" s="4">
        <v>5.3445</v>
      </c>
      <c r="G1061" s="4">
        <v>5125.3755000000001</v>
      </c>
      <c r="H1061" s="5">
        <f t="shared" si="16"/>
        <v>-1.668399659703201E-2</v>
      </c>
    </row>
    <row r="1062" spans="1:8" ht="13.5" x14ac:dyDescent="0.25">
      <c r="A1062" s="1"/>
      <c r="B1062" s="3">
        <v>43852</v>
      </c>
      <c r="C1062" s="4">
        <v>5.39</v>
      </c>
      <c r="D1062" s="4">
        <v>2.1158000000000001</v>
      </c>
      <c r="E1062" s="4">
        <v>156</v>
      </c>
      <c r="F1062" s="4">
        <v>5.2240000000000002</v>
      </c>
      <c r="G1062" s="4">
        <v>814.94399999999996</v>
      </c>
      <c r="H1062" s="5">
        <f t="shared" si="16"/>
        <v>1.6967075222302491E-2</v>
      </c>
    </row>
    <row r="1063" spans="1:8" ht="13.5" x14ac:dyDescent="0.25">
      <c r="A1063" s="1"/>
      <c r="B1063" s="3">
        <v>43853</v>
      </c>
      <c r="C1063" s="4">
        <v>5.38</v>
      </c>
      <c r="D1063" s="4">
        <v>2.1118999999999999</v>
      </c>
      <c r="E1063" s="4">
        <v>566</v>
      </c>
      <c r="F1063" s="4">
        <v>5.3802000000000003</v>
      </c>
      <c r="G1063" s="4">
        <v>3045.1932000000002</v>
      </c>
      <c r="H1063" s="5">
        <f t="shared" si="16"/>
        <v>-1.8432744115702035E-3</v>
      </c>
    </row>
    <row r="1064" spans="1:8" ht="13.5" x14ac:dyDescent="0.25">
      <c r="A1064" s="1"/>
      <c r="B1064" s="3">
        <v>43854</v>
      </c>
      <c r="C1064" s="4">
        <v>5.38</v>
      </c>
      <c r="D1064" s="4">
        <v>2.1118999999999999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5.22</v>
      </c>
      <c r="D1065" s="4">
        <v>2.0491000000000001</v>
      </c>
      <c r="E1065" s="4">
        <v>1210</v>
      </c>
      <c r="F1065" s="4">
        <v>5.2568000000000001</v>
      </c>
      <c r="G1065" s="4">
        <v>6360.7280000000001</v>
      </c>
      <c r="H1065" s="5">
        <f t="shared" si="16"/>
        <v>-2.9736256451536412E-2</v>
      </c>
    </row>
    <row r="1066" spans="1:8" ht="13.5" x14ac:dyDescent="0.25">
      <c r="A1066" s="1"/>
      <c r="B1066" s="3">
        <v>43858</v>
      </c>
      <c r="C1066" s="4">
        <v>5.07</v>
      </c>
      <c r="D1066" s="4">
        <v>1.9902</v>
      </c>
      <c r="E1066" s="4">
        <v>1995</v>
      </c>
      <c r="F1066" s="4">
        <v>5.0732999999999997</v>
      </c>
      <c r="G1066" s="4">
        <v>10121.2335</v>
      </c>
      <c r="H1066" s="5">
        <f t="shared" si="16"/>
        <v>-2.8744326777609765E-2</v>
      </c>
    </row>
    <row r="1067" spans="1:8" ht="13.5" x14ac:dyDescent="0.25">
      <c r="A1067" s="1"/>
      <c r="B1067" s="3">
        <v>43859</v>
      </c>
      <c r="C1067" s="4">
        <v>5.25</v>
      </c>
      <c r="D1067" s="4">
        <v>2.0609000000000002</v>
      </c>
      <c r="E1067" s="4">
        <v>811</v>
      </c>
      <c r="F1067" s="4">
        <v>5.1814</v>
      </c>
      <c r="G1067" s="4">
        <v>4202.1153999999997</v>
      </c>
      <c r="H1067" s="5">
        <f t="shared" si="16"/>
        <v>3.5524067932871176E-2</v>
      </c>
    </row>
    <row r="1068" spans="1:8" ht="13.5" x14ac:dyDescent="0.25">
      <c r="A1068" s="1"/>
      <c r="B1068" s="3">
        <v>43860</v>
      </c>
      <c r="C1068" s="4">
        <v>5.0999999999999996</v>
      </c>
      <c r="D1068" s="4">
        <v>2.0019999999999998</v>
      </c>
      <c r="E1068" s="4">
        <v>4644</v>
      </c>
      <c r="F1068" s="4">
        <v>5.0646000000000004</v>
      </c>
      <c r="G1068" s="4">
        <v>23520.002400000001</v>
      </c>
      <c r="H1068" s="5">
        <f t="shared" si="16"/>
        <v>-2.8579746712601481E-2</v>
      </c>
    </row>
    <row r="1069" spans="1:8" ht="13.5" x14ac:dyDescent="0.25">
      <c r="A1069" s="1"/>
      <c r="B1069" s="3">
        <v>43861</v>
      </c>
      <c r="C1069" s="4">
        <v>5</v>
      </c>
      <c r="D1069" s="4">
        <v>1.9628000000000001</v>
      </c>
      <c r="E1069" s="4">
        <v>1591</v>
      </c>
      <c r="F1069" s="4">
        <v>5.0170000000000003</v>
      </c>
      <c r="G1069" s="4">
        <v>7982.0469999999996</v>
      </c>
      <c r="H1069" s="5">
        <f t="shared" si="16"/>
        <v>-1.9580419580419423E-2</v>
      </c>
    </row>
    <row r="1070" spans="1:8" ht="13.5" x14ac:dyDescent="0.25">
      <c r="A1070" s="1"/>
      <c r="B1070" s="3">
        <v>43864</v>
      </c>
      <c r="C1070" s="4">
        <v>4.8499999999999996</v>
      </c>
      <c r="D1070" s="4">
        <v>1.9038999999999999</v>
      </c>
      <c r="E1070" s="4">
        <v>1498</v>
      </c>
      <c r="F1070" s="4">
        <v>4.8967999999999998</v>
      </c>
      <c r="G1070" s="4">
        <v>7335.4063999999998</v>
      </c>
      <c r="H1070" s="5">
        <f t="shared" si="16"/>
        <v>-3.000815162013459E-2</v>
      </c>
    </row>
    <row r="1071" spans="1:8" ht="13.5" x14ac:dyDescent="0.25">
      <c r="A1071" s="1"/>
      <c r="B1071" s="3">
        <v>43865</v>
      </c>
      <c r="C1071" s="4">
        <v>4.8</v>
      </c>
      <c r="D1071" s="4">
        <v>1.8842000000000001</v>
      </c>
      <c r="E1071" s="4">
        <v>1021</v>
      </c>
      <c r="F1071" s="4">
        <v>4.8000999999999996</v>
      </c>
      <c r="G1071" s="4">
        <v>4900.9021000000002</v>
      </c>
      <c r="H1071" s="5">
        <f t="shared" si="16"/>
        <v>-1.0347182099900116E-2</v>
      </c>
    </row>
    <row r="1072" spans="1:8" ht="13.5" x14ac:dyDescent="0.25">
      <c r="A1072" s="1"/>
      <c r="B1072" s="3">
        <v>43866</v>
      </c>
      <c r="C1072" s="4">
        <v>4.9400000000000004</v>
      </c>
      <c r="D1072" s="4">
        <v>1.9392</v>
      </c>
      <c r="E1072" s="4">
        <v>4026</v>
      </c>
      <c r="F1072" s="4">
        <v>4.8714000000000004</v>
      </c>
      <c r="G1072" s="4">
        <v>19612.256399999998</v>
      </c>
      <c r="H1072" s="5">
        <f t="shared" si="16"/>
        <v>2.91901072073028E-2</v>
      </c>
    </row>
    <row r="1073" spans="1:8" ht="13.5" x14ac:dyDescent="0.25">
      <c r="A1073" s="1"/>
      <c r="B1073" s="3">
        <v>43867</v>
      </c>
      <c r="C1073" s="4">
        <v>5</v>
      </c>
      <c r="D1073" s="4">
        <v>1.9628000000000001</v>
      </c>
      <c r="E1073" s="4">
        <v>119</v>
      </c>
      <c r="F1073" s="4">
        <v>4.8738999999999999</v>
      </c>
      <c r="G1073" s="4">
        <v>579.9941</v>
      </c>
      <c r="H1073" s="5">
        <f t="shared" si="16"/>
        <v>1.2169966996699703E-2</v>
      </c>
    </row>
    <row r="1074" spans="1:8" ht="13.5" x14ac:dyDescent="0.25">
      <c r="A1074" s="1"/>
      <c r="B1074" s="3">
        <v>43868</v>
      </c>
      <c r="C1074" s="4">
        <v>5</v>
      </c>
      <c r="D1074" s="4">
        <v>1.9628000000000001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5</v>
      </c>
      <c r="D1075" s="4">
        <v>1.9628000000000001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5</v>
      </c>
      <c r="D1076" s="4">
        <v>1.9628000000000001</v>
      </c>
      <c r="E1076" s="4">
        <v>3709</v>
      </c>
      <c r="F1076" s="4">
        <v>4.8769</v>
      </c>
      <c r="G1076" s="4">
        <v>18088.4221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4.8499999999999996</v>
      </c>
      <c r="D1077" s="4">
        <v>1.9038999999999999</v>
      </c>
      <c r="E1077" s="4">
        <v>1348</v>
      </c>
      <c r="F1077" s="4">
        <v>4.9211999999999998</v>
      </c>
      <c r="G1077" s="4">
        <v>6633.7776000000003</v>
      </c>
      <c r="H1077" s="5">
        <f t="shared" si="16"/>
        <v>-3.000815162013459E-2</v>
      </c>
    </row>
    <row r="1078" spans="1:8" ht="13.5" x14ac:dyDescent="0.25">
      <c r="A1078" s="1"/>
      <c r="B1078" s="3">
        <v>43874</v>
      </c>
      <c r="C1078" s="4">
        <v>4.95</v>
      </c>
      <c r="D1078" s="4">
        <v>1.9431</v>
      </c>
      <c r="E1078" s="4">
        <v>599</v>
      </c>
      <c r="F1078" s="4">
        <v>4.8810000000000002</v>
      </c>
      <c r="G1078" s="4">
        <v>2923.7190000000001</v>
      </c>
      <c r="H1078" s="5">
        <f t="shared" si="16"/>
        <v>2.0589316665791335E-2</v>
      </c>
    </row>
    <row r="1079" spans="1:8" ht="13.5" x14ac:dyDescent="0.25">
      <c r="A1079" s="1"/>
      <c r="B1079" s="3">
        <v>43875</v>
      </c>
      <c r="C1079" s="4">
        <v>4.95</v>
      </c>
      <c r="D1079" s="4">
        <v>1.9431</v>
      </c>
      <c r="E1079" s="4">
        <v>30</v>
      </c>
      <c r="F1079" s="4">
        <v>4.95</v>
      </c>
      <c r="G1079" s="4">
        <v>148.5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4.95</v>
      </c>
      <c r="D1080" s="4">
        <v>1.9431</v>
      </c>
      <c r="E1080" s="4">
        <v>2087</v>
      </c>
      <c r="F1080" s="4">
        <v>4.8517000000000001</v>
      </c>
      <c r="G1080" s="4">
        <v>10125.4979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4.99</v>
      </c>
      <c r="D1081" s="4">
        <v>1.9588000000000001</v>
      </c>
      <c r="E1081" s="4">
        <v>964</v>
      </c>
      <c r="F1081" s="4">
        <v>4.9947999999999997</v>
      </c>
      <c r="G1081" s="4">
        <v>4814.9871999999996</v>
      </c>
      <c r="H1081" s="5">
        <f t="shared" si="16"/>
        <v>8.0798723688950882E-3</v>
      </c>
    </row>
    <row r="1082" spans="1:8" ht="13.5" x14ac:dyDescent="0.25">
      <c r="A1082" s="1"/>
      <c r="B1082" s="3">
        <v>43880</v>
      </c>
      <c r="C1082" s="4">
        <v>4.9000000000000004</v>
      </c>
      <c r="D1082" s="4">
        <v>1.9235</v>
      </c>
      <c r="E1082" s="4">
        <v>2457</v>
      </c>
      <c r="F1082" s="4">
        <v>4.9096000000000002</v>
      </c>
      <c r="G1082" s="4">
        <v>12062.887199999999</v>
      </c>
      <c r="H1082" s="5">
        <f t="shared" si="16"/>
        <v>-1.8021237492342305E-2</v>
      </c>
    </row>
    <row r="1083" spans="1:8" ht="13.5" x14ac:dyDescent="0.25">
      <c r="A1083" s="1"/>
      <c r="B1083" s="3">
        <v>43881</v>
      </c>
      <c r="C1083" s="4">
        <v>4.9800000000000004</v>
      </c>
      <c r="D1083" s="4">
        <v>1.9549000000000001</v>
      </c>
      <c r="E1083" s="4">
        <v>413</v>
      </c>
      <c r="F1083" s="4">
        <v>4.9028999999999998</v>
      </c>
      <c r="G1083" s="4">
        <v>2024.8977</v>
      </c>
      <c r="H1083" s="5">
        <f t="shared" si="16"/>
        <v>1.6324408630101428E-2</v>
      </c>
    </row>
    <row r="1084" spans="1:8" ht="13.5" x14ac:dyDescent="0.25">
      <c r="A1084" s="1"/>
      <c r="B1084" s="3">
        <v>43882</v>
      </c>
      <c r="C1084" s="4">
        <v>4.95</v>
      </c>
      <c r="D1084" s="4">
        <v>1.9431</v>
      </c>
      <c r="E1084" s="4">
        <v>540</v>
      </c>
      <c r="F1084" s="4">
        <v>4.9508999999999999</v>
      </c>
      <c r="G1084" s="4">
        <v>2673.4859999999999</v>
      </c>
      <c r="H1084" s="5">
        <f t="shared" si="16"/>
        <v>-6.0361143792521518E-3</v>
      </c>
    </row>
    <row r="1085" spans="1:8" ht="13.5" x14ac:dyDescent="0.25">
      <c r="A1085" s="1"/>
      <c r="B1085" s="3">
        <v>43885</v>
      </c>
      <c r="C1085" s="4">
        <v>4.9000000000000004</v>
      </c>
      <c r="D1085" s="4">
        <v>1.9235</v>
      </c>
      <c r="E1085" s="4">
        <v>1800</v>
      </c>
      <c r="F1085" s="4">
        <v>4.9142000000000001</v>
      </c>
      <c r="G1085" s="4">
        <v>8845.56</v>
      </c>
      <c r="H1085" s="5">
        <f t="shared" si="16"/>
        <v>-1.008697442231489E-2</v>
      </c>
    </row>
    <row r="1086" spans="1:8" ht="13.5" x14ac:dyDescent="0.25">
      <c r="A1086" s="1"/>
      <c r="B1086" s="3">
        <v>43886</v>
      </c>
      <c r="C1086" s="4">
        <v>4.8499999999999996</v>
      </c>
      <c r="D1086" s="4">
        <v>1.9038999999999999</v>
      </c>
      <c r="E1086" s="4">
        <v>2570</v>
      </c>
      <c r="F1086" s="4">
        <v>4.8734999999999999</v>
      </c>
      <c r="G1086" s="4">
        <v>12524.895</v>
      </c>
      <c r="H1086" s="5">
        <f t="shared" si="16"/>
        <v>-1.0189758253184331E-2</v>
      </c>
    </row>
    <row r="1087" spans="1:8" ht="13.5" x14ac:dyDescent="0.25">
      <c r="A1087" s="1"/>
      <c r="B1087" s="3">
        <v>43887</v>
      </c>
      <c r="C1087" s="4">
        <v>4.9000000000000004</v>
      </c>
      <c r="D1087" s="4">
        <v>1.9235</v>
      </c>
      <c r="E1087" s="4">
        <v>2779</v>
      </c>
      <c r="F1087" s="4">
        <v>4.8529999999999998</v>
      </c>
      <c r="G1087" s="4">
        <v>13486.486999999999</v>
      </c>
      <c r="H1087" s="5">
        <f t="shared" si="16"/>
        <v>1.0294658332895668E-2</v>
      </c>
    </row>
    <row r="1088" spans="1:8" ht="13.5" x14ac:dyDescent="0.25">
      <c r="A1088" s="1"/>
      <c r="B1088" s="3">
        <v>43888</v>
      </c>
      <c r="C1088" s="4">
        <v>4.8499999999999996</v>
      </c>
      <c r="D1088" s="4">
        <v>1.9038999999999999</v>
      </c>
      <c r="E1088" s="4">
        <v>1256</v>
      </c>
      <c r="F1088" s="4">
        <v>4.8249000000000004</v>
      </c>
      <c r="G1088" s="4">
        <v>6060.0744000000004</v>
      </c>
      <c r="H1088" s="5">
        <f t="shared" si="16"/>
        <v>-1.0189758253184331E-2</v>
      </c>
    </row>
    <row r="1089" spans="1:8" ht="13.5" x14ac:dyDescent="0.25">
      <c r="A1089" s="1"/>
      <c r="B1089" s="3">
        <v>43889</v>
      </c>
      <c r="C1089" s="4">
        <v>4.8499999999999996</v>
      </c>
      <c r="D1089" s="4">
        <v>1.9038999999999999</v>
      </c>
      <c r="E1089" s="4">
        <v>8588</v>
      </c>
      <c r="F1089" s="4">
        <v>4.8700999999999999</v>
      </c>
      <c r="G1089" s="4">
        <v>41824.418799999999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4.87</v>
      </c>
      <c r="D1090" s="4">
        <v>1.9117</v>
      </c>
      <c r="E1090" s="4">
        <v>7449</v>
      </c>
      <c r="F1090" s="4">
        <v>4.8738999999999999</v>
      </c>
      <c r="G1090" s="4">
        <v>36305.681100000002</v>
      </c>
      <c r="H1090" s="5">
        <f t="shared" si="16"/>
        <v>4.0968538263564417E-3</v>
      </c>
    </row>
    <row r="1091" spans="1:8" ht="13.5" x14ac:dyDescent="0.25">
      <c r="A1091" s="1"/>
      <c r="B1091" s="3">
        <v>43893</v>
      </c>
      <c r="C1091" s="4">
        <v>4.88</v>
      </c>
      <c r="D1091" s="4">
        <v>1.9156</v>
      </c>
      <c r="E1091" s="4">
        <v>14902</v>
      </c>
      <c r="F1091" s="4">
        <v>4.806</v>
      </c>
      <c r="G1091" s="4">
        <v>71619.012000000002</v>
      </c>
      <c r="H1091" s="5">
        <f t="shared" si="16"/>
        <v>2.0400690484908795E-3</v>
      </c>
    </row>
    <row r="1092" spans="1:8" ht="13.5" x14ac:dyDescent="0.25">
      <c r="A1092" s="1"/>
      <c r="B1092" s="3">
        <v>43894</v>
      </c>
      <c r="C1092" s="4">
        <v>4.8899999999999997</v>
      </c>
      <c r="D1092" s="4">
        <v>1.9196</v>
      </c>
      <c r="E1092" s="4">
        <v>5229</v>
      </c>
      <c r="F1092" s="4">
        <v>4.8262999999999998</v>
      </c>
      <c r="G1092" s="4">
        <v>25236.722699999998</v>
      </c>
      <c r="H1092" s="5">
        <f t="shared" si="16"/>
        <v>2.0881186051367735E-3</v>
      </c>
    </row>
    <row r="1093" spans="1:8" ht="13.5" x14ac:dyDescent="0.25">
      <c r="A1093" s="1"/>
      <c r="B1093" s="3">
        <v>43895</v>
      </c>
      <c r="C1093" s="4">
        <v>4.75</v>
      </c>
      <c r="D1093" s="4">
        <v>1.8646</v>
      </c>
      <c r="E1093" s="4">
        <v>2079</v>
      </c>
      <c r="F1093" s="4">
        <v>4.7510000000000003</v>
      </c>
      <c r="G1093" s="4">
        <v>9877.3289999999997</v>
      </c>
      <c r="H1093" s="5">
        <f t="shared" si="16"/>
        <v>-2.8651802458845559E-2</v>
      </c>
    </row>
    <row r="1094" spans="1:8" ht="13.5" x14ac:dyDescent="0.25">
      <c r="A1094" s="1"/>
      <c r="B1094" s="3">
        <v>43896</v>
      </c>
      <c r="C1094" s="4">
        <v>4.7</v>
      </c>
      <c r="D1094" s="4">
        <v>1.845</v>
      </c>
      <c r="E1094" s="4">
        <v>1545</v>
      </c>
      <c r="F1094" s="4">
        <v>4.702</v>
      </c>
      <c r="G1094" s="4">
        <v>7264.59</v>
      </c>
      <c r="H1094" s="5">
        <f t="shared" si="16"/>
        <v>-1.0511637884801063E-2</v>
      </c>
    </row>
    <row r="1095" spans="1:8" ht="13.5" x14ac:dyDescent="0.25">
      <c r="A1095" s="1"/>
      <c r="B1095" s="3">
        <v>43899</v>
      </c>
      <c r="C1095" s="4">
        <v>4.58</v>
      </c>
      <c r="D1095" s="4">
        <v>1.7979000000000001</v>
      </c>
      <c r="E1095" s="4">
        <v>878</v>
      </c>
      <c r="F1095" s="4">
        <v>4.5839999999999996</v>
      </c>
      <c r="G1095" s="4">
        <v>4024.752</v>
      </c>
      <c r="H1095" s="5">
        <f t="shared" ref="H1095:H1158" si="17">(D1095-D1094)/D1094</f>
        <v>-2.5528455284552803E-2</v>
      </c>
    </row>
    <row r="1096" spans="1:8" ht="13.5" x14ac:dyDescent="0.25">
      <c r="A1096" s="1"/>
      <c r="B1096" s="3">
        <v>43900</v>
      </c>
      <c r="C1096" s="4">
        <v>4.49</v>
      </c>
      <c r="D1096" s="4">
        <v>1.7625999999999999</v>
      </c>
      <c r="E1096" s="4">
        <v>170</v>
      </c>
      <c r="F1096" s="4">
        <v>4.4866000000000001</v>
      </c>
      <c r="G1096" s="4">
        <v>762.72199999999998</v>
      </c>
      <c r="H1096" s="5">
        <f t="shared" si="17"/>
        <v>-1.9634017464820127E-2</v>
      </c>
    </row>
    <row r="1097" spans="1:8" ht="13.5" x14ac:dyDescent="0.25">
      <c r="A1097" s="1"/>
      <c r="B1097" s="3">
        <v>43901</v>
      </c>
      <c r="C1097" s="4">
        <v>4.58</v>
      </c>
      <c r="D1097" s="4">
        <v>1.7979000000000001</v>
      </c>
      <c r="E1097" s="4">
        <v>787</v>
      </c>
      <c r="F1097" s="4">
        <v>4.4824999999999999</v>
      </c>
      <c r="G1097" s="4">
        <v>3527.7275</v>
      </c>
      <c r="H1097" s="5">
        <f t="shared" si="17"/>
        <v>2.0027232497447017E-2</v>
      </c>
    </row>
    <row r="1098" spans="1:8" ht="13.5" x14ac:dyDescent="0.25">
      <c r="A1098" s="1"/>
      <c r="B1098" s="3">
        <v>43902</v>
      </c>
      <c r="C1098" s="4">
        <v>4.45</v>
      </c>
      <c r="D1098" s="4">
        <v>1.7468999999999999</v>
      </c>
      <c r="E1098" s="4">
        <v>143</v>
      </c>
      <c r="F1098" s="4">
        <v>4.4691000000000001</v>
      </c>
      <c r="G1098" s="4">
        <v>639.08130000000006</v>
      </c>
      <c r="H1098" s="5">
        <f t="shared" si="17"/>
        <v>-2.8366427498748625E-2</v>
      </c>
    </row>
    <row r="1099" spans="1:8" ht="13.5" x14ac:dyDescent="0.25">
      <c r="A1099" s="1"/>
      <c r="B1099" s="3">
        <v>43903</v>
      </c>
      <c r="C1099" s="4">
        <v>4.43</v>
      </c>
      <c r="D1099" s="4">
        <v>1.7390000000000001</v>
      </c>
      <c r="E1099" s="4">
        <v>379</v>
      </c>
      <c r="F1099" s="4">
        <v>4.4375999999999998</v>
      </c>
      <c r="G1099" s="4">
        <v>1681.8504</v>
      </c>
      <c r="H1099" s="5">
        <f t="shared" si="17"/>
        <v>-4.5222966397617474E-3</v>
      </c>
    </row>
    <row r="1100" spans="1:8" ht="13.5" x14ac:dyDescent="0.25">
      <c r="A1100" s="1"/>
      <c r="B1100" s="3">
        <v>43906</v>
      </c>
      <c r="C1100" s="4">
        <v>4.24</v>
      </c>
      <c r="D1100" s="4">
        <v>1.6644000000000001</v>
      </c>
      <c r="E1100" s="4">
        <v>134</v>
      </c>
      <c r="F1100" s="4">
        <v>4.2957999999999998</v>
      </c>
      <c r="G1100" s="4">
        <v>575.63720000000001</v>
      </c>
      <c r="H1100" s="5">
        <f t="shared" si="17"/>
        <v>-4.289821736630247E-2</v>
      </c>
    </row>
    <row r="1101" spans="1:8" ht="13.5" x14ac:dyDescent="0.25">
      <c r="A1101" s="1"/>
      <c r="B1101" s="3">
        <v>43907</v>
      </c>
      <c r="C1101" s="4">
        <v>4</v>
      </c>
      <c r="D1101" s="4">
        <v>1.5702</v>
      </c>
      <c r="E1101" s="4">
        <v>1293</v>
      </c>
      <c r="F1101" s="4">
        <v>4.0045999999999999</v>
      </c>
      <c r="G1101" s="4">
        <v>5177.9477999999999</v>
      </c>
      <c r="H1101" s="5">
        <f t="shared" si="17"/>
        <v>-5.6596971881759224E-2</v>
      </c>
    </row>
    <row r="1102" spans="1:8" ht="13.5" x14ac:dyDescent="0.25">
      <c r="A1102" s="1"/>
      <c r="B1102" s="3">
        <v>43908</v>
      </c>
      <c r="C1102" s="4">
        <v>4.12</v>
      </c>
      <c r="D1102" s="4">
        <v>1.6173</v>
      </c>
      <c r="E1102" s="4">
        <v>2760</v>
      </c>
      <c r="F1102" s="4">
        <v>3.9647999999999999</v>
      </c>
      <c r="G1102" s="4">
        <v>10942.848</v>
      </c>
      <c r="H1102" s="5">
        <f t="shared" si="17"/>
        <v>2.9996178830722149E-2</v>
      </c>
    </row>
    <row r="1103" spans="1:8" ht="13.5" x14ac:dyDescent="0.25">
      <c r="A1103" s="1"/>
      <c r="B1103" s="3">
        <v>43909</v>
      </c>
      <c r="C1103" s="4">
        <v>4</v>
      </c>
      <c r="D1103" s="4">
        <v>1.5702</v>
      </c>
      <c r="E1103" s="4">
        <v>4</v>
      </c>
      <c r="F1103" s="4">
        <v>4.24</v>
      </c>
      <c r="G1103" s="4">
        <v>16.96</v>
      </c>
      <c r="H1103" s="5">
        <f t="shared" si="17"/>
        <v>-2.9122611760341262E-2</v>
      </c>
    </row>
    <row r="1104" spans="1:8" ht="13.5" x14ac:dyDescent="0.25">
      <c r="A1104" s="1"/>
      <c r="B1104" s="3">
        <v>43913</v>
      </c>
      <c r="C1104" s="4">
        <v>4.12</v>
      </c>
      <c r="D1104" s="4">
        <v>1.6173</v>
      </c>
      <c r="E1104" s="4">
        <v>267</v>
      </c>
      <c r="F1104" s="4">
        <v>4.0827</v>
      </c>
      <c r="G1104" s="4">
        <v>1090.0808999999999</v>
      </c>
      <c r="H1104" s="5">
        <f t="shared" si="17"/>
        <v>2.9996178830722149E-2</v>
      </c>
    </row>
    <row r="1105" spans="1:8" ht="13.5" x14ac:dyDescent="0.25">
      <c r="A1105" s="1"/>
      <c r="B1105" s="3">
        <v>43914</v>
      </c>
      <c r="C1105" s="4">
        <v>4.24</v>
      </c>
      <c r="D1105" s="4">
        <v>1.6644000000000001</v>
      </c>
      <c r="E1105" s="4">
        <v>820</v>
      </c>
      <c r="F1105" s="4">
        <v>4.0910000000000002</v>
      </c>
      <c r="G1105" s="4">
        <v>3354.62</v>
      </c>
      <c r="H1105" s="5">
        <f t="shared" si="17"/>
        <v>2.9122611760341397E-2</v>
      </c>
    </row>
    <row r="1106" spans="1:8" ht="13.5" x14ac:dyDescent="0.25">
      <c r="A1106" s="1"/>
      <c r="B1106" s="3">
        <v>43915</v>
      </c>
      <c r="C1106" s="4">
        <v>4.3600000000000003</v>
      </c>
      <c r="D1106" s="4">
        <v>1.7115</v>
      </c>
      <c r="E1106" s="4">
        <v>10</v>
      </c>
      <c r="F1106" s="4">
        <v>4.3600000000000003</v>
      </c>
      <c r="G1106" s="4">
        <v>43.6</v>
      </c>
      <c r="H1106" s="5">
        <f t="shared" si="17"/>
        <v>2.8298485940879546E-2</v>
      </c>
    </row>
    <row r="1107" spans="1:8" ht="13.5" x14ac:dyDescent="0.25">
      <c r="A1107" s="1"/>
      <c r="B1107" s="3">
        <v>43916</v>
      </c>
      <c r="C1107" s="4">
        <v>4.2300000000000004</v>
      </c>
      <c r="D1107" s="4">
        <v>1.6605000000000001</v>
      </c>
      <c r="E1107" s="4">
        <v>257</v>
      </c>
      <c r="F1107" s="4">
        <v>4.4294000000000002</v>
      </c>
      <c r="G1107" s="4">
        <v>1138.3558</v>
      </c>
      <c r="H1107" s="5">
        <f t="shared" si="17"/>
        <v>-2.9798422436459207E-2</v>
      </c>
    </row>
    <row r="1108" spans="1:8" ht="13.5" x14ac:dyDescent="0.25">
      <c r="A1108" s="1"/>
      <c r="B1108" s="3">
        <v>43917</v>
      </c>
      <c r="C1108" s="4">
        <v>4.2300000000000004</v>
      </c>
      <c r="D1108" s="4">
        <v>1.6605000000000001</v>
      </c>
      <c r="E1108" s="4">
        <v>6</v>
      </c>
      <c r="F1108" s="4">
        <v>4.33</v>
      </c>
      <c r="G1108" s="4">
        <v>25.98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4.3499999999999996</v>
      </c>
      <c r="D1109" s="4">
        <v>1.7076</v>
      </c>
      <c r="E1109" s="4">
        <v>5</v>
      </c>
      <c r="F1109" s="4">
        <v>4.3499999999999996</v>
      </c>
      <c r="G1109" s="4">
        <v>21.75</v>
      </c>
      <c r="H1109" s="5">
        <f t="shared" si="17"/>
        <v>2.8364950316169778E-2</v>
      </c>
    </row>
    <row r="1110" spans="1:8" ht="13.5" x14ac:dyDescent="0.25">
      <c r="A1110" s="1"/>
      <c r="B1110" s="3">
        <v>43921</v>
      </c>
      <c r="C1110" s="4">
        <v>4.3499999999999996</v>
      </c>
      <c r="D1110" s="4">
        <v>1.7076</v>
      </c>
      <c r="E1110" s="4">
        <v>722</v>
      </c>
      <c r="F1110" s="4">
        <v>4.2811000000000003</v>
      </c>
      <c r="G1110" s="4">
        <v>3090.9542000000001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4.4400000000000004</v>
      </c>
      <c r="D1111" s="4">
        <v>1.7428999999999999</v>
      </c>
      <c r="E1111" s="4">
        <v>1829</v>
      </c>
      <c r="F1111" s="4">
        <v>4.2201000000000004</v>
      </c>
      <c r="G1111" s="4">
        <v>7718.5628999999999</v>
      </c>
      <c r="H1111" s="5">
        <f t="shared" si="17"/>
        <v>2.0672288592176086E-2</v>
      </c>
    </row>
    <row r="1112" spans="1:8" ht="13.5" x14ac:dyDescent="0.25">
      <c r="A1112" s="1"/>
      <c r="B1112" s="3">
        <v>43923</v>
      </c>
      <c r="C1112" s="4">
        <v>4.3899999999999997</v>
      </c>
      <c r="D1112" s="4">
        <v>1.7233000000000001</v>
      </c>
      <c r="E1112" s="4">
        <v>12</v>
      </c>
      <c r="F1112" s="4">
        <v>4.4524999999999997</v>
      </c>
      <c r="G1112" s="4">
        <v>53.43</v>
      </c>
      <c r="H1112" s="5">
        <f t="shared" si="17"/>
        <v>-1.1245625107579231E-2</v>
      </c>
    </row>
    <row r="1113" spans="1:8" ht="13.5" x14ac:dyDescent="0.25">
      <c r="A1113" s="1"/>
      <c r="B1113" s="3">
        <v>43924</v>
      </c>
      <c r="C1113" s="4">
        <v>4.26</v>
      </c>
      <c r="D1113" s="4">
        <v>1.6722999999999999</v>
      </c>
      <c r="E1113" s="4">
        <v>80</v>
      </c>
      <c r="F1113" s="4">
        <v>4.4973000000000001</v>
      </c>
      <c r="G1113" s="4">
        <v>359.78399999999999</v>
      </c>
      <c r="H1113" s="5">
        <f t="shared" si="17"/>
        <v>-2.9594382870074945E-2</v>
      </c>
    </row>
    <row r="1114" spans="1:8" ht="13.5" x14ac:dyDescent="0.25">
      <c r="A1114" s="1"/>
      <c r="B1114" s="3">
        <v>43927</v>
      </c>
      <c r="C1114" s="4">
        <v>4.26</v>
      </c>
      <c r="D1114" s="4">
        <v>1.6722999999999999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4.26</v>
      </c>
      <c r="D1115" s="4">
        <v>1.6722999999999999</v>
      </c>
      <c r="E1115" s="4">
        <v>0</v>
      </c>
      <c r="F1115" s="4">
        <v>0</v>
      </c>
      <c r="G1115" s="4">
        <v>0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4.3600000000000003</v>
      </c>
      <c r="D1116" s="4">
        <v>1.7115</v>
      </c>
      <c r="E1116" s="4">
        <v>660</v>
      </c>
      <c r="F1116" s="4">
        <v>4.26</v>
      </c>
      <c r="G1116" s="4">
        <v>2811.6</v>
      </c>
      <c r="H1116" s="5">
        <f t="shared" si="17"/>
        <v>2.3440770196735111E-2</v>
      </c>
    </row>
    <row r="1117" spans="1:8" ht="13.5" x14ac:dyDescent="0.25">
      <c r="A1117" s="1"/>
      <c r="B1117" s="3">
        <v>43934</v>
      </c>
      <c r="C1117" s="4">
        <v>4.4800000000000004</v>
      </c>
      <c r="D1117" s="4">
        <v>1.7585999999999999</v>
      </c>
      <c r="E1117" s="4">
        <v>4</v>
      </c>
      <c r="F1117" s="4">
        <v>4.4800000000000004</v>
      </c>
      <c r="G1117" s="4">
        <v>17.920000000000002</v>
      </c>
      <c r="H1117" s="5">
        <f t="shared" si="17"/>
        <v>2.7519719544259375E-2</v>
      </c>
    </row>
    <row r="1118" spans="1:8" ht="13.5" x14ac:dyDescent="0.25">
      <c r="A1118" s="1"/>
      <c r="B1118" s="3">
        <v>43935</v>
      </c>
      <c r="C1118" s="4">
        <v>4.3499999999999996</v>
      </c>
      <c r="D1118" s="4">
        <v>1.7076</v>
      </c>
      <c r="E1118" s="4">
        <v>9</v>
      </c>
      <c r="F1118" s="4">
        <v>4.3499999999999996</v>
      </c>
      <c r="G1118" s="4">
        <v>39.15</v>
      </c>
      <c r="H1118" s="5">
        <f t="shared" si="17"/>
        <v>-2.9000341180484439E-2</v>
      </c>
    </row>
    <row r="1119" spans="1:8" ht="13.5" x14ac:dyDescent="0.25">
      <c r="A1119" s="1"/>
      <c r="B1119" s="3">
        <v>43936</v>
      </c>
      <c r="C1119" s="4">
        <v>4.45</v>
      </c>
      <c r="D1119" s="4">
        <v>1.7468999999999999</v>
      </c>
      <c r="E1119" s="4">
        <v>15</v>
      </c>
      <c r="F1119" s="4">
        <v>4.45</v>
      </c>
      <c r="G1119" s="4">
        <v>66.75</v>
      </c>
      <c r="H1119" s="5">
        <f t="shared" si="17"/>
        <v>2.3014757554462341E-2</v>
      </c>
    </row>
    <row r="1120" spans="1:8" ht="13.5" x14ac:dyDescent="0.25">
      <c r="A1120" s="1"/>
      <c r="B1120" s="3">
        <v>43937</v>
      </c>
      <c r="C1120" s="4">
        <v>4.47</v>
      </c>
      <c r="D1120" s="4">
        <v>1.7546999999999999</v>
      </c>
      <c r="E1120" s="4">
        <v>10</v>
      </c>
      <c r="F1120" s="4">
        <v>4.47</v>
      </c>
      <c r="G1120" s="4">
        <v>44.7</v>
      </c>
      <c r="H1120" s="5">
        <f t="shared" si="17"/>
        <v>4.4650523784990721E-3</v>
      </c>
    </row>
    <row r="1121" spans="1:8" ht="13.5" x14ac:dyDescent="0.25">
      <c r="A1121" s="1"/>
      <c r="B1121" s="3">
        <v>43938</v>
      </c>
      <c r="C1121" s="4">
        <v>4.5599999999999996</v>
      </c>
      <c r="D1121" s="4">
        <v>1.79</v>
      </c>
      <c r="E1121" s="4">
        <v>1</v>
      </c>
      <c r="F1121" s="4">
        <v>4.5599999999999996</v>
      </c>
      <c r="G1121" s="4">
        <v>4.5599999999999996</v>
      </c>
      <c r="H1121" s="5">
        <f t="shared" si="17"/>
        <v>2.0117398985581642E-2</v>
      </c>
    </row>
    <row r="1122" spans="1:8" ht="13.5" x14ac:dyDescent="0.25">
      <c r="A1122" s="1"/>
      <c r="B1122" s="3">
        <v>43941</v>
      </c>
      <c r="C1122" s="4">
        <v>4.5199999999999996</v>
      </c>
      <c r="D1122" s="4">
        <v>1.7743</v>
      </c>
      <c r="E1122" s="4">
        <v>5</v>
      </c>
      <c r="F1122" s="4">
        <v>4.5199999999999996</v>
      </c>
      <c r="G1122" s="4">
        <v>22.6</v>
      </c>
      <c r="H1122" s="5">
        <f t="shared" si="17"/>
        <v>-8.7709497206704175E-3</v>
      </c>
    </row>
    <row r="1123" spans="1:8" ht="13.5" x14ac:dyDescent="0.25">
      <c r="A1123" s="1"/>
      <c r="B1123" s="3">
        <v>43942</v>
      </c>
      <c r="C1123" s="4">
        <v>4.5999999999999996</v>
      </c>
      <c r="D1123" s="4">
        <v>1.8057000000000001</v>
      </c>
      <c r="E1123" s="4">
        <v>16</v>
      </c>
      <c r="F1123" s="4">
        <v>4.5999999999999996</v>
      </c>
      <c r="G1123" s="4">
        <v>73.599999999999994</v>
      </c>
      <c r="H1123" s="5">
        <f t="shared" si="17"/>
        <v>1.7697119990982411E-2</v>
      </c>
    </row>
    <row r="1124" spans="1:8" ht="13.5" x14ac:dyDescent="0.25">
      <c r="A1124" s="1"/>
      <c r="B1124" s="3">
        <v>43943</v>
      </c>
      <c r="C1124" s="4">
        <v>4.7</v>
      </c>
      <c r="D1124" s="4">
        <v>1.845</v>
      </c>
      <c r="E1124" s="4">
        <v>5</v>
      </c>
      <c r="F1124" s="4">
        <v>4.7</v>
      </c>
      <c r="G1124" s="4">
        <v>23.5</v>
      </c>
      <c r="H1124" s="5">
        <f t="shared" si="17"/>
        <v>2.1764412693138332E-2</v>
      </c>
    </row>
    <row r="1125" spans="1:8" ht="13.5" x14ac:dyDescent="0.25">
      <c r="A1125" s="1"/>
      <c r="B1125" s="3">
        <v>43944</v>
      </c>
      <c r="C1125" s="4">
        <v>4.5599999999999996</v>
      </c>
      <c r="D1125" s="4">
        <v>1.79</v>
      </c>
      <c r="E1125" s="4">
        <v>0</v>
      </c>
      <c r="F1125" s="4">
        <v>0</v>
      </c>
      <c r="G1125" s="4">
        <v>0</v>
      </c>
      <c r="H1125" s="5">
        <f t="shared" si="17"/>
        <v>-2.9810298102980998E-2</v>
      </c>
    </row>
    <row r="1126" spans="1:8" ht="13.5" x14ac:dyDescent="0.25">
      <c r="A1126" s="1"/>
      <c r="B1126" s="3">
        <v>43945</v>
      </c>
      <c r="C1126" s="4">
        <v>4.43</v>
      </c>
      <c r="D1126" s="4">
        <v>1.7390000000000001</v>
      </c>
      <c r="E1126" s="4">
        <v>25</v>
      </c>
      <c r="F1126" s="4">
        <v>4.5599999999999996</v>
      </c>
      <c r="G1126" s="4">
        <v>114</v>
      </c>
      <c r="H1126" s="5">
        <f t="shared" si="17"/>
        <v>-2.8491620111731807E-2</v>
      </c>
    </row>
    <row r="1127" spans="1:8" ht="13.5" x14ac:dyDescent="0.25">
      <c r="A1127" s="1"/>
      <c r="B1127" s="3">
        <v>43948</v>
      </c>
      <c r="C1127" s="4">
        <v>4.3</v>
      </c>
      <c r="D1127" s="4">
        <v>1.6879999999999999</v>
      </c>
      <c r="E1127" s="4">
        <v>0</v>
      </c>
      <c r="F1127" s="4">
        <v>0</v>
      </c>
      <c r="G1127" s="4">
        <v>0</v>
      </c>
      <c r="H1127" s="5">
        <f t="shared" si="17"/>
        <v>-2.9327199539965584E-2</v>
      </c>
    </row>
    <row r="1128" spans="1:8" ht="13.5" x14ac:dyDescent="0.25">
      <c r="A1128" s="1"/>
      <c r="B1128" s="3">
        <v>43949</v>
      </c>
      <c r="C1128" s="4">
        <v>4.18</v>
      </c>
      <c r="D1128" s="4">
        <v>1.6409</v>
      </c>
      <c r="E1128" s="4">
        <v>0</v>
      </c>
      <c r="F1128" s="4">
        <v>0</v>
      </c>
      <c r="G1128" s="4">
        <v>0</v>
      </c>
      <c r="H1128" s="5">
        <f t="shared" si="17"/>
        <v>-2.790284360189569E-2</v>
      </c>
    </row>
    <row r="1129" spans="1:8" ht="13.5" x14ac:dyDescent="0.25">
      <c r="A1129" s="1"/>
      <c r="B1129" s="3">
        <v>43950</v>
      </c>
      <c r="C1129" s="4">
        <v>4.0599999999999996</v>
      </c>
      <c r="D1129" s="4">
        <v>1.5938000000000001</v>
      </c>
      <c r="E1129" s="4">
        <v>70</v>
      </c>
      <c r="F1129" s="4">
        <v>4.2249999999999996</v>
      </c>
      <c r="G1129" s="4">
        <v>295.75</v>
      </c>
      <c r="H1129" s="5">
        <f t="shared" si="17"/>
        <v>-2.8703760131635028E-2</v>
      </c>
    </row>
    <row r="1130" spans="1:8" ht="13.5" x14ac:dyDescent="0.25">
      <c r="A1130" s="1"/>
      <c r="B1130" s="3">
        <v>43951</v>
      </c>
      <c r="C1130" s="4">
        <v>3.94</v>
      </c>
      <c r="D1130" s="4">
        <v>1.5467</v>
      </c>
      <c r="E1130" s="4">
        <v>665</v>
      </c>
      <c r="F1130" s="4">
        <v>3.9588000000000001</v>
      </c>
      <c r="G1130" s="4">
        <v>2632.6019999999999</v>
      </c>
      <c r="H1130" s="5">
        <f t="shared" si="17"/>
        <v>-2.9552014054461125E-2</v>
      </c>
    </row>
    <row r="1131" spans="1:8" ht="13.5" x14ac:dyDescent="0.25">
      <c r="A1131" s="1"/>
      <c r="B1131" s="3">
        <v>43955</v>
      </c>
      <c r="C1131" s="4">
        <v>3.93</v>
      </c>
      <c r="D1131" s="4">
        <v>1.5427</v>
      </c>
      <c r="E1131" s="4">
        <v>5</v>
      </c>
      <c r="F1131" s="4">
        <v>3.93</v>
      </c>
      <c r="G1131" s="4">
        <v>19.649999999999999</v>
      </c>
      <c r="H1131" s="5">
        <f t="shared" si="17"/>
        <v>-2.5861511605353355E-3</v>
      </c>
    </row>
    <row r="1132" spans="1:8" ht="13.5" x14ac:dyDescent="0.25">
      <c r="A1132" s="1"/>
      <c r="B1132" s="3">
        <v>43956</v>
      </c>
      <c r="C1132" s="4">
        <v>3.93</v>
      </c>
      <c r="D1132" s="4">
        <v>1.5427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3.92</v>
      </c>
      <c r="D1133" s="4">
        <v>1.5387999999999999</v>
      </c>
      <c r="E1133" s="4">
        <v>256</v>
      </c>
      <c r="F1133" s="4">
        <v>3.8220999999999998</v>
      </c>
      <c r="G1133" s="4">
        <v>978.45759999999996</v>
      </c>
      <c r="H1133" s="5">
        <f t="shared" si="17"/>
        <v>-2.5280352628508553E-3</v>
      </c>
    </row>
    <row r="1134" spans="1:8" ht="13.5" x14ac:dyDescent="0.25">
      <c r="A1134" s="1"/>
      <c r="B1134" s="3">
        <v>43958</v>
      </c>
      <c r="C1134" s="4">
        <v>3.9</v>
      </c>
      <c r="D1134" s="4">
        <v>1.5308999999999999</v>
      </c>
      <c r="E1134" s="4">
        <v>10</v>
      </c>
      <c r="F1134" s="4">
        <v>3.9</v>
      </c>
      <c r="G1134" s="4">
        <v>39</v>
      </c>
      <c r="H1134" s="5">
        <f t="shared" si="17"/>
        <v>-5.1338705484793466E-3</v>
      </c>
    </row>
    <row r="1135" spans="1:8" ht="13.5" x14ac:dyDescent="0.25">
      <c r="A1135" s="1"/>
      <c r="B1135" s="3">
        <v>43959</v>
      </c>
      <c r="C1135" s="4">
        <v>3.9</v>
      </c>
      <c r="D1135" s="4">
        <v>1.5308999999999999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3.85</v>
      </c>
      <c r="D1136" s="4">
        <v>1.5113000000000001</v>
      </c>
      <c r="E1136" s="4">
        <v>26</v>
      </c>
      <c r="F1136" s="4">
        <v>3.85</v>
      </c>
      <c r="G1136" s="4">
        <v>100.1</v>
      </c>
      <c r="H1136" s="5">
        <f t="shared" si="17"/>
        <v>-1.2802926383173192E-2</v>
      </c>
    </row>
    <row r="1137" spans="1:8" ht="13.5" x14ac:dyDescent="0.25">
      <c r="A1137" s="1"/>
      <c r="B1137" s="3">
        <v>43963</v>
      </c>
      <c r="C1137" s="4">
        <v>3.82</v>
      </c>
      <c r="D1137" s="4">
        <v>1.4995000000000001</v>
      </c>
      <c r="E1137" s="4">
        <v>2781</v>
      </c>
      <c r="F1137" s="4">
        <v>3.7616999999999998</v>
      </c>
      <c r="G1137" s="4">
        <v>10461.287700000001</v>
      </c>
      <c r="H1137" s="5">
        <f t="shared" si="17"/>
        <v>-7.8078475484682271E-3</v>
      </c>
    </row>
    <row r="1138" spans="1:8" ht="13.5" x14ac:dyDescent="0.25">
      <c r="A1138" s="1"/>
      <c r="B1138" s="3">
        <v>43964</v>
      </c>
      <c r="C1138" s="4">
        <v>3.93</v>
      </c>
      <c r="D1138" s="4">
        <v>1.5427</v>
      </c>
      <c r="E1138" s="4">
        <v>121</v>
      </c>
      <c r="F1138" s="4">
        <v>3.8209</v>
      </c>
      <c r="G1138" s="4">
        <v>462.32889999999998</v>
      </c>
      <c r="H1138" s="5">
        <f t="shared" si="17"/>
        <v>2.8809603201066958E-2</v>
      </c>
    </row>
    <row r="1139" spans="1:8" ht="13.5" x14ac:dyDescent="0.25">
      <c r="A1139" s="1"/>
      <c r="B1139" s="3">
        <v>43965</v>
      </c>
      <c r="C1139" s="4">
        <v>3.9</v>
      </c>
      <c r="D1139" s="4">
        <v>1.5308999999999999</v>
      </c>
      <c r="E1139" s="4">
        <v>25</v>
      </c>
      <c r="F1139" s="4">
        <v>3.9</v>
      </c>
      <c r="G1139" s="4">
        <v>97.5</v>
      </c>
      <c r="H1139" s="5">
        <f t="shared" si="17"/>
        <v>-7.648927205548735E-3</v>
      </c>
    </row>
    <row r="1140" spans="1:8" ht="13.5" x14ac:dyDescent="0.25">
      <c r="A1140" s="1"/>
      <c r="B1140" s="3">
        <v>43966</v>
      </c>
      <c r="C1140" s="4">
        <v>3.81</v>
      </c>
      <c r="D1140" s="4">
        <v>1.4956</v>
      </c>
      <c r="E1140" s="4">
        <v>25</v>
      </c>
      <c r="F1140" s="4">
        <v>3.81</v>
      </c>
      <c r="G1140" s="4">
        <v>95.25</v>
      </c>
      <c r="H1140" s="5">
        <f t="shared" si="17"/>
        <v>-2.3058331700306935E-2</v>
      </c>
    </row>
    <row r="1141" spans="1:8" ht="13.5" x14ac:dyDescent="0.25">
      <c r="A1141" s="1"/>
      <c r="B1141" s="3">
        <v>43969</v>
      </c>
      <c r="C1141" s="4">
        <v>3.7</v>
      </c>
      <c r="D1141" s="4">
        <v>1.4523999999999999</v>
      </c>
      <c r="E1141" s="4">
        <v>4082</v>
      </c>
      <c r="F1141" s="4">
        <v>3.7644000000000002</v>
      </c>
      <c r="G1141" s="4">
        <v>15366.2808</v>
      </c>
      <c r="H1141" s="5">
        <f t="shared" si="17"/>
        <v>-2.8884728537042072E-2</v>
      </c>
    </row>
    <row r="1142" spans="1:8" ht="13.5" x14ac:dyDescent="0.25">
      <c r="A1142" s="1"/>
      <c r="B1142" s="3">
        <v>43970</v>
      </c>
      <c r="C1142" s="4">
        <v>3.72</v>
      </c>
      <c r="D1142" s="4">
        <v>1.4602999999999999</v>
      </c>
      <c r="E1142" s="4">
        <v>2665</v>
      </c>
      <c r="F1142" s="4">
        <v>3.6208</v>
      </c>
      <c r="G1142" s="4">
        <v>9649.4320000000007</v>
      </c>
      <c r="H1142" s="5">
        <f t="shared" si="17"/>
        <v>5.4392729275681761E-3</v>
      </c>
    </row>
    <row r="1143" spans="1:8" ht="13.5" x14ac:dyDescent="0.25">
      <c r="A1143" s="1"/>
      <c r="B1143" s="3">
        <v>43971</v>
      </c>
      <c r="C1143" s="4">
        <v>3.8</v>
      </c>
      <c r="D1143" s="4">
        <v>1.4917</v>
      </c>
      <c r="E1143" s="4">
        <v>782</v>
      </c>
      <c r="F1143" s="4">
        <v>3.7437999999999998</v>
      </c>
      <c r="G1143" s="4">
        <v>2927.6516000000001</v>
      </c>
      <c r="H1143" s="5">
        <f t="shared" si="17"/>
        <v>2.1502431007327329E-2</v>
      </c>
    </row>
    <row r="1144" spans="1:8" ht="13.5" x14ac:dyDescent="0.25">
      <c r="A1144" s="1"/>
      <c r="B1144" s="3">
        <v>43972</v>
      </c>
      <c r="C1144" s="4">
        <v>3.8</v>
      </c>
      <c r="D1144" s="4">
        <v>1.4917</v>
      </c>
      <c r="E1144" s="4">
        <v>2815</v>
      </c>
      <c r="F1144" s="4">
        <v>3.7761999999999998</v>
      </c>
      <c r="G1144" s="4">
        <v>10630.003000000001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3.81</v>
      </c>
      <c r="D1145" s="4">
        <v>1.4956</v>
      </c>
      <c r="E1145" s="4">
        <v>1500</v>
      </c>
      <c r="F1145" s="4">
        <v>3.7408000000000001</v>
      </c>
      <c r="G1145" s="4">
        <v>5611.2</v>
      </c>
      <c r="H1145" s="5">
        <f t="shared" si="17"/>
        <v>2.6144667158275888E-3</v>
      </c>
    </row>
    <row r="1146" spans="1:8" ht="13.5" x14ac:dyDescent="0.25">
      <c r="A1146" s="1"/>
      <c r="B1146" s="3">
        <v>43977</v>
      </c>
      <c r="C1146" s="4">
        <v>3.9</v>
      </c>
      <c r="D1146" s="4">
        <v>1.5308999999999999</v>
      </c>
      <c r="E1146" s="4">
        <v>7137</v>
      </c>
      <c r="F1146" s="4">
        <v>3.8031000000000001</v>
      </c>
      <c r="G1146" s="4">
        <v>27142.724699999999</v>
      </c>
      <c r="H1146" s="5">
        <f t="shared" si="17"/>
        <v>2.360256753142544E-2</v>
      </c>
    </row>
    <row r="1147" spans="1:8" ht="13.5" x14ac:dyDescent="0.25">
      <c r="A1147" s="1"/>
      <c r="B1147" s="3">
        <v>43978</v>
      </c>
      <c r="C1147" s="4">
        <v>3.86</v>
      </c>
      <c r="D1147" s="4">
        <v>1.5152000000000001</v>
      </c>
      <c r="E1147" s="4">
        <v>3005</v>
      </c>
      <c r="F1147" s="4">
        <v>3.86</v>
      </c>
      <c r="G1147" s="4">
        <v>11599.3</v>
      </c>
      <c r="H1147" s="5">
        <f t="shared" si="17"/>
        <v>-1.0255405317133599E-2</v>
      </c>
    </row>
    <row r="1148" spans="1:8" ht="13.5" x14ac:dyDescent="0.25">
      <c r="A1148" s="1"/>
      <c r="B1148" s="3">
        <v>43979</v>
      </c>
      <c r="C1148" s="4">
        <v>3.8</v>
      </c>
      <c r="D1148" s="4">
        <v>1.4917</v>
      </c>
      <c r="E1148" s="4">
        <v>1337</v>
      </c>
      <c r="F1148" s="4">
        <v>3.8445999999999998</v>
      </c>
      <c r="G1148" s="4">
        <v>5140.2302</v>
      </c>
      <c r="H1148" s="5">
        <f t="shared" si="17"/>
        <v>-1.5509503695881782E-2</v>
      </c>
    </row>
    <row r="1149" spans="1:8" ht="13.5" x14ac:dyDescent="0.25">
      <c r="A1149" s="1"/>
      <c r="B1149" s="3">
        <v>43980</v>
      </c>
      <c r="C1149" s="4">
        <v>3.8</v>
      </c>
      <c r="D1149" s="4">
        <v>1.4917</v>
      </c>
      <c r="E1149" s="4">
        <v>4082</v>
      </c>
      <c r="F1149" s="4">
        <v>3.7189999999999999</v>
      </c>
      <c r="G1149" s="4">
        <v>15180.958000000001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3.69</v>
      </c>
      <c r="D1150" s="4">
        <v>1.4484999999999999</v>
      </c>
      <c r="E1150" s="4">
        <v>232</v>
      </c>
      <c r="F1150" s="4">
        <v>3.69</v>
      </c>
      <c r="G1150" s="4">
        <v>856.08</v>
      </c>
      <c r="H1150" s="5">
        <f t="shared" si="17"/>
        <v>-2.8960246698397887E-2</v>
      </c>
    </row>
    <row r="1151" spans="1:8" ht="13.5" x14ac:dyDescent="0.25">
      <c r="A1151" s="1"/>
      <c r="B1151" s="3">
        <v>43984</v>
      </c>
      <c r="C1151" s="4">
        <v>3.8</v>
      </c>
      <c r="D1151" s="4">
        <v>1.4917</v>
      </c>
      <c r="E1151" s="4">
        <v>22956</v>
      </c>
      <c r="F1151" s="4">
        <v>3.7553999999999998</v>
      </c>
      <c r="G1151" s="4">
        <v>86208.962400000004</v>
      </c>
      <c r="H1151" s="5">
        <f t="shared" si="17"/>
        <v>2.9823955816361842E-2</v>
      </c>
    </row>
    <row r="1152" spans="1:8" ht="13.5" x14ac:dyDescent="0.25">
      <c r="A1152" s="1"/>
      <c r="B1152" s="3">
        <v>43985</v>
      </c>
      <c r="C1152" s="4">
        <v>3.91</v>
      </c>
      <c r="D1152" s="4">
        <v>1.5348999999999999</v>
      </c>
      <c r="E1152" s="4">
        <v>18522</v>
      </c>
      <c r="F1152" s="4">
        <v>3.9091</v>
      </c>
      <c r="G1152" s="4">
        <v>72404.350200000001</v>
      </c>
      <c r="H1152" s="5">
        <f t="shared" si="17"/>
        <v>2.8960246698397737E-2</v>
      </c>
    </row>
    <row r="1153" spans="1:8" ht="13.5" x14ac:dyDescent="0.25">
      <c r="A1153" s="1"/>
      <c r="B1153" s="3">
        <v>43986</v>
      </c>
      <c r="C1153" s="4">
        <v>4.0199999999999996</v>
      </c>
      <c r="D1153" s="4">
        <v>1.5781000000000001</v>
      </c>
      <c r="E1153" s="4">
        <v>6443</v>
      </c>
      <c r="F1153" s="4">
        <v>4</v>
      </c>
      <c r="G1153" s="4">
        <v>25772</v>
      </c>
      <c r="H1153" s="5">
        <f t="shared" si="17"/>
        <v>2.8145156036223942E-2</v>
      </c>
    </row>
    <row r="1154" spans="1:8" ht="13.5" x14ac:dyDescent="0.25">
      <c r="A1154" s="1"/>
      <c r="B1154" s="3">
        <v>43987</v>
      </c>
      <c r="C1154" s="4">
        <v>4.1399999999999997</v>
      </c>
      <c r="D1154" s="4">
        <v>1.6252</v>
      </c>
      <c r="E1154" s="4">
        <v>10814</v>
      </c>
      <c r="F1154" s="4">
        <v>4.0731999999999999</v>
      </c>
      <c r="G1154" s="4">
        <v>44047.584799999997</v>
      </c>
      <c r="H1154" s="5">
        <f t="shared" si="17"/>
        <v>2.9846017362651238E-2</v>
      </c>
    </row>
    <row r="1155" spans="1:8" ht="13.5" x14ac:dyDescent="0.25">
      <c r="A1155" s="1"/>
      <c r="B1155" s="3">
        <v>43990</v>
      </c>
      <c r="C1155" s="4">
        <v>3.9</v>
      </c>
      <c r="D1155" s="4">
        <v>1.5308999999999999</v>
      </c>
      <c r="E1155" s="4">
        <v>13576</v>
      </c>
      <c r="F1155" s="4">
        <v>3.9567000000000001</v>
      </c>
      <c r="G1155" s="4">
        <v>53716.159200000002</v>
      </c>
      <c r="H1155" s="5">
        <f t="shared" si="17"/>
        <v>-5.8023627861186346E-2</v>
      </c>
    </row>
    <row r="1156" spans="1:8" ht="13.5" x14ac:dyDescent="0.25">
      <c r="A1156" s="1"/>
      <c r="B1156" s="3">
        <v>43991</v>
      </c>
      <c r="C1156" s="4">
        <v>3.98</v>
      </c>
      <c r="D1156" s="4">
        <v>1.5624</v>
      </c>
      <c r="E1156" s="4">
        <v>2186</v>
      </c>
      <c r="F1156" s="4">
        <v>3.8736999999999999</v>
      </c>
      <c r="G1156" s="4">
        <v>8467.9081999999999</v>
      </c>
      <c r="H1156" s="5">
        <f t="shared" si="17"/>
        <v>2.0576131687242854E-2</v>
      </c>
    </row>
    <row r="1157" spans="1:8" ht="13.5" x14ac:dyDescent="0.25">
      <c r="A1157" s="1"/>
      <c r="B1157" s="3">
        <v>43992</v>
      </c>
      <c r="C1157" s="4">
        <v>3.95</v>
      </c>
      <c r="D1157" s="4">
        <v>1.5506</v>
      </c>
      <c r="E1157" s="4">
        <v>5544</v>
      </c>
      <c r="F1157" s="4">
        <v>3.9</v>
      </c>
      <c r="G1157" s="4">
        <v>21621.599999999999</v>
      </c>
      <c r="H1157" s="5">
        <f t="shared" si="17"/>
        <v>-7.5524833589349924E-3</v>
      </c>
    </row>
    <row r="1158" spans="1:8" ht="13.5" x14ac:dyDescent="0.25">
      <c r="A1158" s="1"/>
      <c r="B1158" s="3">
        <v>43993</v>
      </c>
      <c r="C1158" s="4">
        <v>3.96</v>
      </c>
      <c r="D1158" s="4">
        <v>1.5545</v>
      </c>
      <c r="E1158" s="4">
        <v>1100</v>
      </c>
      <c r="F1158" s="4">
        <v>3.96</v>
      </c>
      <c r="G1158" s="4">
        <v>4356</v>
      </c>
      <c r="H1158" s="5">
        <f t="shared" si="17"/>
        <v>2.5151554237069617E-3</v>
      </c>
    </row>
    <row r="1159" spans="1:8" ht="13.5" x14ac:dyDescent="0.25">
      <c r="A1159" s="1"/>
      <c r="B1159" s="3">
        <v>43994</v>
      </c>
      <c r="C1159" s="4">
        <v>3.9</v>
      </c>
      <c r="D1159" s="4">
        <v>1.5308999999999999</v>
      </c>
      <c r="E1159" s="4">
        <v>12972</v>
      </c>
      <c r="F1159" s="4">
        <v>3.9371</v>
      </c>
      <c r="G1159" s="4">
        <v>51072.061199999996</v>
      </c>
      <c r="H1159" s="5">
        <f t="shared" ref="H1159:H1222" si="18">(D1159-D1158)/D1158</f>
        <v>-1.5181730459955011E-2</v>
      </c>
    </row>
    <row r="1160" spans="1:8" ht="13.5" x14ac:dyDescent="0.25">
      <c r="A1160" s="1"/>
      <c r="B1160" s="3">
        <v>43997</v>
      </c>
      <c r="C1160" s="4">
        <v>3.87</v>
      </c>
      <c r="D1160" s="4">
        <v>1.5192000000000001</v>
      </c>
      <c r="E1160" s="4">
        <v>6305</v>
      </c>
      <c r="F1160" s="4">
        <v>3.8708999999999998</v>
      </c>
      <c r="G1160" s="4">
        <v>24406.0245</v>
      </c>
      <c r="H1160" s="5">
        <f t="shared" si="18"/>
        <v>-7.6425631981186376E-3</v>
      </c>
    </row>
    <row r="1161" spans="1:8" ht="13.5" x14ac:dyDescent="0.25">
      <c r="A1161" s="1"/>
      <c r="B1161" s="3">
        <v>43998</v>
      </c>
      <c r="C1161" s="4">
        <v>3.87</v>
      </c>
      <c r="D1161" s="4">
        <v>1.5192000000000001</v>
      </c>
      <c r="E1161" s="4">
        <v>6180</v>
      </c>
      <c r="F1161" s="4">
        <v>3.7883</v>
      </c>
      <c r="G1161" s="4">
        <v>23411.694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3.8</v>
      </c>
      <c r="D1162" s="4">
        <v>1.4917</v>
      </c>
      <c r="E1162" s="4">
        <v>18047</v>
      </c>
      <c r="F1162" s="4">
        <v>3.7964000000000002</v>
      </c>
      <c r="G1162" s="4">
        <v>68513.630799999999</v>
      </c>
      <c r="H1162" s="5">
        <f t="shared" si="18"/>
        <v>-1.8101632438125379E-2</v>
      </c>
    </row>
    <row r="1163" spans="1:8" ht="13.5" x14ac:dyDescent="0.25">
      <c r="A1163" s="1"/>
      <c r="B1163" s="3">
        <v>44000</v>
      </c>
      <c r="C1163" s="4">
        <v>3.88</v>
      </c>
      <c r="D1163" s="4">
        <v>1.5230999999999999</v>
      </c>
      <c r="E1163" s="4">
        <v>10556</v>
      </c>
      <c r="F1163" s="4">
        <v>3.7648999999999999</v>
      </c>
      <c r="G1163" s="4">
        <v>39742.284399999997</v>
      </c>
      <c r="H1163" s="5">
        <f t="shared" si="18"/>
        <v>2.1049808942816835E-2</v>
      </c>
    </row>
    <row r="1164" spans="1:8" ht="13.5" x14ac:dyDescent="0.25">
      <c r="A1164" s="1"/>
      <c r="B1164" s="3">
        <v>44001</v>
      </c>
      <c r="C1164" s="4">
        <v>3.88</v>
      </c>
      <c r="D1164" s="4">
        <v>1.5230999999999999</v>
      </c>
      <c r="E1164" s="4">
        <v>0</v>
      </c>
      <c r="F1164" s="4">
        <v>0</v>
      </c>
      <c r="G1164" s="4">
        <v>0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3.76</v>
      </c>
      <c r="D1165" s="4">
        <v>1.476</v>
      </c>
      <c r="E1165" s="4">
        <v>1719</v>
      </c>
      <c r="F1165" s="4">
        <v>3.8062</v>
      </c>
      <c r="G1165" s="4">
        <v>6542.8577999999998</v>
      </c>
      <c r="H1165" s="5">
        <f t="shared" si="18"/>
        <v>-3.0923773882213856E-2</v>
      </c>
    </row>
    <row r="1166" spans="1:8" ht="13.5" x14ac:dyDescent="0.25">
      <c r="A1166" s="1"/>
      <c r="B1166" s="3">
        <v>44005</v>
      </c>
      <c r="C1166" s="4">
        <v>3.85</v>
      </c>
      <c r="D1166" s="4">
        <v>1.5113000000000001</v>
      </c>
      <c r="E1166" s="4">
        <v>7959</v>
      </c>
      <c r="F1166" s="4">
        <v>3.7490000000000001</v>
      </c>
      <c r="G1166" s="4">
        <v>29838.291000000001</v>
      </c>
      <c r="H1166" s="5">
        <f t="shared" si="18"/>
        <v>2.3915989159891671E-2</v>
      </c>
    </row>
    <row r="1167" spans="1:8" ht="13.5" x14ac:dyDescent="0.25">
      <c r="A1167" s="1"/>
      <c r="B1167" s="3">
        <v>44006</v>
      </c>
      <c r="C1167" s="4">
        <v>3.83</v>
      </c>
      <c r="D1167" s="4">
        <v>1.5035000000000001</v>
      </c>
      <c r="E1167" s="4">
        <v>21215</v>
      </c>
      <c r="F1167" s="4">
        <v>3.7402000000000002</v>
      </c>
      <c r="G1167" s="4">
        <v>79348.342999999993</v>
      </c>
      <c r="H1167" s="5">
        <f t="shared" si="18"/>
        <v>-5.1611195659366296E-3</v>
      </c>
    </row>
    <row r="1168" spans="1:8" ht="13.5" x14ac:dyDescent="0.25">
      <c r="A1168" s="1"/>
      <c r="B1168" s="3">
        <v>44007</v>
      </c>
      <c r="C1168" s="4">
        <v>3.87</v>
      </c>
      <c r="D1168" s="4">
        <v>1.5192000000000001</v>
      </c>
      <c r="E1168" s="4">
        <v>51770</v>
      </c>
      <c r="F1168" s="4">
        <v>3.7873000000000001</v>
      </c>
      <c r="G1168" s="4">
        <v>196068.52100000001</v>
      </c>
      <c r="H1168" s="5">
        <f t="shared" si="18"/>
        <v>1.0442301296973759E-2</v>
      </c>
    </row>
    <row r="1169" spans="1:8" ht="13.5" x14ac:dyDescent="0.25">
      <c r="A1169" s="1"/>
      <c r="B1169" s="3">
        <v>44008</v>
      </c>
      <c r="C1169" s="4">
        <v>3.94</v>
      </c>
      <c r="D1169" s="4">
        <v>1.5467</v>
      </c>
      <c r="E1169" s="4">
        <v>11581</v>
      </c>
      <c r="F1169" s="4">
        <v>3.8485</v>
      </c>
      <c r="G1169" s="4">
        <v>44569.478499999997</v>
      </c>
      <c r="H1169" s="5">
        <f t="shared" si="18"/>
        <v>1.8101632438125233E-2</v>
      </c>
    </row>
    <row r="1170" spans="1:8" ht="13.5" x14ac:dyDescent="0.25">
      <c r="A1170" s="1"/>
      <c r="B1170" s="3">
        <v>44011</v>
      </c>
      <c r="C1170" s="4">
        <v>4.0199999999999996</v>
      </c>
      <c r="D1170" s="4">
        <v>1.5781000000000001</v>
      </c>
      <c r="E1170" s="4">
        <v>5720</v>
      </c>
      <c r="F1170" s="4">
        <v>3.9561999999999999</v>
      </c>
      <c r="G1170" s="4">
        <v>22629.464</v>
      </c>
      <c r="H1170" s="5">
        <f t="shared" si="18"/>
        <v>2.0301286610202429E-2</v>
      </c>
    </row>
    <row r="1171" spans="1:8" ht="13.5" x14ac:dyDescent="0.25">
      <c r="A1171" s="1"/>
      <c r="B1171" s="3">
        <v>44012</v>
      </c>
      <c r="C1171" s="4">
        <v>3.94</v>
      </c>
      <c r="D1171" s="4">
        <v>1.5467</v>
      </c>
      <c r="E1171" s="4">
        <v>3738</v>
      </c>
      <c r="F1171" s="4">
        <v>3.9396</v>
      </c>
      <c r="G1171" s="4">
        <v>14726.2248</v>
      </c>
      <c r="H1171" s="5">
        <f t="shared" si="18"/>
        <v>-1.9897344908434252E-2</v>
      </c>
    </row>
    <row r="1172" spans="1:8" ht="13.5" x14ac:dyDescent="0.25">
      <c r="A1172" s="1"/>
      <c r="B1172" s="3">
        <v>44013</v>
      </c>
      <c r="C1172" s="4">
        <v>4</v>
      </c>
      <c r="D1172" s="4">
        <v>1.5702</v>
      </c>
      <c r="E1172" s="4">
        <v>1562</v>
      </c>
      <c r="F1172" s="4">
        <v>3.9152999999999998</v>
      </c>
      <c r="G1172" s="4">
        <v>6115.6985999999997</v>
      </c>
      <c r="H1172" s="5">
        <f t="shared" si="18"/>
        <v>1.5193638068145133E-2</v>
      </c>
    </row>
    <row r="1173" spans="1:8" ht="13.5" x14ac:dyDescent="0.25">
      <c r="A1173" s="1"/>
      <c r="B1173" s="3">
        <v>44014</v>
      </c>
      <c r="C1173" s="4">
        <v>3.94</v>
      </c>
      <c r="D1173" s="4">
        <v>1.5467</v>
      </c>
      <c r="E1173" s="4">
        <v>551</v>
      </c>
      <c r="F1173" s="4">
        <v>3.9182000000000001</v>
      </c>
      <c r="G1173" s="4">
        <v>2158.9281999999998</v>
      </c>
      <c r="H1173" s="5">
        <f t="shared" si="18"/>
        <v>-1.4966246338046158E-2</v>
      </c>
    </row>
    <row r="1174" spans="1:8" ht="13.5" x14ac:dyDescent="0.25">
      <c r="A1174" s="1"/>
      <c r="B1174" s="3">
        <v>44015</v>
      </c>
      <c r="C1174" s="4">
        <v>3.9</v>
      </c>
      <c r="D1174" s="4">
        <v>1.5308999999999999</v>
      </c>
      <c r="E1174" s="4">
        <v>162</v>
      </c>
      <c r="F1174" s="4">
        <v>3.8599000000000001</v>
      </c>
      <c r="G1174" s="4">
        <v>625.30380000000002</v>
      </c>
      <c r="H1174" s="5">
        <f t="shared" si="18"/>
        <v>-1.021529708411459E-2</v>
      </c>
    </row>
    <row r="1175" spans="1:8" ht="13.5" x14ac:dyDescent="0.25">
      <c r="A1175" s="1"/>
      <c r="B1175" s="3">
        <v>44018</v>
      </c>
      <c r="C1175" s="4">
        <v>3.9</v>
      </c>
      <c r="D1175" s="4">
        <v>1.5308999999999999</v>
      </c>
      <c r="E1175" s="4">
        <v>10860</v>
      </c>
      <c r="F1175" s="4">
        <v>3.9039999999999999</v>
      </c>
      <c r="G1175" s="4">
        <v>42397.440000000002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3.99</v>
      </c>
      <c r="D1176" s="4">
        <v>1.5663</v>
      </c>
      <c r="E1176" s="4">
        <v>4501</v>
      </c>
      <c r="F1176" s="4">
        <v>3.9876999999999998</v>
      </c>
      <c r="G1176" s="4">
        <v>17948.637699999999</v>
      </c>
      <c r="H1176" s="5">
        <f t="shared" si="18"/>
        <v>2.3123652753282448E-2</v>
      </c>
    </row>
    <row r="1177" spans="1:8" ht="13.5" x14ac:dyDescent="0.25">
      <c r="A1177" s="1"/>
      <c r="B1177" s="3">
        <v>44020</v>
      </c>
      <c r="C1177" s="4">
        <v>3.99</v>
      </c>
      <c r="D1177" s="4">
        <v>1.5663</v>
      </c>
      <c r="E1177" s="4">
        <v>2593</v>
      </c>
      <c r="F1177" s="4">
        <v>3.9910000000000001</v>
      </c>
      <c r="G1177" s="4">
        <v>10348.663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4</v>
      </c>
      <c r="D1178" s="4">
        <v>1.5702</v>
      </c>
      <c r="E1178" s="4">
        <v>9463</v>
      </c>
      <c r="F1178" s="4">
        <v>3.9857999999999998</v>
      </c>
      <c r="G1178" s="4">
        <v>37717.625399999997</v>
      </c>
      <c r="H1178" s="5">
        <f t="shared" si="18"/>
        <v>2.4899444550852421E-3</v>
      </c>
    </row>
    <row r="1179" spans="1:8" ht="13.5" x14ac:dyDescent="0.25">
      <c r="A1179" s="1"/>
      <c r="B1179" s="3">
        <v>44022</v>
      </c>
      <c r="C1179" s="4">
        <v>4.04</v>
      </c>
      <c r="D1179" s="4">
        <v>1.5859000000000001</v>
      </c>
      <c r="E1179" s="4">
        <v>1414</v>
      </c>
      <c r="F1179" s="4">
        <v>4.0400999999999998</v>
      </c>
      <c r="G1179" s="4">
        <v>5712.7013999999999</v>
      </c>
      <c r="H1179" s="5">
        <f t="shared" si="18"/>
        <v>9.9987262769074305E-3</v>
      </c>
    </row>
    <row r="1180" spans="1:8" ht="13.5" x14ac:dyDescent="0.25">
      <c r="A1180" s="1"/>
      <c r="B1180" s="3">
        <v>44025</v>
      </c>
      <c r="C1180" s="4">
        <v>4.05</v>
      </c>
      <c r="D1180" s="4">
        <v>1.5898000000000001</v>
      </c>
      <c r="E1180" s="4">
        <v>1000</v>
      </c>
      <c r="F1180" s="4">
        <v>3.9897</v>
      </c>
      <c r="G1180" s="4">
        <v>3989.7</v>
      </c>
      <c r="H1180" s="5">
        <f t="shared" si="18"/>
        <v>2.4591714483889367E-3</v>
      </c>
    </row>
    <row r="1181" spans="1:8" ht="13.5" x14ac:dyDescent="0.25">
      <c r="A1181" s="1"/>
      <c r="B1181" s="3">
        <v>44026</v>
      </c>
      <c r="C1181" s="4">
        <v>3.95</v>
      </c>
      <c r="D1181" s="4">
        <v>1.5506</v>
      </c>
      <c r="E1181" s="4">
        <v>14</v>
      </c>
      <c r="F1181" s="4">
        <v>3.95</v>
      </c>
      <c r="G1181" s="4">
        <v>55.3</v>
      </c>
      <c r="H1181" s="5">
        <f t="shared" si="18"/>
        <v>-2.4657189583595498E-2</v>
      </c>
    </row>
    <row r="1182" spans="1:8" ht="13.5" x14ac:dyDescent="0.25">
      <c r="A1182" s="1"/>
      <c r="B1182" s="3">
        <v>44027</v>
      </c>
      <c r="C1182" s="4">
        <v>3.84</v>
      </c>
      <c r="D1182" s="4">
        <v>1.5074000000000001</v>
      </c>
      <c r="E1182" s="4">
        <v>473</v>
      </c>
      <c r="F1182" s="4">
        <v>3.8755000000000002</v>
      </c>
      <c r="G1182" s="4">
        <v>1833.1115</v>
      </c>
      <c r="H1182" s="5">
        <f t="shared" si="18"/>
        <v>-2.7860183154907715E-2</v>
      </c>
    </row>
    <row r="1183" spans="1:8" ht="13.5" x14ac:dyDescent="0.25">
      <c r="A1183" s="1"/>
      <c r="B1183" s="3">
        <v>44028</v>
      </c>
      <c r="C1183" s="4">
        <v>3.89</v>
      </c>
      <c r="D1183" s="4">
        <v>1.5269999999999999</v>
      </c>
      <c r="E1183" s="4">
        <v>2459</v>
      </c>
      <c r="F1183" s="4">
        <v>3.8891</v>
      </c>
      <c r="G1183" s="4">
        <v>9563.2968999999994</v>
      </c>
      <c r="H1183" s="5">
        <f t="shared" si="18"/>
        <v>1.3002520896908478E-2</v>
      </c>
    </row>
    <row r="1184" spans="1:8" ht="13.5" x14ac:dyDescent="0.25">
      <c r="A1184" s="1"/>
      <c r="B1184" s="3">
        <v>44029</v>
      </c>
      <c r="C1184" s="4">
        <v>3.85</v>
      </c>
      <c r="D1184" s="4">
        <v>1.5113000000000001</v>
      </c>
      <c r="E1184" s="4">
        <v>372</v>
      </c>
      <c r="F1184" s="4">
        <v>3.8132999999999999</v>
      </c>
      <c r="G1184" s="4">
        <v>1418.5476000000001</v>
      </c>
      <c r="H1184" s="5">
        <f t="shared" si="18"/>
        <v>-1.0281597904387575E-2</v>
      </c>
    </row>
    <row r="1185" spans="1:8" ht="13.5" x14ac:dyDescent="0.25">
      <c r="A1185" s="1"/>
      <c r="B1185" s="3">
        <v>44032</v>
      </c>
      <c r="C1185" s="4">
        <v>3.93</v>
      </c>
      <c r="D1185" s="4">
        <v>1.5427</v>
      </c>
      <c r="E1185" s="4">
        <v>10</v>
      </c>
      <c r="F1185" s="4">
        <v>3.93</v>
      </c>
      <c r="G1185" s="4">
        <v>39.299999999999997</v>
      </c>
      <c r="H1185" s="5">
        <f t="shared" si="18"/>
        <v>2.0776814662872938E-2</v>
      </c>
    </row>
    <row r="1186" spans="1:8" ht="13.5" x14ac:dyDescent="0.25">
      <c r="A1186" s="1"/>
      <c r="B1186" s="3">
        <v>44033</v>
      </c>
      <c r="C1186" s="4">
        <v>3.85</v>
      </c>
      <c r="D1186" s="4">
        <v>1.5113000000000001</v>
      </c>
      <c r="E1186" s="4">
        <v>1</v>
      </c>
      <c r="F1186" s="4">
        <v>3.85</v>
      </c>
      <c r="G1186" s="4">
        <v>3.85</v>
      </c>
      <c r="H1186" s="5">
        <f t="shared" si="18"/>
        <v>-2.0353924936799037E-2</v>
      </c>
    </row>
    <row r="1187" spans="1:8" ht="13.5" x14ac:dyDescent="0.25">
      <c r="A1187" s="1"/>
      <c r="B1187" s="3">
        <v>44034</v>
      </c>
      <c r="C1187" s="4">
        <v>3.85</v>
      </c>
      <c r="D1187" s="4">
        <v>1.5113000000000001</v>
      </c>
      <c r="E1187" s="4">
        <v>12</v>
      </c>
      <c r="F1187" s="4">
        <v>3.85</v>
      </c>
      <c r="G1187" s="4">
        <v>46.2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3.74</v>
      </c>
      <c r="D1188" s="4">
        <v>1.4681</v>
      </c>
      <c r="E1188" s="4">
        <v>21986</v>
      </c>
      <c r="F1188" s="4">
        <v>3.7959000000000001</v>
      </c>
      <c r="G1188" s="4">
        <v>83456.657399999996</v>
      </c>
      <c r="H1188" s="5">
        <f t="shared" si="18"/>
        <v>-2.8584662211341313E-2</v>
      </c>
    </row>
    <row r="1189" spans="1:8" ht="13.5" x14ac:dyDescent="0.25">
      <c r="A1189" s="1"/>
      <c r="B1189" s="3">
        <v>44036</v>
      </c>
      <c r="C1189" s="4">
        <v>3.74</v>
      </c>
      <c r="D1189" s="4">
        <v>1.4681</v>
      </c>
      <c r="E1189" s="4">
        <v>5086</v>
      </c>
      <c r="F1189" s="4">
        <v>3.6726999999999999</v>
      </c>
      <c r="G1189" s="4">
        <v>18679.352200000001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3.74</v>
      </c>
      <c r="D1190" s="4">
        <v>1.4681</v>
      </c>
      <c r="E1190" s="4">
        <v>951</v>
      </c>
      <c r="F1190" s="4">
        <v>3.6555</v>
      </c>
      <c r="G1190" s="4">
        <v>3476.3805000000002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3.73</v>
      </c>
      <c r="D1191" s="4">
        <v>1.4641999999999999</v>
      </c>
      <c r="E1191" s="4">
        <v>950</v>
      </c>
      <c r="F1191" s="4">
        <v>3.73</v>
      </c>
      <c r="G1191" s="4">
        <v>3543.5</v>
      </c>
      <c r="H1191" s="5">
        <f t="shared" si="18"/>
        <v>-2.6564947891833082E-3</v>
      </c>
    </row>
    <row r="1192" spans="1:8" ht="13.5" x14ac:dyDescent="0.25">
      <c r="A1192" s="1"/>
      <c r="B1192" s="3">
        <v>44041</v>
      </c>
      <c r="C1192" s="4">
        <v>3.84</v>
      </c>
      <c r="D1192" s="4">
        <v>1.5074000000000001</v>
      </c>
      <c r="E1192" s="4">
        <v>1235</v>
      </c>
      <c r="F1192" s="4">
        <v>3.7473999999999998</v>
      </c>
      <c r="G1192" s="4">
        <v>4628.0389999999998</v>
      </c>
      <c r="H1192" s="5">
        <f t="shared" si="18"/>
        <v>2.9504166097527748E-2</v>
      </c>
    </row>
    <row r="1193" spans="1:8" ht="13.5" x14ac:dyDescent="0.25">
      <c r="A1193" s="1"/>
      <c r="B1193" s="3">
        <v>44042</v>
      </c>
      <c r="C1193" s="4">
        <v>3.93</v>
      </c>
      <c r="D1193" s="4">
        <v>1.5427</v>
      </c>
      <c r="E1193" s="4">
        <v>2601</v>
      </c>
      <c r="F1193" s="4">
        <v>3.7597</v>
      </c>
      <c r="G1193" s="4">
        <v>9778.9796999999999</v>
      </c>
      <c r="H1193" s="5">
        <f t="shared" si="18"/>
        <v>2.3417805492901608E-2</v>
      </c>
    </row>
    <row r="1194" spans="1:8" ht="13.5" x14ac:dyDescent="0.25">
      <c r="A1194" s="1"/>
      <c r="B1194" s="3">
        <v>44046</v>
      </c>
      <c r="C1194" s="4">
        <v>3.89</v>
      </c>
      <c r="D1194" s="4">
        <v>1.5269999999999999</v>
      </c>
      <c r="E1194" s="4">
        <v>13</v>
      </c>
      <c r="F1194" s="4">
        <v>3.89</v>
      </c>
      <c r="G1194" s="4">
        <v>50.57</v>
      </c>
      <c r="H1194" s="5">
        <f t="shared" si="18"/>
        <v>-1.0176962468399589E-2</v>
      </c>
    </row>
    <row r="1195" spans="1:8" ht="13.5" x14ac:dyDescent="0.25">
      <c r="A1195" s="1"/>
      <c r="B1195" s="3">
        <v>44047</v>
      </c>
      <c r="C1195" s="4">
        <v>3.93</v>
      </c>
      <c r="D1195" s="4">
        <v>1.5427</v>
      </c>
      <c r="E1195" s="4">
        <v>669</v>
      </c>
      <c r="F1195" s="4">
        <v>3.8237000000000001</v>
      </c>
      <c r="G1195" s="4">
        <v>2558.0553</v>
      </c>
      <c r="H1195" s="5">
        <f t="shared" si="18"/>
        <v>1.0281597904387719E-2</v>
      </c>
    </row>
    <row r="1196" spans="1:8" ht="13.5" x14ac:dyDescent="0.25">
      <c r="A1196" s="1"/>
      <c r="B1196" s="3">
        <v>44048</v>
      </c>
      <c r="C1196" s="4">
        <v>3.99</v>
      </c>
      <c r="D1196" s="4">
        <v>1.5663</v>
      </c>
      <c r="E1196" s="4">
        <v>2473</v>
      </c>
      <c r="F1196" s="4">
        <v>3.9859</v>
      </c>
      <c r="G1196" s="4">
        <v>9857.1306999999997</v>
      </c>
      <c r="H1196" s="5">
        <f t="shared" si="18"/>
        <v>1.529785441109747E-2</v>
      </c>
    </row>
    <row r="1197" spans="1:8" ht="13.5" x14ac:dyDescent="0.25">
      <c r="A1197" s="1"/>
      <c r="B1197" s="3">
        <v>44049</v>
      </c>
      <c r="C1197" s="4">
        <v>3.99</v>
      </c>
      <c r="D1197" s="4">
        <v>1.5663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3.98</v>
      </c>
      <c r="D1198" s="4">
        <v>1.5624</v>
      </c>
      <c r="E1198" s="4">
        <v>1359</v>
      </c>
      <c r="F1198" s="4">
        <v>3.9102000000000001</v>
      </c>
      <c r="G1198" s="4">
        <v>5313.9618</v>
      </c>
      <c r="H1198" s="5">
        <f t="shared" si="18"/>
        <v>-2.4899444550852421E-3</v>
      </c>
    </row>
    <row r="1199" spans="1:8" ht="13.5" x14ac:dyDescent="0.25">
      <c r="A1199" s="1"/>
      <c r="B1199" s="3">
        <v>44053</v>
      </c>
      <c r="C1199" s="4">
        <v>3.89</v>
      </c>
      <c r="D1199" s="4">
        <v>1.6205000000000001</v>
      </c>
      <c r="E1199" s="4">
        <v>36</v>
      </c>
      <c r="F1199" s="4">
        <v>3.8927999999999998</v>
      </c>
      <c r="G1199" s="4">
        <v>140.14080000000001</v>
      </c>
      <c r="H1199" s="5">
        <f t="shared" si="18"/>
        <v>3.7186379928315437E-2</v>
      </c>
    </row>
    <row r="1200" spans="1:8" ht="13.5" x14ac:dyDescent="0.25">
      <c r="A1200" s="1"/>
      <c r="B1200" s="3">
        <v>44054</v>
      </c>
      <c r="C1200" s="4">
        <v>3.95</v>
      </c>
      <c r="D1200" s="4">
        <v>1.6455</v>
      </c>
      <c r="E1200" s="4">
        <v>4151</v>
      </c>
      <c r="F1200" s="4">
        <v>3.8210000000000002</v>
      </c>
      <c r="G1200" s="4">
        <v>15860.971</v>
      </c>
      <c r="H1200" s="5">
        <f t="shared" si="18"/>
        <v>1.5427337241592046E-2</v>
      </c>
    </row>
    <row r="1201" spans="1:8" ht="13.5" x14ac:dyDescent="0.25">
      <c r="A1201" s="1"/>
      <c r="B1201" s="3">
        <v>44055</v>
      </c>
      <c r="C1201" s="4">
        <v>3.9</v>
      </c>
      <c r="D1201" s="4">
        <v>1.6247</v>
      </c>
      <c r="E1201" s="4">
        <v>720</v>
      </c>
      <c r="F1201" s="4">
        <v>3.8408000000000002</v>
      </c>
      <c r="G1201" s="4">
        <v>2765.3760000000002</v>
      </c>
      <c r="H1201" s="5">
        <f t="shared" si="18"/>
        <v>-1.2640534791856535E-2</v>
      </c>
    </row>
    <row r="1202" spans="1:8" ht="13.5" x14ac:dyDescent="0.25">
      <c r="A1202" s="1"/>
      <c r="B1202" s="3">
        <v>44057</v>
      </c>
      <c r="C1202" s="4">
        <v>3.8</v>
      </c>
      <c r="D1202" s="4">
        <v>1.583</v>
      </c>
      <c r="E1202" s="4">
        <v>529</v>
      </c>
      <c r="F1202" s="4">
        <v>3.7905000000000002</v>
      </c>
      <c r="G1202" s="4">
        <v>2005.1745000000001</v>
      </c>
      <c r="H1202" s="5">
        <f t="shared" si="18"/>
        <v>-2.5666276851111017E-2</v>
      </c>
    </row>
    <row r="1203" spans="1:8" ht="13.5" x14ac:dyDescent="0.25">
      <c r="A1203" s="1"/>
      <c r="B1203" s="3">
        <v>44060</v>
      </c>
      <c r="C1203" s="4">
        <v>3.8</v>
      </c>
      <c r="D1203" s="4">
        <v>1.583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3.8</v>
      </c>
      <c r="D1204" s="4">
        <v>1.583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3.76</v>
      </c>
      <c r="D1205" s="4">
        <v>1.5664</v>
      </c>
      <c r="E1205" s="4">
        <v>10</v>
      </c>
      <c r="F1205" s="4">
        <v>3.76</v>
      </c>
      <c r="G1205" s="4">
        <v>37.6</v>
      </c>
      <c r="H1205" s="5">
        <f t="shared" si="18"/>
        <v>-1.0486418193303822E-2</v>
      </c>
    </row>
    <row r="1206" spans="1:8" ht="13.5" x14ac:dyDescent="0.25">
      <c r="A1206" s="1"/>
      <c r="B1206" s="3">
        <v>44064</v>
      </c>
      <c r="C1206" s="4">
        <v>3.65</v>
      </c>
      <c r="D1206" s="4">
        <v>1.5205</v>
      </c>
      <c r="E1206" s="4">
        <v>700</v>
      </c>
      <c r="F1206" s="4">
        <v>3.65</v>
      </c>
      <c r="G1206" s="4">
        <v>2555</v>
      </c>
      <c r="H1206" s="5">
        <f t="shared" si="18"/>
        <v>-2.9302860061287059E-2</v>
      </c>
    </row>
    <row r="1207" spans="1:8" ht="13.5" x14ac:dyDescent="0.25">
      <c r="A1207" s="1"/>
      <c r="B1207" s="3">
        <v>44067</v>
      </c>
      <c r="C1207" s="4">
        <v>3.64</v>
      </c>
      <c r="D1207" s="4">
        <v>1.5164</v>
      </c>
      <c r="E1207" s="4">
        <v>422</v>
      </c>
      <c r="F1207" s="4">
        <v>3.5811999999999999</v>
      </c>
      <c r="G1207" s="4">
        <v>1511.2664</v>
      </c>
      <c r="H1207" s="5">
        <f t="shared" si="18"/>
        <v>-2.6964814205853289E-3</v>
      </c>
    </row>
    <row r="1208" spans="1:8" ht="13.5" x14ac:dyDescent="0.25">
      <c r="A1208" s="1"/>
      <c r="B1208" s="3">
        <v>44068</v>
      </c>
      <c r="C1208" s="4">
        <v>3.8</v>
      </c>
      <c r="D1208" s="4">
        <v>1.583</v>
      </c>
      <c r="E1208" s="4">
        <v>17587</v>
      </c>
      <c r="F1208" s="4">
        <v>3.5303</v>
      </c>
      <c r="G1208" s="4">
        <v>62087.386100000003</v>
      </c>
      <c r="H1208" s="5">
        <f t="shared" si="18"/>
        <v>4.3919810076496965E-2</v>
      </c>
    </row>
    <row r="1209" spans="1:8" ht="13.5" x14ac:dyDescent="0.25">
      <c r="A1209" s="1"/>
      <c r="B1209" s="3">
        <v>44069</v>
      </c>
      <c r="C1209" s="4">
        <v>3.78</v>
      </c>
      <c r="D1209" s="4">
        <v>1.5747</v>
      </c>
      <c r="E1209" s="4">
        <v>8102</v>
      </c>
      <c r="F1209" s="4">
        <v>3.7801999999999998</v>
      </c>
      <c r="G1209" s="4">
        <v>30627.180400000001</v>
      </c>
      <c r="H1209" s="5">
        <f t="shared" si="18"/>
        <v>-5.2432090966519108E-3</v>
      </c>
    </row>
    <row r="1210" spans="1:8" ht="13.5" x14ac:dyDescent="0.25">
      <c r="A1210" s="1"/>
      <c r="B1210" s="3">
        <v>44070</v>
      </c>
      <c r="C1210" s="4">
        <v>3.75</v>
      </c>
      <c r="D1210" s="4">
        <v>1.5622</v>
      </c>
      <c r="E1210" s="4">
        <v>10</v>
      </c>
      <c r="F1210" s="4">
        <v>3.75</v>
      </c>
      <c r="G1210" s="4">
        <v>37.5</v>
      </c>
      <c r="H1210" s="5">
        <f t="shared" si="18"/>
        <v>-7.9380199403060615E-3</v>
      </c>
    </row>
    <row r="1211" spans="1:8" ht="13.5" x14ac:dyDescent="0.25">
      <c r="A1211" s="1"/>
      <c r="B1211" s="3">
        <v>44071</v>
      </c>
      <c r="C1211" s="4">
        <v>3.65</v>
      </c>
      <c r="D1211" s="4">
        <v>1.5205</v>
      </c>
      <c r="E1211" s="4">
        <v>4451</v>
      </c>
      <c r="F1211" s="4">
        <v>3.7429999999999999</v>
      </c>
      <c r="G1211" s="4">
        <v>16660.093000000001</v>
      </c>
      <c r="H1211" s="5">
        <f t="shared" si="18"/>
        <v>-2.6693125080015409E-2</v>
      </c>
    </row>
    <row r="1212" spans="1:8" ht="13.5" x14ac:dyDescent="0.25">
      <c r="A1212" s="1"/>
      <c r="B1212" s="3">
        <v>44074</v>
      </c>
      <c r="C1212" s="4">
        <v>3.55</v>
      </c>
      <c r="D1212" s="4">
        <v>1.4789000000000001</v>
      </c>
      <c r="E1212" s="4">
        <v>899</v>
      </c>
      <c r="F1212" s="4">
        <v>3.6265999999999998</v>
      </c>
      <c r="G1212" s="4">
        <v>3260.3134</v>
      </c>
      <c r="H1212" s="5">
        <f t="shared" si="18"/>
        <v>-2.7359421243012074E-2</v>
      </c>
    </row>
    <row r="1213" spans="1:8" ht="13.5" x14ac:dyDescent="0.25">
      <c r="A1213" s="1"/>
      <c r="B1213" s="3">
        <v>44075</v>
      </c>
      <c r="C1213" s="4">
        <v>3.55</v>
      </c>
      <c r="D1213" s="4">
        <v>1.4789000000000001</v>
      </c>
      <c r="E1213" s="4">
        <v>322</v>
      </c>
      <c r="F1213" s="4">
        <v>3.4733000000000001</v>
      </c>
      <c r="G1213" s="4">
        <v>1118.4025999999999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3.65</v>
      </c>
      <c r="D1214" s="4">
        <v>1.5205</v>
      </c>
      <c r="E1214" s="4">
        <v>75</v>
      </c>
      <c r="F1214" s="4">
        <v>3.5339999999999998</v>
      </c>
      <c r="G1214" s="4">
        <v>265.05</v>
      </c>
      <c r="H1214" s="5">
        <f t="shared" si="18"/>
        <v>2.8129014808303373E-2</v>
      </c>
    </row>
    <row r="1215" spans="1:8" ht="13.5" x14ac:dyDescent="0.25">
      <c r="A1215" s="1"/>
      <c r="B1215" s="3">
        <v>44077</v>
      </c>
      <c r="C1215" s="4">
        <v>3.65</v>
      </c>
      <c r="D1215" s="4">
        <v>1.5205</v>
      </c>
      <c r="E1215" s="4">
        <v>1250</v>
      </c>
      <c r="F1215" s="4">
        <v>3.65</v>
      </c>
      <c r="G1215" s="4">
        <v>4562.5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3.55</v>
      </c>
      <c r="D1216" s="4">
        <v>1.4789000000000001</v>
      </c>
      <c r="E1216" s="4">
        <v>1226</v>
      </c>
      <c r="F1216" s="4">
        <v>3.55</v>
      </c>
      <c r="G1216" s="4">
        <v>4352.3</v>
      </c>
      <c r="H1216" s="5">
        <f t="shared" si="18"/>
        <v>-2.7359421243012074E-2</v>
      </c>
    </row>
    <row r="1217" spans="1:8" ht="13.5" x14ac:dyDescent="0.25">
      <c r="A1217" s="1"/>
      <c r="B1217" s="3">
        <v>44081</v>
      </c>
      <c r="C1217" s="4">
        <v>3.45</v>
      </c>
      <c r="D1217" s="4">
        <v>1.4372</v>
      </c>
      <c r="E1217" s="4">
        <v>1379</v>
      </c>
      <c r="F1217" s="4">
        <v>3.4533</v>
      </c>
      <c r="G1217" s="4">
        <v>4762.1007</v>
      </c>
      <c r="H1217" s="5">
        <f t="shared" si="18"/>
        <v>-2.8196632632361936E-2</v>
      </c>
    </row>
    <row r="1218" spans="1:8" ht="13.5" x14ac:dyDescent="0.25">
      <c r="A1218" s="1"/>
      <c r="B1218" s="3">
        <v>44082</v>
      </c>
      <c r="C1218" s="4">
        <v>3.41</v>
      </c>
      <c r="D1218" s="4">
        <v>1.4206000000000001</v>
      </c>
      <c r="E1218" s="4">
        <v>216</v>
      </c>
      <c r="F1218" s="4">
        <v>3.4131999999999998</v>
      </c>
      <c r="G1218" s="4">
        <v>737.25120000000004</v>
      </c>
      <c r="H1218" s="5">
        <f t="shared" si="18"/>
        <v>-1.1550236571110456E-2</v>
      </c>
    </row>
    <row r="1219" spans="1:8" ht="13.5" x14ac:dyDescent="0.25">
      <c r="A1219" s="1"/>
      <c r="B1219" s="3">
        <v>44083</v>
      </c>
      <c r="C1219" s="4">
        <v>3.41</v>
      </c>
      <c r="D1219" s="4">
        <v>1.4206000000000001</v>
      </c>
      <c r="E1219" s="4">
        <v>2124</v>
      </c>
      <c r="F1219" s="4">
        <v>3.4026999999999998</v>
      </c>
      <c r="G1219" s="4">
        <v>7227.3347999999996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3.32</v>
      </c>
      <c r="D1220" s="4">
        <v>1.3831</v>
      </c>
      <c r="E1220" s="4">
        <v>2019</v>
      </c>
      <c r="F1220" s="4">
        <v>3.3201000000000001</v>
      </c>
      <c r="G1220" s="4">
        <v>6703.2819</v>
      </c>
      <c r="H1220" s="5">
        <f t="shared" si="18"/>
        <v>-2.6397296916795782E-2</v>
      </c>
    </row>
    <row r="1221" spans="1:8" ht="13.5" x14ac:dyDescent="0.25">
      <c r="A1221" s="1"/>
      <c r="B1221" s="3">
        <v>44085</v>
      </c>
      <c r="C1221" s="4">
        <v>3.41</v>
      </c>
      <c r="D1221" s="4">
        <v>1.4206000000000001</v>
      </c>
      <c r="E1221" s="4">
        <v>5068</v>
      </c>
      <c r="F1221" s="4">
        <v>3.3759000000000001</v>
      </c>
      <c r="G1221" s="4">
        <v>17109.0612</v>
      </c>
      <c r="H1221" s="5">
        <f t="shared" si="18"/>
        <v>2.7113007013231213E-2</v>
      </c>
    </row>
    <row r="1222" spans="1:8" ht="13.5" x14ac:dyDescent="0.25">
      <c r="A1222" s="1"/>
      <c r="B1222" s="3">
        <v>44088</v>
      </c>
      <c r="C1222" s="4">
        <v>3.5</v>
      </c>
      <c r="D1222" s="4">
        <v>1.4581</v>
      </c>
      <c r="E1222" s="4">
        <v>764</v>
      </c>
      <c r="F1222" s="4">
        <v>3.4108000000000001</v>
      </c>
      <c r="G1222" s="4">
        <v>2605.8512000000001</v>
      </c>
      <c r="H1222" s="5">
        <f t="shared" si="18"/>
        <v>2.6397296916795626E-2</v>
      </c>
    </row>
    <row r="1223" spans="1:8" ht="13.5" x14ac:dyDescent="0.25">
      <c r="A1223" s="1"/>
      <c r="B1223" s="3">
        <v>44089</v>
      </c>
      <c r="C1223" s="4">
        <v>3.4</v>
      </c>
      <c r="D1223" s="4">
        <v>1.4164000000000001</v>
      </c>
      <c r="E1223" s="4">
        <v>372</v>
      </c>
      <c r="F1223" s="4">
        <v>3.4003000000000001</v>
      </c>
      <c r="G1223" s="4">
        <v>1264.9115999999999</v>
      </c>
      <c r="H1223" s="5">
        <f t="shared" ref="H1223:H1286" si="19">(D1223-D1222)/D1222</f>
        <v>-2.8598861532130752E-2</v>
      </c>
    </row>
    <row r="1224" spans="1:8" ht="13.5" x14ac:dyDescent="0.25">
      <c r="A1224" s="1"/>
      <c r="B1224" s="3">
        <v>44090</v>
      </c>
      <c r="C1224" s="4">
        <v>3.4</v>
      </c>
      <c r="D1224" s="4">
        <v>1.4164000000000001</v>
      </c>
      <c r="E1224" s="4">
        <v>98</v>
      </c>
      <c r="F1224" s="4">
        <v>3.4</v>
      </c>
      <c r="G1224" s="4">
        <v>333.2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3.31</v>
      </c>
      <c r="D1225" s="4">
        <v>1.3789</v>
      </c>
      <c r="E1225" s="4">
        <v>11336</v>
      </c>
      <c r="F1225" s="4">
        <v>3.3862999999999999</v>
      </c>
      <c r="G1225" s="4">
        <v>38387.096799999999</v>
      </c>
      <c r="H1225" s="5">
        <f t="shared" si="19"/>
        <v>-2.6475571872352503E-2</v>
      </c>
    </row>
    <row r="1226" spans="1:8" ht="13.5" x14ac:dyDescent="0.25">
      <c r="A1226" s="1"/>
      <c r="B1226" s="3">
        <v>44092</v>
      </c>
      <c r="C1226" s="4">
        <v>3.4</v>
      </c>
      <c r="D1226" s="4">
        <v>1.4164000000000001</v>
      </c>
      <c r="E1226" s="4">
        <v>10</v>
      </c>
      <c r="F1226" s="4">
        <v>3.4</v>
      </c>
      <c r="G1226" s="4">
        <v>34</v>
      </c>
      <c r="H1226" s="5">
        <f t="shared" si="19"/>
        <v>2.7195590688229812E-2</v>
      </c>
    </row>
    <row r="1227" spans="1:8" ht="13.5" x14ac:dyDescent="0.25">
      <c r="A1227" s="1"/>
      <c r="B1227" s="3">
        <v>44095</v>
      </c>
      <c r="C1227" s="4">
        <v>3.4</v>
      </c>
      <c r="D1227" s="4">
        <v>1.4164000000000001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3.3</v>
      </c>
      <c r="D1228" s="4">
        <v>1.3747</v>
      </c>
      <c r="E1228" s="4">
        <v>928</v>
      </c>
      <c r="F1228" s="4">
        <v>3.3022999999999998</v>
      </c>
      <c r="G1228" s="4">
        <v>3064.5344</v>
      </c>
      <c r="H1228" s="5">
        <f t="shared" si="19"/>
        <v>-2.9440835922055965E-2</v>
      </c>
    </row>
    <row r="1229" spans="1:8" ht="13.5" x14ac:dyDescent="0.25">
      <c r="A1229" s="1"/>
      <c r="B1229" s="3">
        <v>44097</v>
      </c>
      <c r="C1229" s="4">
        <v>3.29</v>
      </c>
      <c r="D1229" s="4">
        <v>1.3706</v>
      </c>
      <c r="E1229" s="4">
        <v>249</v>
      </c>
      <c r="F1229" s="4">
        <v>3.2963</v>
      </c>
      <c r="G1229" s="4">
        <v>820.77869999999996</v>
      </c>
      <c r="H1229" s="5">
        <f t="shared" si="19"/>
        <v>-2.982468902305952E-3</v>
      </c>
    </row>
    <row r="1230" spans="1:8" ht="13.5" x14ac:dyDescent="0.25">
      <c r="A1230" s="1"/>
      <c r="B1230" s="3">
        <v>44098</v>
      </c>
      <c r="C1230" s="4">
        <v>3.29</v>
      </c>
      <c r="D1230" s="4">
        <v>1.3706</v>
      </c>
      <c r="E1230" s="4">
        <v>2381</v>
      </c>
      <c r="F1230" s="4">
        <v>3.2210999999999999</v>
      </c>
      <c r="G1230" s="4">
        <v>7669.4390999999996</v>
      </c>
      <c r="H1230" s="5">
        <f t="shared" si="19"/>
        <v>0</v>
      </c>
    </row>
    <row r="1231" spans="1:8" ht="13.5" x14ac:dyDescent="0.25">
      <c r="A1231" s="1"/>
      <c r="B1231" s="3">
        <v>44099</v>
      </c>
      <c r="C1231" s="4">
        <v>3.38</v>
      </c>
      <c r="D1231" s="4">
        <v>1.4080999999999999</v>
      </c>
      <c r="E1231" s="4">
        <v>33</v>
      </c>
      <c r="F1231" s="4">
        <v>3.3102999999999998</v>
      </c>
      <c r="G1231" s="4">
        <v>109.23990000000001</v>
      </c>
      <c r="H1231" s="5">
        <f t="shared" si="19"/>
        <v>2.7360280169268836E-2</v>
      </c>
    </row>
    <row r="1232" spans="1:8" ht="13.5" x14ac:dyDescent="0.25">
      <c r="A1232" s="1"/>
      <c r="B1232" s="3">
        <v>44102</v>
      </c>
      <c r="C1232" s="4">
        <v>3.38</v>
      </c>
      <c r="D1232" s="4">
        <v>1.4080999999999999</v>
      </c>
      <c r="E1232" s="4">
        <v>145</v>
      </c>
      <c r="F1232" s="4">
        <v>3.3765999999999998</v>
      </c>
      <c r="G1232" s="4">
        <v>489.60700000000003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3.38</v>
      </c>
      <c r="D1233" s="4">
        <v>1.4080999999999999</v>
      </c>
      <c r="E1233" s="4">
        <v>0</v>
      </c>
      <c r="F1233" s="4">
        <v>0</v>
      </c>
      <c r="G1233" s="4">
        <v>0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3.36</v>
      </c>
      <c r="D1234" s="4">
        <v>1.3996999999999999</v>
      </c>
      <c r="E1234" s="4">
        <v>388</v>
      </c>
      <c r="F1234" s="4">
        <v>3.3050000000000002</v>
      </c>
      <c r="G1234" s="4">
        <v>1282.3399999999999</v>
      </c>
      <c r="H1234" s="5">
        <f t="shared" si="19"/>
        <v>-5.9654854058660348E-3</v>
      </c>
    </row>
    <row r="1235" spans="1:8" ht="13.5" x14ac:dyDescent="0.25">
      <c r="A1235" s="1"/>
      <c r="B1235" s="3">
        <v>44105</v>
      </c>
      <c r="C1235" s="4">
        <v>3.35</v>
      </c>
      <c r="D1235" s="4">
        <v>1.3956</v>
      </c>
      <c r="E1235" s="4">
        <v>416</v>
      </c>
      <c r="F1235" s="4">
        <v>3.2938000000000001</v>
      </c>
      <c r="G1235" s="4">
        <v>1370.2208000000001</v>
      </c>
      <c r="H1235" s="5">
        <f t="shared" si="19"/>
        <v>-2.9291991140958725E-3</v>
      </c>
    </row>
    <row r="1236" spans="1:8" ht="13.5" x14ac:dyDescent="0.25">
      <c r="A1236" s="1"/>
      <c r="B1236" s="3">
        <v>44106</v>
      </c>
      <c r="C1236" s="4">
        <v>3.45</v>
      </c>
      <c r="D1236" s="4">
        <v>1.4372</v>
      </c>
      <c r="E1236" s="4">
        <v>3333</v>
      </c>
      <c r="F1236" s="4">
        <v>3.3757000000000001</v>
      </c>
      <c r="G1236" s="4">
        <v>11251.2081</v>
      </c>
      <c r="H1236" s="5">
        <f t="shared" si="19"/>
        <v>2.9807967899111554E-2</v>
      </c>
    </row>
    <row r="1237" spans="1:8" ht="13.5" x14ac:dyDescent="0.25">
      <c r="A1237" s="1"/>
      <c r="B1237" s="3">
        <v>44109</v>
      </c>
      <c r="C1237" s="4">
        <v>3.48</v>
      </c>
      <c r="D1237" s="4">
        <v>1.4497</v>
      </c>
      <c r="E1237" s="4">
        <v>5</v>
      </c>
      <c r="F1237" s="4">
        <v>3.48</v>
      </c>
      <c r="G1237" s="4">
        <v>17.399999999999999</v>
      </c>
      <c r="H1237" s="5">
        <f t="shared" si="19"/>
        <v>8.6974672975229303E-3</v>
      </c>
    </row>
    <row r="1238" spans="1:8" ht="13.5" x14ac:dyDescent="0.25">
      <c r="A1238" s="1"/>
      <c r="B1238" s="3">
        <v>44110</v>
      </c>
      <c r="C1238" s="4">
        <v>3.38</v>
      </c>
      <c r="D1238" s="4">
        <v>1.4080999999999999</v>
      </c>
      <c r="E1238" s="4">
        <v>700</v>
      </c>
      <c r="F1238" s="4">
        <v>3.38</v>
      </c>
      <c r="G1238" s="4">
        <v>2366</v>
      </c>
      <c r="H1238" s="5">
        <f t="shared" si="19"/>
        <v>-2.8695592191487949E-2</v>
      </c>
    </row>
    <row r="1239" spans="1:8" ht="13.5" x14ac:dyDescent="0.25">
      <c r="A1239" s="1"/>
      <c r="B1239" s="3">
        <v>44111</v>
      </c>
      <c r="C1239" s="4">
        <v>3.49</v>
      </c>
      <c r="D1239" s="4">
        <v>1.4539</v>
      </c>
      <c r="E1239" s="4">
        <v>592</v>
      </c>
      <c r="F1239" s="4">
        <v>3.2429000000000001</v>
      </c>
      <c r="G1239" s="4">
        <v>1919.7968000000001</v>
      </c>
      <c r="H1239" s="5">
        <f t="shared" si="19"/>
        <v>3.2526098998650714E-2</v>
      </c>
    </row>
    <row r="1240" spans="1:8" ht="13.5" x14ac:dyDescent="0.25">
      <c r="A1240" s="1"/>
      <c r="B1240" s="3">
        <v>44112</v>
      </c>
      <c r="C1240" s="4">
        <v>3.34</v>
      </c>
      <c r="D1240" s="4">
        <v>1.3914</v>
      </c>
      <c r="E1240" s="4">
        <v>526</v>
      </c>
      <c r="F1240" s="4">
        <v>3.3401999999999998</v>
      </c>
      <c r="G1240" s="4">
        <v>1756.9452000000001</v>
      </c>
      <c r="H1240" s="5">
        <f t="shared" si="19"/>
        <v>-4.2987825847719929E-2</v>
      </c>
    </row>
    <row r="1241" spans="1:8" ht="13.5" x14ac:dyDescent="0.25">
      <c r="A1241" s="1"/>
      <c r="B1241" s="3">
        <v>44113</v>
      </c>
      <c r="C1241" s="4">
        <v>3.44</v>
      </c>
      <c r="D1241" s="4">
        <v>1.4331</v>
      </c>
      <c r="E1241" s="4">
        <v>51</v>
      </c>
      <c r="F1241" s="4">
        <v>3.44</v>
      </c>
      <c r="G1241" s="4">
        <v>175.44</v>
      </c>
      <c r="H1241" s="5">
        <f t="shared" si="19"/>
        <v>2.9969814575248003E-2</v>
      </c>
    </row>
    <row r="1242" spans="1:8" ht="13.5" x14ac:dyDescent="0.25">
      <c r="A1242" s="1"/>
      <c r="B1242" s="3">
        <v>44116</v>
      </c>
      <c r="C1242" s="4">
        <v>3.44</v>
      </c>
      <c r="D1242" s="4">
        <v>1.4331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3.49</v>
      </c>
      <c r="D1243" s="4">
        <v>1.4539</v>
      </c>
      <c r="E1243" s="4">
        <v>5</v>
      </c>
      <c r="F1243" s="4">
        <v>3.49</v>
      </c>
      <c r="G1243" s="4">
        <v>17.45</v>
      </c>
      <c r="H1243" s="5">
        <f t="shared" si="19"/>
        <v>1.4513990649640591E-2</v>
      </c>
    </row>
    <row r="1244" spans="1:8" ht="13.5" x14ac:dyDescent="0.25">
      <c r="A1244" s="1"/>
      <c r="B1244" s="3">
        <v>44118</v>
      </c>
      <c r="C1244" s="4">
        <v>3.49</v>
      </c>
      <c r="D1244" s="4">
        <v>1.4539</v>
      </c>
      <c r="E1244" s="4">
        <v>156</v>
      </c>
      <c r="F1244" s="4">
        <v>3.49</v>
      </c>
      <c r="G1244" s="4">
        <v>544.44000000000005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3.59</v>
      </c>
      <c r="D1245" s="4">
        <v>1.4956</v>
      </c>
      <c r="E1245" s="4">
        <v>5302</v>
      </c>
      <c r="F1245" s="4">
        <v>3.5655999999999999</v>
      </c>
      <c r="G1245" s="4">
        <v>18904.8112</v>
      </c>
      <c r="H1245" s="5">
        <f t="shared" si="19"/>
        <v>2.8681477405598784E-2</v>
      </c>
    </row>
    <row r="1246" spans="1:8" ht="13.5" x14ac:dyDescent="0.25">
      <c r="A1246" s="1"/>
      <c r="B1246" s="3">
        <v>44123</v>
      </c>
      <c r="C1246" s="4">
        <v>3.59</v>
      </c>
      <c r="D1246" s="4">
        <v>1.4956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3.55</v>
      </c>
      <c r="D1247" s="4">
        <v>1.4789000000000001</v>
      </c>
      <c r="E1247" s="4">
        <v>700</v>
      </c>
      <c r="F1247" s="4">
        <v>3.5449999999999999</v>
      </c>
      <c r="G1247" s="4">
        <v>2481.5</v>
      </c>
      <c r="H1247" s="5">
        <f t="shared" si="19"/>
        <v>-1.1166087189087948E-2</v>
      </c>
    </row>
    <row r="1248" spans="1:8" ht="13.5" x14ac:dyDescent="0.25">
      <c r="A1248" s="1"/>
      <c r="B1248" s="3">
        <v>44125</v>
      </c>
      <c r="C1248" s="4">
        <v>3.58</v>
      </c>
      <c r="D1248" s="4">
        <v>1.4914000000000001</v>
      </c>
      <c r="E1248" s="4">
        <v>5070</v>
      </c>
      <c r="F1248" s="4">
        <v>3.5737999999999999</v>
      </c>
      <c r="G1248" s="4">
        <v>18119.166000000001</v>
      </c>
      <c r="H1248" s="5">
        <f t="shared" si="19"/>
        <v>8.452228007302694E-3</v>
      </c>
    </row>
    <row r="1249" spans="1:8" ht="13.5" x14ac:dyDescent="0.25">
      <c r="A1249" s="1"/>
      <c r="B1249" s="3">
        <v>44126</v>
      </c>
      <c r="C1249" s="4">
        <v>3.58</v>
      </c>
      <c r="D1249" s="4">
        <v>1.4914000000000001</v>
      </c>
      <c r="E1249" s="4">
        <v>0</v>
      </c>
      <c r="F1249" s="4">
        <v>0</v>
      </c>
      <c r="G1249" s="4">
        <v>0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3.51</v>
      </c>
      <c r="D1250" s="4">
        <v>1.4621999999999999</v>
      </c>
      <c r="E1250" s="4">
        <v>702</v>
      </c>
      <c r="F1250" s="4">
        <v>3.5185</v>
      </c>
      <c r="G1250" s="4">
        <v>2469.9870000000001</v>
      </c>
      <c r="H1250" s="5">
        <f t="shared" si="19"/>
        <v>-1.9578919136382E-2</v>
      </c>
    </row>
    <row r="1251" spans="1:8" ht="13.5" x14ac:dyDescent="0.25">
      <c r="A1251" s="1"/>
      <c r="B1251" s="3">
        <v>44130</v>
      </c>
      <c r="C1251" s="4">
        <v>3.5</v>
      </c>
      <c r="D1251" s="4">
        <v>1.4581</v>
      </c>
      <c r="E1251" s="4">
        <v>1999</v>
      </c>
      <c r="F1251" s="4">
        <v>3.5209000000000001</v>
      </c>
      <c r="G1251" s="4">
        <v>7038.2790999999997</v>
      </c>
      <c r="H1251" s="5">
        <f t="shared" si="19"/>
        <v>-2.8039939816714488E-3</v>
      </c>
    </row>
    <row r="1252" spans="1:8" ht="13.5" x14ac:dyDescent="0.25">
      <c r="A1252" s="1"/>
      <c r="B1252" s="3">
        <v>44131</v>
      </c>
      <c r="C1252" s="4">
        <v>3.48</v>
      </c>
      <c r="D1252" s="4">
        <v>1.4497</v>
      </c>
      <c r="E1252" s="4">
        <v>84</v>
      </c>
      <c r="F1252" s="4">
        <v>3.4860000000000002</v>
      </c>
      <c r="G1252" s="4">
        <v>292.82400000000001</v>
      </c>
      <c r="H1252" s="5">
        <f t="shared" si="19"/>
        <v>-5.7609217474795717E-3</v>
      </c>
    </row>
    <row r="1253" spans="1:8" ht="13.5" x14ac:dyDescent="0.25">
      <c r="A1253" s="1"/>
      <c r="B1253" s="3">
        <v>44132</v>
      </c>
      <c r="C1253" s="4">
        <v>3.47</v>
      </c>
      <c r="D1253" s="4">
        <v>1.4456</v>
      </c>
      <c r="E1253" s="4">
        <v>623</v>
      </c>
      <c r="F1253" s="4">
        <v>3.4792999999999998</v>
      </c>
      <c r="G1253" s="4">
        <v>2167.6039000000001</v>
      </c>
      <c r="H1253" s="5">
        <f t="shared" si="19"/>
        <v>-2.8281713457956768E-3</v>
      </c>
    </row>
    <row r="1254" spans="1:8" ht="13.5" x14ac:dyDescent="0.25">
      <c r="A1254" s="1"/>
      <c r="B1254" s="3">
        <v>44134</v>
      </c>
      <c r="C1254" s="4">
        <v>3.57</v>
      </c>
      <c r="D1254" s="4">
        <v>1.4872000000000001</v>
      </c>
      <c r="E1254" s="4">
        <v>5</v>
      </c>
      <c r="F1254" s="4">
        <v>3.57</v>
      </c>
      <c r="G1254" s="4">
        <v>17.850000000000001</v>
      </c>
      <c r="H1254" s="5">
        <f t="shared" si="19"/>
        <v>2.8776978417266244E-2</v>
      </c>
    </row>
    <row r="1255" spans="1:8" ht="13.5" x14ac:dyDescent="0.25">
      <c r="A1255" s="1"/>
      <c r="B1255" s="3">
        <v>44137</v>
      </c>
      <c r="C1255" s="4">
        <v>3.6</v>
      </c>
      <c r="D1255" s="4">
        <v>1.4997</v>
      </c>
      <c r="E1255" s="4">
        <v>5166</v>
      </c>
      <c r="F1255" s="4">
        <v>3.5486</v>
      </c>
      <c r="G1255" s="4">
        <v>18332.067599999998</v>
      </c>
      <c r="H1255" s="5">
        <f t="shared" si="19"/>
        <v>8.4050564819795285E-3</v>
      </c>
    </row>
    <row r="1256" spans="1:8" ht="13.5" x14ac:dyDescent="0.25">
      <c r="A1256" s="1"/>
      <c r="B1256" s="3">
        <v>44138</v>
      </c>
      <c r="C1256" s="4">
        <v>3.66</v>
      </c>
      <c r="D1256" s="4">
        <v>1.5246999999999999</v>
      </c>
      <c r="E1256" s="4">
        <v>130</v>
      </c>
      <c r="F1256" s="4">
        <v>3.6604000000000001</v>
      </c>
      <c r="G1256" s="4">
        <v>475.85199999999998</v>
      </c>
      <c r="H1256" s="5">
        <f t="shared" si="19"/>
        <v>1.6670000666799967E-2</v>
      </c>
    </row>
    <row r="1257" spans="1:8" ht="13.5" x14ac:dyDescent="0.25">
      <c r="A1257" s="1"/>
      <c r="B1257" s="3">
        <v>44139</v>
      </c>
      <c r="C1257" s="4">
        <v>3.59</v>
      </c>
      <c r="D1257" s="4">
        <v>1.4956</v>
      </c>
      <c r="E1257" s="4">
        <v>1685</v>
      </c>
      <c r="F1257" s="4">
        <v>3.5737000000000001</v>
      </c>
      <c r="G1257" s="4">
        <v>6021.6845000000003</v>
      </c>
      <c r="H1257" s="5">
        <f t="shared" si="19"/>
        <v>-1.908572178133397E-2</v>
      </c>
    </row>
    <row r="1258" spans="1:8" ht="13.5" x14ac:dyDescent="0.25">
      <c r="A1258" s="1"/>
      <c r="B1258" s="3">
        <v>44140</v>
      </c>
      <c r="C1258" s="4">
        <v>3.59</v>
      </c>
      <c r="D1258" s="4">
        <v>1.4956</v>
      </c>
      <c r="E1258" s="4">
        <v>35238</v>
      </c>
      <c r="F1258" s="4">
        <v>3.5379</v>
      </c>
      <c r="G1258" s="4">
        <v>124668.5202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3.59</v>
      </c>
      <c r="D1259" s="4">
        <v>1.4956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3.63</v>
      </c>
      <c r="D1260" s="4">
        <v>1.5122</v>
      </c>
      <c r="E1260" s="4">
        <v>30</v>
      </c>
      <c r="F1260" s="4">
        <v>3.63</v>
      </c>
      <c r="G1260" s="4">
        <v>108.9</v>
      </c>
      <c r="H1260" s="5">
        <f t="shared" si="19"/>
        <v>1.1099224391548507E-2</v>
      </c>
    </row>
    <row r="1261" spans="1:8" ht="13.5" x14ac:dyDescent="0.25">
      <c r="A1261" s="1"/>
      <c r="B1261" s="3">
        <v>44145</v>
      </c>
      <c r="C1261" s="4">
        <v>3.58</v>
      </c>
      <c r="D1261" s="4">
        <v>1.4914000000000001</v>
      </c>
      <c r="E1261" s="4">
        <v>231</v>
      </c>
      <c r="F1261" s="4">
        <v>3.5678999999999998</v>
      </c>
      <c r="G1261" s="4">
        <v>824.18489999999997</v>
      </c>
      <c r="H1261" s="5">
        <f t="shared" si="19"/>
        <v>-1.3754794339373053E-2</v>
      </c>
    </row>
    <row r="1262" spans="1:8" ht="13.5" x14ac:dyDescent="0.25">
      <c r="A1262" s="1"/>
      <c r="B1262" s="3">
        <v>44146</v>
      </c>
      <c r="C1262" s="4">
        <v>3.58</v>
      </c>
      <c r="D1262" s="4">
        <v>1.4914000000000001</v>
      </c>
      <c r="E1262" s="4">
        <v>490</v>
      </c>
      <c r="F1262" s="4">
        <v>3.5769000000000002</v>
      </c>
      <c r="G1262" s="4">
        <v>1752.681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3.58</v>
      </c>
      <c r="D1263" s="4">
        <v>1.4914000000000001</v>
      </c>
      <c r="E1263" s="4">
        <v>944</v>
      </c>
      <c r="F1263" s="4">
        <v>3.58</v>
      </c>
      <c r="G1263" s="4">
        <v>3379.52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3.53</v>
      </c>
      <c r="D1264" s="4">
        <v>1.4705999999999999</v>
      </c>
      <c r="E1264" s="4">
        <v>69</v>
      </c>
      <c r="F1264" s="4">
        <v>3.53</v>
      </c>
      <c r="G1264" s="4">
        <v>243.57</v>
      </c>
      <c r="H1264" s="5">
        <f t="shared" si="19"/>
        <v>-1.3946627330025581E-2</v>
      </c>
    </row>
    <row r="1265" spans="1:8" ht="13.5" x14ac:dyDescent="0.25">
      <c r="A1265" s="1"/>
      <c r="B1265" s="3">
        <v>44151</v>
      </c>
      <c r="C1265" s="4">
        <v>3.53</v>
      </c>
      <c r="D1265" s="4">
        <v>1.4705999999999999</v>
      </c>
      <c r="E1265" s="4">
        <v>610</v>
      </c>
      <c r="F1265" s="4">
        <v>3.5392999999999999</v>
      </c>
      <c r="G1265" s="4">
        <v>2158.973</v>
      </c>
      <c r="H1265" s="5">
        <f t="shared" si="19"/>
        <v>0</v>
      </c>
    </row>
    <row r="1266" spans="1:8" ht="13.5" x14ac:dyDescent="0.25">
      <c r="A1266" s="1"/>
      <c r="B1266" s="3">
        <v>44152</v>
      </c>
      <c r="C1266" s="4">
        <v>3.53</v>
      </c>
      <c r="D1266" s="4">
        <v>1.4705999999999999</v>
      </c>
      <c r="E1266" s="4">
        <v>15199</v>
      </c>
      <c r="F1266" s="4">
        <v>3.5009000000000001</v>
      </c>
      <c r="G1266" s="4">
        <v>53210.179100000001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3.53</v>
      </c>
      <c r="D1267" s="4">
        <v>1.4705999999999999</v>
      </c>
      <c r="E1267" s="4">
        <v>5637</v>
      </c>
      <c r="F1267" s="4">
        <v>3.3803000000000001</v>
      </c>
      <c r="G1267" s="4">
        <v>19054.751100000001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3.49</v>
      </c>
      <c r="D1268" s="4">
        <v>1.4539</v>
      </c>
      <c r="E1268" s="4">
        <v>2256</v>
      </c>
      <c r="F1268" s="4">
        <v>3.3860999999999999</v>
      </c>
      <c r="G1268" s="4">
        <v>7639.0415999999996</v>
      </c>
      <c r="H1268" s="5">
        <f t="shared" si="19"/>
        <v>-1.1355909152726737E-2</v>
      </c>
    </row>
    <row r="1269" spans="1:8" ht="13.5" x14ac:dyDescent="0.25">
      <c r="A1269" s="1"/>
      <c r="B1269" s="3">
        <v>44155</v>
      </c>
      <c r="C1269" s="4">
        <v>3.47</v>
      </c>
      <c r="D1269" s="4">
        <v>1.4456</v>
      </c>
      <c r="E1269" s="4">
        <v>455</v>
      </c>
      <c r="F1269" s="4">
        <v>3.4184000000000001</v>
      </c>
      <c r="G1269" s="4">
        <v>1555.3720000000001</v>
      </c>
      <c r="H1269" s="5">
        <f t="shared" si="19"/>
        <v>-5.7087832725771885E-3</v>
      </c>
    </row>
    <row r="1270" spans="1:8" ht="13.5" x14ac:dyDescent="0.25">
      <c r="A1270" s="1"/>
      <c r="B1270" s="3">
        <v>44158</v>
      </c>
      <c r="C1270" s="4">
        <v>3.5</v>
      </c>
      <c r="D1270" s="4">
        <v>1.4581</v>
      </c>
      <c r="E1270" s="4">
        <v>1731</v>
      </c>
      <c r="F1270" s="4">
        <v>3.4211</v>
      </c>
      <c r="G1270" s="4">
        <v>5921.9241000000002</v>
      </c>
      <c r="H1270" s="5">
        <f t="shared" si="19"/>
        <v>8.6469286109573575E-3</v>
      </c>
    </row>
    <row r="1271" spans="1:8" ht="13.5" x14ac:dyDescent="0.25">
      <c r="A1271" s="1"/>
      <c r="B1271" s="3">
        <v>44159</v>
      </c>
      <c r="C1271" s="4">
        <v>3.47</v>
      </c>
      <c r="D1271" s="4">
        <v>1.4456</v>
      </c>
      <c r="E1271" s="4">
        <v>10905</v>
      </c>
      <c r="F1271" s="4">
        <v>3.45</v>
      </c>
      <c r="G1271" s="4">
        <v>37622.25</v>
      </c>
      <c r="H1271" s="5">
        <f t="shared" si="19"/>
        <v>-8.5728002194636558E-3</v>
      </c>
    </row>
    <row r="1272" spans="1:8" ht="13.5" x14ac:dyDescent="0.25">
      <c r="A1272" s="1"/>
      <c r="B1272" s="3">
        <v>44160</v>
      </c>
      <c r="C1272" s="4">
        <v>3.47</v>
      </c>
      <c r="D1272" s="4">
        <v>1.4456</v>
      </c>
      <c r="E1272" s="4">
        <v>385</v>
      </c>
      <c r="F1272" s="4">
        <v>3.4590999999999998</v>
      </c>
      <c r="G1272" s="4">
        <v>1331.7535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3.47</v>
      </c>
      <c r="D1273" s="4">
        <v>1.4456</v>
      </c>
      <c r="E1273" s="4">
        <v>1092</v>
      </c>
      <c r="F1273" s="4">
        <v>3.4514</v>
      </c>
      <c r="G1273" s="4">
        <v>3768.9288000000001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3.37</v>
      </c>
      <c r="D1274" s="4">
        <v>1.4038999999999999</v>
      </c>
      <c r="E1274" s="4">
        <v>7460</v>
      </c>
      <c r="F1274" s="4">
        <v>3.3803000000000001</v>
      </c>
      <c r="G1274" s="4">
        <v>25217.038</v>
      </c>
      <c r="H1274" s="5">
        <f t="shared" si="19"/>
        <v>-2.8846153846153896E-2</v>
      </c>
    </row>
    <row r="1275" spans="1:8" ht="13.5" x14ac:dyDescent="0.25">
      <c r="A1275" s="1"/>
      <c r="B1275" s="3">
        <v>44165</v>
      </c>
      <c r="C1275" s="4">
        <v>3.46</v>
      </c>
      <c r="D1275" s="4">
        <v>1.4414</v>
      </c>
      <c r="E1275" s="4">
        <v>3168</v>
      </c>
      <c r="F1275" s="4">
        <v>3.3797999999999999</v>
      </c>
      <c r="G1275" s="4">
        <v>10707.206399999999</v>
      </c>
      <c r="H1275" s="5">
        <f t="shared" si="19"/>
        <v>2.671130422394764E-2</v>
      </c>
    </row>
    <row r="1276" spans="1:8" ht="13.5" x14ac:dyDescent="0.25">
      <c r="A1276" s="1"/>
      <c r="B1276" s="3">
        <v>44166</v>
      </c>
      <c r="C1276" s="4">
        <v>3.45</v>
      </c>
      <c r="D1276" s="4">
        <v>1.4372</v>
      </c>
      <c r="E1276" s="4">
        <v>155</v>
      </c>
      <c r="F1276" s="4">
        <v>3.3898000000000001</v>
      </c>
      <c r="G1276" s="4">
        <v>525.41899999999998</v>
      </c>
      <c r="H1276" s="5">
        <f t="shared" si="19"/>
        <v>-2.913833772720953E-3</v>
      </c>
    </row>
    <row r="1277" spans="1:8" ht="13.5" x14ac:dyDescent="0.25">
      <c r="A1277" s="1"/>
      <c r="B1277" s="3">
        <v>44167</v>
      </c>
      <c r="C1277" s="4">
        <v>3.44</v>
      </c>
      <c r="D1277" s="4">
        <v>1.4331</v>
      </c>
      <c r="E1277" s="4">
        <v>451</v>
      </c>
      <c r="F1277" s="4">
        <v>3.3708999999999998</v>
      </c>
      <c r="G1277" s="4">
        <v>1520.2759000000001</v>
      </c>
      <c r="H1277" s="5">
        <f t="shared" si="19"/>
        <v>-2.8527692735875261E-3</v>
      </c>
    </row>
    <row r="1278" spans="1:8" ht="13.5" x14ac:dyDescent="0.25">
      <c r="A1278" s="1"/>
      <c r="B1278" s="3">
        <v>44168</v>
      </c>
      <c r="C1278" s="4">
        <v>3.44</v>
      </c>
      <c r="D1278" s="4">
        <v>1.4331</v>
      </c>
      <c r="E1278" s="4">
        <v>6143</v>
      </c>
      <c r="F1278" s="4">
        <v>3.4148000000000001</v>
      </c>
      <c r="G1278" s="4">
        <v>20977.116399999999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3.49</v>
      </c>
      <c r="D1279" s="4">
        <v>1.4539</v>
      </c>
      <c r="E1279" s="4">
        <v>2982</v>
      </c>
      <c r="F1279" s="4">
        <v>3.4114</v>
      </c>
      <c r="G1279" s="4">
        <v>10172.7948</v>
      </c>
      <c r="H1279" s="5">
        <f t="shared" si="19"/>
        <v>1.4513990649640591E-2</v>
      </c>
    </row>
    <row r="1280" spans="1:8" ht="13.5" x14ac:dyDescent="0.25">
      <c r="A1280" s="1"/>
      <c r="B1280" s="3">
        <v>44172</v>
      </c>
      <c r="C1280" s="4">
        <v>3.4</v>
      </c>
      <c r="D1280" s="4">
        <v>1.4164000000000001</v>
      </c>
      <c r="E1280" s="4">
        <v>425</v>
      </c>
      <c r="F1280" s="4">
        <v>3.4032</v>
      </c>
      <c r="G1280" s="4">
        <v>1446.36</v>
      </c>
      <c r="H1280" s="5">
        <f t="shared" si="19"/>
        <v>-2.5792695508631863E-2</v>
      </c>
    </row>
    <row r="1281" spans="1:8" ht="13.5" x14ac:dyDescent="0.25">
      <c r="A1281" s="1"/>
      <c r="B1281" s="3">
        <v>44173</v>
      </c>
      <c r="C1281" s="4">
        <v>3.5</v>
      </c>
      <c r="D1281" s="4">
        <v>1.4581</v>
      </c>
      <c r="E1281" s="4">
        <v>5</v>
      </c>
      <c r="F1281" s="4">
        <v>3.5</v>
      </c>
      <c r="G1281" s="4">
        <v>17.5</v>
      </c>
      <c r="H1281" s="5">
        <f t="shared" si="19"/>
        <v>2.9440835922055809E-2</v>
      </c>
    </row>
    <row r="1282" spans="1:8" ht="13.5" x14ac:dyDescent="0.25">
      <c r="A1282" s="1"/>
      <c r="B1282" s="3">
        <v>44174</v>
      </c>
      <c r="C1282" s="4">
        <v>3.4</v>
      </c>
      <c r="D1282" s="4">
        <v>1.4164000000000001</v>
      </c>
      <c r="E1282" s="4">
        <v>297</v>
      </c>
      <c r="F1282" s="4">
        <v>3.4</v>
      </c>
      <c r="G1282" s="4">
        <v>1009.8</v>
      </c>
      <c r="H1282" s="5">
        <f t="shared" si="19"/>
        <v>-2.8598861532130752E-2</v>
      </c>
    </row>
    <row r="1283" spans="1:8" ht="13.5" x14ac:dyDescent="0.25">
      <c r="A1283" s="1"/>
      <c r="B1283" s="3">
        <v>44175</v>
      </c>
      <c r="C1283" s="4">
        <v>3.37</v>
      </c>
      <c r="D1283" s="4">
        <v>1.4038999999999999</v>
      </c>
      <c r="E1283" s="4">
        <v>1635</v>
      </c>
      <c r="F1283" s="4">
        <v>3.3729</v>
      </c>
      <c r="G1283" s="4">
        <v>5514.6914999999999</v>
      </c>
      <c r="H1283" s="5">
        <f t="shared" si="19"/>
        <v>-8.8251906241176049E-3</v>
      </c>
    </row>
    <row r="1284" spans="1:8" ht="13.5" x14ac:dyDescent="0.25">
      <c r="A1284" s="1"/>
      <c r="B1284" s="3">
        <v>44176</v>
      </c>
      <c r="C1284" s="4">
        <v>3.38</v>
      </c>
      <c r="D1284" s="4">
        <v>1.4080999999999999</v>
      </c>
      <c r="E1284" s="4">
        <v>2492</v>
      </c>
      <c r="F1284" s="4">
        <v>3.3429000000000002</v>
      </c>
      <c r="G1284" s="4">
        <v>8330.5067999999992</v>
      </c>
      <c r="H1284" s="5">
        <f t="shared" si="19"/>
        <v>2.9916660730821155E-3</v>
      </c>
    </row>
    <row r="1285" spans="1:8" ht="13.5" x14ac:dyDescent="0.25">
      <c r="A1285" s="1"/>
      <c r="B1285" s="3">
        <v>44179</v>
      </c>
      <c r="C1285" s="4">
        <v>3.48</v>
      </c>
      <c r="D1285" s="4">
        <v>1.4497</v>
      </c>
      <c r="E1285" s="4">
        <v>1362</v>
      </c>
      <c r="F1285" s="4">
        <v>3.3414000000000001</v>
      </c>
      <c r="G1285" s="4">
        <v>4550.9867999999997</v>
      </c>
      <c r="H1285" s="5">
        <f t="shared" si="19"/>
        <v>2.9543356295717693E-2</v>
      </c>
    </row>
    <row r="1286" spans="1:8" ht="13.5" x14ac:dyDescent="0.25">
      <c r="A1286" s="1"/>
      <c r="B1286" s="3">
        <v>44180</v>
      </c>
      <c r="C1286" s="4">
        <v>3.45</v>
      </c>
      <c r="D1286" s="4">
        <v>1.4372</v>
      </c>
      <c r="E1286" s="4">
        <v>329</v>
      </c>
      <c r="F1286" s="4">
        <v>3.3791000000000002</v>
      </c>
      <c r="G1286" s="4">
        <v>1111.7239</v>
      </c>
      <c r="H1286" s="5">
        <f t="shared" si="19"/>
        <v>-8.6224736152307069E-3</v>
      </c>
    </row>
    <row r="1287" spans="1:8" ht="13.5" x14ac:dyDescent="0.25">
      <c r="A1287" s="1"/>
      <c r="B1287" s="3">
        <v>44181</v>
      </c>
      <c r="C1287" s="4">
        <v>3.4</v>
      </c>
      <c r="D1287" s="4">
        <v>1.4164000000000001</v>
      </c>
      <c r="E1287" s="4">
        <v>1834</v>
      </c>
      <c r="F1287" s="4">
        <v>3.3622000000000001</v>
      </c>
      <c r="G1287" s="4">
        <v>6166.2748000000001</v>
      </c>
      <c r="H1287" s="5">
        <f t="shared" ref="H1287:H1350" si="20">(D1287-D1286)/D1286</f>
        <v>-1.4472585583078158E-2</v>
      </c>
    </row>
    <row r="1288" spans="1:8" ht="13.5" x14ac:dyDescent="0.25">
      <c r="A1288" s="1"/>
      <c r="B1288" s="3">
        <v>44182</v>
      </c>
      <c r="C1288" s="4">
        <v>3.38</v>
      </c>
      <c r="D1288" s="4">
        <v>1.4080999999999999</v>
      </c>
      <c r="E1288" s="4">
        <v>22727</v>
      </c>
      <c r="F1288" s="4">
        <v>3.3936000000000002</v>
      </c>
      <c r="G1288" s="4">
        <v>77126.347200000004</v>
      </c>
      <c r="H1288" s="5">
        <f t="shared" si="20"/>
        <v>-5.8599265744141453E-3</v>
      </c>
    </row>
    <row r="1289" spans="1:8" ht="13.5" x14ac:dyDescent="0.25">
      <c r="A1289" s="1"/>
      <c r="B1289" s="3">
        <v>44183</v>
      </c>
      <c r="C1289" s="4">
        <v>3.5</v>
      </c>
      <c r="D1289" s="4">
        <v>1.4581</v>
      </c>
      <c r="E1289" s="4">
        <v>2817</v>
      </c>
      <c r="F1289" s="4">
        <v>3.4356</v>
      </c>
      <c r="G1289" s="4">
        <v>9678.0851999999995</v>
      </c>
      <c r="H1289" s="5">
        <f t="shared" si="20"/>
        <v>3.5508841701583728E-2</v>
      </c>
    </row>
    <row r="1290" spans="1:8" ht="13.5" x14ac:dyDescent="0.25">
      <c r="A1290" s="1"/>
      <c r="B1290" s="3">
        <v>44186</v>
      </c>
      <c r="C1290" s="4">
        <v>3.48</v>
      </c>
      <c r="D1290" s="4">
        <v>1.4497</v>
      </c>
      <c r="E1290" s="4">
        <v>25</v>
      </c>
      <c r="F1290" s="4">
        <v>3.48</v>
      </c>
      <c r="G1290" s="4">
        <v>87</v>
      </c>
      <c r="H1290" s="5">
        <f t="shared" si="20"/>
        <v>-5.7609217474795717E-3</v>
      </c>
    </row>
    <row r="1291" spans="1:8" ht="13.5" x14ac:dyDescent="0.25">
      <c r="A1291" s="1"/>
      <c r="B1291" s="3">
        <v>44187</v>
      </c>
      <c r="C1291" s="4">
        <v>3.45</v>
      </c>
      <c r="D1291" s="4">
        <v>1.4372</v>
      </c>
      <c r="E1291" s="4">
        <v>3970</v>
      </c>
      <c r="F1291" s="4">
        <v>3.4300999999999999</v>
      </c>
      <c r="G1291" s="4">
        <v>13617.496999999999</v>
      </c>
      <c r="H1291" s="5">
        <f t="shared" si="20"/>
        <v>-8.6224736152307069E-3</v>
      </c>
    </row>
    <row r="1292" spans="1:8" ht="13.5" x14ac:dyDescent="0.25">
      <c r="A1292" s="1"/>
      <c r="B1292" s="3">
        <v>44188</v>
      </c>
      <c r="C1292" s="4">
        <v>3.65</v>
      </c>
      <c r="D1292" s="4">
        <v>1.5205</v>
      </c>
      <c r="E1292" s="4">
        <v>13015</v>
      </c>
      <c r="F1292" s="4">
        <v>3.5680000000000001</v>
      </c>
      <c r="G1292" s="4">
        <v>46437.52</v>
      </c>
      <c r="H1292" s="5">
        <f t="shared" si="20"/>
        <v>5.7959922070692962E-2</v>
      </c>
    </row>
    <row r="1293" spans="1:8" ht="13.5" x14ac:dyDescent="0.25">
      <c r="A1293" s="1"/>
      <c r="B1293" s="3">
        <v>44189</v>
      </c>
      <c r="C1293" s="4">
        <v>3.85</v>
      </c>
      <c r="D1293" s="4">
        <v>1.6039000000000001</v>
      </c>
      <c r="E1293" s="4">
        <v>29961</v>
      </c>
      <c r="F1293" s="4">
        <v>3.7818000000000001</v>
      </c>
      <c r="G1293" s="4">
        <v>113306.5098</v>
      </c>
      <c r="H1293" s="5">
        <f t="shared" si="20"/>
        <v>5.4850378165077374E-2</v>
      </c>
    </row>
    <row r="1294" spans="1:8" ht="13.5" x14ac:dyDescent="0.25">
      <c r="A1294" s="1"/>
      <c r="B1294" s="3">
        <v>44190</v>
      </c>
      <c r="C1294" s="4">
        <v>3.99</v>
      </c>
      <c r="D1294" s="4">
        <v>1.6621999999999999</v>
      </c>
      <c r="E1294" s="4">
        <v>16653</v>
      </c>
      <c r="F1294" s="4">
        <v>3.9689999999999999</v>
      </c>
      <c r="G1294" s="4">
        <v>66095.756999999998</v>
      </c>
      <c r="H1294" s="5">
        <f t="shared" si="20"/>
        <v>3.6348899557328881E-2</v>
      </c>
    </row>
    <row r="1295" spans="1:8" ht="13.5" x14ac:dyDescent="0.25">
      <c r="A1295" s="1"/>
      <c r="B1295" s="3">
        <v>44193</v>
      </c>
      <c r="C1295" s="4">
        <v>3.92</v>
      </c>
      <c r="D1295" s="4">
        <v>1.633</v>
      </c>
      <c r="E1295" s="4">
        <v>1000</v>
      </c>
      <c r="F1295" s="4">
        <v>3.98</v>
      </c>
      <c r="G1295" s="4">
        <v>3980</v>
      </c>
      <c r="H1295" s="5">
        <f t="shared" si="20"/>
        <v>-1.7567079773793706E-2</v>
      </c>
    </row>
    <row r="1296" spans="1:8" ht="13.5" x14ac:dyDescent="0.25">
      <c r="A1296" s="1"/>
      <c r="B1296" s="3">
        <v>44194</v>
      </c>
      <c r="C1296" s="4">
        <v>3.99</v>
      </c>
      <c r="D1296" s="4">
        <v>1.6621999999999999</v>
      </c>
      <c r="E1296" s="4">
        <v>12669</v>
      </c>
      <c r="F1296" s="4">
        <v>3.9674999999999998</v>
      </c>
      <c r="G1296" s="4">
        <v>50264.2575</v>
      </c>
      <c r="H1296" s="5">
        <f t="shared" si="20"/>
        <v>1.7881200244947881E-2</v>
      </c>
    </row>
    <row r="1297" spans="1:8" ht="13.5" x14ac:dyDescent="0.25">
      <c r="A1297" s="1"/>
      <c r="B1297" s="3">
        <v>44195</v>
      </c>
      <c r="C1297" s="4">
        <v>3.88</v>
      </c>
      <c r="D1297" s="4">
        <v>1.6164000000000001</v>
      </c>
      <c r="E1297" s="4">
        <v>8678</v>
      </c>
      <c r="F1297" s="4">
        <v>3.9624000000000001</v>
      </c>
      <c r="G1297" s="4">
        <v>34385.707199999997</v>
      </c>
      <c r="H1297" s="5">
        <f t="shared" si="20"/>
        <v>-2.7553844302731226E-2</v>
      </c>
    </row>
    <row r="1298" spans="1:8" ht="13.5" x14ac:dyDescent="0.25">
      <c r="A1298" s="1"/>
      <c r="B1298" s="3">
        <v>44196</v>
      </c>
      <c r="C1298" s="4">
        <v>3.84</v>
      </c>
      <c r="D1298" s="4">
        <v>1.5996999999999999</v>
      </c>
      <c r="E1298" s="4">
        <v>17374</v>
      </c>
      <c r="F1298" s="4">
        <v>3.9531000000000001</v>
      </c>
      <c r="G1298" s="4">
        <v>68681.159400000004</v>
      </c>
      <c r="H1298" s="5">
        <f t="shared" si="20"/>
        <v>-1.0331601088839494E-2</v>
      </c>
    </row>
    <row r="1299" spans="1:8" ht="13.5" x14ac:dyDescent="0.25">
      <c r="A1299" s="1"/>
      <c r="B1299" s="3">
        <v>44200</v>
      </c>
      <c r="C1299" s="4">
        <v>3.73</v>
      </c>
      <c r="D1299" s="4">
        <v>1.5539000000000001</v>
      </c>
      <c r="E1299" s="4">
        <v>1775</v>
      </c>
      <c r="F1299" s="4">
        <v>3.7360000000000002</v>
      </c>
      <c r="G1299" s="4">
        <v>6631.4</v>
      </c>
      <c r="H1299" s="5">
        <f t="shared" si="20"/>
        <v>-2.8630368194036283E-2</v>
      </c>
    </row>
    <row r="1300" spans="1:8" ht="13.5" x14ac:dyDescent="0.25">
      <c r="A1300" s="1"/>
      <c r="B1300" s="3">
        <v>44201</v>
      </c>
      <c r="C1300" s="4">
        <v>3.61</v>
      </c>
      <c r="D1300" s="4">
        <v>1.5039</v>
      </c>
      <c r="E1300" s="4">
        <v>2957</v>
      </c>
      <c r="F1300" s="4">
        <v>3.6789999999999998</v>
      </c>
      <c r="G1300" s="4">
        <v>10878.803</v>
      </c>
      <c r="H1300" s="5">
        <f t="shared" si="20"/>
        <v>-3.217710277366629E-2</v>
      </c>
    </row>
    <row r="1301" spans="1:8" ht="13.5" x14ac:dyDescent="0.25">
      <c r="A1301" s="1"/>
      <c r="B1301" s="3">
        <v>44202</v>
      </c>
      <c r="C1301" s="4">
        <v>3.61</v>
      </c>
      <c r="D1301" s="4">
        <v>1.5039</v>
      </c>
      <c r="E1301" s="4">
        <v>1284</v>
      </c>
      <c r="F1301" s="4">
        <v>3.5217999999999998</v>
      </c>
      <c r="G1301" s="4">
        <v>4521.9912000000004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3.55</v>
      </c>
      <c r="D1302" s="4">
        <v>1.4789000000000001</v>
      </c>
      <c r="E1302" s="4">
        <v>600</v>
      </c>
      <c r="F1302" s="4">
        <v>3.5171000000000001</v>
      </c>
      <c r="G1302" s="4">
        <v>2110.2600000000002</v>
      </c>
      <c r="H1302" s="5">
        <f t="shared" si="20"/>
        <v>-1.662344570782626E-2</v>
      </c>
    </row>
    <row r="1303" spans="1:8" ht="13.5" x14ac:dyDescent="0.25">
      <c r="A1303" s="1"/>
      <c r="B1303" s="3">
        <v>44204</v>
      </c>
      <c r="C1303" s="4">
        <v>3.5</v>
      </c>
      <c r="D1303" s="4">
        <v>1.4581</v>
      </c>
      <c r="E1303" s="4">
        <v>1246</v>
      </c>
      <c r="F1303" s="4">
        <v>3.4613</v>
      </c>
      <c r="G1303" s="4">
        <v>4312.7798000000003</v>
      </c>
      <c r="H1303" s="5">
        <f t="shared" si="20"/>
        <v>-1.4064507404151836E-2</v>
      </c>
    </row>
    <row r="1304" spans="1:8" ht="13.5" x14ac:dyDescent="0.25">
      <c r="A1304" s="1"/>
      <c r="B1304" s="3">
        <v>44207</v>
      </c>
      <c r="C1304" s="4">
        <v>3.4</v>
      </c>
      <c r="D1304" s="4">
        <v>1.4164000000000001</v>
      </c>
      <c r="E1304" s="4">
        <v>398</v>
      </c>
      <c r="F1304" s="4">
        <v>3.4072</v>
      </c>
      <c r="G1304" s="4">
        <v>1356.0655999999999</v>
      </c>
      <c r="H1304" s="5">
        <f t="shared" si="20"/>
        <v>-2.8598861532130752E-2</v>
      </c>
    </row>
    <row r="1305" spans="1:8" ht="13.5" x14ac:dyDescent="0.25">
      <c r="A1305" s="1"/>
      <c r="B1305" s="3">
        <v>44208</v>
      </c>
      <c r="C1305" s="4">
        <v>3.4</v>
      </c>
      <c r="D1305" s="4">
        <v>1.4164000000000001</v>
      </c>
      <c r="E1305" s="4">
        <v>8138</v>
      </c>
      <c r="F1305" s="4">
        <v>3.3858999999999999</v>
      </c>
      <c r="G1305" s="4">
        <v>27554.4542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3.4</v>
      </c>
      <c r="D1306" s="4">
        <v>1.4164000000000001</v>
      </c>
      <c r="E1306" s="4">
        <v>2174</v>
      </c>
      <c r="F1306" s="4">
        <v>3.3500999999999999</v>
      </c>
      <c r="G1306" s="4">
        <v>7283.1174000000001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3.4</v>
      </c>
      <c r="D1307" s="4">
        <v>1.4164000000000001</v>
      </c>
      <c r="E1307" s="4">
        <v>1831</v>
      </c>
      <c r="F1307" s="4">
        <v>3.3517000000000001</v>
      </c>
      <c r="G1307" s="4">
        <v>6136.9627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3.4</v>
      </c>
      <c r="D1308" s="4">
        <v>1.4164000000000001</v>
      </c>
      <c r="E1308" s="4">
        <v>1590</v>
      </c>
      <c r="F1308" s="4">
        <v>3.3191999999999999</v>
      </c>
      <c r="G1308" s="4">
        <v>5277.5280000000002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3.35</v>
      </c>
      <c r="D1309" s="4">
        <v>1.3956</v>
      </c>
      <c r="E1309" s="4">
        <v>2400</v>
      </c>
      <c r="F1309" s="4">
        <v>3.3883000000000001</v>
      </c>
      <c r="G1309" s="4">
        <v>8131.92</v>
      </c>
      <c r="H1309" s="5">
        <f t="shared" si="20"/>
        <v>-1.4685117198531595E-2</v>
      </c>
    </row>
    <row r="1310" spans="1:8" ht="13.5" x14ac:dyDescent="0.25">
      <c r="A1310" s="1"/>
      <c r="B1310" s="3">
        <v>44216</v>
      </c>
      <c r="C1310" s="4">
        <v>3.44</v>
      </c>
      <c r="D1310" s="4">
        <v>1.4331</v>
      </c>
      <c r="E1310" s="4">
        <v>5249</v>
      </c>
      <c r="F1310" s="4">
        <v>3.3780999999999999</v>
      </c>
      <c r="G1310" s="4">
        <v>17731.6469</v>
      </c>
      <c r="H1310" s="5">
        <f t="shared" si="20"/>
        <v>2.6870163370593357E-2</v>
      </c>
    </row>
    <row r="1311" spans="1:8" ht="13.5" x14ac:dyDescent="0.25">
      <c r="A1311" s="1"/>
      <c r="B1311" s="3">
        <v>44217</v>
      </c>
      <c r="C1311" s="4">
        <v>3.4</v>
      </c>
      <c r="D1311" s="4">
        <v>1.4164000000000001</v>
      </c>
      <c r="E1311" s="4">
        <v>500</v>
      </c>
      <c r="F1311" s="4">
        <v>3.4039999999999999</v>
      </c>
      <c r="G1311" s="4">
        <v>1702</v>
      </c>
      <c r="H1311" s="5">
        <f t="shared" si="20"/>
        <v>-1.1653059800432585E-2</v>
      </c>
    </row>
    <row r="1312" spans="1:8" ht="13.5" x14ac:dyDescent="0.25">
      <c r="A1312" s="1"/>
      <c r="B1312" s="3">
        <v>44218</v>
      </c>
      <c r="C1312" s="4">
        <v>3.45</v>
      </c>
      <c r="D1312" s="4">
        <v>1.4372</v>
      </c>
      <c r="E1312" s="4">
        <v>17426</v>
      </c>
      <c r="F1312" s="4">
        <v>3.4030999999999998</v>
      </c>
      <c r="G1312" s="4">
        <v>59302.420599999998</v>
      </c>
      <c r="H1312" s="5">
        <f t="shared" si="20"/>
        <v>1.4685117198531437E-2</v>
      </c>
    </row>
    <row r="1313" spans="1:8" ht="13.5" x14ac:dyDescent="0.25">
      <c r="A1313" s="1"/>
      <c r="B1313" s="3">
        <v>44221</v>
      </c>
      <c r="C1313" s="4">
        <v>3.45</v>
      </c>
      <c r="D1313" s="4">
        <v>1.4372</v>
      </c>
      <c r="E1313" s="4">
        <v>4050</v>
      </c>
      <c r="F1313" s="4">
        <v>3.45</v>
      </c>
      <c r="G1313" s="4">
        <v>13972.5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3.46</v>
      </c>
      <c r="D1314" s="4">
        <v>1.4414</v>
      </c>
      <c r="E1314" s="4">
        <v>287</v>
      </c>
      <c r="F1314" s="4">
        <v>3.4878999999999998</v>
      </c>
      <c r="G1314" s="4">
        <v>1001.0273</v>
      </c>
      <c r="H1314" s="5">
        <f t="shared" si="20"/>
        <v>2.9223490119677019E-3</v>
      </c>
    </row>
    <row r="1315" spans="1:8" ht="13.5" x14ac:dyDescent="0.25">
      <c r="A1315" s="1"/>
      <c r="B1315" s="3">
        <v>44223</v>
      </c>
      <c r="C1315" s="4">
        <v>3.47</v>
      </c>
      <c r="D1315" s="4">
        <v>1.4456</v>
      </c>
      <c r="E1315" s="4">
        <v>10</v>
      </c>
      <c r="F1315" s="4">
        <v>3.47</v>
      </c>
      <c r="G1315" s="4">
        <v>34.700000000000003</v>
      </c>
      <c r="H1315" s="5">
        <f t="shared" si="20"/>
        <v>2.913833772720953E-3</v>
      </c>
    </row>
    <row r="1316" spans="1:8" ht="13.5" x14ac:dyDescent="0.25">
      <c r="A1316" s="1"/>
      <c r="B1316" s="3">
        <v>44224</v>
      </c>
      <c r="C1316" s="4">
        <v>3.37</v>
      </c>
      <c r="D1316" s="4">
        <v>1.4038999999999999</v>
      </c>
      <c r="E1316" s="4">
        <v>23190</v>
      </c>
      <c r="F1316" s="4">
        <v>3.3700999999999999</v>
      </c>
      <c r="G1316" s="4">
        <v>78152.619000000006</v>
      </c>
      <c r="H1316" s="5">
        <f t="shared" si="20"/>
        <v>-2.8846153846153896E-2</v>
      </c>
    </row>
    <row r="1317" spans="1:8" ht="13.5" x14ac:dyDescent="0.25">
      <c r="A1317" s="1"/>
      <c r="B1317" s="3">
        <v>44225</v>
      </c>
      <c r="C1317" s="4">
        <v>3.39</v>
      </c>
      <c r="D1317" s="4">
        <v>1.4121999999999999</v>
      </c>
      <c r="E1317" s="4">
        <v>495</v>
      </c>
      <c r="F1317" s="4">
        <v>3.3940000000000001</v>
      </c>
      <c r="G1317" s="4">
        <v>1680.03</v>
      </c>
      <c r="H1317" s="5">
        <f t="shared" si="20"/>
        <v>5.9121020015670449E-3</v>
      </c>
    </row>
    <row r="1318" spans="1:8" ht="13.5" x14ac:dyDescent="0.25">
      <c r="A1318" s="1"/>
      <c r="B1318" s="3">
        <v>44228</v>
      </c>
      <c r="C1318" s="4">
        <v>3.38</v>
      </c>
      <c r="D1318" s="4">
        <v>1.4080999999999999</v>
      </c>
      <c r="E1318" s="4">
        <v>14220</v>
      </c>
      <c r="F1318" s="4">
        <v>3.3563000000000001</v>
      </c>
      <c r="G1318" s="4">
        <v>47726.586000000003</v>
      </c>
      <c r="H1318" s="5">
        <f t="shared" si="20"/>
        <v>-2.9032714912901806E-3</v>
      </c>
    </row>
    <row r="1319" spans="1:8" ht="13.5" x14ac:dyDescent="0.25">
      <c r="A1319" s="1"/>
      <c r="B1319" s="3">
        <v>44229</v>
      </c>
      <c r="C1319" s="4">
        <v>3.4</v>
      </c>
      <c r="D1319" s="4">
        <v>1.4164000000000001</v>
      </c>
      <c r="E1319" s="4">
        <v>105</v>
      </c>
      <c r="F1319" s="4">
        <v>3.3094999999999999</v>
      </c>
      <c r="G1319" s="4">
        <v>347.4975</v>
      </c>
      <c r="H1319" s="5">
        <f t="shared" si="20"/>
        <v>5.8944677224630326E-3</v>
      </c>
    </row>
    <row r="1320" spans="1:8" ht="13.5" x14ac:dyDescent="0.25">
      <c r="A1320" s="1"/>
      <c r="B1320" s="3">
        <v>44230</v>
      </c>
      <c r="C1320" s="4">
        <v>3.39</v>
      </c>
      <c r="D1320" s="4">
        <v>1.4121999999999999</v>
      </c>
      <c r="E1320" s="4">
        <v>2417</v>
      </c>
      <c r="F1320" s="4">
        <v>3.3071999999999999</v>
      </c>
      <c r="G1320" s="4">
        <v>7993.5024000000003</v>
      </c>
      <c r="H1320" s="5">
        <f t="shared" si="20"/>
        <v>-2.9652640497036171E-3</v>
      </c>
    </row>
    <row r="1321" spans="1:8" ht="13.5" x14ac:dyDescent="0.25">
      <c r="A1321" s="1"/>
      <c r="B1321" s="3">
        <v>44231</v>
      </c>
      <c r="C1321" s="4">
        <v>3.35</v>
      </c>
      <c r="D1321" s="4">
        <v>1.3956</v>
      </c>
      <c r="E1321" s="4">
        <v>8278</v>
      </c>
      <c r="F1321" s="4">
        <v>3.3698999999999999</v>
      </c>
      <c r="G1321" s="4">
        <v>27896.032200000001</v>
      </c>
      <c r="H1321" s="5">
        <f t="shared" si="20"/>
        <v>-1.1754708964735837E-2</v>
      </c>
    </row>
    <row r="1322" spans="1:8" ht="13.5" x14ac:dyDescent="0.25">
      <c r="A1322" s="1"/>
      <c r="B1322" s="3">
        <v>44232</v>
      </c>
      <c r="C1322" s="4">
        <v>3.35</v>
      </c>
      <c r="D1322" s="4">
        <v>1.3956</v>
      </c>
      <c r="E1322" s="4">
        <v>8653</v>
      </c>
      <c r="F1322" s="4">
        <v>3.3935</v>
      </c>
      <c r="G1322" s="4">
        <v>29363.9555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3.4</v>
      </c>
      <c r="D1323" s="4">
        <v>1.4164000000000001</v>
      </c>
      <c r="E1323" s="4">
        <v>13203</v>
      </c>
      <c r="F1323" s="4">
        <v>3.4491999999999998</v>
      </c>
      <c r="G1323" s="4">
        <v>45539.787600000003</v>
      </c>
      <c r="H1323" s="5">
        <f t="shared" si="20"/>
        <v>1.4903983949555857E-2</v>
      </c>
    </row>
    <row r="1324" spans="1:8" ht="13.5" x14ac:dyDescent="0.25">
      <c r="A1324" s="1"/>
      <c r="B1324" s="3">
        <v>44236</v>
      </c>
      <c r="C1324" s="4">
        <v>3.4</v>
      </c>
      <c r="D1324" s="4">
        <v>1.4164000000000001</v>
      </c>
      <c r="E1324" s="4">
        <v>2385</v>
      </c>
      <c r="F1324" s="4">
        <v>3.4020999999999999</v>
      </c>
      <c r="G1324" s="4">
        <v>8114.0084999999999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3.45</v>
      </c>
      <c r="D1325" s="4">
        <v>1.4372</v>
      </c>
      <c r="E1325" s="4">
        <v>31</v>
      </c>
      <c r="F1325" s="4">
        <v>3.3483999999999998</v>
      </c>
      <c r="G1325" s="4">
        <v>103.8004</v>
      </c>
      <c r="H1325" s="5">
        <f t="shared" si="20"/>
        <v>1.4685117198531437E-2</v>
      </c>
    </row>
    <row r="1326" spans="1:8" ht="13.5" x14ac:dyDescent="0.25">
      <c r="A1326" s="1"/>
      <c r="B1326" s="3">
        <v>44238</v>
      </c>
      <c r="C1326" s="4">
        <v>3.35</v>
      </c>
      <c r="D1326" s="4">
        <v>1.3956</v>
      </c>
      <c r="E1326" s="4">
        <v>750</v>
      </c>
      <c r="F1326" s="4">
        <v>3.35</v>
      </c>
      <c r="G1326" s="4">
        <v>2512.5</v>
      </c>
      <c r="H1326" s="5">
        <f t="shared" si="20"/>
        <v>-2.8945171166156473E-2</v>
      </c>
    </row>
    <row r="1327" spans="1:8" ht="13.5" x14ac:dyDescent="0.25">
      <c r="A1327" s="1"/>
      <c r="B1327" s="3">
        <v>44239</v>
      </c>
      <c r="C1327" s="4">
        <v>3.44</v>
      </c>
      <c r="D1327" s="4">
        <v>1.4331</v>
      </c>
      <c r="E1327" s="4">
        <v>5</v>
      </c>
      <c r="F1327" s="4">
        <v>3.44</v>
      </c>
      <c r="G1327" s="4">
        <v>17.2</v>
      </c>
      <c r="H1327" s="5">
        <f t="shared" si="20"/>
        <v>2.6870163370593357E-2</v>
      </c>
    </row>
    <row r="1328" spans="1:8" ht="13.5" x14ac:dyDescent="0.25">
      <c r="A1328" s="1"/>
      <c r="B1328" s="3">
        <v>44242</v>
      </c>
      <c r="C1328" s="4">
        <v>3.4</v>
      </c>
      <c r="D1328" s="4">
        <v>1.4164000000000001</v>
      </c>
      <c r="E1328" s="4">
        <v>23644</v>
      </c>
      <c r="F1328" s="4">
        <v>3.3898999999999999</v>
      </c>
      <c r="G1328" s="4">
        <v>80150.795599999998</v>
      </c>
      <c r="H1328" s="5">
        <f t="shared" si="20"/>
        <v>-1.1653059800432585E-2</v>
      </c>
    </row>
    <row r="1329" spans="1:8" ht="13.5" x14ac:dyDescent="0.25">
      <c r="A1329" s="1"/>
      <c r="B1329" s="3">
        <v>44243</v>
      </c>
      <c r="C1329" s="4">
        <v>3.4</v>
      </c>
      <c r="D1329" s="4">
        <v>1.4164000000000001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3.37</v>
      </c>
      <c r="D1330" s="4">
        <v>1.4038999999999999</v>
      </c>
      <c r="E1330" s="4">
        <v>400</v>
      </c>
      <c r="F1330" s="4">
        <v>3.37</v>
      </c>
      <c r="G1330" s="4">
        <v>1348</v>
      </c>
      <c r="H1330" s="5">
        <f t="shared" si="20"/>
        <v>-8.8251906241176049E-3</v>
      </c>
    </row>
    <row r="1331" spans="1:8" ht="13.5" x14ac:dyDescent="0.25">
      <c r="A1331" s="1"/>
      <c r="B1331" s="3">
        <v>44245</v>
      </c>
      <c r="C1331" s="4">
        <v>3.47</v>
      </c>
      <c r="D1331" s="4">
        <v>1.4456</v>
      </c>
      <c r="E1331" s="4">
        <v>6501</v>
      </c>
      <c r="F1331" s="4">
        <v>3.3523999999999998</v>
      </c>
      <c r="G1331" s="4">
        <v>21793.952399999998</v>
      </c>
      <c r="H1331" s="5">
        <f t="shared" si="20"/>
        <v>2.9702970297029754E-2</v>
      </c>
    </row>
    <row r="1332" spans="1:8" ht="13.5" x14ac:dyDescent="0.25">
      <c r="A1332" s="1"/>
      <c r="B1332" s="3">
        <v>44246</v>
      </c>
      <c r="C1332" s="4">
        <v>3.47</v>
      </c>
      <c r="D1332" s="4">
        <v>1.4456</v>
      </c>
      <c r="E1332" s="4">
        <v>4980</v>
      </c>
      <c r="F1332" s="4">
        <v>3.4988999999999999</v>
      </c>
      <c r="G1332" s="4">
        <v>17424.522000000001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3.4</v>
      </c>
      <c r="D1333" s="4">
        <v>1.4164000000000001</v>
      </c>
      <c r="E1333" s="4">
        <v>865</v>
      </c>
      <c r="F1333" s="4">
        <v>3.3873000000000002</v>
      </c>
      <c r="G1333" s="4">
        <v>2930.0145000000002</v>
      </c>
      <c r="H1333" s="5">
        <f t="shared" si="20"/>
        <v>-2.0199225235196384E-2</v>
      </c>
    </row>
    <row r="1334" spans="1:8" ht="13.5" x14ac:dyDescent="0.25">
      <c r="A1334" s="1"/>
      <c r="B1334" s="3">
        <v>44250</v>
      </c>
      <c r="C1334" s="4">
        <v>3.4</v>
      </c>
      <c r="D1334" s="4">
        <v>1.4164000000000001</v>
      </c>
      <c r="E1334" s="4">
        <v>81</v>
      </c>
      <c r="F1334" s="4">
        <v>3.4</v>
      </c>
      <c r="G1334" s="4">
        <v>275.39999999999998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3.4</v>
      </c>
      <c r="D1335" s="4">
        <v>1.4164000000000001</v>
      </c>
      <c r="E1335" s="4">
        <v>270</v>
      </c>
      <c r="F1335" s="4">
        <v>3.4</v>
      </c>
      <c r="G1335" s="4">
        <v>918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3.3</v>
      </c>
      <c r="D1336" s="4">
        <v>1.3747</v>
      </c>
      <c r="E1336" s="4">
        <v>2785</v>
      </c>
      <c r="F1336" s="4">
        <v>3.3006000000000002</v>
      </c>
      <c r="G1336" s="4">
        <v>9192.1710000000003</v>
      </c>
      <c r="H1336" s="5">
        <f t="shared" si="20"/>
        <v>-2.9440835922055965E-2</v>
      </c>
    </row>
    <row r="1337" spans="1:8" ht="13.5" x14ac:dyDescent="0.25">
      <c r="A1337" s="1"/>
      <c r="B1337" s="3">
        <v>44253</v>
      </c>
      <c r="C1337" s="4">
        <v>3.39</v>
      </c>
      <c r="D1337" s="4">
        <v>1.4121999999999999</v>
      </c>
      <c r="E1337" s="4">
        <v>5</v>
      </c>
      <c r="F1337" s="4">
        <v>3.39</v>
      </c>
      <c r="G1337" s="4">
        <v>16.95</v>
      </c>
      <c r="H1337" s="5">
        <f t="shared" si="20"/>
        <v>2.7278678984505613E-2</v>
      </c>
    </row>
    <row r="1338" spans="1:8" ht="13.5" x14ac:dyDescent="0.25">
      <c r="A1338" s="1"/>
      <c r="B1338" s="3">
        <v>44256</v>
      </c>
      <c r="C1338" s="4">
        <v>3.29</v>
      </c>
      <c r="D1338" s="4">
        <v>1.3706</v>
      </c>
      <c r="E1338" s="4">
        <v>524</v>
      </c>
      <c r="F1338" s="4">
        <v>3.2976999999999999</v>
      </c>
      <c r="G1338" s="4">
        <v>1727.9947999999999</v>
      </c>
      <c r="H1338" s="5">
        <f t="shared" si="20"/>
        <v>-2.9457583911627151E-2</v>
      </c>
    </row>
    <row r="1339" spans="1:8" ht="13.5" x14ac:dyDescent="0.25">
      <c r="A1339" s="1"/>
      <c r="B1339" s="3">
        <v>44257</v>
      </c>
      <c r="C1339" s="4">
        <v>3.29</v>
      </c>
      <c r="D1339" s="4">
        <v>1.3706</v>
      </c>
      <c r="E1339" s="4">
        <v>1159</v>
      </c>
      <c r="F1339" s="4">
        <v>3.3054999999999999</v>
      </c>
      <c r="G1339" s="4">
        <v>3831.0745000000002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3.38</v>
      </c>
      <c r="D1340" s="4">
        <v>1.4080999999999999</v>
      </c>
      <c r="E1340" s="4">
        <v>201</v>
      </c>
      <c r="F1340" s="4">
        <v>3.375</v>
      </c>
      <c r="G1340" s="4">
        <v>678.375</v>
      </c>
      <c r="H1340" s="5">
        <f t="shared" si="20"/>
        <v>2.7360280169268836E-2</v>
      </c>
    </row>
    <row r="1341" spans="1:8" ht="13.5" x14ac:dyDescent="0.25">
      <c r="A1341" s="1"/>
      <c r="B1341" s="3">
        <v>44259</v>
      </c>
      <c r="C1341" s="4">
        <v>3.38</v>
      </c>
      <c r="D1341" s="4">
        <v>1.4080999999999999</v>
      </c>
      <c r="E1341" s="4">
        <v>100</v>
      </c>
      <c r="F1341" s="4">
        <v>3.38</v>
      </c>
      <c r="G1341" s="4">
        <v>338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3.3</v>
      </c>
      <c r="D1342" s="4">
        <v>1.3747</v>
      </c>
      <c r="E1342" s="4">
        <v>3607</v>
      </c>
      <c r="F1342" s="4">
        <v>3.3010999999999999</v>
      </c>
      <c r="G1342" s="4">
        <v>11907.0677</v>
      </c>
      <c r="H1342" s="5">
        <f t="shared" si="20"/>
        <v>-2.3719906256657819E-2</v>
      </c>
    </row>
    <row r="1343" spans="1:8" ht="13.5" x14ac:dyDescent="0.25">
      <c r="A1343" s="1"/>
      <c r="B1343" s="3">
        <v>44263</v>
      </c>
      <c r="C1343" s="4">
        <v>3.35</v>
      </c>
      <c r="D1343" s="4">
        <v>1.3956</v>
      </c>
      <c r="E1343" s="4">
        <v>187</v>
      </c>
      <c r="F1343" s="4">
        <v>3.2642000000000002</v>
      </c>
      <c r="G1343" s="4">
        <v>610.40539999999999</v>
      </c>
      <c r="H1343" s="5">
        <f t="shared" si="20"/>
        <v>1.5203317087364457E-2</v>
      </c>
    </row>
    <row r="1344" spans="1:8" ht="13.5" x14ac:dyDescent="0.25">
      <c r="A1344" s="1"/>
      <c r="B1344" s="3">
        <v>44264</v>
      </c>
      <c r="C1344" s="4">
        <v>3.28</v>
      </c>
      <c r="D1344" s="4">
        <v>1.3664000000000001</v>
      </c>
      <c r="E1344" s="4">
        <v>3327</v>
      </c>
      <c r="F1344" s="4">
        <v>3.2974999999999999</v>
      </c>
      <c r="G1344" s="4">
        <v>10970.782499999999</v>
      </c>
      <c r="H1344" s="5">
        <f t="shared" si="20"/>
        <v>-2.0922900544568569E-2</v>
      </c>
    </row>
    <row r="1345" spans="1:8" ht="13.5" x14ac:dyDescent="0.25">
      <c r="A1345" s="1"/>
      <c r="B1345" s="3">
        <v>44265</v>
      </c>
      <c r="C1345" s="4">
        <v>3.35</v>
      </c>
      <c r="D1345" s="4">
        <v>1.3956</v>
      </c>
      <c r="E1345" s="4">
        <v>525</v>
      </c>
      <c r="F1345" s="4">
        <v>3.3010000000000002</v>
      </c>
      <c r="G1345" s="4">
        <v>1733.0250000000001</v>
      </c>
      <c r="H1345" s="5">
        <f t="shared" si="20"/>
        <v>2.1370023419203667E-2</v>
      </c>
    </row>
    <row r="1346" spans="1:8" ht="13.5" x14ac:dyDescent="0.25">
      <c r="A1346" s="1"/>
      <c r="B1346" s="3">
        <v>44266</v>
      </c>
      <c r="C1346" s="4">
        <v>3.29</v>
      </c>
      <c r="D1346" s="4">
        <v>1.3706</v>
      </c>
      <c r="E1346" s="4">
        <v>3128</v>
      </c>
      <c r="F1346" s="4">
        <v>3.2970000000000002</v>
      </c>
      <c r="G1346" s="4">
        <v>10313.016</v>
      </c>
      <c r="H1346" s="5">
        <f t="shared" si="20"/>
        <v>-1.7913442247062133E-2</v>
      </c>
    </row>
    <row r="1347" spans="1:8" ht="13.5" x14ac:dyDescent="0.25">
      <c r="A1347" s="1"/>
      <c r="B1347" s="3">
        <v>44267</v>
      </c>
      <c r="C1347" s="4">
        <v>3.29</v>
      </c>
      <c r="D1347" s="4">
        <v>1.3706</v>
      </c>
      <c r="E1347" s="4">
        <v>2569</v>
      </c>
      <c r="F1347" s="4">
        <v>3.2770999999999999</v>
      </c>
      <c r="G1347" s="4">
        <v>8418.8698999999997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3.29</v>
      </c>
      <c r="D1348" s="4">
        <v>1.3706</v>
      </c>
      <c r="E1348" s="4">
        <v>752</v>
      </c>
      <c r="F1348" s="4">
        <v>3.2643</v>
      </c>
      <c r="G1348" s="4">
        <v>2454.7536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3.25</v>
      </c>
      <c r="D1349" s="4">
        <v>1.3539000000000001</v>
      </c>
      <c r="E1349" s="4">
        <v>3797</v>
      </c>
      <c r="F1349" s="4">
        <v>3.2562000000000002</v>
      </c>
      <c r="G1349" s="4">
        <v>12363.7914</v>
      </c>
      <c r="H1349" s="5">
        <f t="shared" si="20"/>
        <v>-1.2184444768714385E-2</v>
      </c>
    </row>
    <row r="1350" spans="1:8" ht="13.5" x14ac:dyDescent="0.25">
      <c r="A1350" s="1"/>
      <c r="B1350" s="3">
        <v>44272</v>
      </c>
      <c r="C1350" s="4">
        <v>3.29</v>
      </c>
      <c r="D1350" s="4">
        <v>1.3706</v>
      </c>
      <c r="E1350" s="4">
        <v>694</v>
      </c>
      <c r="F1350" s="4">
        <v>3.2553000000000001</v>
      </c>
      <c r="G1350" s="4">
        <v>2259.1781999999998</v>
      </c>
      <c r="H1350" s="5">
        <f t="shared" si="20"/>
        <v>1.2334736686609008E-2</v>
      </c>
    </row>
    <row r="1351" spans="1:8" ht="13.5" x14ac:dyDescent="0.25">
      <c r="A1351" s="1"/>
      <c r="B1351" s="3">
        <v>44273</v>
      </c>
      <c r="C1351" s="4">
        <v>3.29</v>
      </c>
      <c r="D1351" s="4">
        <v>1.3706</v>
      </c>
      <c r="E1351" s="4">
        <v>2101</v>
      </c>
      <c r="F1351" s="4">
        <v>3.2924000000000002</v>
      </c>
      <c r="G1351" s="4">
        <v>6917.3324000000002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3.28</v>
      </c>
      <c r="D1352" s="4">
        <v>1.3664000000000001</v>
      </c>
      <c r="E1352" s="4">
        <v>100</v>
      </c>
      <c r="F1352" s="4">
        <v>3.28</v>
      </c>
      <c r="G1352" s="4">
        <v>328</v>
      </c>
      <c r="H1352" s="5">
        <f t="shared" si="21"/>
        <v>-3.064351378958107E-3</v>
      </c>
    </row>
    <row r="1353" spans="1:8" ht="13.5" x14ac:dyDescent="0.25">
      <c r="A1353" s="1"/>
      <c r="B1353" s="3">
        <v>44277</v>
      </c>
      <c r="C1353" s="4">
        <v>3.21</v>
      </c>
      <c r="D1353" s="4">
        <v>1.3371999999999999</v>
      </c>
      <c r="E1353" s="4">
        <v>7949</v>
      </c>
      <c r="F1353" s="4">
        <v>3.2267000000000001</v>
      </c>
      <c r="G1353" s="4">
        <v>25649.0383</v>
      </c>
      <c r="H1353" s="5">
        <f t="shared" si="21"/>
        <v>-2.137002341920383E-2</v>
      </c>
    </row>
    <row r="1354" spans="1:8" ht="13.5" x14ac:dyDescent="0.25">
      <c r="A1354" s="1"/>
      <c r="B1354" s="3">
        <v>44278</v>
      </c>
      <c r="C1354" s="4">
        <v>3.21</v>
      </c>
      <c r="D1354" s="4">
        <v>1.3371999999999999</v>
      </c>
      <c r="E1354" s="4">
        <v>1636</v>
      </c>
      <c r="F1354" s="4">
        <v>3.2103000000000002</v>
      </c>
      <c r="G1354" s="4">
        <v>5252.0508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3.21</v>
      </c>
      <c r="D1355" s="4">
        <v>1.3371999999999999</v>
      </c>
      <c r="E1355" s="4">
        <v>5122</v>
      </c>
      <c r="F1355" s="4">
        <v>3.21</v>
      </c>
      <c r="G1355" s="4">
        <v>16441.62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3.21</v>
      </c>
      <c r="D1356" s="4">
        <v>1.3371999999999999</v>
      </c>
      <c r="E1356" s="4">
        <v>651</v>
      </c>
      <c r="F1356" s="4">
        <v>3.2101000000000002</v>
      </c>
      <c r="G1356" s="4">
        <v>2089.7750999999998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3.21</v>
      </c>
      <c r="D1357" s="4">
        <v>1.3371999999999999</v>
      </c>
      <c r="E1357" s="4">
        <v>3473</v>
      </c>
      <c r="F1357" s="4">
        <v>3.2029000000000001</v>
      </c>
      <c r="G1357" s="4">
        <v>11123.671700000001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3.2</v>
      </c>
      <c r="D1358" s="4">
        <v>1.3331</v>
      </c>
      <c r="E1358" s="4">
        <v>5959</v>
      </c>
      <c r="F1358" s="4">
        <v>3.2042000000000002</v>
      </c>
      <c r="G1358" s="4">
        <v>19093.827799999999</v>
      </c>
      <c r="H1358" s="5">
        <f t="shared" si="21"/>
        <v>-3.0661082859706795E-3</v>
      </c>
    </row>
    <row r="1359" spans="1:8" ht="13.5" x14ac:dyDescent="0.25">
      <c r="A1359" s="1"/>
      <c r="B1359" s="3">
        <v>44285</v>
      </c>
      <c r="C1359" s="4">
        <v>3.2</v>
      </c>
      <c r="D1359" s="4">
        <v>1.3331</v>
      </c>
      <c r="E1359" s="4">
        <v>201</v>
      </c>
      <c r="F1359" s="4">
        <v>3.2004000000000001</v>
      </c>
      <c r="G1359" s="4">
        <v>643.28039999999999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3.19</v>
      </c>
      <c r="D1360" s="4">
        <v>1.3289</v>
      </c>
      <c r="E1360" s="4">
        <v>6646</v>
      </c>
      <c r="F1360" s="4">
        <v>3.1629999999999998</v>
      </c>
      <c r="G1360" s="4">
        <v>21021.297999999999</v>
      </c>
      <c r="H1360" s="5">
        <f t="shared" si="21"/>
        <v>-3.1505513464856211E-3</v>
      </c>
    </row>
    <row r="1361" spans="1:8" ht="13.5" x14ac:dyDescent="0.25">
      <c r="A1361" s="1"/>
      <c r="B1361" s="3">
        <v>44287</v>
      </c>
      <c r="C1361" s="4">
        <v>3.17</v>
      </c>
      <c r="D1361" s="4">
        <v>1.3206</v>
      </c>
      <c r="E1361" s="4">
        <v>567</v>
      </c>
      <c r="F1361" s="4">
        <v>3.1520000000000001</v>
      </c>
      <c r="G1361" s="4">
        <v>1787.184</v>
      </c>
      <c r="H1361" s="5">
        <f t="shared" si="21"/>
        <v>-6.2457671758597141E-3</v>
      </c>
    </row>
    <row r="1362" spans="1:8" ht="13.5" x14ac:dyDescent="0.25">
      <c r="A1362" s="1"/>
      <c r="B1362" s="3">
        <v>44288</v>
      </c>
      <c r="C1362" s="4">
        <v>3.12</v>
      </c>
      <c r="D1362" s="4">
        <v>1.2998000000000001</v>
      </c>
      <c r="E1362" s="4">
        <v>5054</v>
      </c>
      <c r="F1362" s="4">
        <v>3.1503000000000001</v>
      </c>
      <c r="G1362" s="4">
        <v>15921.6162</v>
      </c>
      <c r="H1362" s="5">
        <f t="shared" si="21"/>
        <v>-1.5750416477358722E-2</v>
      </c>
    </row>
    <row r="1363" spans="1:8" ht="13.5" x14ac:dyDescent="0.25">
      <c r="A1363" s="1"/>
      <c r="B1363" s="3">
        <v>44291</v>
      </c>
      <c r="C1363" s="4">
        <v>3.08</v>
      </c>
      <c r="D1363" s="4">
        <v>1.2830999999999999</v>
      </c>
      <c r="E1363" s="4">
        <v>2151</v>
      </c>
      <c r="F1363" s="4">
        <v>3.1103999999999998</v>
      </c>
      <c r="G1363" s="4">
        <v>6690.4704000000002</v>
      </c>
      <c r="H1363" s="5">
        <f t="shared" si="21"/>
        <v>-1.2848130481612678E-2</v>
      </c>
    </row>
    <row r="1364" spans="1:8" ht="13.5" x14ac:dyDescent="0.25">
      <c r="A1364" s="1"/>
      <c r="B1364" s="3">
        <v>44292</v>
      </c>
      <c r="C1364" s="4">
        <v>2.99</v>
      </c>
      <c r="D1364" s="4">
        <v>1.2456</v>
      </c>
      <c r="E1364" s="4">
        <v>7676</v>
      </c>
      <c r="F1364" s="4">
        <v>3.0182000000000002</v>
      </c>
      <c r="G1364" s="4">
        <v>23167.7032</v>
      </c>
      <c r="H1364" s="5">
        <f t="shared" si="21"/>
        <v>-2.9226093055880187E-2</v>
      </c>
    </row>
    <row r="1365" spans="1:8" ht="13.5" x14ac:dyDescent="0.25">
      <c r="A1365" s="1"/>
      <c r="B1365" s="3">
        <v>44293</v>
      </c>
      <c r="C1365" s="4">
        <v>2.91</v>
      </c>
      <c r="D1365" s="4">
        <v>1.2122999999999999</v>
      </c>
      <c r="E1365" s="4">
        <v>40311</v>
      </c>
      <c r="F1365" s="4">
        <v>2.9150999999999998</v>
      </c>
      <c r="G1365" s="4">
        <v>117510.5961</v>
      </c>
      <c r="H1365" s="5">
        <f t="shared" si="21"/>
        <v>-2.6734104046242858E-2</v>
      </c>
    </row>
    <row r="1366" spans="1:8" ht="13.5" x14ac:dyDescent="0.25">
      <c r="A1366" s="1"/>
      <c r="B1366" s="3">
        <v>44294</v>
      </c>
      <c r="C1366" s="4">
        <v>2.99</v>
      </c>
      <c r="D1366" s="4">
        <v>1.2456</v>
      </c>
      <c r="E1366" s="4">
        <v>15326</v>
      </c>
      <c r="F1366" s="4">
        <v>2.8704999999999998</v>
      </c>
      <c r="G1366" s="4">
        <v>43993.283000000003</v>
      </c>
      <c r="H1366" s="5">
        <f t="shared" si="21"/>
        <v>2.7468448403860521E-2</v>
      </c>
    </row>
    <row r="1367" spans="1:8" ht="13.5" x14ac:dyDescent="0.25">
      <c r="A1367" s="1"/>
      <c r="B1367" s="3">
        <v>44298</v>
      </c>
      <c r="C1367" s="4">
        <v>3</v>
      </c>
      <c r="D1367" s="4">
        <v>1.2498</v>
      </c>
      <c r="E1367" s="4">
        <v>3277</v>
      </c>
      <c r="F1367" s="4">
        <v>2.9100999999999999</v>
      </c>
      <c r="G1367" s="4">
        <v>9536.3976999999995</v>
      </c>
      <c r="H1367" s="5">
        <f t="shared" si="21"/>
        <v>3.3718689788053802E-3</v>
      </c>
    </row>
    <row r="1368" spans="1:8" ht="13.5" x14ac:dyDescent="0.25">
      <c r="A1368" s="1"/>
      <c r="B1368" s="3">
        <v>44299</v>
      </c>
      <c r="C1368" s="4">
        <v>2.98</v>
      </c>
      <c r="D1368" s="4">
        <v>1.2414000000000001</v>
      </c>
      <c r="E1368" s="4">
        <v>1045</v>
      </c>
      <c r="F1368" s="4">
        <v>2.9992000000000001</v>
      </c>
      <c r="G1368" s="4">
        <v>3134.1640000000002</v>
      </c>
      <c r="H1368" s="5">
        <f t="shared" si="21"/>
        <v>-6.7210753720594995E-3</v>
      </c>
    </row>
    <row r="1369" spans="1:8" ht="13.5" x14ac:dyDescent="0.25">
      <c r="A1369" s="1"/>
      <c r="B1369" s="3">
        <v>44300</v>
      </c>
      <c r="C1369" s="4">
        <v>3</v>
      </c>
      <c r="D1369" s="4">
        <v>1.2498</v>
      </c>
      <c r="E1369" s="4">
        <v>2762</v>
      </c>
      <c r="F1369" s="4">
        <v>2.9676</v>
      </c>
      <c r="G1369" s="4">
        <v>8196.5112000000008</v>
      </c>
      <c r="H1369" s="5">
        <f t="shared" si="21"/>
        <v>6.7665538907684571E-3</v>
      </c>
    </row>
    <row r="1370" spans="1:8" ht="13.5" x14ac:dyDescent="0.25">
      <c r="A1370" s="1"/>
      <c r="B1370" s="3">
        <v>44301</v>
      </c>
      <c r="C1370" s="4">
        <v>2.99</v>
      </c>
      <c r="D1370" s="4">
        <v>1.2456</v>
      </c>
      <c r="E1370" s="4">
        <v>6547</v>
      </c>
      <c r="F1370" s="4">
        <v>2.9371</v>
      </c>
      <c r="G1370" s="4">
        <v>19229.1937</v>
      </c>
      <c r="H1370" s="5">
        <f t="shared" si="21"/>
        <v>-3.3605376860297497E-3</v>
      </c>
    </row>
    <row r="1371" spans="1:8" ht="13.5" x14ac:dyDescent="0.25">
      <c r="A1371" s="1"/>
      <c r="B1371" s="3">
        <v>44302</v>
      </c>
      <c r="C1371" s="4">
        <v>2.93</v>
      </c>
      <c r="D1371" s="4">
        <v>1.2205999999999999</v>
      </c>
      <c r="E1371" s="4">
        <v>3772</v>
      </c>
      <c r="F1371" s="4">
        <v>2.9205999999999999</v>
      </c>
      <c r="G1371" s="4">
        <v>11016.503199999999</v>
      </c>
      <c r="H1371" s="5">
        <f t="shared" si="21"/>
        <v>-2.0070648683365552E-2</v>
      </c>
    </row>
    <row r="1372" spans="1:8" ht="13.5" x14ac:dyDescent="0.25">
      <c r="A1372" s="1"/>
      <c r="B1372" s="3">
        <v>44305</v>
      </c>
      <c r="C1372" s="4">
        <v>2.96</v>
      </c>
      <c r="D1372" s="4">
        <v>1.2331000000000001</v>
      </c>
      <c r="E1372" s="4">
        <v>3983</v>
      </c>
      <c r="F1372" s="4">
        <v>2.9192</v>
      </c>
      <c r="G1372" s="4">
        <v>11627.1736</v>
      </c>
      <c r="H1372" s="5">
        <f t="shared" si="21"/>
        <v>1.0240865148287873E-2</v>
      </c>
    </row>
    <row r="1373" spans="1:8" ht="13.5" x14ac:dyDescent="0.25">
      <c r="A1373" s="1"/>
      <c r="B1373" s="3">
        <v>44306</v>
      </c>
      <c r="C1373" s="4">
        <v>3</v>
      </c>
      <c r="D1373" s="4">
        <v>1.2498</v>
      </c>
      <c r="E1373" s="4">
        <v>30094</v>
      </c>
      <c r="F1373" s="4">
        <v>2.9935999999999998</v>
      </c>
      <c r="G1373" s="4">
        <v>90089.398400000005</v>
      </c>
      <c r="H1373" s="5">
        <f t="shared" si="21"/>
        <v>1.3543102749168709E-2</v>
      </c>
    </row>
    <row r="1374" spans="1:8" ht="13.5" x14ac:dyDescent="0.25">
      <c r="A1374" s="1"/>
      <c r="B1374" s="3">
        <v>44307</v>
      </c>
      <c r="C1374" s="4">
        <v>2.98</v>
      </c>
      <c r="D1374" s="4">
        <v>1.2414000000000001</v>
      </c>
      <c r="E1374" s="4">
        <v>1023</v>
      </c>
      <c r="F1374" s="4">
        <v>2.9820000000000002</v>
      </c>
      <c r="G1374" s="4">
        <v>3050.5859999999998</v>
      </c>
      <c r="H1374" s="5">
        <f t="shared" si="21"/>
        <v>-6.7210753720594995E-3</v>
      </c>
    </row>
    <row r="1375" spans="1:8" ht="13.5" x14ac:dyDescent="0.25">
      <c r="A1375" s="1"/>
      <c r="B1375" s="3">
        <v>44308</v>
      </c>
      <c r="C1375" s="4">
        <v>3.06</v>
      </c>
      <c r="D1375" s="4">
        <v>1.2747999999999999</v>
      </c>
      <c r="E1375" s="4">
        <v>22146</v>
      </c>
      <c r="F1375" s="4">
        <v>3.0154000000000001</v>
      </c>
      <c r="G1375" s="4">
        <v>66779.0484</v>
      </c>
      <c r="H1375" s="5">
        <f t="shared" si="21"/>
        <v>2.6905107137103167E-2</v>
      </c>
    </row>
    <row r="1376" spans="1:8" ht="13.5" x14ac:dyDescent="0.25">
      <c r="A1376" s="1"/>
      <c r="B1376" s="3">
        <v>44309</v>
      </c>
      <c r="C1376" s="4">
        <v>3.16</v>
      </c>
      <c r="D1376" s="4">
        <v>1.3164</v>
      </c>
      <c r="E1376" s="4">
        <v>21792</v>
      </c>
      <c r="F1376" s="4">
        <v>3.1044</v>
      </c>
      <c r="G1376" s="4">
        <v>67651.084799999997</v>
      </c>
      <c r="H1376" s="5">
        <f t="shared" si="21"/>
        <v>3.2632569814872989E-2</v>
      </c>
    </row>
    <row r="1377" spans="1:8" ht="13.5" x14ac:dyDescent="0.25">
      <c r="A1377" s="1"/>
      <c r="B1377" s="3">
        <v>44312</v>
      </c>
      <c r="C1377" s="4">
        <v>3.31</v>
      </c>
      <c r="D1377" s="4">
        <v>1.3789</v>
      </c>
      <c r="E1377" s="4">
        <v>10812</v>
      </c>
      <c r="F1377" s="4">
        <v>3.2212000000000001</v>
      </c>
      <c r="G1377" s="4">
        <v>34827.614399999999</v>
      </c>
      <c r="H1377" s="5">
        <f t="shared" si="21"/>
        <v>4.7477970221817073E-2</v>
      </c>
    </row>
    <row r="1378" spans="1:8" ht="13.5" x14ac:dyDescent="0.25">
      <c r="A1378" s="1"/>
      <c r="B1378" s="3">
        <v>44313</v>
      </c>
      <c r="C1378" s="4">
        <v>3.39</v>
      </c>
      <c r="D1378" s="4">
        <v>1.4121999999999999</v>
      </c>
      <c r="E1378" s="4">
        <v>16964</v>
      </c>
      <c r="F1378" s="4">
        <v>3.3835999999999999</v>
      </c>
      <c r="G1378" s="4">
        <v>57399.390399999997</v>
      </c>
      <c r="H1378" s="5">
        <f t="shared" si="21"/>
        <v>2.4149684531147932E-2</v>
      </c>
    </row>
    <row r="1379" spans="1:8" ht="13.5" x14ac:dyDescent="0.25">
      <c r="A1379" s="1"/>
      <c r="B1379" s="3">
        <v>44314</v>
      </c>
      <c r="C1379" s="4">
        <v>3.43</v>
      </c>
      <c r="D1379" s="4">
        <v>1.4289000000000001</v>
      </c>
      <c r="E1379" s="4">
        <v>2276</v>
      </c>
      <c r="F1379" s="4">
        <v>3.3635000000000002</v>
      </c>
      <c r="G1379" s="4">
        <v>7655.326</v>
      </c>
      <c r="H1379" s="5">
        <f t="shared" si="21"/>
        <v>1.1825520464523552E-2</v>
      </c>
    </row>
    <row r="1380" spans="1:8" ht="13.5" x14ac:dyDescent="0.25">
      <c r="A1380" s="1"/>
      <c r="B1380" s="3">
        <v>44315</v>
      </c>
      <c r="C1380" s="4">
        <v>3.39</v>
      </c>
      <c r="D1380" s="4">
        <v>1.4121999999999999</v>
      </c>
      <c r="E1380" s="4">
        <v>4213</v>
      </c>
      <c r="F1380" s="4">
        <v>3.3864999999999998</v>
      </c>
      <c r="G1380" s="4">
        <v>14267.324500000001</v>
      </c>
      <c r="H1380" s="5">
        <f t="shared" si="21"/>
        <v>-1.1687311918258912E-2</v>
      </c>
    </row>
    <row r="1381" spans="1:8" ht="13.5" x14ac:dyDescent="0.25">
      <c r="A1381" s="1"/>
      <c r="B1381" s="3">
        <v>44316</v>
      </c>
      <c r="C1381" s="4">
        <v>3.34</v>
      </c>
      <c r="D1381" s="4">
        <v>1.3914</v>
      </c>
      <c r="E1381" s="4">
        <v>79</v>
      </c>
      <c r="F1381" s="4">
        <v>3.2909000000000002</v>
      </c>
      <c r="G1381" s="4">
        <v>259.98110000000003</v>
      </c>
      <c r="H1381" s="5">
        <f t="shared" si="21"/>
        <v>-1.4728791955813576E-2</v>
      </c>
    </row>
    <row r="1382" spans="1:8" ht="13.5" x14ac:dyDescent="0.25">
      <c r="A1382" s="1"/>
      <c r="B1382" s="3">
        <v>44319</v>
      </c>
      <c r="C1382" s="4">
        <v>3.19</v>
      </c>
      <c r="D1382" s="4">
        <v>1.3289</v>
      </c>
      <c r="E1382" s="4">
        <v>1733</v>
      </c>
      <c r="F1382" s="4">
        <v>3.2115999999999998</v>
      </c>
      <c r="G1382" s="4">
        <v>5565.7028</v>
      </c>
      <c r="H1382" s="5">
        <f t="shared" si="21"/>
        <v>-4.4918786833405201E-2</v>
      </c>
    </row>
    <row r="1383" spans="1:8" ht="13.5" x14ac:dyDescent="0.25">
      <c r="A1383" s="1"/>
      <c r="B1383" s="3">
        <v>44320</v>
      </c>
      <c r="C1383" s="4">
        <v>3.15</v>
      </c>
      <c r="D1383" s="4">
        <v>1.3123</v>
      </c>
      <c r="E1383" s="4">
        <v>7106</v>
      </c>
      <c r="F1383" s="4">
        <v>3.2012999999999998</v>
      </c>
      <c r="G1383" s="4">
        <v>22748.4378</v>
      </c>
      <c r="H1383" s="5">
        <f t="shared" si="21"/>
        <v>-1.2491534351719428E-2</v>
      </c>
    </row>
    <row r="1384" spans="1:8" ht="13.5" x14ac:dyDescent="0.25">
      <c r="A1384" s="1"/>
      <c r="B1384" s="3">
        <v>44321</v>
      </c>
      <c r="C1384" s="4">
        <v>3.14</v>
      </c>
      <c r="D1384" s="4">
        <v>1.3081</v>
      </c>
      <c r="E1384" s="4">
        <v>250</v>
      </c>
      <c r="F1384" s="4">
        <v>3.14</v>
      </c>
      <c r="G1384" s="4">
        <v>785</v>
      </c>
      <c r="H1384" s="5">
        <f t="shared" si="21"/>
        <v>-3.200487693362784E-3</v>
      </c>
    </row>
    <row r="1385" spans="1:8" ht="13.5" x14ac:dyDescent="0.25">
      <c r="A1385" s="1"/>
      <c r="B1385" s="3">
        <v>44322</v>
      </c>
      <c r="C1385" s="4">
        <v>3.05</v>
      </c>
      <c r="D1385" s="4">
        <v>1.2706</v>
      </c>
      <c r="E1385" s="4">
        <v>4043</v>
      </c>
      <c r="F1385" s="4">
        <v>3.0562</v>
      </c>
      <c r="G1385" s="4">
        <v>12356.2166</v>
      </c>
      <c r="H1385" s="5">
        <f t="shared" si="21"/>
        <v>-2.8667533063221534E-2</v>
      </c>
    </row>
    <row r="1386" spans="1:8" ht="13.5" x14ac:dyDescent="0.25">
      <c r="A1386" s="1"/>
      <c r="B1386" s="3">
        <v>44323</v>
      </c>
      <c r="C1386" s="4">
        <v>3.14</v>
      </c>
      <c r="D1386" s="4">
        <v>1.3081</v>
      </c>
      <c r="E1386" s="4">
        <v>3276</v>
      </c>
      <c r="F1386" s="4">
        <v>3.0762</v>
      </c>
      <c r="G1386" s="4">
        <v>10077.6312</v>
      </c>
      <c r="H1386" s="5">
        <f t="shared" si="21"/>
        <v>2.9513615614670304E-2</v>
      </c>
    </row>
    <row r="1387" spans="1:8" ht="13.5" x14ac:dyDescent="0.25">
      <c r="A1387" s="1"/>
      <c r="B1387" s="3">
        <v>44326</v>
      </c>
      <c r="C1387" s="4">
        <v>3.05</v>
      </c>
      <c r="D1387" s="4">
        <v>1.2706</v>
      </c>
      <c r="E1387" s="4">
        <v>985</v>
      </c>
      <c r="F1387" s="4">
        <v>3.05</v>
      </c>
      <c r="G1387" s="4">
        <v>3004.25</v>
      </c>
      <c r="H1387" s="5">
        <f t="shared" si="21"/>
        <v>-2.8667533063221534E-2</v>
      </c>
    </row>
    <row r="1388" spans="1:8" ht="13.5" x14ac:dyDescent="0.25">
      <c r="A1388" s="1"/>
      <c r="B1388" s="3">
        <v>44327</v>
      </c>
      <c r="C1388" s="4">
        <v>3.09</v>
      </c>
      <c r="D1388" s="4">
        <v>1.2873000000000001</v>
      </c>
      <c r="E1388" s="4">
        <v>5954</v>
      </c>
      <c r="F1388" s="4">
        <v>3.0144000000000002</v>
      </c>
      <c r="G1388" s="4">
        <v>17947.7376</v>
      </c>
      <c r="H1388" s="5">
        <f t="shared" si="21"/>
        <v>1.3143396820399937E-2</v>
      </c>
    </row>
    <row r="1389" spans="1:8" ht="13.5" x14ac:dyDescent="0.25">
      <c r="A1389" s="1"/>
      <c r="B1389" s="3">
        <v>44333</v>
      </c>
      <c r="C1389" s="4">
        <v>3.01</v>
      </c>
      <c r="D1389" s="4">
        <v>1.2539</v>
      </c>
      <c r="E1389" s="4">
        <v>3550</v>
      </c>
      <c r="F1389" s="4">
        <v>3.0145</v>
      </c>
      <c r="G1389" s="4">
        <v>10701.475</v>
      </c>
      <c r="H1389" s="5">
        <f t="shared" si="21"/>
        <v>-2.5945777984929769E-2</v>
      </c>
    </row>
    <row r="1390" spans="1:8" ht="13.5" x14ac:dyDescent="0.25">
      <c r="A1390" s="1"/>
      <c r="B1390" s="3">
        <v>44334</v>
      </c>
      <c r="C1390" s="4">
        <v>3.09</v>
      </c>
      <c r="D1390" s="4">
        <v>1.2873000000000001</v>
      </c>
      <c r="E1390" s="4">
        <v>3992</v>
      </c>
      <c r="F1390" s="4">
        <v>2.9992000000000001</v>
      </c>
      <c r="G1390" s="4">
        <v>11972.806399999999</v>
      </c>
      <c r="H1390" s="5">
        <f t="shared" si="21"/>
        <v>2.6636892894170264E-2</v>
      </c>
    </row>
    <row r="1391" spans="1:8" ht="13.5" x14ac:dyDescent="0.25">
      <c r="A1391" s="1"/>
      <c r="B1391" s="3">
        <v>44335</v>
      </c>
      <c r="C1391" s="4">
        <v>3.13</v>
      </c>
      <c r="D1391" s="4">
        <v>1.3039000000000001</v>
      </c>
      <c r="E1391" s="4">
        <v>3279</v>
      </c>
      <c r="F1391" s="4">
        <v>3.0091000000000001</v>
      </c>
      <c r="G1391" s="4">
        <v>9866.8389000000006</v>
      </c>
      <c r="H1391" s="5">
        <f t="shared" si="21"/>
        <v>1.2895207022450048E-2</v>
      </c>
    </row>
    <row r="1392" spans="1:8" ht="13.5" x14ac:dyDescent="0.25">
      <c r="A1392" s="1"/>
      <c r="B1392" s="3">
        <v>44336</v>
      </c>
      <c r="C1392" s="4">
        <v>3.19</v>
      </c>
      <c r="D1392" s="4">
        <v>1.3289</v>
      </c>
      <c r="E1392" s="4">
        <v>3200</v>
      </c>
      <c r="F1392" s="4">
        <v>3.1158000000000001</v>
      </c>
      <c r="G1392" s="4">
        <v>9970.56</v>
      </c>
      <c r="H1392" s="5">
        <f t="shared" si="21"/>
        <v>1.9173249482322196E-2</v>
      </c>
    </row>
    <row r="1393" spans="1:8" ht="13.5" x14ac:dyDescent="0.25">
      <c r="A1393" s="1"/>
      <c r="B1393" s="3">
        <v>44337</v>
      </c>
      <c r="C1393" s="4">
        <v>3.19</v>
      </c>
      <c r="D1393" s="4">
        <v>1.3289</v>
      </c>
      <c r="E1393" s="4">
        <v>5907</v>
      </c>
      <c r="F1393" s="4">
        <v>3.1890000000000001</v>
      </c>
      <c r="G1393" s="4">
        <v>18837.422999999999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3.2</v>
      </c>
      <c r="D1394" s="4">
        <v>1.3331</v>
      </c>
      <c r="E1394" s="4">
        <v>2023</v>
      </c>
      <c r="F1394" s="4">
        <v>3.1936</v>
      </c>
      <c r="G1394" s="4">
        <v>6460.6527999999998</v>
      </c>
      <c r="H1394" s="5">
        <f t="shared" si="21"/>
        <v>3.1605086913988876E-3</v>
      </c>
    </row>
    <row r="1395" spans="1:8" ht="13.5" x14ac:dyDescent="0.25">
      <c r="A1395" s="1"/>
      <c r="B1395" s="3">
        <v>44341</v>
      </c>
      <c r="C1395" s="4">
        <v>3.29</v>
      </c>
      <c r="D1395" s="4">
        <v>1.3706</v>
      </c>
      <c r="E1395" s="4">
        <v>4328</v>
      </c>
      <c r="F1395" s="4">
        <v>3.2185000000000001</v>
      </c>
      <c r="G1395" s="4">
        <v>13929.668</v>
      </c>
      <c r="H1395" s="5">
        <f t="shared" si="21"/>
        <v>2.8129922736478952E-2</v>
      </c>
    </row>
    <row r="1396" spans="1:8" ht="13.5" x14ac:dyDescent="0.25">
      <c r="A1396" s="1"/>
      <c r="B1396" s="3">
        <v>44342</v>
      </c>
      <c r="C1396" s="4">
        <v>3.37</v>
      </c>
      <c r="D1396" s="4">
        <v>1.4038999999999999</v>
      </c>
      <c r="E1396" s="4">
        <v>823</v>
      </c>
      <c r="F1396" s="4">
        <v>3.35</v>
      </c>
      <c r="G1396" s="4">
        <v>2757.05</v>
      </c>
      <c r="H1396" s="5">
        <f t="shared" si="21"/>
        <v>2.4295928790310728E-2</v>
      </c>
    </row>
    <row r="1397" spans="1:8" ht="13.5" x14ac:dyDescent="0.25">
      <c r="A1397" s="1"/>
      <c r="B1397" s="3">
        <v>44343</v>
      </c>
      <c r="C1397" s="4">
        <v>3.37</v>
      </c>
      <c r="D1397" s="4">
        <v>1.4038999999999999</v>
      </c>
      <c r="E1397" s="4">
        <v>3141</v>
      </c>
      <c r="F1397" s="4">
        <v>3.3864000000000001</v>
      </c>
      <c r="G1397" s="4">
        <v>10636.6824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3.35</v>
      </c>
      <c r="D1398" s="4">
        <v>1.3956</v>
      </c>
      <c r="E1398" s="4">
        <v>1813</v>
      </c>
      <c r="F1398" s="4">
        <v>3.3468</v>
      </c>
      <c r="G1398" s="4">
        <v>6067.7484000000004</v>
      </c>
      <c r="H1398" s="5">
        <f t="shared" si="21"/>
        <v>-5.9121020015670449E-3</v>
      </c>
    </row>
    <row r="1399" spans="1:8" ht="13.5" x14ac:dyDescent="0.25">
      <c r="A1399" s="1"/>
      <c r="B1399" s="3">
        <v>44347</v>
      </c>
      <c r="C1399" s="4">
        <v>3.34</v>
      </c>
      <c r="D1399" s="4">
        <v>1.3914</v>
      </c>
      <c r="E1399" s="4">
        <v>11434</v>
      </c>
      <c r="F1399" s="4">
        <v>3.3104</v>
      </c>
      <c r="G1399" s="4">
        <v>37851.113599999997</v>
      </c>
      <c r="H1399" s="5">
        <f t="shared" si="21"/>
        <v>-3.0094582975064357E-3</v>
      </c>
    </row>
    <row r="1400" spans="1:8" ht="13.5" x14ac:dyDescent="0.25">
      <c r="A1400" s="1"/>
      <c r="B1400" s="3">
        <v>44348</v>
      </c>
      <c r="C1400" s="4">
        <v>3.33</v>
      </c>
      <c r="D1400" s="4">
        <v>1.3872</v>
      </c>
      <c r="E1400" s="4">
        <v>265</v>
      </c>
      <c r="F1400" s="4">
        <v>3.3340000000000001</v>
      </c>
      <c r="G1400" s="4">
        <v>883.51</v>
      </c>
      <c r="H1400" s="5">
        <f t="shared" si="21"/>
        <v>-3.0185424752048164E-3</v>
      </c>
    </row>
    <row r="1401" spans="1:8" ht="13.5" x14ac:dyDescent="0.25">
      <c r="A1401" s="1"/>
      <c r="B1401" s="3">
        <v>44349</v>
      </c>
      <c r="C1401" s="4">
        <v>3.26</v>
      </c>
      <c r="D1401" s="4">
        <v>1.3581000000000001</v>
      </c>
      <c r="E1401" s="4">
        <v>3955</v>
      </c>
      <c r="F1401" s="4">
        <v>3.2612000000000001</v>
      </c>
      <c r="G1401" s="4">
        <v>12898.046</v>
      </c>
      <c r="H1401" s="5">
        <f t="shared" si="21"/>
        <v>-2.097750865051896E-2</v>
      </c>
    </row>
    <row r="1402" spans="1:8" ht="13.5" x14ac:dyDescent="0.25">
      <c r="A1402" s="1"/>
      <c r="B1402" s="3">
        <v>44350</v>
      </c>
      <c r="C1402" s="4">
        <v>3.25</v>
      </c>
      <c r="D1402" s="4">
        <v>1.3539000000000001</v>
      </c>
      <c r="E1402" s="4">
        <v>176</v>
      </c>
      <c r="F1402" s="4">
        <v>3.2639</v>
      </c>
      <c r="G1402" s="4">
        <v>574.44640000000004</v>
      </c>
      <c r="H1402" s="5">
        <f t="shared" si="21"/>
        <v>-3.0925557764523827E-3</v>
      </c>
    </row>
    <row r="1403" spans="1:8" ht="13.5" x14ac:dyDescent="0.25">
      <c r="A1403" s="1"/>
      <c r="B1403" s="3">
        <v>44351</v>
      </c>
      <c r="C1403" s="4">
        <v>3.22</v>
      </c>
      <c r="D1403" s="4">
        <v>1.3413999999999999</v>
      </c>
      <c r="E1403" s="4">
        <v>1241</v>
      </c>
      <c r="F1403" s="4">
        <v>3.2206999999999999</v>
      </c>
      <c r="G1403" s="4">
        <v>3996.8887</v>
      </c>
      <c r="H1403" s="5">
        <f t="shared" si="21"/>
        <v>-9.23258734027637E-3</v>
      </c>
    </row>
    <row r="1404" spans="1:8" ht="13.5" x14ac:dyDescent="0.25">
      <c r="A1404" s="1"/>
      <c r="B1404" s="3">
        <v>44354</v>
      </c>
      <c r="C1404" s="4">
        <v>3.18</v>
      </c>
      <c r="D1404" s="4">
        <v>1.3247</v>
      </c>
      <c r="E1404" s="4">
        <v>3499</v>
      </c>
      <c r="F1404" s="4">
        <v>3.1924999999999999</v>
      </c>
      <c r="G1404" s="4">
        <v>11170.557500000001</v>
      </c>
      <c r="H1404" s="5">
        <f t="shared" si="21"/>
        <v>-1.2449679439391634E-2</v>
      </c>
    </row>
    <row r="1405" spans="1:8" ht="13.5" x14ac:dyDescent="0.25">
      <c r="A1405" s="1"/>
      <c r="B1405" s="3">
        <v>44355</v>
      </c>
      <c r="C1405" s="4">
        <v>3.18</v>
      </c>
      <c r="D1405" s="4">
        <v>1.3247</v>
      </c>
      <c r="E1405" s="4">
        <v>4930</v>
      </c>
      <c r="F1405" s="4">
        <v>3.1646999999999998</v>
      </c>
      <c r="G1405" s="4">
        <v>15601.971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3.22</v>
      </c>
      <c r="D1406" s="4">
        <v>1.3413999999999999</v>
      </c>
      <c r="E1406" s="4">
        <v>4547</v>
      </c>
      <c r="F1406" s="4">
        <v>3.1572</v>
      </c>
      <c r="G1406" s="4">
        <v>14355.788399999999</v>
      </c>
      <c r="H1406" s="5">
        <f t="shared" si="21"/>
        <v>1.2606627915754462E-2</v>
      </c>
    </row>
    <row r="1407" spans="1:8" ht="13.5" x14ac:dyDescent="0.25">
      <c r="A1407" s="1"/>
      <c r="B1407" s="3">
        <v>44357</v>
      </c>
      <c r="C1407" s="4">
        <v>3.26</v>
      </c>
      <c r="D1407" s="4">
        <v>1.3581000000000001</v>
      </c>
      <c r="E1407" s="4">
        <v>50</v>
      </c>
      <c r="F1407" s="4">
        <v>3.26</v>
      </c>
      <c r="G1407" s="4">
        <v>163</v>
      </c>
      <c r="H1407" s="5">
        <f t="shared" si="21"/>
        <v>1.2449679439391799E-2</v>
      </c>
    </row>
    <row r="1408" spans="1:8" ht="13.5" x14ac:dyDescent="0.25">
      <c r="A1408" s="1"/>
      <c r="B1408" s="3">
        <v>44358</v>
      </c>
      <c r="C1408" s="4">
        <v>3.24</v>
      </c>
      <c r="D1408" s="4">
        <v>1.3496999999999999</v>
      </c>
      <c r="E1408" s="4">
        <v>1430</v>
      </c>
      <c r="F1408" s="4">
        <v>3.2448999999999999</v>
      </c>
      <c r="G1408" s="4">
        <v>4640.2070000000003</v>
      </c>
      <c r="H1408" s="5">
        <f t="shared" si="21"/>
        <v>-6.1851115529049294E-3</v>
      </c>
    </row>
    <row r="1409" spans="1:8" ht="13.5" x14ac:dyDescent="0.25">
      <c r="A1409" s="1"/>
      <c r="B1409" s="3">
        <v>44361</v>
      </c>
      <c r="C1409" s="4">
        <v>3.18</v>
      </c>
      <c r="D1409" s="4">
        <v>1.3247</v>
      </c>
      <c r="E1409" s="4">
        <v>32044</v>
      </c>
      <c r="F1409" s="4">
        <v>3.1816</v>
      </c>
      <c r="G1409" s="4">
        <v>101951.19040000001</v>
      </c>
      <c r="H1409" s="5">
        <f t="shared" si="21"/>
        <v>-1.8522634659553911E-2</v>
      </c>
    </row>
    <row r="1410" spans="1:8" ht="13.5" x14ac:dyDescent="0.25">
      <c r="A1410" s="1"/>
      <c r="B1410" s="3">
        <v>44362</v>
      </c>
      <c r="C1410" s="4">
        <v>3.2</v>
      </c>
      <c r="D1410" s="4">
        <v>1.3331</v>
      </c>
      <c r="E1410" s="4">
        <v>371</v>
      </c>
      <c r="F1410" s="4">
        <v>3.1309</v>
      </c>
      <c r="G1410" s="4">
        <v>1161.5639000000001</v>
      </c>
      <c r="H1410" s="5">
        <f t="shared" si="21"/>
        <v>6.3410583528345759E-3</v>
      </c>
    </row>
    <row r="1411" spans="1:8" ht="13.5" x14ac:dyDescent="0.25">
      <c r="A1411" s="1"/>
      <c r="B1411" s="3">
        <v>44363</v>
      </c>
      <c r="C1411" s="4">
        <v>3.21</v>
      </c>
      <c r="D1411" s="4">
        <v>1.3371999999999999</v>
      </c>
      <c r="E1411" s="4">
        <v>130</v>
      </c>
      <c r="F1411" s="4">
        <v>3.2000999999999999</v>
      </c>
      <c r="G1411" s="4">
        <v>416.01299999999998</v>
      </c>
      <c r="H1411" s="5">
        <f t="shared" si="21"/>
        <v>3.0755382191883524E-3</v>
      </c>
    </row>
    <row r="1412" spans="1:8" ht="13.5" x14ac:dyDescent="0.25">
      <c r="A1412" s="1"/>
      <c r="B1412" s="3">
        <v>44364</v>
      </c>
      <c r="C1412" s="4">
        <v>3.2</v>
      </c>
      <c r="D1412" s="4">
        <v>1.3331</v>
      </c>
      <c r="E1412" s="4">
        <v>1092</v>
      </c>
      <c r="F1412" s="4">
        <v>3.1976</v>
      </c>
      <c r="G1412" s="4">
        <v>3491.7791999999999</v>
      </c>
      <c r="H1412" s="5">
        <f t="shared" si="21"/>
        <v>-3.0661082859706795E-3</v>
      </c>
    </row>
    <row r="1413" spans="1:8" ht="13.5" x14ac:dyDescent="0.25">
      <c r="A1413" s="1"/>
      <c r="B1413" s="3">
        <v>44365</v>
      </c>
      <c r="C1413" s="4">
        <v>3.22</v>
      </c>
      <c r="D1413" s="4">
        <v>1.3413999999999999</v>
      </c>
      <c r="E1413" s="4">
        <v>721</v>
      </c>
      <c r="F1413" s="4">
        <v>3.1920000000000002</v>
      </c>
      <c r="G1413" s="4">
        <v>2301.4319999999998</v>
      </c>
      <c r="H1413" s="5">
        <f t="shared" si="21"/>
        <v>6.2260895656739736E-3</v>
      </c>
    </row>
    <row r="1414" spans="1:8" ht="13.5" x14ac:dyDescent="0.25">
      <c r="A1414" s="1"/>
      <c r="B1414" s="3">
        <v>44368</v>
      </c>
      <c r="C1414" s="4">
        <v>3.15</v>
      </c>
      <c r="D1414" s="4">
        <v>1.3123</v>
      </c>
      <c r="E1414" s="4">
        <v>2109</v>
      </c>
      <c r="F1414" s="4">
        <v>3.1518999999999999</v>
      </c>
      <c r="G1414" s="4">
        <v>6647.3571000000002</v>
      </c>
      <c r="H1414" s="5">
        <f t="shared" si="21"/>
        <v>-2.1693752795586631E-2</v>
      </c>
    </row>
    <row r="1415" spans="1:8" ht="13.5" x14ac:dyDescent="0.25">
      <c r="A1415" s="1"/>
      <c r="B1415" s="3">
        <v>44369</v>
      </c>
      <c r="C1415" s="4">
        <v>3.22</v>
      </c>
      <c r="D1415" s="4">
        <v>1.3413999999999999</v>
      </c>
      <c r="E1415" s="4">
        <v>999</v>
      </c>
      <c r="F1415" s="4">
        <v>3.1533000000000002</v>
      </c>
      <c r="G1415" s="4">
        <v>3150.1466999999998</v>
      </c>
      <c r="H1415" s="5">
        <f t="shared" ref="H1415:H1478" si="22">(D1415-D1414)/D1414</f>
        <v>2.2174807589727886E-2</v>
      </c>
    </row>
    <row r="1416" spans="1:8" ht="13.5" x14ac:dyDescent="0.25">
      <c r="A1416" s="1"/>
      <c r="B1416" s="3">
        <v>44370</v>
      </c>
      <c r="C1416" s="4">
        <v>3.36</v>
      </c>
      <c r="D1416" s="4">
        <v>1.3996999999999999</v>
      </c>
      <c r="E1416" s="4">
        <v>10859</v>
      </c>
      <c r="F1416" s="4">
        <v>3.2902999999999998</v>
      </c>
      <c r="G1416" s="4">
        <v>35729.367700000003</v>
      </c>
      <c r="H1416" s="5">
        <f t="shared" si="22"/>
        <v>4.3462054569852408E-2</v>
      </c>
    </row>
    <row r="1417" spans="1:8" ht="13.5" x14ac:dyDescent="0.25">
      <c r="A1417" s="1"/>
      <c r="B1417" s="3">
        <v>44371</v>
      </c>
      <c r="C1417" s="4">
        <v>3.56</v>
      </c>
      <c r="D1417" s="4">
        <v>1.4831000000000001</v>
      </c>
      <c r="E1417" s="4">
        <v>93019</v>
      </c>
      <c r="F1417" s="4">
        <v>3.5493999999999999</v>
      </c>
      <c r="G1417" s="4">
        <v>330161.63860000001</v>
      </c>
      <c r="H1417" s="5">
        <f t="shared" si="22"/>
        <v>5.9584196613560153E-2</v>
      </c>
    </row>
    <row r="1418" spans="1:8" ht="13.5" x14ac:dyDescent="0.25">
      <c r="A1418" s="1"/>
      <c r="B1418" s="3">
        <v>44372</v>
      </c>
      <c r="C1418" s="4">
        <v>3.72</v>
      </c>
      <c r="D1418" s="4">
        <v>1.5497000000000001</v>
      </c>
      <c r="E1418" s="4">
        <v>0</v>
      </c>
      <c r="F1418" s="4">
        <v>0</v>
      </c>
      <c r="G1418" s="4">
        <v>0</v>
      </c>
      <c r="H1418" s="5">
        <f t="shared" si="22"/>
        <v>4.4905940260265655E-2</v>
      </c>
    </row>
    <row r="1419" spans="1:8" ht="13.5" x14ac:dyDescent="0.25">
      <c r="A1419" s="1"/>
      <c r="B1419" s="3">
        <v>44375</v>
      </c>
      <c r="C1419" s="4">
        <v>3.72</v>
      </c>
      <c r="D1419" s="4">
        <v>1.5497000000000001</v>
      </c>
      <c r="E1419" s="4">
        <v>27528</v>
      </c>
      <c r="F1419" s="4">
        <v>3.6276999999999999</v>
      </c>
      <c r="G1419" s="4">
        <v>99863.325599999996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3.8</v>
      </c>
      <c r="D1420" s="4">
        <v>1.583</v>
      </c>
      <c r="E1420" s="4">
        <v>30186</v>
      </c>
      <c r="F1420" s="4">
        <v>3.8079999999999998</v>
      </c>
      <c r="G1420" s="4">
        <v>114948.288</v>
      </c>
      <c r="H1420" s="5">
        <f t="shared" si="22"/>
        <v>2.1488029941278883E-2</v>
      </c>
    </row>
    <row r="1421" spans="1:8" ht="13.5" x14ac:dyDescent="0.25">
      <c r="A1421" s="1"/>
      <c r="B1421" s="3">
        <v>44377</v>
      </c>
      <c r="C1421" s="4">
        <v>3.8</v>
      </c>
      <c r="D1421" s="4">
        <v>1.583</v>
      </c>
      <c r="E1421" s="4">
        <v>740</v>
      </c>
      <c r="F1421" s="4">
        <v>3.8</v>
      </c>
      <c r="G1421" s="4">
        <v>2812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3.81</v>
      </c>
      <c r="D1422" s="4">
        <v>1.5871999999999999</v>
      </c>
      <c r="E1422" s="4">
        <v>7577</v>
      </c>
      <c r="F1422" s="4">
        <v>3.8126000000000002</v>
      </c>
      <c r="G1422" s="4">
        <v>28888.070199999998</v>
      </c>
      <c r="H1422" s="5">
        <f t="shared" si="22"/>
        <v>2.6531901452937347E-3</v>
      </c>
    </row>
    <row r="1423" spans="1:8" ht="13.5" x14ac:dyDescent="0.25">
      <c r="A1423" s="1"/>
      <c r="B1423" s="3">
        <v>44379</v>
      </c>
      <c r="C1423" s="4">
        <v>3.82</v>
      </c>
      <c r="D1423" s="4">
        <v>1.5913999999999999</v>
      </c>
      <c r="E1423" s="4">
        <v>2775</v>
      </c>
      <c r="F1423" s="4">
        <v>3.8166000000000002</v>
      </c>
      <c r="G1423" s="4">
        <v>10591.065000000001</v>
      </c>
      <c r="H1423" s="5">
        <f t="shared" si="22"/>
        <v>2.6461693548386982E-3</v>
      </c>
    </row>
    <row r="1424" spans="1:8" ht="13.5" x14ac:dyDescent="0.25">
      <c r="A1424" s="1"/>
      <c r="B1424" s="3">
        <v>44382</v>
      </c>
      <c r="C1424" s="4">
        <v>3.82</v>
      </c>
      <c r="D1424" s="4">
        <v>1.5913999999999999</v>
      </c>
      <c r="E1424" s="4">
        <v>7699</v>
      </c>
      <c r="F1424" s="4">
        <v>3.8367</v>
      </c>
      <c r="G1424" s="4">
        <v>29538.7533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3.82</v>
      </c>
      <c r="D1425" s="4">
        <v>1.5913999999999999</v>
      </c>
      <c r="E1425" s="4">
        <v>7169</v>
      </c>
      <c r="F1425" s="4">
        <v>3.8252000000000002</v>
      </c>
      <c r="G1425" s="4">
        <v>27422.858800000002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3.88</v>
      </c>
      <c r="D1426" s="4">
        <v>1.6164000000000001</v>
      </c>
      <c r="E1426" s="4">
        <v>11049</v>
      </c>
      <c r="F1426" s="4">
        <v>3.8439999999999999</v>
      </c>
      <c r="G1426" s="4">
        <v>42472.356</v>
      </c>
      <c r="H1426" s="5">
        <f t="shared" si="22"/>
        <v>1.5709438230488964E-2</v>
      </c>
    </row>
    <row r="1427" spans="1:8" ht="13.5" x14ac:dyDescent="0.25">
      <c r="A1427" s="1"/>
      <c r="B1427" s="3">
        <v>44385</v>
      </c>
      <c r="C1427" s="4">
        <v>3.82</v>
      </c>
      <c r="D1427" s="4">
        <v>1.6342000000000001</v>
      </c>
      <c r="E1427" s="4">
        <v>6293</v>
      </c>
      <c r="F1427" s="4">
        <v>3.8058000000000001</v>
      </c>
      <c r="G1427" s="4">
        <v>23949.899399999998</v>
      </c>
      <c r="H1427" s="5">
        <f t="shared" si="22"/>
        <v>1.1012125711457583E-2</v>
      </c>
    </row>
    <row r="1428" spans="1:8" ht="13.5" x14ac:dyDescent="0.25">
      <c r="A1428" s="1"/>
      <c r="B1428" s="3">
        <v>44386</v>
      </c>
      <c r="C1428" s="4">
        <v>3.83</v>
      </c>
      <c r="D1428" s="4">
        <v>1.6385000000000001</v>
      </c>
      <c r="E1428" s="4">
        <v>10972</v>
      </c>
      <c r="F1428" s="4">
        <v>3.8174000000000001</v>
      </c>
      <c r="G1428" s="4">
        <v>41884.512799999997</v>
      </c>
      <c r="H1428" s="5">
        <f t="shared" si="22"/>
        <v>2.6312568841022951E-3</v>
      </c>
    </row>
    <row r="1429" spans="1:8" ht="13.5" x14ac:dyDescent="0.25">
      <c r="A1429" s="1"/>
      <c r="B1429" s="3">
        <v>44389</v>
      </c>
      <c r="C1429" s="4">
        <v>3.88</v>
      </c>
      <c r="D1429" s="4">
        <v>1.6597999999999999</v>
      </c>
      <c r="E1429" s="4">
        <v>2614</v>
      </c>
      <c r="F1429" s="4">
        <v>3.8653</v>
      </c>
      <c r="G1429" s="4">
        <v>10103.894200000001</v>
      </c>
      <c r="H1429" s="5">
        <f t="shared" si="22"/>
        <v>1.2999694842843988E-2</v>
      </c>
    </row>
    <row r="1430" spans="1:8" ht="13.5" x14ac:dyDescent="0.25">
      <c r="A1430" s="1"/>
      <c r="B1430" s="3">
        <v>44390</v>
      </c>
      <c r="C1430" s="4">
        <v>3.99</v>
      </c>
      <c r="D1430" s="4">
        <v>1.7069000000000001</v>
      </c>
      <c r="E1430" s="4">
        <v>21943</v>
      </c>
      <c r="F1430" s="4">
        <v>3.8868999999999998</v>
      </c>
      <c r="G1430" s="4">
        <v>85290.246700000003</v>
      </c>
      <c r="H1430" s="5">
        <f t="shared" si="22"/>
        <v>2.8376912881070096E-2</v>
      </c>
    </row>
    <row r="1431" spans="1:8" ht="13.5" x14ac:dyDescent="0.25">
      <c r="A1431" s="1"/>
      <c r="B1431" s="3">
        <v>44391</v>
      </c>
      <c r="C1431" s="4">
        <v>3.99</v>
      </c>
      <c r="D1431" s="4">
        <v>1.7069000000000001</v>
      </c>
      <c r="E1431" s="4">
        <v>1310</v>
      </c>
      <c r="F1431" s="4">
        <v>3.984</v>
      </c>
      <c r="G1431" s="4">
        <v>5219.04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3.97</v>
      </c>
      <c r="D1432" s="4">
        <v>1.6983999999999999</v>
      </c>
      <c r="E1432" s="4">
        <v>394</v>
      </c>
      <c r="F1432" s="4">
        <v>3.9762</v>
      </c>
      <c r="G1432" s="4">
        <v>1566.6228000000001</v>
      </c>
      <c r="H1432" s="5">
        <f t="shared" si="22"/>
        <v>-4.979787919620466E-3</v>
      </c>
    </row>
    <row r="1433" spans="1:8" ht="13.5" x14ac:dyDescent="0.25">
      <c r="A1433" s="1"/>
      <c r="B1433" s="3">
        <v>44393</v>
      </c>
      <c r="C1433" s="4">
        <v>4.03</v>
      </c>
      <c r="D1433" s="4">
        <v>1.724</v>
      </c>
      <c r="E1433" s="4">
        <v>38926</v>
      </c>
      <c r="F1433" s="4">
        <v>3.9750999999999999</v>
      </c>
      <c r="G1433" s="4">
        <v>154734.7426</v>
      </c>
      <c r="H1433" s="5">
        <f t="shared" si="22"/>
        <v>1.5073009891662782E-2</v>
      </c>
    </row>
    <row r="1434" spans="1:8" ht="13.5" x14ac:dyDescent="0.25">
      <c r="A1434" s="1"/>
      <c r="B1434" s="3">
        <v>44396</v>
      </c>
      <c r="C1434" s="4">
        <v>4.26</v>
      </c>
      <c r="D1434" s="4">
        <v>1.8224</v>
      </c>
      <c r="E1434" s="4">
        <v>683</v>
      </c>
      <c r="F1434" s="4">
        <v>4.1399999999999997</v>
      </c>
      <c r="G1434" s="4">
        <v>2827.62</v>
      </c>
      <c r="H1434" s="5">
        <f t="shared" si="22"/>
        <v>5.7076566125290051E-2</v>
      </c>
    </row>
    <row r="1435" spans="1:8" ht="13.5" x14ac:dyDescent="0.25">
      <c r="A1435" s="1"/>
      <c r="B1435" s="3">
        <v>44399</v>
      </c>
      <c r="C1435" s="4">
        <v>4.1500000000000004</v>
      </c>
      <c r="D1435" s="4">
        <v>1.7754000000000001</v>
      </c>
      <c r="E1435" s="4">
        <v>6333</v>
      </c>
      <c r="F1435" s="4">
        <v>4.18</v>
      </c>
      <c r="G1435" s="4">
        <v>26471.94</v>
      </c>
      <c r="H1435" s="5">
        <f t="shared" si="22"/>
        <v>-2.5790166812993814E-2</v>
      </c>
    </row>
    <row r="1436" spans="1:8" ht="13.5" x14ac:dyDescent="0.25">
      <c r="A1436" s="1"/>
      <c r="B1436" s="3">
        <v>44400</v>
      </c>
      <c r="C1436" s="4">
        <v>4.08</v>
      </c>
      <c r="D1436" s="4">
        <v>1.7454000000000001</v>
      </c>
      <c r="E1436" s="4">
        <v>2769</v>
      </c>
      <c r="F1436" s="4">
        <v>4.0913000000000004</v>
      </c>
      <c r="G1436" s="4">
        <v>11328.8097</v>
      </c>
      <c r="H1436" s="5">
        <f t="shared" si="22"/>
        <v>-1.6897600540723232E-2</v>
      </c>
    </row>
    <row r="1437" spans="1:8" ht="13.5" x14ac:dyDescent="0.25">
      <c r="A1437" s="1"/>
      <c r="B1437" s="3">
        <v>44403</v>
      </c>
      <c r="C1437" s="4">
        <v>3.96</v>
      </c>
      <c r="D1437" s="4">
        <v>1.6940999999999999</v>
      </c>
      <c r="E1437" s="4">
        <v>1876</v>
      </c>
      <c r="F1437" s="4">
        <v>3.9994000000000001</v>
      </c>
      <c r="G1437" s="4">
        <v>7502.8743999999997</v>
      </c>
      <c r="H1437" s="5">
        <f t="shared" si="22"/>
        <v>-2.9391543485733997E-2</v>
      </c>
    </row>
    <row r="1438" spans="1:8" ht="13.5" x14ac:dyDescent="0.25">
      <c r="A1438" s="1"/>
      <c r="B1438" s="3">
        <v>44404</v>
      </c>
      <c r="C1438" s="4">
        <v>4.07</v>
      </c>
      <c r="D1438" s="4">
        <v>1.7411000000000001</v>
      </c>
      <c r="E1438" s="4">
        <v>8001</v>
      </c>
      <c r="F1438" s="4">
        <v>3.9539</v>
      </c>
      <c r="G1438" s="4">
        <v>31635.153900000001</v>
      </c>
      <c r="H1438" s="5">
        <f t="shared" si="22"/>
        <v>2.7743344548728028E-2</v>
      </c>
    </row>
    <row r="1439" spans="1:8" ht="13.5" x14ac:dyDescent="0.25">
      <c r="A1439" s="1"/>
      <c r="B1439" s="3">
        <v>44405</v>
      </c>
      <c r="C1439" s="4">
        <v>4.03</v>
      </c>
      <c r="D1439" s="4">
        <v>1.724</v>
      </c>
      <c r="E1439" s="4">
        <v>120</v>
      </c>
      <c r="F1439" s="4">
        <v>4.0366999999999997</v>
      </c>
      <c r="G1439" s="4">
        <v>484.404</v>
      </c>
      <c r="H1439" s="5">
        <f t="shared" si="22"/>
        <v>-9.8213772902188932E-3</v>
      </c>
    </row>
    <row r="1440" spans="1:8" ht="13.5" x14ac:dyDescent="0.25">
      <c r="A1440" s="1"/>
      <c r="B1440" s="3">
        <v>44406</v>
      </c>
      <c r="C1440" s="4">
        <v>4.05</v>
      </c>
      <c r="D1440" s="4">
        <v>1.7325999999999999</v>
      </c>
      <c r="E1440" s="4">
        <v>10</v>
      </c>
      <c r="F1440" s="4">
        <v>4.05</v>
      </c>
      <c r="G1440" s="4">
        <v>40.5</v>
      </c>
      <c r="H1440" s="5">
        <f t="shared" si="22"/>
        <v>4.9883990719257199E-3</v>
      </c>
    </row>
    <row r="1441" spans="1:8" ht="13.5" x14ac:dyDescent="0.25">
      <c r="A1441" s="1"/>
      <c r="B1441" s="3">
        <v>44407</v>
      </c>
      <c r="C1441" s="4">
        <v>4.05</v>
      </c>
      <c r="D1441" s="4">
        <v>1.7325999999999999</v>
      </c>
      <c r="E1441" s="4">
        <v>56</v>
      </c>
      <c r="F1441" s="4">
        <v>4.05</v>
      </c>
      <c r="G1441" s="4">
        <v>226.8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4.05</v>
      </c>
      <c r="D1442" s="4">
        <v>1.7325999999999999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4.05</v>
      </c>
      <c r="D1443" s="4">
        <v>1.7325999999999999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4.0199999999999996</v>
      </c>
      <c r="D1444" s="4">
        <v>1.7197</v>
      </c>
      <c r="E1444" s="4">
        <v>50</v>
      </c>
      <c r="F1444" s="4">
        <v>4.0199999999999996</v>
      </c>
      <c r="G1444" s="4">
        <v>201</v>
      </c>
      <c r="H1444" s="5">
        <f t="shared" si="22"/>
        <v>-7.4454576936395659E-3</v>
      </c>
    </row>
    <row r="1445" spans="1:8" ht="13.5" x14ac:dyDescent="0.25">
      <c r="A1445" s="1"/>
      <c r="B1445" s="3">
        <v>44413</v>
      </c>
      <c r="C1445" s="4">
        <v>4</v>
      </c>
      <c r="D1445" s="4">
        <v>1.7112000000000001</v>
      </c>
      <c r="E1445" s="4">
        <v>245</v>
      </c>
      <c r="F1445" s="4">
        <v>4.0046999999999997</v>
      </c>
      <c r="G1445" s="4">
        <v>981.15150000000006</v>
      </c>
      <c r="H1445" s="5">
        <f t="shared" si="22"/>
        <v>-4.9427225678897206E-3</v>
      </c>
    </row>
    <row r="1446" spans="1:8" ht="13.5" x14ac:dyDescent="0.25">
      <c r="A1446" s="1"/>
      <c r="B1446" s="3">
        <v>44414</v>
      </c>
      <c r="C1446" s="4">
        <v>4</v>
      </c>
      <c r="D1446" s="4">
        <v>1.7112000000000001</v>
      </c>
      <c r="E1446" s="4">
        <v>958</v>
      </c>
      <c r="F1446" s="4">
        <v>3.9540000000000002</v>
      </c>
      <c r="G1446" s="4">
        <v>3787.9319999999998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4.04</v>
      </c>
      <c r="D1447" s="4">
        <v>1.7282999999999999</v>
      </c>
      <c r="E1447" s="4">
        <v>3800</v>
      </c>
      <c r="F1447" s="4">
        <v>4.0339999999999998</v>
      </c>
      <c r="G1447" s="4">
        <v>15329.2</v>
      </c>
      <c r="H1447" s="5">
        <f t="shared" si="22"/>
        <v>9.9929873772790397E-3</v>
      </c>
    </row>
    <row r="1448" spans="1:8" ht="13.5" x14ac:dyDescent="0.25">
      <c r="A1448" s="1"/>
      <c r="B1448" s="3">
        <v>44419</v>
      </c>
      <c r="C1448" s="4">
        <v>4.03</v>
      </c>
      <c r="D1448" s="4">
        <v>1.724</v>
      </c>
      <c r="E1448" s="4">
        <v>1400</v>
      </c>
      <c r="F1448" s="4">
        <v>3.9878999999999998</v>
      </c>
      <c r="G1448" s="4">
        <v>5583.06</v>
      </c>
      <c r="H1448" s="5">
        <f t="shared" si="22"/>
        <v>-2.487993982526165E-3</v>
      </c>
    </row>
    <row r="1449" spans="1:8" ht="13.5" x14ac:dyDescent="0.25">
      <c r="A1449" s="1"/>
      <c r="B1449" s="3">
        <v>44420</v>
      </c>
      <c r="C1449" s="4">
        <v>4.04</v>
      </c>
      <c r="D1449" s="4">
        <v>1.7282999999999999</v>
      </c>
      <c r="E1449" s="4">
        <v>6615</v>
      </c>
      <c r="F1449" s="4">
        <v>4.0614999999999997</v>
      </c>
      <c r="G1449" s="4">
        <v>26866.822499999998</v>
      </c>
      <c r="H1449" s="5">
        <f t="shared" si="22"/>
        <v>2.4941995359628599E-3</v>
      </c>
    </row>
    <row r="1450" spans="1:8" ht="13.5" x14ac:dyDescent="0.25">
      <c r="A1450" s="1"/>
      <c r="B1450" s="3">
        <v>44424</v>
      </c>
      <c r="C1450" s="4">
        <v>4.16</v>
      </c>
      <c r="D1450" s="4">
        <v>1.7796000000000001</v>
      </c>
      <c r="E1450" s="4">
        <v>6646</v>
      </c>
      <c r="F1450" s="4">
        <v>4.0503</v>
      </c>
      <c r="G1450" s="4">
        <v>26918.293799999999</v>
      </c>
      <c r="H1450" s="5">
        <f t="shared" si="22"/>
        <v>2.9682346814789172E-2</v>
      </c>
    </row>
    <row r="1451" spans="1:8" ht="13.5" x14ac:dyDescent="0.25">
      <c r="A1451" s="1"/>
      <c r="B1451" s="3">
        <v>44425</v>
      </c>
      <c r="C1451" s="4">
        <v>4.26</v>
      </c>
      <c r="D1451" s="4">
        <v>1.8224</v>
      </c>
      <c r="E1451" s="4">
        <v>2872</v>
      </c>
      <c r="F1451" s="4">
        <v>4.2312000000000003</v>
      </c>
      <c r="G1451" s="4">
        <v>12152.0064</v>
      </c>
      <c r="H1451" s="5">
        <f t="shared" si="22"/>
        <v>2.4050348392897252E-2</v>
      </c>
    </row>
    <row r="1452" spans="1:8" ht="13.5" x14ac:dyDescent="0.25">
      <c r="A1452" s="1"/>
      <c r="B1452" s="3">
        <v>44426</v>
      </c>
      <c r="C1452" s="4">
        <v>4.28</v>
      </c>
      <c r="D1452" s="4">
        <v>1.831</v>
      </c>
      <c r="E1452" s="4">
        <v>2413</v>
      </c>
      <c r="F1452" s="4">
        <v>4.2750000000000004</v>
      </c>
      <c r="G1452" s="4">
        <v>10315.575000000001</v>
      </c>
      <c r="H1452" s="5">
        <f t="shared" si="22"/>
        <v>4.7190517998243753E-3</v>
      </c>
    </row>
    <row r="1453" spans="1:8" ht="13.5" x14ac:dyDescent="0.25">
      <c r="A1453" s="1"/>
      <c r="B1453" s="3">
        <v>44427</v>
      </c>
      <c r="C1453" s="4">
        <v>4.28</v>
      </c>
      <c r="D1453" s="4">
        <v>1.831</v>
      </c>
      <c r="E1453" s="4">
        <v>7425</v>
      </c>
      <c r="F1453" s="4">
        <v>4.2790999999999997</v>
      </c>
      <c r="G1453" s="4">
        <v>31772.317500000001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4.4000000000000004</v>
      </c>
      <c r="D1454" s="4">
        <v>1.8823000000000001</v>
      </c>
      <c r="E1454" s="4">
        <v>149502</v>
      </c>
      <c r="F1454" s="4">
        <v>4.3979999999999997</v>
      </c>
      <c r="G1454" s="4">
        <v>657509.79599999997</v>
      </c>
      <c r="H1454" s="5">
        <f t="shared" si="22"/>
        <v>2.8017476788640156E-2</v>
      </c>
    </row>
    <row r="1455" spans="1:8" ht="13.5" x14ac:dyDescent="0.25">
      <c r="A1455" s="1"/>
      <c r="B1455" s="3">
        <v>44431</v>
      </c>
      <c r="C1455" s="4">
        <v>4.5999999999999996</v>
      </c>
      <c r="D1455" s="4">
        <v>1.9679</v>
      </c>
      <c r="E1455" s="4">
        <v>10713</v>
      </c>
      <c r="F1455" s="4">
        <v>4.5106000000000002</v>
      </c>
      <c r="G1455" s="4">
        <v>48322.057800000002</v>
      </c>
      <c r="H1455" s="5">
        <f t="shared" si="22"/>
        <v>4.5476279020347392E-2</v>
      </c>
    </row>
    <row r="1456" spans="1:8" ht="13.5" x14ac:dyDescent="0.25">
      <c r="A1456" s="1"/>
      <c r="B1456" s="3">
        <v>44432</v>
      </c>
      <c r="C1456" s="4">
        <v>4.5999999999999996</v>
      </c>
      <c r="D1456" s="4">
        <v>1.9679</v>
      </c>
      <c r="E1456" s="4">
        <v>1373</v>
      </c>
      <c r="F1456" s="4">
        <v>4.6109</v>
      </c>
      <c r="G1456" s="4">
        <v>6330.7656999999999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4.57</v>
      </c>
      <c r="D1457" s="4">
        <v>1.9550000000000001</v>
      </c>
      <c r="E1457" s="4">
        <v>1762</v>
      </c>
      <c r="F1457" s="4">
        <v>4.5137999999999998</v>
      </c>
      <c r="G1457" s="4">
        <v>7953.3155999999999</v>
      </c>
      <c r="H1457" s="5">
        <f t="shared" si="22"/>
        <v>-6.5552111387773317E-3</v>
      </c>
    </row>
    <row r="1458" spans="1:8" ht="13.5" x14ac:dyDescent="0.25">
      <c r="A1458" s="1"/>
      <c r="B1458" s="3">
        <v>44434</v>
      </c>
      <c r="C1458" s="4">
        <v>4.5</v>
      </c>
      <c r="D1458" s="4">
        <v>1.9251</v>
      </c>
      <c r="E1458" s="4">
        <v>863</v>
      </c>
      <c r="F1458" s="4">
        <v>4.4855999999999998</v>
      </c>
      <c r="G1458" s="4">
        <v>3871.0727999999999</v>
      </c>
      <c r="H1458" s="5">
        <f t="shared" si="22"/>
        <v>-1.5294117647058842E-2</v>
      </c>
    </row>
    <row r="1459" spans="1:8" ht="13.5" x14ac:dyDescent="0.25">
      <c r="A1459" s="1"/>
      <c r="B1459" s="3">
        <v>44435</v>
      </c>
      <c r="C1459" s="4">
        <v>4.74</v>
      </c>
      <c r="D1459" s="4">
        <v>2.0278</v>
      </c>
      <c r="E1459" s="4">
        <v>11525</v>
      </c>
      <c r="F1459" s="4">
        <v>4.7508999999999997</v>
      </c>
      <c r="G1459" s="4">
        <v>54754.122499999998</v>
      </c>
      <c r="H1459" s="5">
        <f t="shared" si="22"/>
        <v>5.3347878032310017E-2</v>
      </c>
    </row>
    <row r="1460" spans="1:8" ht="13.5" x14ac:dyDescent="0.25">
      <c r="A1460" s="1"/>
      <c r="B1460" s="3">
        <v>44438</v>
      </c>
      <c r="C1460" s="4">
        <v>4.7</v>
      </c>
      <c r="D1460" s="4">
        <v>2.0106000000000002</v>
      </c>
      <c r="E1460" s="4">
        <v>1000</v>
      </c>
      <c r="F1460" s="4">
        <v>4.7</v>
      </c>
      <c r="G1460" s="4">
        <v>4700</v>
      </c>
      <c r="H1460" s="5">
        <f t="shared" si="22"/>
        <v>-8.4820988263141738E-3</v>
      </c>
    </row>
    <row r="1461" spans="1:8" ht="13.5" x14ac:dyDescent="0.25">
      <c r="A1461" s="1"/>
      <c r="B1461" s="3">
        <v>44439</v>
      </c>
      <c r="C1461" s="4">
        <v>4.6900000000000004</v>
      </c>
      <c r="D1461" s="4">
        <v>2.0064000000000002</v>
      </c>
      <c r="E1461" s="4">
        <v>3200</v>
      </c>
      <c r="F1461" s="4">
        <v>4.6980000000000004</v>
      </c>
      <c r="G1461" s="4">
        <v>15033.6</v>
      </c>
      <c r="H1461" s="5">
        <f t="shared" si="22"/>
        <v>-2.0889286780065557E-3</v>
      </c>
    </row>
    <row r="1462" spans="1:8" ht="13.5" x14ac:dyDescent="0.25">
      <c r="A1462" s="1"/>
      <c r="B1462" s="3">
        <v>44440</v>
      </c>
      <c r="C1462" s="4">
        <v>4.6900000000000004</v>
      </c>
      <c r="D1462" s="4">
        <v>2.0064000000000002</v>
      </c>
      <c r="E1462" s="4">
        <v>2101</v>
      </c>
      <c r="F1462" s="4">
        <v>4.6900000000000004</v>
      </c>
      <c r="G1462" s="4">
        <v>9853.69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4.74</v>
      </c>
      <c r="D1463" s="4">
        <v>2.0278</v>
      </c>
      <c r="E1463" s="4">
        <v>1069</v>
      </c>
      <c r="F1463" s="4">
        <v>4.7350000000000003</v>
      </c>
      <c r="G1463" s="4">
        <v>5061.7150000000001</v>
      </c>
      <c r="H1463" s="5">
        <f t="shared" si="22"/>
        <v>1.0665869218500728E-2</v>
      </c>
    </row>
    <row r="1464" spans="1:8" ht="13.5" x14ac:dyDescent="0.25">
      <c r="A1464" s="1"/>
      <c r="B1464" s="3">
        <v>44442</v>
      </c>
      <c r="C1464" s="4">
        <v>4.7</v>
      </c>
      <c r="D1464" s="4">
        <v>2.0106000000000002</v>
      </c>
      <c r="E1464" s="4">
        <v>16569</v>
      </c>
      <c r="F1464" s="4">
        <v>4.7249999999999996</v>
      </c>
      <c r="G1464" s="4">
        <v>78288.524999999994</v>
      </c>
      <c r="H1464" s="5">
        <f t="shared" si="22"/>
        <v>-8.4820988263141738E-3</v>
      </c>
    </row>
    <row r="1465" spans="1:8" ht="13.5" x14ac:dyDescent="0.25">
      <c r="A1465" s="1"/>
      <c r="B1465" s="3">
        <v>44445</v>
      </c>
      <c r="C1465" s="4">
        <v>4.67</v>
      </c>
      <c r="D1465" s="4">
        <v>1.9978</v>
      </c>
      <c r="E1465" s="4">
        <v>2502</v>
      </c>
      <c r="F1465" s="4">
        <v>4.6230000000000002</v>
      </c>
      <c r="G1465" s="4">
        <v>11566.745999999999</v>
      </c>
      <c r="H1465" s="5">
        <f t="shared" si="22"/>
        <v>-6.3662588282105562E-3</v>
      </c>
    </row>
    <row r="1466" spans="1:8" ht="13.5" x14ac:dyDescent="0.25">
      <c r="A1466" s="1"/>
      <c r="B1466" s="3">
        <v>44446</v>
      </c>
      <c r="C1466" s="4">
        <v>4.5999999999999996</v>
      </c>
      <c r="D1466" s="4">
        <v>1.9679</v>
      </c>
      <c r="E1466" s="4">
        <v>834</v>
      </c>
      <c r="F1466" s="4">
        <v>4.5620000000000003</v>
      </c>
      <c r="G1466" s="4">
        <v>3804.7080000000001</v>
      </c>
      <c r="H1466" s="5">
        <f t="shared" si="22"/>
        <v>-1.4966463109420382E-2</v>
      </c>
    </row>
    <row r="1467" spans="1:8" ht="13.5" x14ac:dyDescent="0.25">
      <c r="A1467" s="1"/>
      <c r="B1467" s="3">
        <v>44447</v>
      </c>
      <c r="C1467" s="4">
        <v>4.5</v>
      </c>
      <c r="D1467" s="4">
        <v>1.9251</v>
      </c>
      <c r="E1467" s="4">
        <v>1846</v>
      </c>
      <c r="F1467" s="4">
        <v>4.5010000000000003</v>
      </c>
      <c r="G1467" s="4">
        <v>8308.8459999999995</v>
      </c>
      <c r="H1467" s="5">
        <f t="shared" si="22"/>
        <v>-2.1749072615478402E-2</v>
      </c>
    </row>
    <row r="1468" spans="1:8" ht="13.5" x14ac:dyDescent="0.25">
      <c r="A1468" s="1"/>
      <c r="B1468" s="3">
        <v>44448</v>
      </c>
      <c r="C1468" s="4">
        <v>4.55</v>
      </c>
      <c r="D1468" s="4">
        <v>1.9464999999999999</v>
      </c>
      <c r="E1468" s="4">
        <v>3009</v>
      </c>
      <c r="F1468" s="4">
        <v>4.4640000000000004</v>
      </c>
      <c r="G1468" s="4">
        <v>13432.175999999999</v>
      </c>
      <c r="H1468" s="5">
        <f t="shared" si="22"/>
        <v>1.1116305646459853E-2</v>
      </c>
    </row>
    <row r="1469" spans="1:8" ht="13.5" x14ac:dyDescent="0.25">
      <c r="A1469" s="1"/>
      <c r="B1469" s="3">
        <v>44449</v>
      </c>
      <c r="C1469" s="4">
        <v>4.8</v>
      </c>
      <c r="D1469" s="4">
        <v>2.0533999999999999</v>
      </c>
      <c r="E1469" s="4">
        <v>236346</v>
      </c>
      <c r="F1469" s="4">
        <v>4.484</v>
      </c>
      <c r="G1469" s="4">
        <v>1059775.4639999999</v>
      </c>
      <c r="H1469" s="5">
        <f t="shared" si="22"/>
        <v>5.4919085538145389E-2</v>
      </c>
    </row>
    <row r="1470" spans="1:8" ht="13.5" x14ac:dyDescent="0.25">
      <c r="A1470" s="1"/>
      <c r="B1470" s="3">
        <v>44452</v>
      </c>
      <c r="C1470" s="4">
        <v>4.74</v>
      </c>
      <c r="D1470" s="4">
        <v>2.0278</v>
      </c>
      <c r="E1470" s="4">
        <v>5364</v>
      </c>
      <c r="F1470" s="4">
        <v>4.7549999999999999</v>
      </c>
      <c r="G1470" s="4">
        <v>25505.82</v>
      </c>
      <c r="H1470" s="5">
        <f t="shared" si="22"/>
        <v>-1.2467127690659319E-2</v>
      </c>
    </row>
    <row r="1471" spans="1:8" ht="13.5" x14ac:dyDescent="0.25">
      <c r="A1471" s="1"/>
      <c r="B1471" s="3">
        <v>44453</v>
      </c>
      <c r="C1471" s="4">
        <v>4.62</v>
      </c>
      <c r="D1471" s="4">
        <v>1.9763999999999999</v>
      </c>
      <c r="E1471" s="4">
        <v>2954</v>
      </c>
      <c r="F1471" s="4">
        <v>4.6369999999999996</v>
      </c>
      <c r="G1471" s="4">
        <v>13697.698</v>
      </c>
      <c r="H1471" s="5">
        <f t="shared" si="22"/>
        <v>-2.5347667422822819E-2</v>
      </c>
    </row>
    <row r="1472" spans="1:8" ht="13.5" x14ac:dyDescent="0.25">
      <c r="A1472" s="1"/>
      <c r="B1472" s="3">
        <v>44454</v>
      </c>
      <c r="C1472" s="4">
        <v>4.62</v>
      </c>
      <c r="D1472" s="4">
        <v>1.9763999999999999</v>
      </c>
      <c r="E1472" s="4">
        <v>975</v>
      </c>
      <c r="F1472" s="4">
        <v>4.6130000000000004</v>
      </c>
      <c r="G1472" s="4">
        <v>4497.6750000000002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4.6100000000000003</v>
      </c>
      <c r="D1473" s="4">
        <v>1.9721</v>
      </c>
      <c r="E1473" s="4">
        <v>2453</v>
      </c>
      <c r="F1473" s="4">
        <v>4.5620000000000003</v>
      </c>
      <c r="G1473" s="4">
        <v>11190.585999999999</v>
      </c>
      <c r="H1473" s="5">
        <f t="shared" si="22"/>
        <v>-2.1756729407002482E-3</v>
      </c>
    </row>
    <row r="1474" spans="1:8" ht="13.5" x14ac:dyDescent="0.25">
      <c r="A1474" s="1"/>
      <c r="B1474" s="3">
        <v>44456</v>
      </c>
      <c r="C1474" s="4">
        <v>4.7</v>
      </c>
      <c r="D1474" s="4">
        <v>2.0106000000000002</v>
      </c>
      <c r="E1474" s="4">
        <v>6252</v>
      </c>
      <c r="F1474" s="4">
        <v>4.6950000000000003</v>
      </c>
      <c r="G1474" s="4">
        <v>29353.14</v>
      </c>
      <c r="H1474" s="5">
        <f t="shared" si="22"/>
        <v>1.9522336595507429E-2</v>
      </c>
    </row>
    <row r="1475" spans="1:8" ht="13.5" x14ac:dyDescent="0.25">
      <c r="A1475" s="1"/>
      <c r="B1475" s="3">
        <v>44459</v>
      </c>
      <c r="C1475" s="4">
        <v>4.66</v>
      </c>
      <c r="D1475" s="4">
        <v>1.9935</v>
      </c>
      <c r="E1475" s="4">
        <v>1167</v>
      </c>
      <c r="F1475" s="4">
        <v>4.6689999999999996</v>
      </c>
      <c r="G1475" s="4">
        <v>5448.723</v>
      </c>
      <c r="H1475" s="5">
        <f t="shared" si="22"/>
        <v>-8.5049239033125005E-3</v>
      </c>
    </row>
    <row r="1476" spans="1:8" ht="13.5" x14ac:dyDescent="0.25">
      <c r="A1476" s="1"/>
      <c r="B1476" s="3">
        <v>44460</v>
      </c>
      <c r="C1476" s="4">
        <v>4.66</v>
      </c>
      <c r="D1476" s="4">
        <v>1.9935</v>
      </c>
      <c r="E1476" s="4">
        <v>3040</v>
      </c>
      <c r="F1476" s="4">
        <v>4.67</v>
      </c>
      <c r="G1476" s="4">
        <v>14196.8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4.66</v>
      </c>
      <c r="D1477" s="4">
        <v>1.9935</v>
      </c>
      <c r="E1477" s="4">
        <v>3091</v>
      </c>
      <c r="F1477" s="4">
        <v>4.6159999999999997</v>
      </c>
      <c r="G1477" s="4">
        <v>14268.056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4.66</v>
      </c>
      <c r="D1478" s="4">
        <v>1.9935</v>
      </c>
      <c r="E1478" s="4">
        <v>566</v>
      </c>
      <c r="F1478" s="4">
        <v>4.6619999999999999</v>
      </c>
      <c r="G1478" s="4">
        <v>2638.692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4.6900000000000004</v>
      </c>
      <c r="D1479" s="4">
        <v>2.0064000000000002</v>
      </c>
      <c r="E1479" s="4">
        <v>2472</v>
      </c>
      <c r="F1479" s="4">
        <v>4.6239999999999997</v>
      </c>
      <c r="G1479" s="4">
        <v>11430.528</v>
      </c>
      <c r="H1479" s="5">
        <f t="shared" ref="H1479:H1542" si="23">(D1479-D1478)/D1478</f>
        <v>6.471030850263423E-3</v>
      </c>
    </row>
    <row r="1480" spans="1:8" ht="13.5" x14ac:dyDescent="0.25">
      <c r="A1480" s="1"/>
      <c r="B1480" s="3">
        <v>44466</v>
      </c>
      <c r="C1480" s="4">
        <v>4.66</v>
      </c>
      <c r="D1480" s="4">
        <v>1.9935</v>
      </c>
      <c r="E1480" s="4">
        <v>2850</v>
      </c>
      <c r="F1480" s="4">
        <v>4.5999999999999996</v>
      </c>
      <c r="G1480" s="4">
        <v>13110</v>
      </c>
      <c r="H1480" s="5">
        <f t="shared" si="23"/>
        <v>-6.4294258373206398E-3</v>
      </c>
    </row>
    <row r="1481" spans="1:8" ht="13.5" x14ac:dyDescent="0.25">
      <c r="A1481" s="1"/>
      <c r="B1481" s="3">
        <v>44467</v>
      </c>
      <c r="C1481" s="4">
        <v>4.66</v>
      </c>
      <c r="D1481" s="4">
        <v>1.9935</v>
      </c>
      <c r="E1481" s="4">
        <v>464</v>
      </c>
      <c r="F1481" s="4">
        <v>4.6459999999999999</v>
      </c>
      <c r="G1481" s="4">
        <v>2155.7440000000001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4.6399999999999997</v>
      </c>
      <c r="D1482" s="4">
        <v>1.9850000000000001</v>
      </c>
      <c r="E1482" s="4">
        <v>1292</v>
      </c>
      <c r="F1482" s="4">
        <v>4.6360000000000001</v>
      </c>
      <c r="G1482" s="4">
        <v>5989.7120000000004</v>
      </c>
      <c r="H1482" s="5">
        <f t="shared" si="23"/>
        <v>-4.2638575369952107E-3</v>
      </c>
    </row>
    <row r="1483" spans="1:8" ht="13.5" x14ac:dyDescent="0.25">
      <c r="A1483" s="1"/>
      <c r="B1483" s="3">
        <v>44469</v>
      </c>
      <c r="C1483" s="4">
        <v>4.6399999999999997</v>
      </c>
      <c r="D1483" s="4">
        <v>1.9850000000000001</v>
      </c>
      <c r="E1483" s="4">
        <v>3654</v>
      </c>
      <c r="F1483" s="4">
        <v>4.601</v>
      </c>
      <c r="G1483" s="4">
        <v>16812.054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4.7</v>
      </c>
      <c r="D1484" s="4">
        <v>2.0106000000000002</v>
      </c>
      <c r="E1484" s="4">
        <v>2041</v>
      </c>
      <c r="F1484" s="4">
        <v>4.6630000000000003</v>
      </c>
      <c r="G1484" s="4">
        <v>9517.1830000000009</v>
      </c>
      <c r="H1484" s="5">
        <f t="shared" si="23"/>
        <v>1.2896725440806079E-2</v>
      </c>
    </row>
    <row r="1485" spans="1:8" ht="13.5" x14ac:dyDescent="0.25">
      <c r="A1485" s="1"/>
      <c r="B1485" s="3">
        <v>44473</v>
      </c>
      <c r="C1485" s="4">
        <v>4.7</v>
      </c>
      <c r="D1485" s="4">
        <v>2.0106000000000002</v>
      </c>
      <c r="E1485" s="4">
        <v>3125</v>
      </c>
      <c r="F1485" s="4">
        <v>4.7</v>
      </c>
      <c r="G1485" s="4">
        <v>14687.5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4.7699999999999996</v>
      </c>
      <c r="D1486" s="4">
        <v>2.0406</v>
      </c>
      <c r="E1486" s="4">
        <v>5052</v>
      </c>
      <c r="F1486" s="4">
        <v>4.7469999999999999</v>
      </c>
      <c r="G1486" s="4">
        <v>23981.844000000001</v>
      </c>
      <c r="H1486" s="5">
        <f t="shared" si="23"/>
        <v>1.4920919128618225E-2</v>
      </c>
    </row>
    <row r="1487" spans="1:8" ht="13.5" x14ac:dyDescent="0.25">
      <c r="A1487" s="1"/>
      <c r="B1487" s="3">
        <v>44475</v>
      </c>
      <c r="C1487" s="4">
        <v>4.8099999999999996</v>
      </c>
      <c r="D1487" s="4">
        <v>2.0577000000000001</v>
      </c>
      <c r="E1487" s="4">
        <v>2135</v>
      </c>
      <c r="F1487" s="4">
        <v>4.72</v>
      </c>
      <c r="G1487" s="4">
        <v>10077.200000000001</v>
      </c>
      <c r="H1487" s="5">
        <f t="shared" si="23"/>
        <v>8.3798882681564817E-3</v>
      </c>
    </row>
    <row r="1488" spans="1:8" ht="13.5" x14ac:dyDescent="0.25">
      <c r="A1488" s="1"/>
      <c r="B1488" s="3">
        <v>44476</v>
      </c>
      <c r="C1488" s="4">
        <v>4.8499999999999996</v>
      </c>
      <c r="D1488" s="4">
        <v>2.0748000000000002</v>
      </c>
      <c r="E1488" s="4">
        <v>4374</v>
      </c>
      <c r="F1488" s="4">
        <v>4.8029999999999999</v>
      </c>
      <c r="G1488" s="4">
        <v>21008.322</v>
      </c>
      <c r="H1488" s="5">
        <f t="shared" si="23"/>
        <v>8.3102493074792803E-3</v>
      </c>
    </row>
    <row r="1489" spans="1:8" ht="13.5" x14ac:dyDescent="0.25">
      <c r="A1489" s="1"/>
      <c r="B1489" s="3">
        <v>44477</v>
      </c>
      <c r="C1489" s="4">
        <v>5.01</v>
      </c>
      <c r="D1489" s="4">
        <v>2.1433</v>
      </c>
      <c r="E1489" s="4">
        <v>16422</v>
      </c>
      <c r="F1489" s="4">
        <v>4.8959999999999999</v>
      </c>
      <c r="G1489" s="4">
        <v>80402.111999999994</v>
      </c>
      <c r="H1489" s="5">
        <f t="shared" si="23"/>
        <v>3.3015230383651326E-2</v>
      </c>
    </row>
    <row r="1490" spans="1:8" ht="13.5" x14ac:dyDescent="0.25">
      <c r="A1490" s="1"/>
      <c r="B1490" s="3">
        <v>44480</v>
      </c>
      <c r="C1490" s="4">
        <v>5.3</v>
      </c>
      <c r="D1490" s="4">
        <v>2.2673000000000001</v>
      </c>
      <c r="E1490" s="4">
        <v>7426</v>
      </c>
      <c r="F1490" s="4">
        <v>5.1159999999999997</v>
      </c>
      <c r="G1490" s="4">
        <v>37991.415999999997</v>
      </c>
      <c r="H1490" s="5">
        <f t="shared" si="23"/>
        <v>5.7854710026594557E-2</v>
      </c>
    </row>
    <row r="1491" spans="1:8" ht="13.5" x14ac:dyDescent="0.25">
      <c r="A1491" s="1"/>
      <c r="B1491" s="3">
        <v>44481</v>
      </c>
      <c r="C1491" s="4">
        <v>5.4</v>
      </c>
      <c r="D1491" s="4">
        <v>2.3100999999999998</v>
      </c>
      <c r="E1491" s="4">
        <v>3251</v>
      </c>
      <c r="F1491" s="4">
        <v>5.4</v>
      </c>
      <c r="G1491" s="4">
        <v>17555.400000000001</v>
      </c>
      <c r="H1491" s="5">
        <f t="shared" si="23"/>
        <v>1.8877078463370407E-2</v>
      </c>
    </row>
    <row r="1492" spans="1:8" ht="13.5" x14ac:dyDescent="0.25">
      <c r="A1492" s="1"/>
      <c r="B1492" s="3">
        <v>44482</v>
      </c>
      <c r="C1492" s="4">
        <v>5.2</v>
      </c>
      <c r="D1492" s="4">
        <v>2.2244999999999999</v>
      </c>
      <c r="E1492" s="4">
        <v>2310</v>
      </c>
      <c r="F1492" s="4">
        <v>5.165</v>
      </c>
      <c r="G1492" s="4">
        <v>11931.15</v>
      </c>
      <c r="H1492" s="5">
        <f t="shared" si="23"/>
        <v>-3.705467295788057E-2</v>
      </c>
    </row>
    <row r="1493" spans="1:8" ht="13.5" x14ac:dyDescent="0.25">
      <c r="A1493" s="1"/>
      <c r="B1493" s="3">
        <v>44483</v>
      </c>
      <c r="C1493" s="4">
        <v>5.15</v>
      </c>
      <c r="D1493" s="4">
        <v>2.2031999999999998</v>
      </c>
      <c r="E1493" s="4">
        <v>5292</v>
      </c>
      <c r="F1493" s="4">
        <v>5.1580000000000004</v>
      </c>
      <c r="G1493" s="4">
        <v>27296.135999999999</v>
      </c>
      <c r="H1493" s="5">
        <f t="shared" si="23"/>
        <v>-9.5751854349292419E-3</v>
      </c>
    </row>
    <row r="1494" spans="1:8" ht="13.5" x14ac:dyDescent="0.25">
      <c r="A1494" s="1"/>
      <c r="B1494" s="3">
        <v>44488</v>
      </c>
      <c r="C1494" s="4">
        <v>5.08</v>
      </c>
      <c r="D1494" s="4">
        <v>2.1732</v>
      </c>
      <c r="E1494" s="4">
        <v>1210</v>
      </c>
      <c r="F1494" s="4">
        <v>5.0839999999999996</v>
      </c>
      <c r="G1494" s="4">
        <v>6151.64</v>
      </c>
      <c r="H1494" s="5">
        <f t="shared" si="23"/>
        <v>-1.3616557734204705E-2</v>
      </c>
    </row>
    <row r="1495" spans="1:8" ht="13.5" x14ac:dyDescent="0.25">
      <c r="A1495" s="1"/>
      <c r="B1495" s="3">
        <v>44489</v>
      </c>
      <c r="C1495" s="4">
        <v>5.08</v>
      </c>
      <c r="D1495" s="4">
        <v>2.1732</v>
      </c>
      <c r="E1495" s="4">
        <v>23</v>
      </c>
      <c r="F1495" s="4">
        <v>5.0810000000000004</v>
      </c>
      <c r="G1495" s="4">
        <v>116.863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5.09</v>
      </c>
      <c r="D1496" s="4">
        <v>2.1775000000000002</v>
      </c>
      <c r="E1496" s="4">
        <v>14602</v>
      </c>
      <c r="F1496" s="4">
        <v>4.9720000000000004</v>
      </c>
      <c r="G1496" s="4">
        <v>72601.144</v>
      </c>
      <c r="H1496" s="5">
        <f t="shared" si="23"/>
        <v>1.9786489968710622E-3</v>
      </c>
    </row>
    <row r="1497" spans="1:8" ht="13.5" x14ac:dyDescent="0.25">
      <c r="A1497" s="1"/>
      <c r="B1497" s="3">
        <v>44491</v>
      </c>
      <c r="C1497" s="4">
        <v>4.9000000000000004</v>
      </c>
      <c r="D1497" s="4">
        <v>2.0962000000000001</v>
      </c>
      <c r="E1497" s="4">
        <v>1114</v>
      </c>
      <c r="F1497" s="4">
        <v>4.944</v>
      </c>
      <c r="G1497" s="4">
        <v>5507.616</v>
      </c>
      <c r="H1497" s="5">
        <f t="shared" si="23"/>
        <v>-3.7336394948335315E-2</v>
      </c>
    </row>
    <row r="1498" spans="1:8" ht="13.5" x14ac:dyDescent="0.25">
      <c r="A1498" s="1"/>
      <c r="B1498" s="3">
        <v>44494</v>
      </c>
      <c r="C1498" s="4">
        <v>4.96</v>
      </c>
      <c r="D1498" s="4">
        <v>2.1219000000000001</v>
      </c>
      <c r="E1498" s="4">
        <v>1</v>
      </c>
      <c r="F1498" s="4">
        <v>4.96</v>
      </c>
      <c r="G1498" s="4">
        <v>4.96</v>
      </c>
      <c r="H1498" s="5">
        <f t="shared" si="23"/>
        <v>1.2260280507585181E-2</v>
      </c>
    </row>
    <row r="1499" spans="1:8" ht="13.5" x14ac:dyDescent="0.25">
      <c r="A1499" s="1"/>
      <c r="B1499" s="3">
        <v>44495</v>
      </c>
      <c r="C1499" s="4">
        <v>4.9000000000000004</v>
      </c>
      <c r="D1499" s="4">
        <v>2.0962000000000001</v>
      </c>
      <c r="E1499" s="4">
        <v>98</v>
      </c>
      <c r="F1499" s="4">
        <v>4.7119999999999997</v>
      </c>
      <c r="G1499" s="4">
        <v>461.77600000000001</v>
      </c>
      <c r="H1499" s="5">
        <f t="shared" si="23"/>
        <v>-1.2111786606343397E-2</v>
      </c>
    </row>
    <row r="1500" spans="1:8" ht="13.5" x14ac:dyDescent="0.25">
      <c r="A1500" s="1"/>
      <c r="B1500" s="3">
        <v>44496</v>
      </c>
      <c r="C1500" s="4">
        <v>4.9000000000000004</v>
      </c>
      <c r="D1500" s="4">
        <v>2.0962000000000001</v>
      </c>
      <c r="E1500" s="4">
        <v>1</v>
      </c>
      <c r="F1500" s="4">
        <v>4.9000000000000004</v>
      </c>
      <c r="G1500" s="4">
        <v>4.9000000000000004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5</v>
      </c>
      <c r="D1501" s="4">
        <v>2.1389999999999998</v>
      </c>
      <c r="E1501" s="4">
        <v>1</v>
      </c>
      <c r="F1501" s="4">
        <v>5</v>
      </c>
      <c r="G1501" s="4">
        <v>5</v>
      </c>
      <c r="H1501" s="5">
        <f t="shared" si="23"/>
        <v>2.0417899055433512E-2</v>
      </c>
    </row>
    <row r="1502" spans="1:8" ht="13.5" x14ac:dyDescent="0.25">
      <c r="A1502" s="1"/>
      <c r="B1502" s="3">
        <v>44498</v>
      </c>
      <c r="C1502" s="4">
        <v>5.15</v>
      </c>
      <c r="D1502" s="4">
        <v>2.2031999999999998</v>
      </c>
      <c r="E1502" s="4">
        <v>8189</v>
      </c>
      <c r="F1502" s="4">
        <v>4.9139999999999997</v>
      </c>
      <c r="G1502" s="4">
        <v>40240.745999999999</v>
      </c>
      <c r="H1502" s="5">
        <f t="shared" si="23"/>
        <v>3.0014025245441816E-2</v>
      </c>
    </row>
    <row r="1503" spans="1:8" ht="13.5" x14ac:dyDescent="0.25">
      <c r="A1503" s="1"/>
      <c r="B1503" s="3">
        <v>44501</v>
      </c>
      <c r="C1503" s="4">
        <v>5.35</v>
      </c>
      <c r="D1503" s="4">
        <v>2.2887</v>
      </c>
      <c r="E1503" s="4">
        <v>1</v>
      </c>
      <c r="F1503" s="4">
        <v>5.35</v>
      </c>
      <c r="G1503" s="4">
        <v>5.35</v>
      </c>
      <c r="H1503" s="5">
        <f t="shared" si="23"/>
        <v>3.8807189542483723E-2</v>
      </c>
    </row>
    <row r="1504" spans="1:8" ht="13.5" x14ac:dyDescent="0.25">
      <c r="A1504" s="1"/>
      <c r="B1504" s="3">
        <v>44502</v>
      </c>
      <c r="C1504" s="4">
        <v>5.09</v>
      </c>
      <c r="D1504" s="4">
        <v>2.1775000000000002</v>
      </c>
      <c r="E1504" s="4">
        <v>8185</v>
      </c>
      <c r="F1504" s="4">
        <v>5.0910000000000002</v>
      </c>
      <c r="G1504" s="4">
        <v>41669.834999999999</v>
      </c>
      <c r="H1504" s="5">
        <f t="shared" si="23"/>
        <v>-4.8586533840171163E-2</v>
      </c>
    </row>
    <row r="1505" spans="1:8" ht="13.5" x14ac:dyDescent="0.25">
      <c r="A1505" s="1"/>
      <c r="B1505" s="3">
        <v>44503</v>
      </c>
      <c r="C1505" s="4">
        <v>5.3</v>
      </c>
      <c r="D1505" s="4">
        <v>2.2673000000000001</v>
      </c>
      <c r="E1505" s="4">
        <v>184</v>
      </c>
      <c r="F1505" s="4">
        <v>5.3</v>
      </c>
      <c r="G1505" s="4">
        <v>975.2</v>
      </c>
      <c r="H1505" s="5">
        <f t="shared" si="23"/>
        <v>4.1239954075774909E-2</v>
      </c>
    </row>
    <row r="1506" spans="1:8" ht="13.5" x14ac:dyDescent="0.25">
      <c r="A1506" s="1"/>
      <c r="B1506" s="3">
        <v>44504</v>
      </c>
      <c r="C1506" s="4">
        <v>5.21</v>
      </c>
      <c r="D1506" s="4">
        <v>2.2288000000000001</v>
      </c>
      <c r="E1506" s="4">
        <v>10830</v>
      </c>
      <c r="F1506" s="4">
        <v>5.2</v>
      </c>
      <c r="G1506" s="4">
        <v>56316</v>
      </c>
      <c r="H1506" s="5">
        <f t="shared" si="23"/>
        <v>-1.6980549552330956E-2</v>
      </c>
    </row>
    <row r="1507" spans="1:8" ht="13.5" x14ac:dyDescent="0.25">
      <c r="A1507" s="1"/>
      <c r="B1507" s="3">
        <v>44505</v>
      </c>
      <c r="C1507" s="4">
        <v>5.2</v>
      </c>
      <c r="D1507" s="4">
        <v>2.2244999999999999</v>
      </c>
      <c r="E1507" s="4">
        <v>186</v>
      </c>
      <c r="F1507" s="4">
        <v>5.1029999999999998</v>
      </c>
      <c r="G1507" s="4">
        <v>949.15800000000002</v>
      </c>
      <c r="H1507" s="5">
        <f t="shared" si="23"/>
        <v>-1.9292893036612492E-3</v>
      </c>
    </row>
    <row r="1508" spans="1:8" ht="13.5" x14ac:dyDescent="0.25">
      <c r="A1508" s="1"/>
      <c r="B1508" s="3">
        <v>44508</v>
      </c>
      <c r="C1508" s="4">
        <v>5.05</v>
      </c>
      <c r="D1508" s="4">
        <v>2.1604000000000001</v>
      </c>
      <c r="E1508" s="4">
        <v>7669</v>
      </c>
      <c r="F1508" s="4">
        <v>5.0979999999999999</v>
      </c>
      <c r="G1508" s="4">
        <v>39096.561999999998</v>
      </c>
      <c r="H1508" s="5">
        <f t="shared" si="23"/>
        <v>-2.8815464149246944E-2</v>
      </c>
    </row>
    <row r="1509" spans="1:8" ht="13.5" x14ac:dyDescent="0.25">
      <c r="A1509" s="1"/>
      <c r="B1509" s="3">
        <v>44509</v>
      </c>
      <c r="C1509" s="4">
        <v>5.24</v>
      </c>
      <c r="D1509" s="4">
        <v>2.2416999999999998</v>
      </c>
      <c r="E1509" s="4">
        <v>11505</v>
      </c>
      <c r="F1509" s="4">
        <v>5.18</v>
      </c>
      <c r="G1509" s="4">
        <v>59595.9</v>
      </c>
      <c r="H1509" s="5">
        <f t="shared" si="23"/>
        <v>3.7631920014811936E-2</v>
      </c>
    </row>
    <row r="1510" spans="1:8" ht="13.5" x14ac:dyDescent="0.25">
      <c r="A1510" s="1"/>
      <c r="B1510" s="3">
        <v>44510</v>
      </c>
      <c r="C1510" s="4">
        <v>5.25</v>
      </c>
      <c r="D1510" s="4">
        <v>2.2458999999999998</v>
      </c>
      <c r="E1510" s="4">
        <v>37</v>
      </c>
      <c r="F1510" s="4">
        <v>5.1760000000000002</v>
      </c>
      <c r="G1510" s="4">
        <v>191.512</v>
      </c>
      <c r="H1510" s="5">
        <f t="shared" si="23"/>
        <v>1.873578088058162E-3</v>
      </c>
    </row>
    <row r="1511" spans="1:8" ht="13.5" x14ac:dyDescent="0.25">
      <c r="A1511" s="1"/>
      <c r="B1511" s="3">
        <v>44511</v>
      </c>
      <c r="C1511" s="4">
        <v>5.2</v>
      </c>
      <c r="D1511" s="4">
        <v>2.2244999999999999</v>
      </c>
      <c r="E1511" s="4">
        <v>157</v>
      </c>
      <c r="F1511" s="4">
        <v>5.2</v>
      </c>
      <c r="G1511" s="4">
        <v>816.4</v>
      </c>
      <c r="H1511" s="5">
        <f t="shared" si="23"/>
        <v>-9.5284741083752015E-3</v>
      </c>
    </row>
    <row r="1512" spans="1:8" ht="13.5" x14ac:dyDescent="0.25">
      <c r="A1512" s="1"/>
      <c r="B1512" s="3">
        <v>44512</v>
      </c>
      <c r="C1512" s="4">
        <v>5.12</v>
      </c>
      <c r="D1512" s="4">
        <v>2.1903000000000001</v>
      </c>
      <c r="E1512" s="4">
        <v>272</v>
      </c>
      <c r="F1512" s="4">
        <v>5.1340000000000003</v>
      </c>
      <c r="G1512" s="4">
        <v>1396.4480000000001</v>
      </c>
      <c r="H1512" s="5">
        <f t="shared" si="23"/>
        <v>-1.5374241402562277E-2</v>
      </c>
    </row>
    <row r="1513" spans="1:8" ht="13.5" x14ac:dyDescent="0.25">
      <c r="A1513" s="1"/>
      <c r="B1513" s="3">
        <v>44515</v>
      </c>
      <c r="C1513" s="4">
        <v>5.12</v>
      </c>
      <c r="D1513" s="4">
        <v>2.1903000000000001</v>
      </c>
      <c r="E1513" s="4">
        <v>60</v>
      </c>
      <c r="F1513" s="4">
        <v>5.12</v>
      </c>
      <c r="G1513" s="4">
        <v>307.2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5.12</v>
      </c>
      <c r="D1514" s="4">
        <v>2.1903000000000001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5</v>
      </c>
      <c r="D1515" s="4">
        <v>2.1389999999999998</v>
      </c>
      <c r="E1515" s="4">
        <v>6557</v>
      </c>
      <c r="F1515" s="4">
        <v>4.9950000000000001</v>
      </c>
      <c r="G1515" s="4">
        <v>32752.215</v>
      </c>
      <c r="H1515" s="5">
        <f t="shared" si="23"/>
        <v>-2.3421449116559533E-2</v>
      </c>
    </row>
    <row r="1516" spans="1:8" ht="13.5" x14ac:dyDescent="0.25">
      <c r="A1516" s="1"/>
      <c r="B1516" s="3">
        <v>44518</v>
      </c>
      <c r="C1516" s="4">
        <v>5.0999999999999996</v>
      </c>
      <c r="D1516" s="4">
        <v>2.1818</v>
      </c>
      <c r="E1516" s="4">
        <v>1</v>
      </c>
      <c r="F1516" s="4">
        <v>5.0999999999999996</v>
      </c>
      <c r="G1516" s="4">
        <v>5.0999999999999996</v>
      </c>
      <c r="H1516" s="5">
        <f t="shared" si="23"/>
        <v>2.0009350163627947E-2</v>
      </c>
    </row>
    <row r="1517" spans="1:8" ht="13.5" x14ac:dyDescent="0.25">
      <c r="A1517" s="1"/>
      <c r="B1517" s="3">
        <v>44519</v>
      </c>
      <c r="C1517" s="4">
        <v>5.0999999999999996</v>
      </c>
      <c r="D1517" s="4">
        <v>2.1818</v>
      </c>
      <c r="E1517" s="4">
        <v>210</v>
      </c>
      <c r="F1517" s="4">
        <v>5.0049999999999999</v>
      </c>
      <c r="G1517" s="4">
        <v>1051.05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5</v>
      </c>
      <c r="D1518" s="4">
        <v>2.1389999999999998</v>
      </c>
      <c r="E1518" s="4">
        <v>1131</v>
      </c>
      <c r="F1518" s="4">
        <v>4.984</v>
      </c>
      <c r="G1518" s="4">
        <v>5636.9040000000005</v>
      </c>
      <c r="H1518" s="5">
        <f t="shared" si="23"/>
        <v>-1.9616830140251246E-2</v>
      </c>
    </row>
    <row r="1519" spans="1:8" ht="13.5" x14ac:dyDescent="0.25">
      <c r="A1519" s="1"/>
      <c r="B1519" s="3">
        <v>44523</v>
      </c>
      <c r="C1519" s="4">
        <v>5</v>
      </c>
      <c r="D1519" s="4">
        <v>2.1389999999999998</v>
      </c>
      <c r="E1519" s="4">
        <v>50</v>
      </c>
      <c r="F1519" s="4">
        <v>5</v>
      </c>
      <c r="G1519" s="4">
        <v>250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5</v>
      </c>
      <c r="D1520" s="4">
        <v>2.1389999999999998</v>
      </c>
      <c r="E1520" s="4">
        <v>1402</v>
      </c>
      <c r="F1520" s="4">
        <v>5.0350000000000001</v>
      </c>
      <c r="G1520" s="4">
        <v>7059.07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5.0999999999999996</v>
      </c>
      <c r="D1521" s="4">
        <v>2.1818</v>
      </c>
      <c r="E1521" s="4">
        <v>2272</v>
      </c>
      <c r="F1521" s="4">
        <v>5.0259999999999998</v>
      </c>
      <c r="G1521" s="4">
        <v>11419.072</v>
      </c>
      <c r="H1521" s="5">
        <f t="shared" si="23"/>
        <v>2.0009350163627947E-2</v>
      </c>
    </row>
    <row r="1522" spans="1:8" ht="13.5" x14ac:dyDescent="0.25">
      <c r="A1522" s="1"/>
      <c r="B1522" s="3">
        <v>44526</v>
      </c>
      <c r="C1522" s="4">
        <v>5</v>
      </c>
      <c r="D1522" s="4">
        <v>2.1389999999999998</v>
      </c>
      <c r="E1522" s="4">
        <v>517</v>
      </c>
      <c r="F1522" s="4">
        <v>5</v>
      </c>
      <c r="G1522" s="4">
        <v>2585</v>
      </c>
      <c r="H1522" s="5">
        <f t="shared" si="23"/>
        <v>-1.9616830140251246E-2</v>
      </c>
    </row>
    <row r="1523" spans="1:8" ht="13.5" x14ac:dyDescent="0.25">
      <c r="A1523" s="1"/>
      <c r="B1523" s="3">
        <v>44529</v>
      </c>
      <c r="C1523" s="4">
        <v>5.04</v>
      </c>
      <c r="D1523" s="4">
        <v>2.1560999999999999</v>
      </c>
      <c r="E1523" s="4">
        <v>2890</v>
      </c>
      <c r="F1523" s="4">
        <v>5.0389999999999997</v>
      </c>
      <c r="G1523" s="4">
        <v>14562.71</v>
      </c>
      <c r="H1523" s="5">
        <f t="shared" si="23"/>
        <v>7.9943899018233358E-3</v>
      </c>
    </row>
    <row r="1524" spans="1:8" ht="13.5" x14ac:dyDescent="0.25">
      <c r="A1524" s="1"/>
      <c r="B1524" s="3">
        <v>44530</v>
      </c>
      <c r="C1524" s="4">
        <v>5.04</v>
      </c>
      <c r="D1524" s="4">
        <v>2.1560999999999999</v>
      </c>
      <c r="E1524" s="4">
        <v>1246</v>
      </c>
      <c r="F1524" s="4">
        <v>4.97</v>
      </c>
      <c r="G1524" s="4">
        <v>6192.62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5.03</v>
      </c>
      <c r="D1525" s="4">
        <v>2.1518000000000002</v>
      </c>
      <c r="E1525" s="4">
        <v>796</v>
      </c>
      <c r="F1525" s="4">
        <v>4.9669999999999996</v>
      </c>
      <c r="G1525" s="4">
        <v>3953.732</v>
      </c>
      <c r="H1525" s="5">
        <f t="shared" si="23"/>
        <v>-1.9943416353600243E-3</v>
      </c>
    </row>
    <row r="1526" spans="1:8" ht="13.5" x14ac:dyDescent="0.25">
      <c r="A1526" s="1"/>
      <c r="B1526" s="3">
        <v>44532</v>
      </c>
      <c r="C1526" s="4">
        <v>5</v>
      </c>
      <c r="D1526" s="4">
        <v>2.1389999999999998</v>
      </c>
      <c r="E1526" s="4">
        <v>4217</v>
      </c>
      <c r="F1526" s="4">
        <v>5</v>
      </c>
      <c r="G1526" s="4">
        <v>21085</v>
      </c>
      <c r="H1526" s="5">
        <f t="shared" si="23"/>
        <v>-5.9485082256717009E-3</v>
      </c>
    </row>
    <row r="1527" spans="1:8" ht="13.5" x14ac:dyDescent="0.25">
      <c r="A1527" s="1"/>
      <c r="B1527" s="3">
        <v>44533</v>
      </c>
      <c r="C1527" s="4">
        <v>4.93</v>
      </c>
      <c r="D1527" s="4">
        <v>2.109</v>
      </c>
      <c r="E1527" s="4">
        <v>3788</v>
      </c>
      <c r="F1527" s="4">
        <v>4.9329999999999998</v>
      </c>
      <c r="G1527" s="4">
        <v>18686.204000000002</v>
      </c>
      <c r="H1527" s="5">
        <f t="shared" si="23"/>
        <v>-1.4025245441795141E-2</v>
      </c>
    </row>
    <row r="1528" spans="1:8" ht="13.5" x14ac:dyDescent="0.25">
      <c r="A1528" s="1"/>
      <c r="B1528" s="3">
        <v>44536</v>
      </c>
      <c r="C1528" s="4">
        <v>4.8499999999999996</v>
      </c>
      <c r="D1528" s="4">
        <v>2.0748000000000002</v>
      </c>
      <c r="E1528" s="4">
        <v>1549</v>
      </c>
      <c r="F1528" s="4">
        <v>4.8680000000000003</v>
      </c>
      <c r="G1528" s="4">
        <v>7540.5320000000002</v>
      </c>
      <c r="H1528" s="5">
        <f t="shared" si="23"/>
        <v>-1.6216216216216117E-2</v>
      </c>
    </row>
    <row r="1529" spans="1:8" ht="13.5" x14ac:dyDescent="0.25">
      <c r="A1529" s="1"/>
      <c r="B1529" s="3">
        <v>44537</v>
      </c>
      <c r="C1529" s="4">
        <v>4.99</v>
      </c>
      <c r="D1529" s="4">
        <v>2.1347</v>
      </c>
      <c r="E1529" s="4">
        <v>511</v>
      </c>
      <c r="F1529" s="4">
        <v>4.9790000000000001</v>
      </c>
      <c r="G1529" s="4">
        <v>2544.2689999999998</v>
      </c>
      <c r="H1529" s="5">
        <f t="shared" si="23"/>
        <v>2.8870252554463002E-2</v>
      </c>
    </row>
    <row r="1530" spans="1:8" ht="13.5" x14ac:dyDescent="0.25">
      <c r="A1530" s="1"/>
      <c r="B1530" s="3">
        <v>44538</v>
      </c>
      <c r="C1530" s="4">
        <v>4.99</v>
      </c>
      <c r="D1530" s="4">
        <v>2.1347</v>
      </c>
      <c r="E1530" s="4">
        <v>2</v>
      </c>
      <c r="F1530" s="4">
        <v>4.8949999999999996</v>
      </c>
      <c r="G1530" s="4">
        <v>9.7899999999999991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4.88</v>
      </c>
      <c r="D1531" s="4">
        <v>2.0876000000000001</v>
      </c>
      <c r="E1531" s="4">
        <v>4457</v>
      </c>
      <c r="F1531" s="4">
        <v>4.7629999999999999</v>
      </c>
      <c r="G1531" s="4">
        <v>21228.690999999999</v>
      </c>
      <c r="H1531" s="5">
        <f t="shared" si="23"/>
        <v>-2.2063990256242057E-2</v>
      </c>
    </row>
    <row r="1532" spans="1:8" ht="13.5" x14ac:dyDescent="0.25">
      <c r="A1532" s="1"/>
      <c r="B1532" s="3">
        <v>44540</v>
      </c>
      <c r="C1532" s="4">
        <v>4.88</v>
      </c>
      <c r="D1532" s="4">
        <v>2.0876000000000001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4.92</v>
      </c>
      <c r="D1533" s="4">
        <v>2.1048</v>
      </c>
      <c r="E1533" s="4">
        <v>501</v>
      </c>
      <c r="F1533" s="4">
        <v>4.79</v>
      </c>
      <c r="G1533" s="4">
        <v>2399.79</v>
      </c>
      <c r="H1533" s="5">
        <f t="shared" si="23"/>
        <v>8.2391262694002116E-3</v>
      </c>
    </row>
    <row r="1534" spans="1:8" ht="13.5" x14ac:dyDescent="0.25">
      <c r="A1534" s="1"/>
      <c r="B1534" s="3">
        <v>44544</v>
      </c>
      <c r="C1534" s="4">
        <v>4.7</v>
      </c>
      <c r="D1534" s="4">
        <v>2.0106000000000002</v>
      </c>
      <c r="E1534" s="4">
        <v>1905</v>
      </c>
      <c r="F1534" s="4">
        <v>4.7</v>
      </c>
      <c r="G1534" s="4">
        <v>8953.5</v>
      </c>
      <c r="H1534" s="5">
        <f t="shared" si="23"/>
        <v>-4.4754846066134474E-2</v>
      </c>
    </row>
    <row r="1535" spans="1:8" ht="13.5" x14ac:dyDescent="0.25">
      <c r="A1535" s="1"/>
      <c r="B1535" s="3">
        <v>44545</v>
      </c>
      <c r="C1535" s="4">
        <v>4.92</v>
      </c>
      <c r="D1535" s="4">
        <v>2.1048</v>
      </c>
      <c r="E1535" s="4">
        <v>1</v>
      </c>
      <c r="F1535" s="4">
        <v>4.92</v>
      </c>
      <c r="G1535" s="4">
        <v>4.92</v>
      </c>
      <c r="H1535" s="5">
        <f t="shared" si="23"/>
        <v>4.6851686063861447E-2</v>
      </c>
    </row>
    <row r="1536" spans="1:8" ht="13.5" x14ac:dyDescent="0.25">
      <c r="A1536" s="1"/>
      <c r="B1536" s="3">
        <v>44546</v>
      </c>
      <c r="C1536" s="4">
        <v>4.93</v>
      </c>
      <c r="D1536" s="4">
        <v>2.109</v>
      </c>
      <c r="E1536" s="4">
        <v>1</v>
      </c>
      <c r="F1536" s="4">
        <v>4.93</v>
      </c>
      <c r="G1536" s="4">
        <v>4.93</v>
      </c>
      <c r="H1536" s="5">
        <f t="shared" si="23"/>
        <v>1.9954389965792388E-3</v>
      </c>
    </row>
    <row r="1537" spans="1:8" ht="13.5" x14ac:dyDescent="0.25">
      <c r="A1537" s="1"/>
      <c r="B1537" s="3">
        <v>44550</v>
      </c>
      <c r="C1537" s="4">
        <v>4.84</v>
      </c>
      <c r="D1537" s="4">
        <v>2.0705</v>
      </c>
      <c r="E1537" s="4">
        <v>2977</v>
      </c>
      <c r="F1537" s="4">
        <v>4.8129999999999997</v>
      </c>
      <c r="G1537" s="4">
        <v>14328.300999999999</v>
      </c>
      <c r="H1537" s="5">
        <f t="shared" si="23"/>
        <v>-1.8255097202465615E-2</v>
      </c>
    </row>
    <row r="1538" spans="1:8" ht="13.5" x14ac:dyDescent="0.25">
      <c r="A1538" s="1"/>
      <c r="B1538" s="3">
        <v>44551</v>
      </c>
      <c r="C1538" s="4">
        <v>4.82</v>
      </c>
      <c r="D1538" s="4">
        <v>2.0619999999999998</v>
      </c>
      <c r="E1538" s="4">
        <v>5231</v>
      </c>
      <c r="F1538" s="4">
        <v>4.8</v>
      </c>
      <c r="G1538" s="4">
        <v>25108.799999999999</v>
      </c>
      <c r="H1538" s="5">
        <f t="shared" si="23"/>
        <v>-4.1052885776383359E-3</v>
      </c>
    </row>
    <row r="1539" spans="1:8" ht="13.5" x14ac:dyDescent="0.25">
      <c r="A1539" s="1"/>
      <c r="B1539" s="3">
        <v>44552</v>
      </c>
      <c r="C1539" s="4">
        <v>5</v>
      </c>
      <c r="D1539" s="4">
        <v>2.1389999999999998</v>
      </c>
      <c r="E1539" s="4">
        <v>29312</v>
      </c>
      <c r="F1539" s="4">
        <v>4.984</v>
      </c>
      <c r="G1539" s="4">
        <v>146091.008</v>
      </c>
      <c r="H1539" s="5">
        <f t="shared" si="23"/>
        <v>3.7342386032977674E-2</v>
      </c>
    </row>
    <row r="1540" spans="1:8" ht="13.5" x14ac:dyDescent="0.25">
      <c r="A1540" s="1"/>
      <c r="B1540" s="3">
        <v>44553</v>
      </c>
      <c r="C1540" s="4">
        <v>5.19</v>
      </c>
      <c r="D1540" s="4">
        <v>2.2202999999999999</v>
      </c>
      <c r="E1540" s="4">
        <v>14484</v>
      </c>
      <c r="F1540" s="4">
        <v>5.0579999999999998</v>
      </c>
      <c r="G1540" s="4">
        <v>73260.072</v>
      </c>
      <c r="H1540" s="5">
        <f t="shared" si="23"/>
        <v>3.8008415147265148E-2</v>
      </c>
    </row>
    <row r="1541" spans="1:8" ht="13.5" x14ac:dyDescent="0.25">
      <c r="A1541" s="1"/>
      <c r="B1541" s="3">
        <v>44554</v>
      </c>
      <c r="C1541" s="4">
        <v>5.19</v>
      </c>
      <c r="D1541" s="4">
        <v>2.2202999999999999</v>
      </c>
      <c r="E1541" s="4">
        <v>1098</v>
      </c>
      <c r="F1541" s="4">
        <v>5.1859999999999999</v>
      </c>
      <c r="G1541" s="4">
        <v>5694.2280000000001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5.28</v>
      </c>
      <c r="D1542" s="4">
        <v>2.2587999999999999</v>
      </c>
      <c r="E1542" s="4">
        <v>10816</v>
      </c>
      <c r="F1542" s="4">
        <v>5.2869999999999999</v>
      </c>
      <c r="G1542" s="4">
        <v>57184.192000000003</v>
      </c>
      <c r="H1542" s="5">
        <f t="shared" si="23"/>
        <v>1.7339999099220817E-2</v>
      </c>
    </row>
    <row r="1543" spans="1:8" ht="13.5" x14ac:dyDescent="0.25">
      <c r="A1543" s="1"/>
      <c r="B1543" s="3">
        <v>44558</v>
      </c>
      <c r="C1543" s="4">
        <v>5.39</v>
      </c>
      <c r="D1543" s="4">
        <v>2.3058000000000001</v>
      </c>
      <c r="E1543" s="4">
        <v>16812</v>
      </c>
      <c r="F1543" s="4">
        <v>5.407</v>
      </c>
      <c r="G1543" s="4">
        <v>90902.483999999997</v>
      </c>
      <c r="H1543" s="5">
        <f t="shared" ref="H1543:H1606" si="24">(D1543-D1542)/D1542</f>
        <v>2.0807508411546022E-2</v>
      </c>
    </row>
    <row r="1544" spans="1:8" ht="13.5" x14ac:dyDescent="0.25">
      <c r="A1544" s="1"/>
      <c r="B1544" s="3">
        <v>44559</v>
      </c>
      <c r="C1544" s="4">
        <v>5.37</v>
      </c>
      <c r="D1544" s="4">
        <v>2.2972999999999999</v>
      </c>
      <c r="E1544" s="4">
        <v>1942</v>
      </c>
      <c r="F1544" s="4">
        <v>5.2839999999999998</v>
      </c>
      <c r="G1544" s="4">
        <v>10261.528</v>
      </c>
      <c r="H1544" s="5">
        <f t="shared" si="24"/>
        <v>-3.6863561453726141E-3</v>
      </c>
    </row>
    <row r="1545" spans="1:8" ht="13.5" x14ac:dyDescent="0.25">
      <c r="A1545" s="1"/>
      <c r="B1545" s="3">
        <v>44560</v>
      </c>
      <c r="C1545" s="4">
        <v>5.3</v>
      </c>
      <c r="D1545" s="4">
        <v>2.2673000000000001</v>
      </c>
      <c r="E1545" s="4">
        <v>5201</v>
      </c>
      <c r="F1545" s="4">
        <v>5.4329999999999998</v>
      </c>
      <c r="G1545" s="4">
        <v>28257.032999999999</v>
      </c>
      <c r="H1545" s="5">
        <f t="shared" si="24"/>
        <v>-1.3058808166107955E-2</v>
      </c>
    </row>
    <row r="1546" spans="1:8" ht="13.5" x14ac:dyDescent="0.25">
      <c r="A1546" s="1"/>
      <c r="B1546" s="3">
        <v>44561</v>
      </c>
      <c r="C1546" s="4">
        <v>5.2</v>
      </c>
      <c r="D1546" s="4">
        <v>2.2244999999999999</v>
      </c>
      <c r="E1546" s="4">
        <v>670</v>
      </c>
      <c r="F1546" s="4">
        <v>5.1820000000000004</v>
      </c>
      <c r="G1546" s="4">
        <v>3471.94</v>
      </c>
      <c r="H1546" s="5">
        <f t="shared" si="24"/>
        <v>-1.8877078463370604E-2</v>
      </c>
    </row>
    <row r="1547" spans="1:8" ht="13.5" x14ac:dyDescent="0.25">
      <c r="A1547" s="1"/>
      <c r="B1547" s="3">
        <v>44564</v>
      </c>
      <c r="C1547" s="4">
        <v>5.18</v>
      </c>
      <c r="D1547" s="4">
        <v>2.2160000000000002</v>
      </c>
      <c r="E1547" s="4">
        <v>2494</v>
      </c>
      <c r="F1547" s="4">
        <v>5.18</v>
      </c>
      <c r="G1547" s="4">
        <v>12918.92</v>
      </c>
      <c r="H1547" s="5">
        <f t="shared" si="24"/>
        <v>-3.8210833895256147E-3</v>
      </c>
    </row>
    <row r="1548" spans="1:8" ht="13.5" x14ac:dyDescent="0.25">
      <c r="A1548" s="1"/>
      <c r="B1548" s="3">
        <v>44565</v>
      </c>
      <c r="C1548" s="4">
        <v>5</v>
      </c>
      <c r="D1548" s="4">
        <v>2.1389999999999998</v>
      </c>
      <c r="E1548" s="4">
        <v>765</v>
      </c>
      <c r="F1548" s="4">
        <v>5.0460000000000003</v>
      </c>
      <c r="G1548" s="4">
        <v>3860.19</v>
      </c>
      <c r="H1548" s="5">
        <f t="shared" si="24"/>
        <v>-3.4747292418772745E-2</v>
      </c>
    </row>
    <row r="1549" spans="1:8" ht="13.5" x14ac:dyDescent="0.25">
      <c r="A1549" s="1"/>
      <c r="B1549" s="3">
        <v>44566</v>
      </c>
      <c r="C1549" s="4">
        <v>4.99</v>
      </c>
      <c r="D1549" s="4">
        <v>2.1347</v>
      </c>
      <c r="E1549" s="4">
        <v>22426</v>
      </c>
      <c r="F1549" s="4">
        <v>5.0289999999999999</v>
      </c>
      <c r="G1549" s="4">
        <v>112780.35400000001</v>
      </c>
      <c r="H1549" s="5">
        <f t="shared" si="24"/>
        <v>-2.0102851799905326E-3</v>
      </c>
    </row>
    <row r="1550" spans="1:8" ht="13.5" x14ac:dyDescent="0.25">
      <c r="A1550" s="1"/>
      <c r="B1550" s="3">
        <v>44567</v>
      </c>
      <c r="C1550" s="4">
        <v>5.09</v>
      </c>
      <c r="D1550" s="4">
        <v>2.1775000000000002</v>
      </c>
      <c r="E1550" s="4">
        <v>7216</v>
      </c>
      <c r="F1550" s="4">
        <v>5.0439999999999996</v>
      </c>
      <c r="G1550" s="4">
        <v>36397.504000000001</v>
      </c>
      <c r="H1550" s="5">
        <f t="shared" si="24"/>
        <v>2.0049655689324108E-2</v>
      </c>
    </row>
    <row r="1551" spans="1:8" ht="13.5" x14ac:dyDescent="0.25">
      <c r="A1551" s="1"/>
      <c r="B1551" s="3">
        <v>44568</v>
      </c>
      <c r="C1551" s="4">
        <v>5.0599999999999996</v>
      </c>
      <c r="D1551" s="4">
        <v>2.1646000000000001</v>
      </c>
      <c r="E1551" s="4">
        <v>12760</v>
      </c>
      <c r="F1551" s="4">
        <v>5.0679999999999996</v>
      </c>
      <c r="G1551" s="4">
        <v>64667.68</v>
      </c>
      <c r="H1551" s="5">
        <f t="shared" si="24"/>
        <v>-5.9242250287027017E-3</v>
      </c>
    </row>
    <row r="1552" spans="1:8" ht="13.5" x14ac:dyDescent="0.25">
      <c r="A1552" s="1"/>
      <c r="B1552" s="3">
        <v>44571</v>
      </c>
      <c r="C1552" s="4">
        <v>5.2</v>
      </c>
      <c r="D1552" s="4">
        <v>2.2244999999999999</v>
      </c>
      <c r="E1552" s="4">
        <v>1851</v>
      </c>
      <c r="F1552" s="4">
        <v>5.2</v>
      </c>
      <c r="G1552" s="4">
        <v>9625.2000000000007</v>
      </c>
      <c r="H1552" s="5">
        <f t="shared" si="24"/>
        <v>2.767254920077605E-2</v>
      </c>
    </row>
    <row r="1553" spans="1:8" ht="13.5" x14ac:dyDescent="0.25">
      <c r="A1553" s="1"/>
      <c r="B1553" s="3">
        <v>44572</v>
      </c>
      <c r="C1553" s="4">
        <v>5.0999999999999996</v>
      </c>
      <c r="D1553" s="4">
        <v>2.1818</v>
      </c>
      <c r="E1553" s="4">
        <v>12690</v>
      </c>
      <c r="F1553" s="4">
        <v>5.0609999999999999</v>
      </c>
      <c r="G1553" s="4">
        <v>64224.09</v>
      </c>
      <c r="H1553" s="5">
        <f t="shared" si="24"/>
        <v>-1.9195324792088093E-2</v>
      </c>
    </row>
    <row r="1554" spans="1:8" ht="13.5" x14ac:dyDescent="0.25">
      <c r="A1554" s="1"/>
      <c r="B1554" s="3">
        <v>44573</v>
      </c>
      <c r="C1554" s="4">
        <v>5.0999999999999996</v>
      </c>
      <c r="D1554" s="4">
        <v>2.1818</v>
      </c>
      <c r="E1554" s="4">
        <v>1499</v>
      </c>
      <c r="F1554" s="4">
        <v>5.1150000000000002</v>
      </c>
      <c r="G1554" s="4">
        <v>7667.3850000000002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5.0999999999999996</v>
      </c>
      <c r="D1555" s="4">
        <v>2.1818</v>
      </c>
      <c r="E1555" s="4">
        <v>3073</v>
      </c>
      <c r="F1555" s="4">
        <v>5.032</v>
      </c>
      <c r="G1555" s="4">
        <v>15463.335999999999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5.0999999999999996</v>
      </c>
      <c r="D1556" s="4">
        <v>2.1818</v>
      </c>
      <c r="E1556" s="4">
        <v>3581</v>
      </c>
      <c r="F1556" s="4">
        <v>5.0289999999999999</v>
      </c>
      <c r="G1556" s="4">
        <v>18008.848999999998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5.15</v>
      </c>
      <c r="D1557" s="4">
        <v>2.2031999999999998</v>
      </c>
      <c r="E1557" s="4">
        <v>3458</v>
      </c>
      <c r="F1557" s="4">
        <v>5.12</v>
      </c>
      <c r="G1557" s="4">
        <v>17704.96</v>
      </c>
      <c r="H1557" s="5">
        <f t="shared" si="24"/>
        <v>9.8084150701255226E-3</v>
      </c>
    </row>
    <row r="1558" spans="1:8" ht="13.5" x14ac:dyDescent="0.25">
      <c r="A1558" s="1"/>
      <c r="B1558" s="3">
        <v>44579</v>
      </c>
      <c r="C1558" s="4">
        <v>5</v>
      </c>
      <c r="D1558" s="4">
        <v>2.1389999999999998</v>
      </c>
      <c r="E1558" s="4">
        <v>31453</v>
      </c>
      <c r="F1558" s="4">
        <v>5.008</v>
      </c>
      <c r="G1558" s="4">
        <v>157516.62400000001</v>
      </c>
      <c r="H1558" s="5">
        <f t="shared" si="24"/>
        <v>-2.9139433551198274E-2</v>
      </c>
    </row>
    <row r="1559" spans="1:8" ht="13.5" x14ac:dyDescent="0.25">
      <c r="A1559" s="1"/>
      <c r="B1559" s="3">
        <v>44580</v>
      </c>
      <c r="C1559" s="4">
        <v>5.15</v>
      </c>
      <c r="D1559" s="4">
        <v>2.2031999999999998</v>
      </c>
      <c r="E1559" s="4">
        <v>2391</v>
      </c>
      <c r="F1559" s="4">
        <v>5.0780000000000003</v>
      </c>
      <c r="G1559" s="4">
        <v>12141.498</v>
      </c>
      <c r="H1559" s="5">
        <f t="shared" si="24"/>
        <v>3.0014025245441816E-2</v>
      </c>
    </row>
    <row r="1560" spans="1:8" ht="13.5" x14ac:dyDescent="0.25">
      <c r="A1560" s="1"/>
      <c r="B1560" s="3">
        <v>44581</v>
      </c>
      <c r="C1560" s="4">
        <v>4.9000000000000004</v>
      </c>
      <c r="D1560" s="4">
        <v>2.0962000000000001</v>
      </c>
      <c r="E1560" s="4">
        <v>15439</v>
      </c>
      <c r="F1560" s="4">
        <v>4.9119999999999999</v>
      </c>
      <c r="G1560" s="4">
        <v>75836.368000000002</v>
      </c>
      <c r="H1560" s="5">
        <f t="shared" si="24"/>
        <v>-4.8565722585330325E-2</v>
      </c>
    </row>
    <row r="1561" spans="1:8" ht="13.5" x14ac:dyDescent="0.25">
      <c r="A1561" s="1"/>
      <c r="B1561" s="3">
        <v>44582</v>
      </c>
      <c r="C1561" s="4">
        <v>4.8499999999999996</v>
      </c>
      <c r="D1561" s="4">
        <v>2.0748000000000002</v>
      </c>
      <c r="E1561" s="4">
        <v>6693</v>
      </c>
      <c r="F1561" s="4">
        <v>4.8280000000000003</v>
      </c>
      <c r="G1561" s="4">
        <v>32313.804</v>
      </c>
      <c r="H1561" s="5">
        <f t="shared" si="24"/>
        <v>-1.0208949527716756E-2</v>
      </c>
    </row>
    <row r="1562" spans="1:8" ht="13.5" x14ac:dyDescent="0.25">
      <c r="A1562" s="1"/>
      <c r="B1562" s="3">
        <v>44585</v>
      </c>
      <c r="C1562" s="4">
        <v>4.88</v>
      </c>
      <c r="D1562" s="4">
        <v>2.0876000000000001</v>
      </c>
      <c r="E1562" s="4">
        <v>1111</v>
      </c>
      <c r="F1562" s="4">
        <v>4.867</v>
      </c>
      <c r="G1562" s="4">
        <v>5407.2370000000001</v>
      </c>
      <c r="H1562" s="5">
        <f t="shared" si="24"/>
        <v>6.1692693271640257E-3</v>
      </c>
    </row>
    <row r="1563" spans="1:8" ht="13.5" x14ac:dyDescent="0.25">
      <c r="A1563" s="1"/>
      <c r="B1563" s="3">
        <v>44586</v>
      </c>
      <c r="C1563" s="4">
        <v>5</v>
      </c>
      <c r="D1563" s="4">
        <v>2.1389999999999998</v>
      </c>
      <c r="E1563" s="4">
        <v>325</v>
      </c>
      <c r="F1563" s="4">
        <v>5</v>
      </c>
      <c r="G1563" s="4">
        <v>1625</v>
      </c>
      <c r="H1563" s="5">
        <f t="shared" si="24"/>
        <v>2.4621575014370407E-2</v>
      </c>
    </row>
    <row r="1564" spans="1:8" ht="13.5" x14ac:dyDescent="0.25">
      <c r="A1564" s="1"/>
      <c r="B1564" s="3">
        <v>44587</v>
      </c>
      <c r="C1564" s="4">
        <v>5</v>
      </c>
      <c r="D1564" s="4">
        <v>2.1389999999999998</v>
      </c>
      <c r="E1564" s="4">
        <v>3325</v>
      </c>
      <c r="F1564" s="4">
        <v>4.923</v>
      </c>
      <c r="G1564" s="4">
        <v>16368.975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5</v>
      </c>
      <c r="D1565" s="4">
        <v>2.1389999999999998</v>
      </c>
      <c r="E1565" s="4">
        <v>2850</v>
      </c>
      <c r="F1565" s="4">
        <v>4.9710000000000001</v>
      </c>
      <c r="G1565" s="4">
        <v>14167.35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4.99</v>
      </c>
      <c r="D1566" s="4">
        <v>2.1347</v>
      </c>
      <c r="E1566" s="4">
        <v>1661</v>
      </c>
      <c r="F1566" s="4">
        <v>4.9359999999999999</v>
      </c>
      <c r="G1566" s="4">
        <v>8198.6959999999999</v>
      </c>
      <c r="H1566" s="5">
        <f t="shared" si="24"/>
        <v>-2.0102851799905326E-3</v>
      </c>
    </row>
    <row r="1567" spans="1:8" ht="13.5" x14ac:dyDescent="0.25">
      <c r="A1567" s="1"/>
      <c r="B1567" s="3">
        <v>44592</v>
      </c>
      <c r="C1567" s="4">
        <v>5</v>
      </c>
      <c r="D1567" s="4">
        <v>2.1389999999999998</v>
      </c>
      <c r="E1567" s="4">
        <v>21750</v>
      </c>
      <c r="F1567" s="4">
        <v>4.99</v>
      </c>
      <c r="G1567" s="4">
        <v>108532.5</v>
      </c>
      <c r="H1567" s="5">
        <f t="shared" si="24"/>
        <v>2.0143345669179501E-3</v>
      </c>
    </row>
    <row r="1568" spans="1:8" ht="13.5" x14ac:dyDescent="0.25">
      <c r="A1568" s="1"/>
      <c r="B1568" s="3">
        <v>44593</v>
      </c>
      <c r="C1568" s="4">
        <v>4.8899999999999997</v>
      </c>
      <c r="D1568" s="4">
        <v>2.0918999999999999</v>
      </c>
      <c r="E1568" s="4">
        <v>5140</v>
      </c>
      <c r="F1568" s="4">
        <v>4.8949999999999996</v>
      </c>
      <c r="G1568" s="4">
        <v>25160.3</v>
      </c>
      <c r="H1568" s="5">
        <f t="shared" si="24"/>
        <v>-2.2019635343618477E-2</v>
      </c>
    </row>
    <row r="1569" spans="1:8" ht="13.5" x14ac:dyDescent="0.25">
      <c r="A1569" s="1"/>
      <c r="B1569" s="3">
        <v>44594</v>
      </c>
      <c r="C1569" s="4">
        <v>4.9000000000000004</v>
      </c>
      <c r="D1569" s="4">
        <v>2.0962000000000001</v>
      </c>
      <c r="E1569" s="4">
        <v>4673</v>
      </c>
      <c r="F1569" s="4">
        <v>4.96</v>
      </c>
      <c r="G1569" s="4">
        <v>23178.080000000002</v>
      </c>
      <c r="H1569" s="5">
        <f t="shared" si="24"/>
        <v>2.0555475883169334E-3</v>
      </c>
    </row>
    <row r="1570" spans="1:8" ht="13.5" x14ac:dyDescent="0.25">
      <c r="A1570" s="1"/>
      <c r="B1570" s="3">
        <v>44595</v>
      </c>
      <c r="C1570" s="4">
        <v>4.9800000000000004</v>
      </c>
      <c r="D1570" s="4">
        <v>2.1303999999999998</v>
      </c>
      <c r="E1570" s="4">
        <v>2702</v>
      </c>
      <c r="F1570" s="4">
        <v>4.9000000000000004</v>
      </c>
      <c r="G1570" s="4">
        <v>13239.8</v>
      </c>
      <c r="H1570" s="5">
        <f t="shared" si="24"/>
        <v>1.6315237095696874E-2</v>
      </c>
    </row>
    <row r="1571" spans="1:8" ht="13.5" x14ac:dyDescent="0.25">
      <c r="A1571" s="1"/>
      <c r="B1571" s="3">
        <v>44596</v>
      </c>
      <c r="C1571" s="4">
        <v>4.9800000000000004</v>
      </c>
      <c r="D1571" s="4">
        <v>2.1303999999999998</v>
      </c>
      <c r="E1571" s="4">
        <v>351</v>
      </c>
      <c r="F1571" s="4">
        <v>4.9569999999999999</v>
      </c>
      <c r="G1571" s="4">
        <v>1739.9069999999999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4.99</v>
      </c>
      <c r="D1572" s="4">
        <v>2.1347</v>
      </c>
      <c r="E1572" s="4">
        <v>3190</v>
      </c>
      <c r="F1572" s="4">
        <v>4.931</v>
      </c>
      <c r="G1572" s="4">
        <v>15729.89</v>
      </c>
      <c r="H1572" s="5">
        <f t="shared" si="24"/>
        <v>2.0184003004131584E-3</v>
      </c>
    </row>
    <row r="1573" spans="1:8" ht="13.5" x14ac:dyDescent="0.25">
      <c r="A1573" s="1"/>
      <c r="B1573" s="3">
        <v>44600</v>
      </c>
      <c r="C1573" s="4">
        <v>5</v>
      </c>
      <c r="D1573" s="4">
        <v>2.1389999999999998</v>
      </c>
      <c r="E1573" s="4">
        <v>1</v>
      </c>
      <c r="F1573" s="4">
        <v>5</v>
      </c>
      <c r="G1573" s="4">
        <v>5</v>
      </c>
      <c r="H1573" s="5">
        <f t="shared" si="24"/>
        <v>2.0143345669179501E-3</v>
      </c>
    </row>
    <row r="1574" spans="1:8" ht="13.5" x14ac:dyDescent="0.25">
      <c r="A1574" s="1"/>
      <c r="B1574" s="3">
        <v>44601</v>
      </c>
      <c r="C1574" s="4">
        <v>5</v>
      </c>
      <c r="D1574" s="4">
        <v>2.1389999999999998</v>
      </c>
      <c r="E1574" s="4">
        <v>7200</v>
      </c>
      <c r="F1574" s="4">
        <v>4.992</v>
      </c>
      <c r="G1574" s="4">
        <v>35942.400000000001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5</v>
      </c>
      <c r="D1575" s="4">
        <v>2.1389999999999998</v>
      </c>
      <c r="E1575" s="4">
        <v>2175</v>
      </c>
      <c r="F1575" s="4">
        <v>5</v>
      </c>
      <c r="G1575" s="4">
        <v>10875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5</v>
      </c>
      <c r="D1576" s="4">
        <v>2.1389999999999998</v>
      </c>
      <c r="E1576" s="4">
        <v>650</v>
      </c>
      <c r="F1576" s="4">
        <v>4.923</v>
      </c>
      <c r="G1576" s="4">
        <v>3199.95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4.99</v>
      </c>
      <c r="D1577" s="4">
        <v>2.1347</v>
      </c>
      <c r="E1577" s="4">
        <v>8500</v>
      </c>
      <c r="F1577" s="4">
        <v>4.9889999999999999</v>
      </c>
      <c r="G1577" s="4">
        <v>42406.5</v>
      </c>
      <c r="H1577" s="5">
        <f t="shared" si="24"/>
        <v>-2.0102851799905326E-3</v>
      </c>
    </row>
    <row r="1578" spans="1:8" ht="13.5" x14ac:dyDescent="0.25">
      <c r="A1578" s="1"/>
      <c r="B1578" s="3">
        <v>44607</v>
      </c>
      <c r="C1578" s="4">
        <v>4.95</v>
      </c>
      <c r="D1578" s="4">
        <v>2.1175999999999999</v>
      </c>
      <c r="E1578" s="4">
        <v>615</v>
      </c>
      <c r="F1578" s="4">
        <v>4.9009999999999998</v>
      </c>
      <c r="G1578" s="4">
        <v>3014.1149999999998</v>
      </c>
      <c r="H1578" s="5">
        <f t="shared" si="24"/>
        <v>-8.0104932777439984E-3</v>
      </c>
    </row>
    <row r="1579" spans="1:8" ht="13.5" x14ac:dyDescent="0.25">
      <c r="A1579" s="1"/>
      <c r="B1579" s="3">
        <v>44608</v>
      </c>
      <c r="C1579" s="4">
        <v>4.95</v>
      </c>
      <c r="D1579" s="4">
        <v>2.1175999999999999</v>
      </c>
      <c r="E1579" s="4">
        <v>290</v>
      </c>
      <c r="F1579" s="4">
        <v>4.9009999999999998</v>
      </c>
      <c r="G1579" s="4">
        <v>1421.29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4.95</v>
      </c>
      <c r="D1580" s="4">
        <v>2.1175999999999999</v>
      </c>
      <c r="E1580" s="4">
        <v>1111</v>
      </c>
      <c r="F1580" s="4">
        <v>4.95</v>
      </c>
      <c r="G1580" s="4">
        <v>5499.45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4.8899999999999997</v>
      </c>
      <c r="D1581" s="4">
        <v>2.0918999999999999</v>
      </c>
      <c r="E1581" s="4">
        <v>4222</v>
      </c>
      <c r="F1581" s="4">
        <v>4.91</v>
      </c>
      <c r="G1581" s="4">
        <v>20730.02</v>
      </c>
      <c r="H1581" s="5">
        <f t="shared" si="24"/>
        <v>-1.2136380808462438E-2</v>
      </c>
    </row>
    <row r="1582" spans="1:8" ht="13.5" x14ac:dyDescent="0.25">
      <c r="A1582" s="1"/>
      <c r="B1582" s="3">
        <v>44613</v>
      </c>
      <c r="C1582" s="4">
        <v>4.9800000000000004</v>
      </c>
      <c r="D1582" s="4">
        <v>2.1303999999999998</v>
      </c>
      <c r="E1582" s="4">
        <v>9824</v>
      </c>
      <c r="F1582" s="4">
        <v>4.9000000000000004</v>
      </c>
      <c r="G1582" s="4">
        <v>48137.599999999999</v>
      </c>
      <c r="H1582" s="5">
        <f t="shared" si="24"/>
        <v>1.8404321430278685E-2</v>
      </c>
    </row>
    <row r="1583" spans="1:8" ht="13.5" x14ac:dyDescent="0.25">
      <c r="A1583" s="1"/>
      <c r="B1583" s="3">
        <v>44614</v>
      </c>
      <c r="C1583" s="4">
        <v>4.96</v>
      </c>
      <c r="D1583" s="4">
        <v>2.1219000000000001</v>
      </c>
      <c r="E1583" s="4">
        <v>2080</v>
      </c>
      <c r="F1583" s="4">
        <v>4.9560000000000004</v>
      </c>
      <c r="G1583" s="4">
        <v>10308.48</v>
      </c>
      <c r="H1583" s="5">
        <f t="shared" si="24"/>
        <v>-3.9898610589559382E-3</v>
      </c>
    </row>
    <row r="1584" spans="1:8" ht="13.5" x14ac:dyDescent="0.25">
      <c r="A1584" s="1"/>
      <c r="B1584" s="3">
        <v>44615</v>
      </c>
      <c r="C1584" s="4">
        <v>4.88</v>
      </c>
      <c r="D1584" s="4">
        <v>2.0876000000000001</v>
      </c>
      <c r="E1584" s="4">
        <v>290</v>
      </c>
      <c r="F1584" s="4">
        <v>4.9630000000000001</v>
      </c>
      <c r="G1584" s="4">
        <v>1439.27</v>
      </c>
      <c r="H1584" s="5">
        <f t="shared" si="24"/>
        <v>-1.6164757999905743E-2</v>
      </c>
    </row>
    <row r="1585" spans="1:8" ht="13.5" x14ac:dyDescent="0.25">
      <c r="A1585" s="1"/>
      <c r="B1585" s="3">
        <v>44616</v>
      </c>
      <c r="C1585" s="4">
        <v>4.99</v>
      </c>
      <c r="D1585" s="4">
        <v>2.1347</v>
      </c>
      <c r="E1585" s="4">
        <v>9055</v>
      </c>
      <c r="F1585" s="4">
        <v>4.8319999999999999</v>
      </c>
      <c r="G1585" s="4">
        <v>43753.760000000002</v>
      </c>
      <c r="H1585" s="5">
        <f t="shared" si="24"/>
        <v>2.2561793447020462E-2</v>
      </c>
    </row>
    <row r="1586" spans="1:8" ht="13.5" x14ac:dyDescent="0.25">
      <c r="A1586" s="1"/>
      <c r="B1586" s="3">
        <v>44617</v>
      </c>
      <c r="C1586" s="4">
        <v>4.9000000000000004</v>
      </c>
      <c r="D1586" s="4">
        <v>2.0962000000000001</v>
      </c>
      <c r="E1586" s="4">
        <v>4375</v>
      </c>
      <c r="F1586" s="4">
        <v>4.9219999999999997</v>
      </c>
      <c r="G1586" s="4">
        <v>21533.75</v>
      </c>
      <c r="H1586" s="5">
        <f t="shared" si="24"/>
        <v>-1.803532112240595E-2</v>
      </c>
    </row>
    <row r="1587" spans="1:8" ht="13.5" x14ac:dyDescent="0.25">
      <c r="A1587" s="1"/>
      <c r="B1587" s="3">
        <v>44620</v>
      </c>
      <c r="C1587" s="4">
        <v>4.99</v>
      </c>
      <c r="D1587" s="4">
        <v>2.1347</v>
      </c>
      <c r="E1587" s="4">
        <v>2500</v>
      </c>
      <c r="F1587" s="4">
        <v>4.9509999999999996</v>
      </c>
      <c r="G1587" s="4">
        <v>12377.5</v>
      </c>
      <c r="H1587" s="5">
        <f t="shared" si="24"/>
        <v>1.8366568075565297E-2</v>
      </c>
    </row>
    <row r="1588" spans="1:8" ht="13.5" x14ac:dyDescent="0.25">
      <c r="A1588" s="1"/>
      <c r="B1588" s="3">
        <v>44621</v>
      </c>
      <c r="C1588" s="4">
        <v>4.97</v>
      </c>
      <c r="D1588" s="4">
        <v>2.1261000000000001</v>
      </c>
      <c r="E1588" s="4">
        <v>14</v>
      </c>
      <c r="F1588" s="4">
        <v>4.97</v>
      </c>
      <c r="G1588" s="4">
        <v>69.58</v>
      </c>
      <c r="H1588" s="5">
        <f t="shared" si="24"/>
        <v>-4.0286691338361083E-3</v>
      </c>
    </row>
    <row r="1589" spans="1:8" ht="13.5" x14ac:dyDescent="0.25">
      <c r="A1589" s="1"/>
      <c r="B1589" s="3">
        <v>44622</v>
      </c>
      <c r="C1589" s="4">
        <v>5</v>
      </c>
      <c r="D1589" s="4">
        <v>2.1389999999999998</v>
      </c>
      <c r="E1589" s="4">
        <v>6120</v>
      </c>
      <c r="F1589" s="4">
        <v>4.9969999999999999</v>
      </c>
      <c r="G1589" s="4">
        <v>30581.64</v>
      </c>
      <c r="H1589" s="5">
        <f t="shared" si="24"/>
        <v>6.0674474389726205E-3</v>
      </c>
    </row>
    <row r="1590" spans="1:8" ht="13.5" x14ac:dyDescent="0.25">
      <c r="A1590" s="1"/>
      <c r="B1590" s="3">
        <v>44623</v>
      </c>
      <c r="C1590" s="4">
        <v>5</v>
      </c>
      <c r="D1590" s="4">
        <v>2.1389999999999998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4.91</v>
      </c>
      <c r="D1591" s="4">
        <v>2.1004999999999998</v>
      </c>
      <c r="E1591" s="4">
        <v>31</v>
      </c>
      <c r="F1591" s="4">
        <v>4.91</v>
      </c>
      <c r="G1591" s="4">
        <v>152.21</v>
      </c>
      <c r="H1591" s="5">
        <f t="shared" si="24"/>
        <v>-1.7999064983637205E-2</v>
      </c>
    </row>
    <row r="1592" spans="1:8" ht="13.5" x14ac:dyDescent="0.25">
      <c r="A1592" s="1"/>
      <c r="B1592" s="3">
        <v>44627</v>
      </c>
      <c r="C1592" s="4">
        <v>4.9000000000000004</v>
      </c>
      <c r="D1592" s="4">
        <v>2.0962000000000001</v>
      </c>
      <c r="E1592" s="4">
        <v>4005</v>
      </c>
      <c r="F1592" s="4">
        <v>4.9000000000000004</v>
      </c>
      <c r="G1592" s="4">
        <v>19624.5</v>
      </c>
      <c r="H1592" s="5">
        <f t="shared" si="24"/>
        <v>-2.047131635324803E-3</v>
      </c>
    </row>
    <row r="1593" spans="1:8" ht="13.5" x14ac:dyDescent="0.25">
      <c r="A1593" s="1"/>
      <c r="B1593" s="3">
        <v>44628</v>
      </c>
      <c r="C1593" s="4">
        <v>4.9000000000000004</v>
      </c>
      <c r="D1593" s="4">
        <v>2.0962000000000001</v>
      </c>
      <c r="E1593" s="4">
        <v>387</v>
      </c>
      <c r="F1593" s="4">
        <v>4.8890000000000002</v>
      </c>
      <c r="G1593" s="4">
        <v>1892.0429999999999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4.9000000000000004</v>
      </c>
      <c r="D1594" s="4">
        <v>2.0962000000000001</v>
      </c>
      <c r="E1594" s="4">
        <v>1000</v>
      </c>
      <c r="F1594" s="4">
        <v>4.9000000000000004</v>
      </c>
      <c r="G1594" s="4">
        <v>4900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4.9000000000000004</v>
      </c>
      <c r="D1595" s="4">
        <v>2.0962000000000001</v>
      </c>
      <c r="E1595" s="4">
        <v>1173</v>
      </c>
      <c r="F1595" s="4">
        <v>4.8179999999999996</v>
      </c>
      <c r="G1595" s="4">
        <v>5651.5140000000001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4.8899999999999997</v>
      </c>
      <c r="D1596" s="4">
        <v>2.0918999999999999</v>
      </c>
      <c r="E1596" s="4">
        <v>1950</v>
      </c>
      <c r="F1596" s="4">
        <v>4.8970000000000002</v>
      </c>
      <c r="G1596" s="4">
        <v>9549.15</v>
      </c>
      <c r="H1596" s="5">
        <f t="shared" si="24"/>
        <v>-2.0513309798684248E-3</v>
      </c>
    </row>
    <row r="1597" spans="1:8" ht="13.5" x14ac:dyDescent="0.25">
      <c r="A1597" s="1"/>
      <c r="B1597" s="3">
        <v>44634</v>
      </c>
      <c r="C1597" s="4">
        <v>4.9800000000000004</v>
      </c>
      <c r="D1597" s="4">
        <v>2.1303999999999998</v>
      </c>
      <c r="E1597" s="4">
        <v>355</v>
      </c>
      <c r="F1597" s="4">
        <v>4.8520000000000003</v>
      </c>
      <c r="G1597" s="4">
        <v>1722.46</v>
      </c>
      <c r="H1597" s="5">
        <f t="shared" si="24"/>
        <v>1.8404321430278685E-2</v>
      </c>
    </row>
    <row r="1598" spans="1:8" ht="13.5" x14ac:dyDescent="0.25">
      <c r="A1598" s="1"/>
      <c r="B1598" s="3">
        <v>44635</v>
      </c>
      <c r="C1598" s="4">
        <v>4.99</v>
      </c>
      <c r="D1598" s="4">
        <v>2.1347</v>
      </c>
      <c r="E1598" s="4">
        <v>1170</v>
      </c>
      <c r="F1598" s="4">
        <v>4.8010000000000002</v>
      </c>
      <c r="G1598" s="4">
        <v>5617.17</v>
      </c>
      <c r="H1598" s="5">
        <f t="shared" si="24"/>
        <v>2.0184003004131584E-3</v>
      </c>
    </row>
    <row r="1599" spans="1:8" ht="13.5" x14ac:dyDescent="0.25">
      <c r="A1599" s="1"/>
      <c r="B1599" s="3">
        <v>44636</v>
      </c>
      <c r="C1599" s="4">
        <v>4.95</v>
      </c>
      <c r="D1599" s="4">
        <v>2.1175999999999999</v>
      </c>
      <c r="E1599" s="4">
        <v>1004</v>
      </c>
      <c r="F1599" s="4">
        <v>4.8079999999999998</v>
      </c>
      <c r="G1599" s="4">
        <v>4827.232</v>
      </c>
      <c r="H1599" s="5">
        <f t="shared" si="24"/>
        <v>-8.0104932777439984E-3</v>
      </c>
    </row>
    <row r="1600" spans="1:8" ht="13.5" x14ac:dyDescent="0.25">
      <c r="A1600" s="1"/>
      <c r="B1600" s="3">
        <v>44637</v>
      </c>
      <c r="C1600" s="4">
        <v>4.95</v>
      </c>
      <c r="D1600" s="4">
        <v>2.1175999999999999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4.9400000000000004</v>
      </c>
      <c r="D1601" s="4">
        <v>2.1133000000000002</v>
      </c>
      <c r="E1601" s="4">
        <v>386</v>
      </c>
      <c r="F1601" s="4">
        <v>4.9400000000000004</v>
      </c>
      <c r="G1601" s="4">
        <v>1906.84</v>
      </c>
      <c r="H1601" s="5">
        <f t="shared" si="24"/>
        <v>-2.0306006800149927E-3</v>
      </c>
    </row>
    <row r="1602" spans="1:8" ht="13.5" x14ac:dyDescent="0.25">
      <c r="A1602" s="1"/>
      <c r="B1602" s="3">
        <v>44641</v>
      </c>
      <c r="C1602" s="4">
        <v>4.9400000000000004</v>
      </c>
      <c r="D1602" s="4">
        <v>2.1133000000000002</v>
      </c>
      <c r="E1602" s="4">
        <v>0</v>
      </c>
      <c r="F1602" s="4">
        <v>0</v>
      </c>
      <c r="G1602" s="4">
        <v>0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4.9400000000000004</v>
      </c>
      <c r="D1603" s="4">
        <v>2.1133000000000002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4.9400000000000004</v>
      </c>
      <c r="D1604" s="4">
        <v>2.1133000000000002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4.95</v>
      </c>
      <c r="D1605" s="4">
        <v>2.1175999999999999</v>
      </c>
      <c r="E1605" s="4">
        <v>105</v>
      </c>
      <c r="F1605" s="4">
        <v>4.8550000000000004</v>
      </c>
      <c r="G1605" s="4">
        <v>509.77499999999998</v>
      </c>
      <c r="H1605" s="5">
        <f t="shared" si="24"/>
        <v>2.0347324090284145E-3</v>
      </c>
    </row>
    <row r="1606" spans="1:8" ht="13.5" x14ac:dyDescent="0.25">
      <c r="A1606" s="1"/>
      <c r="B1606" s="3">
        <v>44645</v>
      </c>
      <c r="C1606" s="4">
        <v>4.95</v>
      </c>
      <c r="D1606" s="4">
        <v>2.1175999999999999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4.95</v>
      </c>
      <c r="D1607" s="4">
        <v>2.1175999999999999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4.95</v>
      </c>
      <c r="D1608" s="4">
        <v>2.1175999999999999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4.95</v>
      </c>
      <c r="D1609" s="4">
        <v>2.1175999999999999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4.95</v>
      </c>
      <c r="D1610" s="4">
        <v>2.1175999999999999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4.9000000000000004</v>
      </c>
      <c r="D1611" s="4">
        <v>2.0962000000000001</v>
      </c>
      <c r="E1611" s="4">
        <v>500</v>
      </c>
      <c r="F1611" s="4">
        <v>4.9000000000000004</v>
      </c>
      <c r="G1611" s="4">
        <v>2450</v>
      </c>
      <c r="H1611" s="5">
        <f t="shared" si="25"/>
        <v>-1.0105780128447235E-2</v>
      </c>
    </row>
    <row r="1612" spans="1:8" ht="13.5" x14ac:dyDescent="0.25">
      <c r="A1612" s="1"/>
      <c r="B1612" s="3">
        <v>44655</v>
      </c>
      <c r="C1612" s="4">
        <v>4.95</v>
      </c>
      <c r="D1612" s="4">
        <v>2.1175999999999999</v>
      </c>
      <c r="E1612" s="4">
        <v>5</v>
      </c>
      <c r="F1612" s="4">
        <v>4.95</v>
      </c>
      <c r="G1612" s="4">
        <v>24.75</v>
      </c>
      <c r="H1612" s="5">
        <f t="shared" si="25"/>
        <v>1.0208949527716756E-2</v>
      </c>
    </row>
    <row r="1613" spans="1:8" ht="13.5" x14ac:dyDescent="0.25">
      <c r="A1613" s="1"/>
      <c r="B1613" s="3">
        <v>44656</v>
      </c>
      <c r="C1613" s="4">
        <v>4.95</v>
      </c>
      <c r="D1613" s="4">
        <v>2.1175999999999999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4.66</v>
      </c>
      <c r="D1614" s="4">
        <v>1.9935</v>
      </c>
      <c r="E1614" s="4">
        <v>0</v>
      </c>
      <c r="F1614" s="4">
        <v>0</v>
      </c>
      <c r="G1614" s="4">
        <v>0</v>
      </c>
      <c r="H1614" s="5">
        <f t="shared" si="25"/>
        <v>-5.8604080090668628E-2</v>
      </c>
    </row>
    <row r="1615" spans="1:8" ht="13.5" x14ac:dyDescent="0.25">
      <c r="A1615" s="1"/>
      <c r="B1615" s="3">
        <v>44658</v>
      </c>
      <c r="C1615" s="4">
        <v>4.75</v>
      </c>
      <c r="D1615" s="4">
        <v>2.032</v>
      </c>
      <c r="E1615" s="4">
        <v>20</v>
      </c>
      <c r="F1615" s="4">
        <v>4.8</v>
      </c>
      <c r="G1615" s="4">
        <v>96</v>
      </c>
      <c r="H1615" s="5">
        <f t="shared" si="25"/>
        <v>1.9312766491096051E-2</v>
      </c>
    </row>
    <row r="1616" spans="1:8" ht="13.5" x14ac:dyDescent="0.25">
      <c r="A1616" s="1"/>
      <c r="B1616" s="3">
        <v>44659</v>
      </c>
      <c r="C1616" s="4">
        <v>4.66</v>
      </c>
      <c r="D1616" s="4">
        <v>1.9935</v>
      </c>
      <c r="E1616" s="4">
        <v>576</v>
      </c>
      <c r="F1616" s="4">
        <v>4.6689999999999996</v>
      </c>
      <c r="G1616" s="4">
        <v>2689.3440000000001</v>
      </c>
      <c r="H1616" s="5">
        <f t="shared" si="25"/>
        <v>-1.8946850393700778E-2</v>
      </c>
    </row>
    <row r="1617" spans="1:8" ht="13.5" x14ac:dyDescent="0.25">
      <c r="A1617" s="1"/>
      <c r="B1617" s="3">
        <v>44662</v>
      </c>
      <c r="C1617" s="4">
        <v>4.66</v>
      </c>
      <c r="D1617" s="4">
        <v>1.9935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4.66</v>
      </c>
      <c r="D1618" s="4">
        <v>1.9935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4.66</v>
      </c>
      <c r="D1619" s="4">
        <v>1.9935</v>
      </c>
      <c r="E1619" s="4">
        <v>5</v>
      </c>
      <c r="F1619" s="4">
        <v>4.66</v>
      </c>
      <c r="G1619" s="4">
        <v>23.3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4.66</v>
      </c>
      <c r="D1620" s="4">
        <v>1.9935</v>
      </c>
      <c r="E1620" s="4">
        <v>716</v>
      </c>
      <c r="F1620" s="4">
        <v>4.5579999999999998</v>
      </c>
      <c r="G1620" s="4">
        <v>3263.5279999999998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4.5999999999999996</v>
      </c>
      <c r="D1621" s="4">
        <v>1.9679</v>
      </c>
      <c r="E1621" s="4">
        <v>1149</v>
      </c>
      <c r="F1621" s="4">
        <v>4.6020000000000003</v>
      </c>
      <c r="G1621" s="4">
        <v>5287.6980000000003</v>
      </c>
      <c r="H1621" s="5">
        <f t="shared" si="25"/>
        <v>-1.2841735640832739E-2</v>
      </c>
    </row>
    <row r="1622" spans="1:8" ht="13.5" x14ac:dyDescent="0.25">
      <c r="A1622" s="1"/>
      <c r="B1622" s="3">
        <v>44669</v>
      </c>
      <c r="C1622" s="4">
        <v>4.59</v>
      </c>
      <c r="D1622" s="4">
        <v>1.9636</v>
      </c>
      <c r="E1622" s="4">
        <v>5500</v>
      </c>
      <c r="F1622" s="4">
        <v>4.59</v>
      </c>
      <c r="G1622" s="4">
        <v>25245</v>
      </c>
      <c r="H1622" s="5">
        <f t="shared" si="25"/>
        <v>-2.1850703795924442E-3</v>
      </c>
    </row>
    <row r="1623" spans="1:8" ht="13.5" x14ac:dyDescent="0.25">
      <c r="A1623" s="1"/>
      <c r="B1623" s="3">
        <v>44670</v>
      </c>
      <c r="C1623" s="4">
        <v>4.66</v>
      </c>
      <c r="D1623" s="4">
        <v>1.9935</v>
      </c>
      <c r="E1623" s="4">
        <v>2</v>
      </c>
      <c r="F1623" s="4">
        <v>4.5750000000000002</v>
      </c>
      <c r="G1623" s="4">
        <v>9.15</v>
      </c>
      <c r="H1623" s="5">
        <f t="shared" si="25"/>
        <v>1.5227133835811793E-2</v>
      </c>
    </row>
    <row r="1624" spans="1:8" ht="13.5" x14ac:dyDescent="0.25">
      <c r="A1624" s="1"/>
      <c r="B1624" s="3">
        <v>44671</v>
      </c>
      <c r="C1624" s="4">
        <v>4.66</v>
      </c>
      <c r="D1624" s="4">
        <v>1.9935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4.5999999999999996</v>
      </c>
      <c r="D1625" s="4">
        <v>1.9679</v>
      </c>
      <c r="E1625" s="4">
        <v>530</v>
      </c>
      <c r="F1625" s="4">
        <v>4.649</v>
      </c>
      <c r="G1625" s="4">
        <v>2463.9699999999998</v>
      </c>
      <c r="H1625" s="5">
        <f t="shared" si="25"/>
        <v>-1.2841735640832739E-2</v>
      </c>
    </row>
    <row r="1626" spans="1:8" ht="13.5" x14ac:dyDescent="0.25">
      <c r="A1626" s="1"/>
      <c r="B1626" s="3">
        <v>44673</v>
      </c>
      <c r="C1626" s="4">
        <v>4.59</v>
      </c>
      <c r="D1626" s="4">
        <v>1.9636</v>
      </c>
      <c r="E1626" s="4">
        <v>371</v>
      </c>
      <c r="F1626" s="4">
        <v>4.5430000000000001</v>
      </c>
      <c r="G1626" s="4">
        <v>1685.453</v>
      </c>
      <c r="H1626" s="5">
        <f t="shared" si="25"/>
        <v>-2.1850703795924442E-3</v>
      </c>
    </row>
    <row r="1627" spans="1:8" ht="13.5" x14ac:dyDescent="0.25">
      <c r="A1627" s="1"/>
      <c r="B1627" s="3">
        <v>44676</v>
      </c>
      <c r="C1627" s="4">
        <v>4.59</v>
      </c>
      <c r="D1627" s="4">
        <v>1.9636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4.5</v>
      </c>
      <c r="D1628" s="4">
        <v>1.9251</v>
      </c>
      <c r="E1628" s="4">
        <v>2661</v>
      </c>
      <c r="F1628" s="4">
        <v>4.4740000000000002</v>
      </c>
      <c r="G1628" s="4">
        <v>11905.314</v>
      </c>
      <c r="H1628" s="5">
        <f t="shared" si="25"/>
        <v>-1.9606844571195752E-2</v>
      </c>
    </row>
    <row r="1629" spans="1:8" ht="13.5" x14ac:dyDescent="0.25">
      <c r="A1629" s="1"/>
      <c r="B1629" s="3">
        <v>44678</v>
      </c>
      <c r="C1629" s="4">
        <v>4.66</v>
      </c>
      <c r="D1629" s="4">
        <v>1.9935</v>
      </c>
      <c r="E1629" s="4">
        <v>17065</v>
      </c>
      <c r="F1629" s="4">
        <v>4.5659999999999998</v>
      </c>
      <c r="G1629" s="4">
        <v>77918.789999999994</v>
      </c>
      <c r="H1629" s="5">
        <f t="shared" si="25"/>
        <v>3.5530621785881261E-2</v>
      </c>
    </row>
    <row r="1630" spans="1:8" ht="13.5" x14ac:dyDescent="0.25">
      <c r="A1630" s="1"/>
      <c r="B1630" s="3">
        <v>44679</v>
      </c>
      <c r="C1630" s="4">
        <v>4.66</v>
      </c>
      <c r="D1630" s="4">
        <v>1.9935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4.66</v>
      </c>
      <c r="D1631" s="4">
        <v>1.9935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4.7</v>
      </c>
      <c r="D1632" s="4">
        <v>2.0106000000000002</v>
      </c>
      <c r="E1632" s="4">
        <v>5</v>
      </c>
      <c r="F1632" s="4">
        <v>4.7</v>
      </c>
      <c r="G1632" s="4">
        <v>23.5</v>
      </c>
      <c r="H1632" s="5">
        <f t="shared" si="25"/>
        <v>8.5778781038375294E-3</v>
      </c>
    </row>
    <row r="1633" spans="1:8" ht="13.5" x14ac:dyDescent="0.25">
      <c r="A1633" s="1"/>
      <c r="B1633" s="3">
        <v>44686</v>
      </c>
      <c r="C1633" s="4">
        <v>4.7</v>
      </c>
      <c r="D1633" s="4">
        <v>2.0106000000000002</v>
      </c>
      <c r="E1633" s="4">
        <v>50</v>
      </c>
      <c r="F1633" s="4">
        <v>4.7</v>
      </c>
      <c r="G1633" s="4">
        <v>235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4.7</v>
      </c>
      <c r="D1634" s="4">
        <v>2.0106000000000002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4.42</v>
      </c>
      <c r="D1635" s="4">
        <v>1.8909</v>
      </c>
      <c r="E1635" s="4">
        <v>4031</v>
      </c>
      <c r="F1635" s="4">
        <v>4.4569999999999999</v>
      </c>
      <c r="G1635" s="4">
        <v>17966.167000000001</v>
      </c>
      <c r="H1635" s="5">
        <f t="shared" si="25"/>
        <v>-5.9534467323187172E-2</v>
      </c>
    </row>
    <row r="1636" spans="1:8" ht="13.5" x14ac:dyDescent="0.25">
      <c r="A1636" s="1"/>
      <c r="B1636" s="3">
        <v>44691</v>
      </c>
      <c r="C1636" s="4">
        <v>4.5</v>
      </c>
      <c r="D1636" s="4">
        <v>1.9251</v>
      </c>
      <c r="E1636" s="4">
        <v>4985</v>
      </c>
      <c r="F1636" s="4">
        <v>4.4829999999999997</v>
      </c>
      <c r="G1636" s="4">
        <v>22347.755000000001</v>
      </c>
      <c r="H1636" s="5">
        <f t="shared" si="25"/>
        <v>1.8086625416468351E-2</v>
      </c>
    </row>
    <row r="1637" spans="1:8" ht="13.5" x14ac:dyDescent="0.25">
      <c r="A1637" s="1"/>
      <c r="B1637" s="3">
        <v>44692</v>
      </c>
      <c r="C1637" s="4">
        <v>4.42</v>
      </c>
      <c r="D1637" s="4">
        <v>1.8909</v>
      </c>
      <c r="E1637" s="4">
        <v>2176</v>
      </c>
      <c r="F1637" s="4">
        <v>4.4359999999999999</v>
      </c>
      <c r="G1637" s="4">
        <v>9652.7360000000008</v>
      </c>
      <c r="H1637" s="5">
        <f t="shared" si="25"/>
        <v>-1.7765310892940631E-2</v>
      </c>
    </row>
    <row r="1638" spans="1:8" ht="13.5" x14ac:dyDescent="0.25">
      <c r="A1638" s="1"/>
      <c r="B1638" s="3">
        <v>44693</v>
      </c>
      <c r="C1638" s="4">
        <v>4.5999999999999996</v>
      </c>
      <c r="D1638" s="4">
        <v>1.9679</v>
      </c>
      <c r="E1638" s="4">
        <v>106</v>
      </c>
      <c r="F1638" s="4">
        <v>4.6040000000000001</v>
      </c>
      <c r="G1638" s="4">
        <v>488.024</v>
      </c>
      <c r="H1638" s="5">
        <f t="shared" si="25"/>
        <v>4.0721349621873161E-2</v>
      </c>
    </row>
    <row r="1639" spans="1:8" ht="13.5" x14ac:dyDescent="0.25">
      <c r="A1639" s="1"/>
      <c r="B1639" s="3">
        <v>44694</v>
      </c>
      <c r="C1639" s="4">
        <v>4.38</v>
      </c>
      <c r="D1639" s="4">
        <v>1.8736999999999999</v>
      </c>
      <c r="E1639" s="4">
        <v>1264</v>
      </c>
      <c r="F1639" s="4">
        <v>4.3929999999999998</v>
      </c>
      <c r="G1639" s="4">
        <v>5552.7520000000004</v>
      </c>
      <c r="H1639" s="5">
        <f t="shared" si="25"/>
        <v>-4.7868285990141805E-2</v>
      </c>
    </row>
    <row r="1640" spans="1:8" ht="13.5" x14ac:dyDescent="0.25">
      <c r="A1640" s="1"/>
      <c r="B1640" s="3">
        <v>44697</v>
      </c>
      <c r="C1640" s="4">
        <v>4.41</v>
      </c>
      <c r="D1640" s="4">
        <v>1.8866000000000001</v>
      </c>
      <c r="E1640" s="4">
        <v>1125</v>
      </c>
      <c r="F1640" s="4">
        <v>4.5140000000000002</v>
      </c>
      <c r="G1640" s="4">
        <v>5078.25</v>
      </c>
      <c r="H1640" s="5">
        <f t="shared" si="25"/>
        <v>6.8847734429204966E-3</v>
      </c>
    </row>
    <row r="1641" spans="1:8" ht="13.5" x14ac:dyDescent="0.25">
      <c r="A1641" s="1"/>
      <c r="B1641" s="3">
        <v>44698</v>
      </c>
      <c r="C1641" s="4">
        <v>4.59</v>
      </c>
      <c r="D1641" s="4">
        <v>1.9636</v>
      </c>
      <c r="E1641" s="4">
        <v>871</v>
      </c>
      <c r="F1641" s="4">
        <v>4.58</v>
      </c>
      <c r="G1641" s="4">
        <v>3989.18</v>
      </c>
      <c r="H1641" s="5">
        <f t="shared" si="25"/>
        <v>4.0814163044630529E-2</v>
      </c>
    </row>
    <row r="1642" spans="1:8" ht="13.5" x14ac:dyDescent="0.25">
      <c r="A1642" s="1"/>
      <c r="B1642" s="3">
        <v>44699</v>
      </c>
      <c r="C1642" s="4">
        <v>4.59</v>
      </c>
      <c r="D1642" s="4">
        <v>1.9636</v>
      </c>
      <c r="E1642" s="4">
        <v>453</v>
      </c>
      <c r="F1642" s="4">
        <v>4.5750000000000002</v>
      </c>
      <c r="G1642" s="4">
        <v>2072.4749999999999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4.59</v>
      </c>
      <c r="D1643" s="4">
        <v>1.9636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4.59</v>
      </c>
      <c r="D1644" s="4">
        <v>1.9636</v>
      </c>
      <c r="E1644" s="4">
        <v>63</v>
      </c>
      <c r="F1644" s="4">
        <v>4.5679999999999996</v>
      </c>
      <c r="G1644" s="4">
        <v>287.78399999999999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4.59</v>
      </c>
      <c r="D1645" s="4">
        <v>1.9636</v>
      </c>
      <c r="E1645" s="4">
        <v>362</v>
      </c>
      <c r="F1645" s="4">
        <v>4.5</v>
      </c>
      <c r="G1645" s="4">
        <v>1629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4.59</v>
      </c>
      <c r="D1646" s="4">
        <v>1.9636</v>
      </c>
      <c r="E1646" s="4">
        <v>188</v>
      </c>
      <c r="F1646" s="4">
        <v>4.59</v>
      </c>
      <c r="G1646" s="4">
        <v>862.92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4.59</v>
      </c>
      <c r="D1647" s="4">
        <v>1.9636</v>
      </c>
      <c r="E1647" s="4">
        <v>0</v>
      </c>
      <c r="F1647" s="4">
        <v>0</v>
      </c>
      <c r="G1647" s="4">
        <v>0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4.5</v>
      </c>
      <c r="D1648" s="4">
        <v>1.9251</v>
      </c>
      <c r="E1648" s="4">
        <v>6029</v>
      </c>
      <c r="F1648" s="4">
        <v>4.5049999999999999</v>
      </c>
      <c r="G1648" s="4">
        <v>27160.645</v>
      </c>
      <c r="H1648" s="5">
        <f t="shared" si="25"/>
        <v>-1.9606844571195752E-2</v>
      </c>
    </row>
    <row r="1649" spans="1:8" ht="13.5" x14ac:dyDescent="0.25">
      <c r="A1649" s="1"/>
      <c r="B1649" s="3">
        <v>44708</v>
      </c>
      <c r="C1649" s="4">
        <v>4.58</v>
      </c>
      <c r="D1649" s="4">
        <v>1.9593</v>
      </c>
      <c r="E1649" s="4">
        <v>10</v>
      </c>
      <c r="F1649" s="4">
        <v>4.58</v>
      </c>
      <c r="G1649" s="4">
        <v>45.8</v>
      </c>
      <c r="H1649" s="5">
        <f t="shared" si="25"/>
        <v>1.7765310892940631E-2</v>
      </c>
    </row>
    <row r="1650" spans="1:8" ht="13.5" x14ac:dyDescent="0.25">
      <c r="A1650" s="1"/>
      <c r="B1650" s="3">
        <v>44711</v>
      </c>
      <c r="C1650" s="4">
        <v>4.58</v>
      </c>
      <c r="D1650" s="4">
        <v>1.9593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4.58</v>
      </c>
      <c r="D1651" s="4">
        <v>1.9593</v>
      </c>
      <c r="E1651" s="4">
        <v>4001</v>
      </c>
      <c r="F1651" s="4">
        <v>4.5</v>
      </c>
      <c r="G1651" s="4">
        <v>18004.5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4.58</v>
      </c>
      <c r="D1652" s="4">
        <v>1.9593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4.58</v>
      </c>
      <c r="D1653" s="4">
        <v>1.9593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4.58</v>
      </c>
      <c r="D1654" s="4">
        <v>1.9593</v>
      </c>
      <c r="E1654" s="4">
        <v>0</v>
      </c>
      <c r="F1654" s="4">
        <v>0</v>
      </c>
      <c r="G1654" s="4">
        <v>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4.45</v>
      </c>
      <c r="D1655" s="4">
        <v>1.9036999999999999</v>
      </c>
      <c r="E1655" s="4">
        <v>17</v>
      </c>
      <c r="F1655" s="4">
        <v>4.4279999999999999</v>
      </c>
      <c r="G1655" s="4">
        <v>75.275999999999996</v>
      </c>
      <c r="H1655" s="5">
        <f t="shared" si="25"/>
        <v>-2.8377481753687588E-2</v>
      </c>
    </row>
    <row r="1656" spans="1:8" ht="13.5" x14ac:dyDescent="0.25">
      <c r="A1656" s="1"/>
      <c r="B1656" s="3">
        <v>44719</v>
      </c>
      <c r="C1656" s="4">
        <v>4.38</v>
      </c>
      <c r="D1656" s="4">
        <v>1.8736999999999999</v>
      </c>
      <c r="E1656" s="4">
        <v>1673</v>
      </c>
      <c r="F1656" s="4">
        <v>4.41</v>
      </c>
      <c r="G1656" s="4">
        <v>7377.93</v>
      </c>
      <c r="H1656" s="5">
        <f t="shared" si="25"/>
        <v>-1.5758785522929048E-2</v>
      </c>
    </row>
    <row r="1657" spans="1:8" ht="13.5" x14ac:dyDescent="0.25">
      <c r="A1657" s="1"/>
      <c r="B1657" s="3">
        <v>44720</v>
      </c>
      <c r="C1657" s="4">
        <v>4.45</v>
      </c>
      <c r="D1657" s="4">
        <v>1.9036999999999999</v>
      </c>
      <c r="E1657" s="4">
        <v>5844</v>
      </c>
      <c r="F1657" s="4">
        <v>4.3769999999999998</v>
      </c>
      <c r="G1657" s="4">
        <v>25579.187999999998</v>
      </c>
      <c r="H1657" s="5">
        <f t="shared" si="25"/>
        <v>1.6011101030047513E-2</v>
      </c>
    </row>
    <row r="1658" spans="1:8" ht="13.5" x14ac:dyDescent="0.25">
      <c r="A1658" s="1"/>
      <c r="B1658" s="3">
        <v>44721</v>
      </c>
      <c r="C1658" s="4">
        <v>4.45</v>
      </c>
      <c r="D1658" s="4">
        <v>1.9036999999999999</v>
      </c>
      <c r="E1658" s="4">
        <v>485</v>
      </c>
      <c r="F1658" s="4">
        <v>4.4530000000000003</v>
      </c>
      <c r="G1658" s="4">
        <v>2159.7049999999999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4.4000000000000004</v>
      </c>
      <c r="D1659" s="4">
        <v>1.8823000000000001</v>
      </c>
      <c r="E1659" s="4">
        <v>410</v>
      </c>
      <c r="F1659" s="4">
        <v>4.4370000000000003</v>
      </c>
      <c r="G1659" s="4">
        <v>1819.17</v>
      </c>
      <c r="H1659" s="5">
        <f t="shared" si="25"/>
        <v>-1.1241267006355972E-2</v>
      </c>
    </row>
    <row r="1660" spans="1:8" ht="13.5" x14ac:dyDescent="0.25">
      <c r="A1660" s="1"/>
      <c r="B1660" s="3">
        <v>44725</v>
      </c>
      <c r="C1660" s="4">
        <v>4.59</v>
      </c>
      <c r="D1660" s="4">
        <v>1.9636</v>
      </c>
      <c r="E1660" s="4">
        <v>220725</v>
      </c>
      <c r="F1660" s="4">
        <v>4.4000000000000004</v>
      </c>
      <c r="G1660" s="4">
        <v>971190</v>
      </c>
      <c r="H1660" s="5">
        <f t="shared" si="25"/>
        <v>4.3191839770493505E-2</v>
      </c>
    </row>
    <row r="1661" spans="1:8" ht="13.5" x14ac:dyDescent="0.25">
      <c r="A1661" s="1"/>
      <c r="B1661" s="3">
        <v>44726</v>
      </c>
      <c r="C1661" s="4">
        <v>4.32</v>
      </c>
      <c r="D1661" s="4">
        <v>1.8481000000000001</v>
      </c>
      <c r="E1661" s="4">
        <v>15</v>
      </c>
      <c r="F1661" s="4">
        <v>4.32</v>
      </c>
      <c r="G1661" s="4">
        <v>64.8</v>
      </c>
      <c r="H1661" s="5">
        <f t="shared" si="25"/>
        <v>-5.8820533713587253E-2</v>
      </c>
    </row>
    <row r="1662" spans="1:8" ht="13.5" x14ac:dyDescent="0.25">
      <c r="A1662" s="1"/>
      <c r="B1662" s="3">
        <v>44727</v>
      </c>
      <c r="C1662" s="4">
        <v>4.57</v>
      </c>
      <c r="D1662" s="4">
        <v>1.9550000000000001</v>
      </c>
      <c r="E1662" s="4">
        <v>5</v>
      </c>
      <c r="F1662" s="4">
        <v>4.57</v>
      </c>
      <c r="G1662" s="4">
        <v>22.85</v>
      </c>
      <c r="H1662" s="5">
        <f t="shared" si="25"/>
        <v>5.7843190303554996E-2</v>
      </c>
    </row>
    <row r="1663" spans="1:8" ht="13.5" x14ac:dyDescent="0.25">
      <c r="A1663" s="1"/>
      <c r="B1663" s="3">
        <v>44728</v>
      </c>
      <c r="C1663" s="4">
        <v>4.57</v>
      </c>
      <c r="D1663" s="4">
        <v>1.9550000000000001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4.5</v>
      </c>
      <c r="D1664" s="4">
        <v>1.9251</v>
      </c>
      <c r="E1664" s="4">
        <v>1380</v>
      </c>
      <c r="F1664" s="4">
        <v>4.5</v>
      </c>
      <c r="G1664" s="4">
        <v>6210</v>
      </c>
      <c r="H1664" s="5">
        <f t="shared" si="25"/>
        <v>-1.5294117647058842E-2</v>
      </c>
    </row>
    <row r="1665" spans="1:8" ht="13.5" x14ac:dyDescent="0.25">
      <c r="A1665" s="1"/>
      <c r="B1665" s="3">
        <v>44732</v>
      </c>
      <c r="C1665" s="4">
        <v>4.41</v>
      </c>
      <c r="D1665" s="4">
        <v>1.8866000000000001</v>
      </c>
      <c r="E1665" s="4">
        <v>200</v>
      </c>
      <c r="F1665" s="4">
        <v>4.41</v>
      </c>
      <c r="G1665" s="4">
        <v>882</v>
      </c>
      <c r="H1665" s="5">
        <f t="shared" si="25"/>
        <v>-1.9998961092930225E-2</v>
      </c>
    </row>
    <row r="1666" spans="1:8" ht="13.5" x14ac:dyDescent="0.25">
      <c r="A1666" s="1"/>
      <c r="B1666" s="3">
        <v>44733</v>
      </c>
      <c r="C1666" s="4">
        <v>4.42</v>
      </c>
      <c r="D1666" s="4">
        <v>1.8909</v>
      </c>
      <c r="E1666" s="4">
        <v>1476</v>
      </c>
      <c r="F1666" s="4">
        <v>4.2210000000000001</v>
      </c>
      <c r="G1666" s="4">
        <v>6230.1959999999999</v>
      </c>
      <c r="H1666" s="5">
        <f t="shared" si="25"/>
        <v>2.279232481713119E-3</v>
      </c>
    </row>
    <row r="1667" spans="1:8" ht="13.5" x14ac:dyDescent="0.25">
      <c r="A1667" s="1"/>
      <c r="B1667" s="3">
        <v>44734</v>
      </c>
      <c r="C1667" s="4">
        <v>4.42</v>
      </c>
      <c r="D1667" s="4">
        <v>1.8909</v>
      </c>
      <c r="E1667" s="4">
        <v>205</v>
      </c>
      <c r="F1667" s="4">
        <v>4.2640000000000002</v>
      </c>
      <c r="G1667" s="4">
        <v>874.12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4.3099999999999996</v>
      </c>
      <c r="D1668" s="4">
        <v>1.8438000000000001</v>
      </c>
      <c r="E1668" s="4">
        <v>531</v>
      </c>
      <c r="F1668" s="4">
        <v>4.3220000000000001</v>
      </c>
      <c r="G1668" s="4">
        <v>2294.982</v>
      </c>
      <c r="H1668" s="5">
        <f t="shared" si="25"/>
        <v>-2.4908773599873032E-2</v>
      </c>
    </row>
    <row r="1669" spans="1:8" ht="13.5" x14ac:dyDescent="0.25">
      <c r="A1669" s="1"/>
      <c r="B1669" s="3">
        <v>44736</v>
      </c>
      <c r="C1669" s="4">
        <v>4.3</v>
      </c>
      <c r="D1669" s="4">
        <v>1.8394999999999999</v>
      </c>
      <c r="E1669" s="4">
        <v>596</v>
      </c>
      <c r="F1669" s="4">
        <v>4.3070000000000004</v>
      </c>
      <c r="G1669" s="4">
        <v>2566.9720000000002</v>
      </c>
      <c r="H1669" s="5">
        <f t="shared" si="25"/>
        <v>-2.3321401453520949E-3</v>
      </c>
    </row>
    <row r="1670" spans="1:8" ht="13.5" x14ac:dyDescent="0.25">
      <c r="A1670" s="1"/>
      <c r="B1670" s="3">
        <v>44739</v>
      </c>
      <c r="C1670" s="4">
        <v>4.3</v>
      </c>
      <c r="D1670" s="4">
        <v>1.8394999999999999</v>
      </c>
      <c r="E1670" s="4">
        <v>511</v>
      </c>
      <c r="F1670" s="4">
        <v>4.3</v>
      </c>
      <c r="G1670" s="4">
        <v>2197.3000000000002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4.3</v>
      </c>
      <c r="D1671" s="4">
        <v>1.8394999999999999</v>
      </c>
      <c r="E1671" s="4">
        <v>917</v>
      </c>
      <c r="F1671" s="4">
        <v>4.194</v>
      </c>
      <c r="G1671" s="4">
        <v>3845.8980000000001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4.34</v>
      </c>
      <c r="D1672" s="4">
        <v>1.8566</v>
      </c>
      <c r="E1672" s="4">
        <v>1064</v>
      </c>
      <c r="F1672" s="4">
        <v>4.3179999999999996</v>
      </c>
      <c r="G1672" s="4">
        <v>4594.3519999999999</v>
      </c>
      <c r="H1672" s="5">
        <f t="shared" si="26"/>
        <v>9.2960043490079459E-3</v>
      </c>
    </row>
    <row r="1673" spans="1:8" ht="13.5" x14ac:dyDescent="0.25">
      <c r="A1673" s="1"/>
      <c r="B1673" s="3">
        <v>44742</v>
      </c>
      <c r="C1673" s="4">
        <v>4.34</v>
      </c>
      <c r="D1673" s="4">
        <v>1.9474</v>
      </c>
      <c r="E1673" s="4">
        <v>2</v>
      </c>
      <c r="F1673" s="4">
        <v>4.34</v>
      </c>
      <c r="G1673" s="4">
        <v>8.68</v>
      </c>
      <c r="H1673" s="5">
        <f t="shared" si="26"/>
        <v>4.8906603468706233E-2</v>
      </c>
    </row>
    <row r="1674" spans="1:8" ht="13.5" x14ac:dyDescent="0.25">
      <c r="A1674" s="1"/>
      <c r="B1674" s="3">
        <v>44743</v>
      </c>
      <c r="C1674" s="4">
        <v>4.3899999999999997</v>
      </c>
      <c r="D1674" s="4">
        <v>1.9698</v>
      </c>
      <c r="E1674" s="4">
        <v>1765</v>
      </c>
      <c r="F1674" s="4">
        <v>4.2430000000000003</v>
      </c>
      <c r="G1674" s="4">
        <v>7488.8950000000004</v>
      </c>
      <c r="H1674" s="5">
        <f t="shared" si="26"/>
        <v>1.1502516175413358E-2</v>
      </c>
    </row>
    <row r="1675" spans="1:8" ht="13.5" x14ac:dyDescent="0.25">
      <c r="A1675" s="1"/>
      <c r="B1675" s="3">
        <v>44746</v>
      </c>
      <c r="C1675" s="4">
        <v>4.3899999999999997</v>
      </c>
      <c r="D1675" s="4">
        <v>1.9698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4.6500000000000004</v>
      </c>
      <c r="D1676" s="4">
        <v>2.0865</v>
      </c>
      <c r="E1676" s="4">
        <v>250</v>
      </c>
      <c r="F1676" s="4">
        <v>4.6500000000000004</v>
      </c>
      <c r="G1676" s="4">
        <v>1162.5</v>
      </c>
      <c r="H1676" s="5">
        <f t="shared" si="26"/>
        <v>5.9244593359731965E-2</v>
      </c>
    </row>
    <row r="1677" spans="1:8" ht="13.5" x14ac:dyDescent="0.25">
      <c r="A1677" s="1"/>
      <c r="B1677" s="3">
        <v>44748</v>
      </c>
      <c r="C1677" s="4">
        <v>4.58</v>
      </c>
      <c r="D1677" s="4">
        <v>2.0550999999999999</v>
      </c>
      <c r="E1677" s="4">
        <v>2000</v>
      </c>
      <c r="F1677" s="4">
        <v>4.58</v>
      </c>
      <c r="G1677" s="4">
        <v>9160</v>
      </c>
      <c r="H1677" s="5">
        <f t="shared" si="26"/>
        <v>-1.5049125329499206E-2</v>
      </c>
    </row>
    <row r="1678" spans="1:8" ht="13.5" x14ac:dyDescent="0.25">
      <c r="A1678" s="1"/>
      <c r="B1678" s="3">
        <v>44749</v>
      </c>
      <c r="C1678" s="4">
        <v>4.57</v>
      </c>
      <c r="D1678" s="4">
        <v>2.0506000000000002</v>
      </c>
      <c r="E1678" s="4">
        <v>164</v>
      </c>
      <c r="F1678" s="4">
        <v>4.5540000000000003</v>
      </c>
      <c r="G1678" s="4">
        <v>746.85599999999999</v>
      </c>
      <c r="H1678" s="5">
        <f t="shared" si="26"/>
        <v>-2.1896744683955654E-3</v>
      </c>
    </row>
    <row r="1679" spans="1:8" ht="13.5" x14ac:dyDescent="0.25">
      <c r="A1679" s="1"/>
      <c r="B1679" s="3">
        <v>44750</v>
      </c>
      <c r="C1679" s="4">
        <v>4.57</v>
      </c>
      <c r="D1679" s="4">
        <v>2.0506000000000002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4.6399999999999997</v>
      </c>
      <c r="D1680" s="4">
        <v>2.0819999999999999</v>
      </c>
      <c r="E1680" s="4">
        <v>4775</v>
      </c>
      <c r="F1680" s="4">
        <v>4.6029999999999998</v>
      </c>
      <c r="G1680" s="4">
        <v>21979.325000000001</v>
      </c>
      <c r="H1680" s="5">
        <f t="shared" si="26"/>
        <v>1.5312591436652515E-2</v>
      </c>
    </row>
    <row r="1681" spans="1:8" ht="13.5" x14ac:dyDescent="0.25">
      <c r="A1681" s="1"/>
      <c r="B1681" s="3">
        <v>44754</v>
      </c>
      <c r="C1681" s="4">
        <v>4.58</v>
      </c>
      <c r="D1681" s="4">
        <v>2.0550999999999999</v>
      </c>
      <c r="E1681" s="4">
        <v>1353</v>
      </c>
      <c r="F1681" s="4">
        <v>4.58</v>
      </c>
      <c r="G1681" s="4">
        <v>6196.74</v>
      </c>
      <c r="H1681" s="5">
        <f t="shared" si="26"/>
        <v>-1.2920268972142136E-2</v>
      </c>
    </row>
    <row r="1682" spans="1:8" ht="13.5" x14ac:dyDescent="0.25">
      <c r="A1682" s="1"/>
      <c r="B1682" s="3">
        <v>44755</v>
      </c>
      <c r="C1682" s="4">
        <v>4.6500000000000004</v>
      </c>
      <c r="D1682" s="4">
        <v>2.0865</v>
      </c>
      <c r="E1682" s="4">
        <v>1</v>
      </c>
      <c r="F1682" s="4">
        <v>4.6500000000000004</v>
      </c>
      <c r="G1682" s="4">
        <v>4.6500000000000004</v>
      </c>
      <c r="H1682" s="5">
        <f t="shared" si="26"/>
        <v>1.5279061846138921E-2</v>
      </c>
    </row>
    <row r="1683" spans="1:8" ht="13.5" x14ac:dyDescent="0.25">
      <c r="A1683" s="1"/>
      <c r="B1683" s="3">
        <v>44756</v>
      </c>
      <c r="C1683" s="4">
        <v>4.6500000000000004</v>
      </c>
      <c r="D1683" s="4">
        <v>2.0865</v>
      </c>
      <c r="E1683" s="4">
        <v>320</v>
      </c>
      <c r="F1683" s="4">
        <v>4.6500000000000004</v>
      </c>
      <c r="G1683" s="4">
        <v>1488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4.7</v>
      </c>
      <c r="D1684" s="4">
        <v>2.1089000000000002</v>
      </c>
      <c r="E1684" s="4">
        <v>50</v>
      </c>
      <c r="F1684" s="4">
        <v>4.7</v>
      </c>
      <c r="G1684" s="4">
        <v>235</v>
      </c>
      <c r="H1684" s="5">
        <f t="shared" si="26"/>
        <v>1.0735681763719241E-2</v>
      </c>
    </row>
    <row r="1685" spans="1:8" ht="13.5" x14ac:dyDescent="0.25">
      <c r="A1685" s="1"/>
      <c r="B1685" s="3">
        <v>44760</v>
      </c>
      <c r="C1685" s="4">
        <v>4.7699999999999996</v>
      </c>
      <c r="D1685" s="4">
        <v>2.1402999999999999</v>
      </c>
      <c r="E1685" s="4">
        <v>1</v>
      </c>
      <c r="F1685" s="4">
        <v>4.7699999999999996</v>
      </c>
      <c r="G1685" s="4">
        <v>4.7699999999999996</v>
      </c>
      <c r="H1685" s="5">
        <f t="shared" si="26"/>
        <v>1.4889278770923062E-2</v>
      </c>
    </row>
    <row r="1686" spans="1:8" ht="13.5" x14ac:dyDescent="0.25">
      <c r="A1686" s="1"/>
      <c r="B1686" s="3">
        <v>44761</v>
      </c>
      <c r="C1686" s="4">
        <v>4.75</v>
      </c>
      <c r="D1686" s="4">
        <v>2.1314000000000002</v>
      </c>
      <c r="E1686" s="4">
        <v>5</v>
      </c>
      <c r="F1686" s="4">
        <v>4.75</v>
      </c>
      <c r="G1686" s="4">
        <v>23.75</v>
      </c>
      <c r="H1686" s="5">
        <f t="shared" si="26"/>
        <v>-4.1582955660419973E-3</v>
      </c>
    </row>
    <row r="1687" spans="1:8" ht="13.5" x14ac:dyDescent="0.25">
      <c r="A1687" s="1"/>
      <c r="B1687" s="3">
        <v>44762</v>
      </c>
      <c r="C1687" s="4">
        <v>4.75</v>
      </c>
      <c r="D1687" s="4">
        <v>2.1314000000000002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4.75</v>
      </c>
      <c r="D1688" s="4">
        <v>2.1314000000000002</v>
      </c>
      <c r="E1688" s="4">
        <v>529</v>
      </c>
      <c r="F1688" s="4">
        <v>4.75</v>
      </c>
      <c r="G1688" s="4">
        <v>2512.75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4.75</v>
      </c>
      <c r="D1689" s="4">
        <v>2.1314000000000002</v>
      </c>
      <c r="E1689" s="4">
        <v>0</v>
      </c>
      <c r="F1689" s="4">
        <v>0</v>
      </c>
      <c r="G1689" s="4">
        <v>0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4.74</v>
      </c>
      <c r="D1690" s="4">
        <v>2.1269</v>
      </c>
      <c r="E1690" s="4">
        <v>1700</v>
      </c>
      <c r="F1690" s="4">
        <v>4.74</v>
      </c>
      <c r="G1690" s="4">
        <v>8058</v>
      </c>
      <c r="H1690" s="5">
        <f t="shared" si="26"/>
        <v>-2.1112883550718636E-3</v>
      </c>
    </row>
    <row r="1691" spans="1:8" ht="13.5" x14ac:dyDescent="0.25">
      <c r="A1691" s="1"/>
      <c r="B1691" s="3">
        <v>44769</v>
      </c>
      <c r="C1691" s="4">
        <v>4.74</v>
      </c>
      <c r="D1691" s="4">
        <v>2.1269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4.5999999999999996</v>
      </c>
      <c r="D1692" s="4">
        <v>2.0640000000000001</v>
      </c>
      <c r="E1692" s="4">
        <v>239</v>
      </c>
      <c r="F1692" s="4">
        <v>4.6109999999999998</v>
      </c>
      <c r="G1692" s="4">
        <v>1102.029</v>
      </c>
      <c r="H1692" s="5">
        <f t="shared" si="26"/>
        <v>-2.9573557760120342E-2</v>
      </c>
    </row>
    <row r="1693" spans="1:8" ht="13.5" x14ac:dyDescent="0.25">
      <c r="A1693" s="1"/>
      <c r="B1693" s="3">
        <v>44771</v>
      </c>
      <c r="C1693" s="4">
        <v>4.5999999999999996</v>
      </c>
      <c r="D1693" s="4">
        <v>2.0640000000000001</v>
      </c>
      <c r="E1693" s="4">
        <v>201</v>
      </c>
      <c r="F1693" s="4">
        <v>4.5999999999999996</v>
      </c>
      <c r="G1693" s="4">
        <v>924.6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4.7</v>
      </c>
      <c r="D1694" s="4">
        <v>2.1089000000000002</v>
      </c>
      <c r="E1694" s="4">
        <v>2180</v>
      </c>
      <c r="F1694" s="4">
        <v>4.6609999999999996</v>
      </c>
      <c r="G1694" s="4">
        <v>10160.98</v>
      </c>
      <c r="H1694" s="5">
        <f t="shared" si="26"/>
        <v>2.1753875968992326E-2</v>
      </c>
    </row>
    <row r="1695" spans="1:8" ht="13.5" x14ac:dyDescent="0.25">
      <c r="A1695" s="1"/>
      <c r="B1695" s="3">
        <v>44775</v>
      </c>
      <c r="C1695" s="4">
        <v>4.71</v>
      </c>
      <c r="D1695" s="4">
        <v>2.1133999999999999</v>
      </c>
      <c r="E1695" s="4">
        <v>2437</v>
      </c>
      <c r="F1695" s="4">
        <v>4.6619999999999999</v>
      </c>
      <c r="G1695" s="4">
        <v>11361.294</v>
      </c>
      <c r="H1695" s="5">
        <f t="shared" si="26"/>
        <v>2.1338138365971484E-3</v>
      </c>
    </row>
    <row r="1696" spans="1:8" ht="13.5" x14ac:dyDescent="0.25">
      <c r="A1696" s="1"/>
      <c r="B1696" s="3">
        <v>44776</v>
      </c>
      <c r="C1696" s="4">
        <v>4.7</v>
      </c>
      <c r="D1696" s="4">
        <v>2.1089000000000002</v>
      </c>
      <c r="E1696" s="4">
        <v>2356</v>
      </c>
      <c r="F1696" s="4">
        <v>4.6020000000000003</v>
      </c>
      <c r="G1696" s="4">
        <v>10842.312</v>
      </c>
      <c r="H1696" s="5">
        <f t="shared" si="26"/>
        <v>-2.129270370019744E-3</v>
      </c>
    </row>
    <row r="1697" spans="1:8" ht="13.5" x14ac:dyDescent="0.25">
      <c r="A1697" s="1"/>
      <c r="B1697" s="3">
        <v>44777</v>
      </c>
      <c r="C1697" s="4">
        <v>4.75</v>
      </c>
      <c r="D1697" s="4">
        <v>2.1314000000000002</v>
      </c>
      <c r="E1697" s="4">
        <v>5</v>
      </c>
      <c r="F1697" s="4">
        <v>4.75</v>
      </c>
      <c r="G1697" s="4">
        <v>23.75</v>
      </c>
      <c r="H1697" s="5">
        <f t="shared" si="26"/>
        <v>1.0669069182986372E-2</v>
      </c>
    </row>
    <row r="1698" spans="1:8" ht="13.5" x14ac:dyDescent="0.25">
      <c r="A1698" s="1"/>
      <c r="B1698" s="3">
        <v>44778</v>
      </c>
      <c r="C1698" s="4">
        <v>4.74</v>
      </c>
      <c r="D1698" s="4">
        <v>2.1269</v>
      </c>
      <c r="E1698" s="4">
        <v>191</v>
      </c>
      <c r="F1698" s="4">
        <v>4.6210000000000004</v>
      </c>
      <c r="G1698" s="4">
        <v>882.61099999999999</v>
      </c>
      <c r="H1698" s="5">
        <f t="shared" si="26"/>
        <v>-2.1112883550718636E-3</v>
      </c>
    </row>
    <row r="1699" spans="1:8" ht="13.5" x14ac:dyDescent="0.25">
      <c r="A1699" s="1"/>
      <c r="B1699" s="3">
        <v>44781</v>
      </c>
      <c r="C1699" s="4">
        <v>4.75</v>
      </c>
      <c r="D1699" s="4">
        <v>2.1314000000000002</v>
      </c>
      <c r="E1699" s="4">
        <v>862</v>
      </c>
      <c r="F1699" s="4">
        <v>4.5999999999999996</v>
      </c>
      <c r="G1699" s="4">
        <v>3965.2</v>
      </c>
      <c r="H1699" s="5">
        <f t="shared" si="26"/>
        <v>2.1157553246509806E-3</v>
      </c>
    </row>
    <row r="1700" spans="1:8" ht="13.5" x14ac:dyDescent="0.25">
      <c r="A1700" s="1"/>
      <c r="B1700" s="3">
        <v>44782</v>
      </c>
      <c r="C1700" s="4">
        <v>4.5999999999999996</v>
      </c>
      <c r="D1700" s="4">
        <v>2.0640000000000001</v>
      </c>
      <c r="E1700" s="4">
        <v>4960</v>
      </c>
      <c r="F1700" s="4">
        <v>4.609</v>
      </c>
      <c r="G1700" s="4">
        <v>22860.639999999999</v>
      </c>
      <c r="H1700" s="5">
        <f t="shared" si="26"/>
        <v>-3.1622407807075217E-2</v>
      </c>
    </row>
    <row r="1701" spans="1:8" ht="13.5" x14ac:dyDescent="0.25">
      <c r="A1701" s="1"/>
      <c r="B1701" s="3">
        <v>44783</v>
      </c>
      <c r="C1701" s="4">
        <v>4.74</v>
      </c>
      <c r="D1701" s="4">
        <v>2.1269</v>
      </c>
      <c r="E1701" s="4">
        <v>130</v>
      </c>
      <c r="F1701" s="4">
        <v>4.625</v>
      </c>
      <c r="G1701" s="4">
        <v>601.25</v>
      </c>
      <c r="H1701" s="5">
        <f t="shared" si="26"/>
        <v>3.0474806201550367E-2</v>
      </c>
    </row>
    <row r="1702" spans="1:8" ht="13.5" x14ac:dyDescent="0.25">
      <c r="A1702" s="1"/>
      <c r="B1702" s="3">
        <v>44784</v>
      </c>
      <c r="C1702" s="4">
        <v>4.76</v>
      </c>
      <c r="D1702" s="4">
        <v>2.1358000000000001</v>
      </c>
      <c r="E1702" s="4">
        <v>15074</v>
      </c>
      <c r="F1702" s="4">
        <v>4.7590000000000003</v>
      </c>
      <c r="G1702" s="4">
        <v>71737.165999999997</v>
      </c>
      <c r="H1702" s="5">
        <f t="shared" si="26"/>
        <v>4.1844938643096196E-3</v>
      </c>
    </row>
    <row r="1703" spans="1:8" ht="13.5" x14ac:dyDescent="0.25">
      <c r="A1703" s="1"/>
      <c r="B1703" s="3">
        <v>44785</v>
      </c>
      <c r="C1703" s="4">
        <v>4.84</v>
      </c>
      <c r="D1703" s="4">
        <v>2.1717</v>
      </c>
      <c r="E1703" s="4">
        <v>1064</v>
      </c>
      <c r="F1703" s="4">
        <v>4.7610000000000001</v>
      </c>
      <c r="G1703" s="4">
        <v>5065.7039999999997</v>
      </c>
      <c r="H1703" s="5">
        <f t="shared" si="26"/>
        <v>1.6808689952242634E-2</v>
      </c>
    </row>
    <row r="1704" spans="1:8" ht="13.5" x14ac:dyDescent="0.25">
      <c r="A1704" s="1"/>
      <c r="B1704" s="3">
        <v>44788</v>
      </c>
      <c r="C1704" s="4">
        <v>4.8</v>
      </c>
      <c r="D1704" s="4">
        <v>2.1537999999999999</v>
      </c>
      <c r="E1704" s="4">
        <v>315</v>
      </c>
      <c r="F1704" s="4">
        <v>4.8</v>
      </c>
      <c r="G1704" s="4">
        <v>1512</v>
      </c>
      <c r="H1704" s="5">
        <f t="shared" si="26"/>
        <v>-8.2423907537873681E-3</v>
      </c>
    </row>
    <row r="1705" spans="1:8" ht="13.5" x14ac:dyDescent="0.25">
      <c r="A1705" s="1"/>
      <c r="B1705" s="3">
        <v>44789</v>
      </c>
      <c r="C1705" s="4">
        <v>4.8</v>
      </c>
      <c r="D1705" s="4">
        <v>2.1537999999999999</v>
      </c>
      <c r="E1705" s="4">
        <v>176</v>
      </c>
      <c r="F1705" s="4">
        <v>4.8029999999999999</v>
      </c>
      <c r="G1705" s="4">
        <v>845.32799999999997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4.84</v>
      </c>
      <c r="D1706" s="4">
        <v>2.1717</v>
      </c>
      <c r="E1706" s="4">
        <v>10</v>
      </c>
      <c r="F1706" s="4">
        <v>4.84</v>
      </c>
      <c r="G1706" s="4">
        <v>48.4</v>
      </c>
      <c r="H1706" s="5">
        <f t="shared" si="26"/>
        <v>8.3108923762652189E-3</v>
      </c>
    </row>
    <row r="1707" spans="1:8" ht="13.5" x14ac:dyDescent="0.25">
      <c r="A1707" s="1"/>
      <c r="B1707" s="3">
        <v>44791</v>
      </c>
      <c r="C1707" s="4">
        <v>4.83</v>
      </c>
      <c r="D1707" s="4">
        <v>2.1671999999999998</v>
      </c>
      <c r="E1707" s="4">
        <v>1633</v>
      </c>
      <c r="F1707" s="4">
        <v>4.8</v>
      </c>
      <c r="G1707" s="4">
        <v>7838.4</v>
      </c>
      <c r="H1707" s="5">
        <f t="shared" si="26"/>
        <v>-2.072109407376788E-3</v>
      </c>
    </row>
    <row r="1708" spans="1:8" ht="13.5" x14ac:dyDescent="0.25">
      <c r="A1708" s="1"/>
      <c r="B1708" s="3">
        <v>44792</v>
      </c>
      <c r="C1708" s="4">
        <v>4.83</v>
      </c>
      <c r="D1708" s="4">
        <v>2.1671999999999998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4.84</v>
      </c>
      <c r="D1709" s="4">
        <v>2.1717</v>
      </c>
      <c r="E1709" s="4">
        <v>44729</v>
      </c>
      <c r="F1709" s="4">
        <v>4.8209999999999997</v>
      </c>
      <c r="G1709" s="4">
        <v>215638.50899999999</v>
      </c>
      <c r="H1709" s="5">
        <f t="shared" si="26"/>
        <v>2.0764119601329695E-3</v>
      </c>
    </row>
    <row r="1710" spans="1:8" ht="13.5" x14ac:dyDescent="0.25">
      <c r="A1710" s="1"/>
      <c r="B1710" s="3">
        <v>44796</v>
      </c>
      <c r="C1710" s="4">
        <v>4.8</v>
      </c>
      <c r="D1710" s="4">
        <v>2.1537999999999999</v>
      </c>
      <c r="E1710" s="4">
        <v>130</v>
      </c>
      <c r="F1710" s="4">
        <v>4.8</v>
      </c>
      <c r="G1710" s="4">
        <v>624</v>
      </c>
      <c r="H1710" s="5">
        <f t="shared" si="26"/>
        <v>-8.2423907537873681E-3</v>
      </c>
    </row>
    <row r="1711" spans="1:8" ht="13.5" x14ac:dyDescent="0.25">
      <c r="A1711" s="1"/>
      <c r="B1711" s="3">
        <v>44797</v>
      </c>
      <c r="C1711" s="4">
        <v>4.79</v>
      </c>
      <c r="D1711" s="4">
        <v>2.1493000000000002</v>
      </c>
      <c r="E1711" s="4">
        <v>11</v>
      </c>
      <c r="F1711" s="4">
        <v>4.6539999999999999</v>
      </c>
      <c r="G1711" s="4">
        <v>51.194000000000003</v>
      </c>
      <c r="H1711" s="5">
        <f t="shared" si="26"/>
        <v>-2.089330485653137E-3</v>
      </c>
    </row>
    <row r="1712" spans="1:8" ht="13.5" x14ac:dyDescent="0.25">
      <c r="A1712" s="1"/>
      <c r="B1712" s="3">
        <v>44798</v>
      </c>
      <c r="C1712" s="4">
        <v>4.78</v>
      </c>
      <c r="D1712" s="4">
        <v>2.1448</v>
      </c>
      <c r="E1712" s="4">
        <v>10</v>
      </c>
      <c r="F1712" s="4">
        <v>4.78</v>
      </c>
      <c r="G1712" s="4">
        <v>47.8</v>
      </c>
      <c r="H1712" s="5">
        <f t="shared" si="26"/>
        <v>-2.0937049271856746E-3</v>
      </c>
    </row>
    <row r="1713" spans="1:8" ht="13.5" x14ac:dyDescent="0.25">
      <c r="A1713" s="1"/>
      <c r="B1713" s="3">
        <v>44799</v>
      </c>
      <c r="C1713" s="4">
        <v>4.8</v>
      </c>
      <c r="D1713" s="4">
        <v>2.1537999999999999</v>
      </c>
      <c r="E1713" s="4">
        <v>1046</v>
      </c>
      <c r="F1713" s="4">
        <v>4.7930000000000001</v>
      </c>
      <c r="G1713" s="4">
        <v>5013.4780000000001</v>
      </c>
      <c r="H1713" s="5">
        <f t="shared" si="26"/>
        <v>4.1961954494591086E-3</v>
      </c>
    </row>
    <row r="1714" spans="1:8" ht="13.5" x14ac:dyDescent="0.25">
      <c r="A1714" s="1"/>
      <c r="B1714" s="3">
        <v>44802</v>
      </c>
      <c r="C1714" s="4">
        <v>4.8</v>
      </c>
      <c r="D1714" s="4">
        <v>2.1537999999999999</v>
      </c>
      <c r="E1714" s="4">
        <v>40</v>
      </c>
      <c r="F1714" s="4">
        <v>4.8</v>
      </c>
      <c r="G1714" s="4">
        <v>192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4.79</v>
      </c>
      <c r="D1715" s="4">
        <v>2.1493000000000002</v>
      </c>
      <c r="E1715" s="4">
        <v>33</v>
      </c>
      <c r="F1715" s="4">
        <v>4.79</v>
      </c>
      <c r="G1715" s="4">
        <v>158.07</v>
      </c>
      <c r="H1715" s="5">
        <f t="shared" si="26"/>
        <v>-2.089330485653137E-3</v>
      </c>
    </row>
    <row r="1716" spans="1:8" ht="13.5" x14ac:dyDescent="0.25">
      <c r="A1716" s="1"/>
      <c r="B1716" s="3">
        <v>44804</v>
      </c>
      <c r="C1716" s="4">
        <v>4.8</v>
      </c>
      <c r="D1716" s="4">
        <v>2.1537999999999999</v>
      </c>
      <c r="E1716" s="4">
        <v>1</v>
      </c>
      <c r="F1716" s="4">
        <v>4.8</v>
      </c>
      <c r="G1716" s="4">
        <v>4.8</v>
      </c>
      <c r="H1716" s="5">
        <f t="shared" si="26"/>
        <v>2.0937049271854678E-3</v>
      </c>
    </row>
    <row r="1717" spans="1:8" ht="13.5" x14ac:dyDescent="0.25">
      <c r="A1717" s="1"/>
      <c r="B1717" s="3">
        <v>44805</v>
      </c>
      <c r="C1717" s="4">
        <v>4.78</v>
      </c>
      <c r="D1717" s="4">
        <v>2.1448</v>
      </c>
      <c r="E1717" s="4">
        <v>420</v>
      </c>
      <c r="F1717" s="4">
        <v>4.7569999999999997</v>
      </c>
      <c r="G1717" s="4">
        <v>1997.94</v>
      </c>
      <c r="H1717" s="5">
        <f t="shared" si="26"/>
        <v>-4.1786609713064804E-3</v>
      </c>
    </row>
    <row r="1718" spans="1:8" ht="13.5" x14ac:dyDescent="0.25">
      <c r="A1718" s="1"/>
      <c r="B1718" s="3">
        <v>44806</v>
      </c>
      <c r="C1718" s="4">
        <v>4.8499999999999996</v>
      </c>
      <c r="D1718" s="4">
        <v>2.1762000000000001</v>
      </c>
      <c r="E1718" s="4">
        <v>6825</v>
      </c>
      <c r="F1718" s="4">
        <v>4.8970000000000002</v>
      </c>
      <c r="G1718" s="4">
        <v>33422.025000000001</v>
      </c>
      <c r="H1718" s="5">
        <f t="shared" si="26"/>
        <v>1.4640059679224214E-2</v>
      </c>
    </row>
    <row r="1719" spans="1:8" ht="13.5" x14ac:dyDescent="0.25">
      <c r="A1719" s="1"/>
      <c r="B1719" s="3">
        <v>44809</v>
      </c>
      <c r="C1719" s="4">
        <v>5.0599999999999996</v>
      </c>
      <c r="D1719" s="4">
        <v>2.2705000000000002</v>
      </c>
      <c r="E1719" s="4">
        <v>546</v>
      </c>
      <c r="F1719" s="4">
        <v>5.0579999999999998</v>
      </c>
      <c r="G1719" s="4">
        <v>2761.6680000000001</v>
      </c>
      <c r="H1719" s="5">
        <f t="shared" si="26"/>
        <v>4.3332414300156254E-2</v>
      </c>
    </row>
    <row r="1720" spans="1:8" ht="13.5" x14ac:dyDescent="0.25">
      <c r="A1720" s="1"/>
      <c r="B1720" s="3">
        <v>44810</v>
      </c>
      <c r="C1720" s="4">
        <v>5.0599999999999996</v>
      </c>
      <c r="D1720" s="4">
        <v>2.2705000000000002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5.0599999999999996</v>
      </c>
      <c r="D1721" s="4">
        <v>2.2705000000000002</v>
      </c>
      <c r="E1721" s="4">
        <v>0</v>
      </c>
      <c r="F1721" s="4">
        <v>0</v>
      </c>
      <c r="G1721" s="4">
        <v>0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4.99</v>
      </c>
      <c r="D1722" s="4">
        <v>2.2389999999999999</v>
      </c>
      <c r="E1722" s="4">
        <v>3207</v>
      </c>
      <c r="F1722" s="4">
        <v>4.95</v>
      </c>
      <c r="G1722" s="4">
        <v>15874.65</v>
      </c>
      <c r="H1722" s="5">
        <f t="shared" si="26"/>
        <v>-1.387359612420185E-2</v>
      </c>
    </row>
    <row r="1723" spans="1:8" ht="13.5" x14ac:dyDescent="0.25">
      <c r="A1723" s="1"/>
      <c r="B1723" s="3">
        <v>44813</v>
      </c>
      <c r="C1723" s="4">
        <v>4.9000000000000004</v>
      </c>
      <c r="D1723" s="4">
        <v>2.1987000000000001</v>
      </c>
      <c r="E1723" s="4">
        <v>1917</v>
      </c>
      <c r="F1723" s="4">
        <v>4.9729999999999999</v>
      </c>
      <c r="G1723" s="4">
        <v>9533.241</v>
      </c>
      <c r="H1723" s="5">
        <f t="shared" si="26"/>
        <v>-1.7999106744082081E-2</v>
      </c>
    </row>
    <row r="1724" spans="1:8" ht="13.5" x14ac:dyDescent="0.25">
      <c r="A1724" s="1"/>
      <c r="B1724" s="3">
        <v>44816</v>
      </c>
      <c r="C1724" s="4">
        <v>4.9000000000000004</v>
      </c>
      <c r="D1724" s="4">
        <v>2.1987000000000001</v>
      </c>
      <c r="E1724" s="4">
        <v>1648</v>
      </c>
      <c r="F1724" s="4">
        <v>4.8650000000000002</v>
      </c>
      <c r="G1724" s="4">
        <v>8017.52</v>
      </c>
      <c r="H1724" s="5">
        <f t="shared" si="26"/>
        <v>0</v>
      </c>
    </row>
    <row r="1725" spans="1:8" ht="13.5" x14ac:dyDescent="0.25">
      <c r="A1725" s="1"/>
      <c r="B1725" s="3">
        <v>44817</v>
      </c>
      <c r="C1725" s="4">
        <v>4.8</v>
      </c>
      <c r="D1725" s="4">
        <v>2.1537999999999999</v>
      </c>
      <c r="E1725" s="4">
        <v>2877</v>
      </c>
      <c r="F1725" s="4">
        <v>4.8540000000000001</v>
      </c>
      <c r="G1725" s="4">
        <v>13964.958000000001</v>
      </c>
      <c r="H1725" s="5">
        <f t="shared" si="26"/>
        <v>-2.0421157956974648E-2</v>
      </c>
    </row>
    <row r="1726" spans="1:8" ht="13.5" x14ac:dyDescent="0.25">
      <c r="A1726" s="1"/>
      <c r="B1726" s="3">
        <v>44818</v>
      </c>
      <c r="C1726" s="4">
        <v>4.91</v>
      </c>
      <c r="D1726" s="4">
        <v>2.2031000000000001</v>
      </c>
      <c r="E1726" s="4">
        <v>71581</v>
      </c>
      <c r="F1726" s="4">
        <v>4.92</v>
      </c>
      <c r="G1726" s="4">
        <v>352178.52</v>
      </c>
      <c r="H1726" s="5">
        <f t="shared" si="26"/>
        <v>2.2889776209490259E-2</v>
      </c>
    </row>
    <row r="1727" spans="1:8" ht="13.5" x14ac:dyDescent="0.25">
      <c r="A1727" s="1"/>
      <c r="B1727" s="3">
        <v>44819</v>
      </c>
      <c r="C1727" s="4">
        <v>4.9000000000000004</v>
      </c>
      <c r="D1727" s="4">
        <v>2.1987000000000001</v>
      </c>
      <c r="E1727" s="4">
        <v>300</v>
      </c>
      <c r="F1727" s="4">
        <v>4.9000000000000004</v>
      </c>
      <c r="G1727" s="4">
        <v>1470</v>
      </c>
      <c r="H1727" s="5">
        <f t="shared" si="26"/>
        <v>-1.9971857836684486E-3</v>
      </c>
    </row>
    <row r="1728" spans="1:8" ht="13.5" x14ac:dyDescent="0.25">
      <c r="A1728" s="1"/>
      <c r="B1728" s="3">
        <v>44820</v>
      </c>
      <c r="C1728" s="4">
        <v>4.8600000000000003</v>
      </c>
      <c r="D1728" s="4">
        <v>2.1806999999999999</v>
      </c>
      <c r="E1728" s="4">
        <v>485</v>
      </c>
      <c r="F1728" s="4">
        <v>4.8970000000000002</v>
      </c>
      <c r="G1728" s="4">
        <v>2375.0450000000001</v>
      </c>
      <c r="H1728" s="5">
        <f t="shared" si="26"/>
        <v>-8.1866557511257737E-3</v>
      </c>
    </row>
    <row r="1729" spans="1:8" ht="13.5" x14ac:dyDescent="0.25">
      <c r="A1729" s="1"/>
      <c r="B1729" s="3">
        <v>44823</v>
      </c>
      <c r="C1729" s="4">
        <v>4.8</v>
      </c>
      <c r="D1729" s="4">
        <v>2.1537999999999999</v>
      </c>
      <c r="E1729" s="4">
        <v>868</v>
      </c>
      <c r="F1729" s="4">
        <v>4.8289999999999997</v>
      </c>
      <c r="G1729" s="4">
        <v>4191.5720000000001</v>
      </c>
      <c r="H1729" s="5">
        <f t="shared" si="26"/>
        <v>-1.2335488604576478E-2</v>
      </c>
    </row>
    <row r="1730" spans="1:8" ht="13.5" x14ac:dyDescent="0.25">
      <c r="A1730" s="1"/>
      <c r="B1730" s="3">
        <v>44824</v>
      </c>
      <c r="C1730" s="4">
        <v>4.8</v>
      </c>
      <c r="D1730" s="4">
        <v>2.1537999999999999</v>
      </c>
      <c r="E1730" s="4">
        <v>536</v>
      </c>
      <c r="F1730" s="4">
        <v>4.8</v>
      </c>
      <c r="G1730" s="4">
        <v>2572.8000000000002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4.9400000000000004</v>
      </c>
      <c r="D1731" s="4">
        <v>2.2166000000000001</v>
      </c>
      <c r="E1731" s="4">
        <v>316</v>
      </c>
      <c r="F1731" s="4">
        <v>4.8499999999999996</v>
      </c>
      <c r="G1731" s="4">
        <v>1532.6</v>
      </c>
      <c r="H1731" s="5">
        <f t="shared" si="26"/>
        <v>2.9157767666450084E-2</v>
      </c>
    </row>
    <row r="1732" spans="1:8" ht="13.5" x14ac:dyDescent="0.25">
      <c r="A1732" s="1"/>
      <c r="B1732" s="3">
        <v>44826</v>
      </c>
      <c r="C1732" s="4">
        <v>4.9400000000000004</v>
      </c>
      <c r="D1732" s="4">
        <v>2.2166000000000001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4.9400000000000004</v>
      </c>
      <c r="D1733" s="4">
        <v>2.2166000000000001</v>
      </c>
      <c r="E1733" s="4">
        <v>0</v>
      </c>
      <c r="F1733" s="4">
        <v>0</v>
      </c>
      <c r="G1733" s="4">
        <v>0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4.8600000000000003</v>
      </c>
      <c r="D1734" s="4">
        <v>2.1806999999999999</v>
      </c>
      <c r="E1734" s="4">
        <v>200</v>
      </c>
      <c r="F1734" s="4">
        <v>4.8600000000000003</v>
      </c>
      <c r="G1734" s="4">
        <v>972</v>
      </c>
      <c r="H1734" s="5">
        <f t="shared" si="26"/>
        <v>-1.6195975818821737E-2</v>
      </c>
    </row>
    <row r="1735" spans="1:8" ht="13.5" x14ac:dyDescent="0.25">
      <c r="A1735" s="1"/>
      <c r="B1735" s="3">
        <v>44831</v>
      </c>
      <c r="C1735" s="4">
        <v>4.8</v>
      </c>
      <c r="D1735" s="4">
        <v>2.1537999999999999</v>
      </c>
      <c r="E1735" s="4">
        <v>3904</v>
      </c>
      <c r="F1735" s="4">
        <v>4.851</v>
      </c>
      <c r="G1735" s="4">
        <v>18938.304</v>
      </c>
      <c r="H1735" s="5">
        <f t="shared" ref="H1735:H1798" si="27">(D1735-D1734)/D1734</f>
        <v>-1.2335488604576478E-2</v>
      </c>
    </row>
    <row r="1736" spans="1:8" ht="13.5" x14ac:dyDescent="0.25">
      <c r="A1736" s="1"/>
      <c r="B1736" s="3">
        <v>44832</v>
      </c>
      <c r="C1736" s="4">
        <v>4.8</v>
      </c>
      <c r="D1736" s="4">
        <v>2.1537999999999999</v>
      </c>
      <c r="E1736" s="4">
        <v>61</v>
      </c>
      <c r="F1736" s="4">
        <v>4.8019999999999996</v>
      </c>
      <c r="G1736" s="4">
        <v>292.92200000000003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4.8499999999999996</v>
      </c>
      <c r="D1737" s="4">
        <v>2.1762000000000001</v>
      </c>
      <c r="E1737" s="4">
        <v>26508</v>
      </c>
      <c r="F1737" s="4">
        <v>4.7949999999999999</v>
      </c>
      <c r="G1737" s="4">
        <v>127105.86</v>
      </c>
      <c r="H1737" s="5">
        <f t="shared" si="27"/>
        <v>1.0400222861918561E-2</v>
      </c>
    </row>
    <row r="1738" spans="1:8" ht="13.5" x14ac:dyDescent="0.25">
      <c r="A1738" s="1"/>
      <c r="B1738" s="3">
        <v>44834</v>
      </c>
      <c r="C1738" s="4">
        <v>4.9000000000000004</v>
      </c>
      <c r="D1738" s="4">
        <v>2.1987000000000001</v>
      </c>
      <c r="E1738" s="4">
        <v>135</v>
      </c>
      <c r="F1738" s="4">
        <v>4.9000000000000004</v>
      </c>
      <c r="G1738" s="4">
        <v>661.5</v>
      </c>
      <c r="H1738" s="5">
        <f t="shared" si="27"/>
        <v>1.0339123242349032E-2</v>
      </c>
    </row>
    <row r="1739" spans="1:8" ht="13.5" x14ac:dyDescent="0.25">
      <c r="A1739" s="1"/>
      <c r="B1739" s="3">
        <v>44837</v>
      </c>
      <c r="C1739" s="4">
        <v>4.9000000000000004</v>
      </c>
      <c r="D1739" s="4">
        <v>2.1987000000000001</v>
      </c>
      <c r="E1739" s="4">
        <v>0</v>
      </c>
      <c r="F1739" s="4">
        <v>0</v>
      </c>
      <c r="G1739" s="4">
        <v>0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4.8</v>
      </c>
      <c r="D1740" s="4">
        <v>2.1537999999999999</v>
      </c>
      <c r="E1740" s="4">
        <v>1022</v>
      </c>
      <c r="F1740" s="4">
        <v>4.8</v>
      </c>
      <c r="G1740" s="4">
        <v>4905.6000000000004</v>
      </c>
      <c r="H1740" s="5">
        <f t="shared" si="27"/>
        <v>-2.0421157956974648E-2</v>
      </c>
    </row>
    <row r="1741" spans="1:8" ht="13.5" x14ac:dyDescent="0.25">
      <c r="A1741" s="1"/>
      <c r="B1741" s="3">
        <v>44839</v>
      </c>
      <c r="C1741" s="4">
        <v>4.8</v>
      </c>
      <c r="D1741" s="4">
        <v>2.1537999999999999</v>
      </c>
      <c r="E1741" s="4">
        <v>1035</v>
      </c>
      <c r="F1741" s="4">
        <v>4.8010000000000002</v>
      </c>
      <c r="G1741" s="4">
        <v>4969.0349999999999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4.8</v>
      </c>
      <c r="D1742" s="4">
        <v>2.1537999999999999</v>
      </c>
      <c r="E1742" s="4">
        <v>628</v>
      </c>
      <c r="F1742" s="4">
        <v>4.8029999999999999</v>
      </c>
      <c r="G1742" s="4">
        <v>3016.2840000000001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4.83</v>
      </c>
      <c r="D1743" s="4">
        <v>2.1671999999999998</v>
      </c>
      <c r="E1743" s="4">
        <v>265</v>
      </c>
      <c r="F1743" s="4">
        <v>4.7629999999999999</v>
      </c>
      <c r="G1743" s="4">
        <v>1262.1949999999999</v>
      </c>
      <c r="H1743" s="5">
        <f t="shared" si="27"/>
        <v>6.2215618906118755E-3</v>
      </c>
    </row>
    <row r="1744" spans="1:8" ht="13.5" x14ac:dyDescent="0.25">
      <c r="A1744" s="1"/>
      <c r="B1744" s="3">
        <v>44844</v>
      </c>
      <c r="C1744" s="4">
        <v>4.83</v>
      </c>
      <c r="D1744" s="4">
        <v>2.1671999999999998</v>
      </c>
      <c r="E1744" s="4">
        <v>1035</v>
      </c>
      <c r="F1744" s="4">
        <v>4.8170000000000002</v>
      </c>
      <c r="G1744" s="4">
        <v>4985.5950000000003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4.83</v>
      </c>
      <c r="D1745" s="4">
        <v>2.1671999999999998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4.8</v>
      </c>
      <c r="D1746" s="4">
        <v>2.1537999999999999</v>
      </c>
      <c r="E1746" s="4">
        <v>7136</v>
      </c>
      <c r="F1746" s="4">
        <v>4.8</v>
      </c>
      <c r="G1746" s="4">
        <v>34252.800000000003</v>
      </c>
      <c r="H1746" s="5">
        <f t="shared" si="27"/>
        <v>-6.1830933923956522E-3</v>
      </c>
    </row>
    <row r="1747" spans="1:8" ht="13.5" x14ac:dyDescent="0.25">
      <c r="A1747" s="1"/>
      <c r="B1747" s="3">
        <v>44847</v>
      </c>
      <c r="C1747" s="4">
        <v>4.82</v>
      </c>
      <c r="D1747" s="4">
        <v>2.1627999999999998</v>
      </c>
      <c r="E1747" s="4">
        <v>1000</v>
      </c>
      <c r="F1747" s="4">
        <v>4.82</v>
      </c>
      <c r="G1747" s="4">
        <v>4820</v>
      </c>
      <c r="H1747" s="5">
        <f t="shared" si="27"/>
        <v>4.1786609713064804E-3</v>
      </c>
    </row>
    <row r="1748" spans="1:8" ht="13.5" x14ac:dyDescent="0.25">
      <c r="A1748" s="1"/>
      <c r="B1748" s="3">
        <v>44848</v>
      </c>
      <c r="C1748" s="4">
        <v>4.8</v>
      </c>
      <c r="D1748" s="4">
        <v>2.1537999999999999</v>
      </c>
      <c r="E1748" s="4">
        <v>195</v>
      </c>
      <c r="F1748" s="4">
        <v>4.8</v>
      </c>
      <c r="G1748" s="4">
        <v>936</v>
      </c>
      <c r="H1748" s="5">
        <f t="shared" si="27"/>
        <v>-4.1612724246346856E-3</v>
      </c>
    </row>
    <row r="1749" spans="1:8" ht="13.5" x14ac:dyDescent="0.25">
      <c r="A1749" s="1"/>
      <c r="B1749" s="3">
        <v>44851</v>
      </c>
      <c r="C1749" s="4">
        <v>4.8</v>
      </c>
      <c r="D1749" s="4">
        <v>2.1537999999999999</v>
      </c>
      <c r="E1749" s="4">
        <v>1982</v>
      </c>
      <c r="F1749" s="4">
        <v>4.8</v>
      </c>
      <c r="G1749" s="4">
        <v>9513.6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4.79</v>
      </c>
      <c r="D1750" s="4">
        <v>2.1493000000000002</v>
      </c>
      <c r="E1750" s="4">
        <v>98</v>
      </c>
      <c r="F1750" s="4">
        <v>4.79</v>
      </c>
      <c r="G1750" s="4">
        <v>469.42</v>
      </c>
      <c r="H1750" s="5">
        <f t="shared" si="27"/>
        <v>-2.089330485653137E-3</v>
      </c>
    </row>
    <row r="1751" spans="1:8" ht="13.5" x14ac:dyDescent="0.25">
      <c r="A1751" s="1"/>
      <c r="B1751" s="3">
        <v>44853</v>
      </c>
      <c r="C1751" s="4">
        <v>4.8</v>
      </c>
      <c r="D1751" s="4">
        <v>2.1537999999999999</v>
      </c>
      <c r="E1751" s="4">
        <v>4</v>
      </c>
      <c r="F1751" s="4">
        <v>4.8</v>
      </c>
      <c r="G1751" s="4">
        <v>19.2</v>
      </c>
      <c r="H1751" s="5">
        <f t="shared" si="27"/>
        <v>2.0937049271854678E-3</v>
      </c>
    </row>
    <row r="1752" spans="1:8" ht="13.5" x14ac:dyDescent="0.25">
      <c r="A1752" s="1"/>
      <c r="B1752" s="3">
        <v>44854</v>
      </c>
      <c r="C1752" s="4">
        <v>4.74</v>
      </c>
      <c r="D1752" s="4">
        <v>2.1269</v>
      </c>
      <c r="E1752" s="4">
        <v>180</v>
      </c>
      <c r="F1752" s="4">
        <v>4.7460000000000004</v>
      </c>
      <c r="G1752" s="4">
        <v>854.28</v>
      </c>
      <c r="H1752" s="5">
        <f t="shared" si="27"/>
        <v>-1.2489553347571699E-2</v>
      </c>
    </row>
    <row r="1753" spans="1:8" ht="13.5" x14ac:dyDescent="0.25">
      <c r="A1753" s="1"/>
      <c r="B1753" s="3">
        <v>44855</v>
      </c>
      <c r="C1753" s="4">
        <v>4.58</v>
      </c>
      <c r="D1753" s="4">
        <v>2.0550999999999999</v>
      </c>
      <c r="E1753" s="4">
        <v>21162</v>
      </c>
      <c r="F1753" s="4">
        <v>4.5220000000000002</v>
      </c>
      <c r="G1753" s="4">
        <v>95694.563999999998</v>
      </c>
      <c r="H1753" s="5">
        <f t="shared" si="27"/>
        <v>-3.3758051624429963E-2</v>
      </c>
    </row>
    <row r="1754" spans="1:8" ht="13.5" x14ac:dyDescent="0.25">
      <c r="A1754" s="1"/>
      <c r="B1754" s="3">
        <v>44858</v>
      </c>
      <c r="C1754" s="4">
        <v>4.5</v>
      </c>
      <c r="D1754" s="4">
        <v>2.0192000000000001</v>
      </c>
      <c r="E1754" s="4">
        <v>13168</v>
      </c>
      <c r="F1754" s="4">
        <v>4.5119999999999996</v>
      </c>
      <c r="G1754" s="4">
        <v>59414.016000000003</v>
      </c>
      <c r="H1754" s="5">
        <f t="shared" si="27"/>
        <v>-1.7468736314534487E-2</v>
      </c>
    </row>
    <row r="1755" spans="1:8" ht="13.5" x14ac:dyDescent="0.25">
      <c r="A1755" s="1"/>
      <c r="B1755" s="3">
        <v>44859</v>
      </c>
      <c r="C1755" s="4">
        <v>4.5599999999999996</v>
      </c>
      <c r="D1755" s="4">
        <v>2.0461</v>
      </c>
      <c r="E1755" s="4">
        <v>15886</v>
      </c>
      <c r="F1755" s="4">
        <v>4.5</v>
      </c>
      <c r="G1755" s="4">
        <v>71487</v>
      </c>
      <c r="H1755" s="5">
        <f t="shared" si="27"/>
        <v>1.3322107765451625E-2</v>
      </c>
    </row>
    <row r="1756" spans="1:8" ht="13.5" x14ac:dyDescent="0.25">
      <c r="A1756" s="1"/>
      <c r="B1756" s="3">
        <v>44860</v>
      </c>
      <c r="C1756" s="4">
        <v>4.7300000000000004</v>
      </c>
      <c r="D1756" s="4">
        <v>2.1223999999999998</v>
      </c>
      <c r="E1756" s="4">
        <v>2691</v>
      </c>
      <c r="F1756" s="4">
        <v>4.5</v>
      </c>
      <c r="G1756" s="4">
        <v>12109.5</v>
      </c>
      <c r="H1756" s="5">
        <f t="shared" si="27"/>
        <v>3.7290455011973908E-2</v>
      </c>
    </row>
    <row r="1757" spans="1:8" ht="13.5" x14ac:dyDescent="0.25">
      <c r="A1757" s="1"/>
      <c r="B1757" s="3">
        <v>44861</v>
      </c>
      <c r="C1757" s="4">
        <v>4.7300000000000004</v>
      </c>
      <c r="D1757" s="4">
        <v>2.1223999999999998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4.7300000000000004</v>
      </c>
      <c r="D1758" s="4">
        <v>2.1223999999999998</v>
      </c>
      <c r="E1758" s="4">
        <v>0</v>
      </c>
      <c r="F1758" s="4">
        <v>0</v>
      </c>
      <c r="G1758" s="4">
        <v>0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4.7300000000000004</v>
      </c>
      <c r="D1759" s="4">
        <v>2.1223999999999998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4.7300000000000004</v>
      </c>
      <c r="D1760" s="4">
        <v>2.1223999999999998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4.5</v>
      </c>
      <c r="D1761" s="4">
        <v>2.0192000000000001</v>
      </c>
      <c r="E1761" s="4">
        <v>2882</v>
      </c>
      <c r="F1761" s="4">
        <v>4.5</v>
      </c>
      <c r="G1761" s="4">
        <v>12969</v>
      </c>
      <c r="H1761" s="5">
        <f t="shared" si="27"/>
        <v>-4.8624199019977263E-2</v>
      </c>
    </row>
    <row r="1762" spans="1:8" ht="13.5" x14ac:dyDescent="0.25">
      <c r="A1762" s="1"/>
      <c r="B1762" s="3">
        <v>44868</v>
      </c>
      <c r="C1762" s="4">
        <v>4.5</v>
      </c>
      <c r="D1762" s="4">
        <v>2.0192000000000001</v>
      </c>
      <c r="E1762" s="4">
        <v>1009</v>
      </c>
      <c r="F1762" s="4">
        <v>4.4989999999999997</v>
      </c>
      <c r="G1762" s="4">
        <v>4539.491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4.5</v>
      </c>
      <c r="D1763" s="4">
        <v>2.0192000000000001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4.41</v>
      </c>
      <c r="D1764" s="4">
        <v>1.9787999999999999</v>
      </c>
      <c r="E1764" s="4">
        <v>4898</v>
      </c>
      <c r="F1764" s="4">
        <v>4.4320000000000004</v>
      </c>
      <c r="G1764" s="4">
        <v>21707.936000000002</v>
      </c>
      <c r="H1764" s="5">
        <f t="shared" si="27"/>
        <v>-2.0007923930269518E-2</v>
      </c>
    </row>
    <row r="1765" spans="1:8" ht="13.5" x14ac:dyDescent="0.25">
      <c r="A1765" s="1"/>
      <c r="B1765" s="3">
        <v>44873</v>
      </c>
      <c r="C1765" s="4">
        <v>4.41</v>
      </c>
      <c r="D1765" s="4">
        <v>1.9787999999999999</v>
      </c>
      <c r="E1765" s="4">
        <v>4593</v>
      </c>
      <c r="F1765" s="4">
        <v>4.41</v>
      </c>
      <c r="G1765" s="4">
        <v>20255.13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4.41</v>
      </c>
      <c r="D1766" s="4">
        <v>1.9787999999999999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4.6500000000000004</v>
      </c>
      <c r="D1767" s="4">
        <v>2.0865</v>
      </c>
      <c r="E1767" s="4">
        <v>1</v>
      </c>
      <c r="F1767" s="4">
        <v>4.6500000000000004</v>
      </c>
      <c r="G1767" s="4">
        <v>4.6500000000000004</v>
      </c>
      <c r="H1767" s="5">
        <f t="shared" si="27"/>
        <v>5.4426925409339064E-2</v>
      </c>
    </row>
    <row r="1768" spans="1:8" ht="13.5" x14ac:dyDescent="0.25">
      <c r="A1768" s="1"/>
      <c r="B1768" s="3">
        <v>44876</v>
      </c>
      <c r="C1768" s="4">
        <v>4.6500000000000004</v>
      </c>
      <c r="D1768" s="4">
        <v>2.0865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4.6500000000000004</v>
      </c>
      <c r="D1769" s="4">
        <v>2.0865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4.6500000000000004</v>
      </c>
      <c r="D1770" s="4">
        <v>2.0865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4.41</v>
      </c>
      <c r="D1771" s="4">
        <v>1.9787999999999999</v>
      </c>
      <c r="E1771" s="4">
        <v>1067</v>
      </c>
      <c r="F1771" s="4">
        <v>4.41</v>
      </c>
      <c r="G1771" s="4">
        <v>4705.47</v>
      </c>
      <c r="H1771" s="5">
        <f t="shared" si="27"/>
        <v>-5.1617541337167568E-2</v>
      </c>
    </row>
    <row r="1772" spans="1:8" ht="13.5" x14ac:dyDescent="0.25">
      <c r="A1772" s="1"/>
      <c r="B1772" s="3">
        <v>44882</v>
      </c>
      <c r="C1772" s="4">
        <v>4.59</v>
      </c>
      <c r="D1772" s="4">
        <v>2.0596000000000001</v>
      </c>
      <c r="E1772" s="4">
        <v>772</v>
      </c>
      <c r="F1772" s="4">
        <v>4.484</v>
      </c>
      <c r="G1772" s="4">
        <v>3461.6480000000001</v>
      </c>
      <c r="H1772" s="5">
        <f t="shared" si="27"/>
        <v>4.083282797655155E-2</v>
      </c>
    </row>
    <row r="1773" spans="1:8" ht="13.5" x14ac:dyDescent="0.25">
      <c r="A1773" s="1"/>
      <c r="B1773" s="3">
        <v>44883</v>
      </c>
      <c r="C1773" s="4">
        <v>4.5</v>
      </c>
      <c r="D1773" s="4">
        <v>2.0192000000000001</v>
      </c>
      <c r="E1773" s="4">
        <v>52143</v>
      </c>
      <c r="F1773" s="4">
        <v>4.5449999999999999</v>
      </c>
      <c r="G1773" s="4">
        <v>236989.935</v>
      </c>
      <c r="H1773" s="5">
        <f t="shared" si="27"/>
        <v>-1.9615459312487857E-2</v>
      </c>
    </row>
    <row r="1774" spans="1:8" ht="13.5" x14ac:dyDescent="0.25">
      <c r="A1774" s="1"/>
      <c r="B1774" s="3">
        <v>44886</v>
      </c>
      <c r="C1774" s="4">
        <v>4.45</v>
      </c>
      <c r="D1774" s="4">
        <v>1.9966999999999999</v>
      </c>
      <c r="E1774" s="4">
        <v>48217</v>
      </c>
      <c r="F1774" s="4">
        <v>4.45</v>
      </c>
      <c r="G1774" s="4">
        <v>214565.65</v>
      </c>
      <c r="H1774" s="5">
        <f t="shared" si="27"/>
        <v>-1.1143026941363007E-2</v>
      </c>
    </row>
    <row r="1775" spans="1:8" ht="13.5" x14ac:dyDescent="0.25">
      <c r="A1775" s="1"/>
      <c r="B1775" s="3">
        <v>44887</v>
      </c>
      <c r="C1775" s="4">
        <v>4.45</v>
      </c>
      <c r="D1775" s="4">
        <v>1.9966999999999999</v>
      </c>
      <c r="E1775" s="4">
        <v>59</v>
      </c>
      <c r="F1775" s="4">
        <v>4.45</v>
      </c>
      <c r="G1775" s="4">
        <v>262.55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4.54</v>
      </c>
      <c r="D1776" s="4">
        <v>2.0371000000000001</v>
      </c>
      <c r="E1776" s="4">
        <v>349</v>
      </c>
      <c r="F1776" s="4">
        <v>4.5010000000000003</v>
      </c>
      <c r="G1776" s="4">
        <v>1570.8489999999999</v>
      </c>
      <c r="H1776" s="5">
        <f t="shared" si="27"/>
        <v>2.0233385085391003E-2</v>
      </c>
    </row>
    <row r="1777" spans="1:8" ht="13.5" x14ac:dyDescent="0.25">
      <c r="A1777" s="1"/>
      <c r="B1777" s="3">
        <v>44889</v>
      </c>
      <c r="C1777" s="4">
        <v>4.42</v>
      </c>
      <c r="D1777" s="4">
        <v>1.9833000000000001</v>
      </c>
      <c r="E1777" s="4">
        <v>15</v>
      </c>
      <c r="F1777" s="4">
        <v>4.42</v>
      </c>
      <c r="G1777" s="4">
        <v>66.3</v>
      </c>
      <c r="H1777" s="5">
        <f t="shared" si="27"/>
        <v>-2.6410092778950501E-2</v>
      </c>
    </row>
    <row r="1778" spans="1:8" ht="13.5" x14ac:dyDescent="0.25">
      <c r="A1778" s="1"/>
      <c r="B1778" s="3">
        <v>44890</v>
      </c>
      <c r="C1778" s="4">
        <v>4.42</v>
      </c>
      <c r="D1778" s="4">
        <v>1.9833000000000001</v>
      </c>
      <c r="E1778" s="4">
        <v>41</v>
      </c>
      <c r="F1778" s="4">
        <v>4.42</v>
      </c>
      <c r="G1778" s="4">
        <v>181.22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4.5199999999999996</v>
      </c>
      <c r="D1779" s="4">
        <v>2.0282</v>
      </c>
      <c r="E1779" s="4">
        <v>24284</v>
      </c>
      <c r="F1779" s="4">
        <v>4.4390000000000001</v>
      </c>
      <c r="G1779" s="4">
        <v>107796.67600000001</v>
      </c>
      <c r="H1779" s="5">
        <f t="shared" si="27"/>
        <v>2.2639035950184006E-2</v>
      </c>
    </row>
    <row r="1780" spans="1:8" ht="13.5" x14ac:dyDescent="0.25">
      <c r="A1780" s="1"/>
      <c r="B1780" s="3">
        <v>44894</v>
      </c>
      <c r="C1780" s="4">
        <v>4.6500000000000004</v>
      </c>
      <c r="D1780" s="4">
        <v>2.0865</v>
      </c>
      <c r="E1780" s="4">
        <v>86</v>
      </c>
      <c r="F1780" s="4">
        <v>4.6669999999999998</v>
      </c>
      <c r="G1780" s="4">
        <v>401.36200000000002</v>
      </c>
      <c r="H1780" s="5">
        <f t="shared" si="27"/>
        <v>2.8744699733754077E-2</v>
      </c>
    </row>
    <row r="1781" spans="1:8" ht="13.5" x14ac:dyDescent="0.25">
      <c r="A1781" s="1"/>
      <c r="B1781" s="3">
        <v>44895</v>
      </c>
      <c r="C1781" s="4">
        <v>4.51</v>
      </c>
      <c r="D1781" s="4">
        <v>2.0236999999999998</v>
      </c>
      <c r="E1781" s="4">
        <v>15858</v>
      </c>
      <c r="F1781" s="4">
        <v>4.57</v>
      </c>
      <c r="G1781" s="4">
        <v>72471.06</v>
      </c>
      <c r="H1781" s="5">
        <f t="shared" si="27"/>
        <v>-3.0098250658998411E-2</v>
      </c>
    </row>
    <row r="1782" spans="1:8" ht="13.5" x14ac:dyDescent="0.25">
      <c r="A1782" s="1"/>
      <c r="B1782" s="3">
        <v>44896</v>
      </c>
      <c r="C1782" s="4">
        <v>4.6399999999999997</v>
      </c>
      <c r="D1782" s="4">
        <v>2.0819999999999999</v>
      </c>
      <c r="E1782" s="4">
        <v>1</v>
      </c>
      <c r="F1782" s="4">
        <v>4.6399999999999997</v>
      </c>
      <c r="G1782" s="4">
        <v>4.6399999999999997</v>
      </c>
      <c r="H1782" s="5">
        <f t="shared" si="27"/>
        <v>2.8808617878144004E-2</v>
      </c>
    </row>
    <row r="1783" spans="1:8" ht="13.5" x14ac:dyDescent="0.25">
      <c r="A1783" s="1"/>
      <c r="B1783" s="3">
        <v>44897</v>
      </c>
      <c r="C1783" s="4">
        <v>4.6399999999999997</v>
      </c>
      <c r="D1783" s="4">
        <v>2.0819999999999999</v>
      </c>
      <c r="E1783" s="4">
        <v>5</v>
      </c>
      <c r="F1783" s="4">
        <v>4.6399999999999997</v>
      </c>
      <c r="G1783" s="4">
        <v>23.2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4.5999999999999996</v>
      </c>
      <c r="D1784" s="4">
        <v>2.0640000000000001</v>
      </c>
      <c r="E1784" s="4">
        <v>413</v>
      </c>
      <c r="F1784" s="4">
        <v>4.5999999999999996</v>
      </c>
      <c r="G1784" s="4">
        <v>1899.8</v>
      </c>
      <c r="H1784" s="5">
        <f t="shared" si="27"/>
        <v>-8.6455331412102765E-3</v>
      </c>
    </row>
    <row r="1785" spans="1:8" ht="13.5" x14ac:dyDescent="0.25">
      <c r="A1785" s="1"/>
      <c r="B1785" s="3">
        <v>44901</v>
      </c>
      <c r="C1785" s="4">
        <v>4.7300000000000004</v>
      </c>
      <c r="D1785" s="4">
        <v>2.1223999999999998</v>
      </c>
      <c r="E1785" s="4">
        <v>323</v>
      </c>
      <c r="F1785" s="4">
        <v>4.641</v>
      </c>
      <c r="G1785" s="4">
        <v>1499.0429999999999</v>
      </c>
      <c r="H1785" s="5">
        <f t="shared" si="27"/>
        <v>2.8294573643410748E-2</v>
      </c>
    </row>
    <row r="1786" spans="1:8" ht="13.5" x14ac:dyDescent="0.25">
      <c r="A1786" s="1"/>
      <c r="B1786" s="3">
        <v>44902</v>
      </c>
      <c r="C1786" s="4">
        <v>4.9000000000000004</v>
      </c>
      <c r="D1786" s="4">
        <v>2.1987000000000001</v>
      </c>
      <c r="E1786" s="4">
        <v>1423</v>
      </c>
      <c r="F1786" s="4">
        <v>4.8140000000000001</v>
      </c>
      <c r="G1786" s="4">
        <v>6850.3220000000001</v>
      </c>
      <c r="H1786" s="5">
        <f t="shared" si="27"/>
        <v>3.5949868073878753E-2</v>
      </c>
    </row>
    <row r="1787" spans="1:8" ht="13.5" x14ac:dyDescent="0.25">
      <c r="A1787" s="1"/>
      <c r="B1787" s="3">
        <v>44903</v>
      </c>
      <c r="C1787" s="4">
        <v>4.8</v>
      </c>
      <c r="D1787" s="4">
        <v>2.1537999999999999</v>
      </c>
      <c r="E1787" s="4">
        <v>200</v>
      </c>
      <c r="F1787" s="4">
        <v>4.8</v>
      </c>
      <c r="G1787" s="4">
        <v>960</v>
      </c>
      <c r="H1787" s="5">
        <f t="shared" si="27"/>
        <v>-2.0421157956974648E-2</v>
      </c>
    </row>
    <row r="1788" spans="1:8" ht="13.5" x14ac:dyDescent="0.25">
      <c r="A1788" s="1"/>
      <c r="B1788" s="3">
        <v>44904</v>
      </c>
      <c r="C1788" s="4">
        <v>4.8</v>
      </c>
      <c r="D1788" s="4">
        <v>2.1537999999999999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4.72</v>
      </c>
      <c r="D1789" s="4">
        <v>2.1179000000000001</v>
      </c>
      <c r="E1789" s="4">
        <v>93647</v>
      </c>
      <c r="F1789" s="4">
        <v>4.75</v>
      </c>
      <c r="G1789" s="4">
        <v>444823.25</v>
      </c>
      <c r="H1789" s="5">
        <f t="shared" si="27"/>
        <v>-1.6668214318878178E-2</v>
      </c>
    </row>
    <row r="1790" spans="1:8" ht="13.5" x14ac:dyDescent="0.25">
      <c r="A1790" s="1"/>
      <c r="B1790" s="3">
        <v>44908</v>
      </c>
      <c r="C1790" s="4">
        <v>4.8099999999999996</v>
      </c>
      <c r="D1790" s="4">
        <v>2.1583000000000001</v>
      </c>
      <c r="E1790" s="4">
        <v>10</v>
      </c>
      <c r="F1790" s="4">
        <v>4.8099999999999996</v>
      </c>
      <c r="G1790" s="4">
        <v>48.1</v>
      </c>
      <c r="H1790" s="5">
        <f t="shared" si="27"/>
        <v>1.907549931535955E-2</v>
      </c>
    </row>
    <row r="1791" spans="1:8" ht="13.5" x14ac:dyDescent="0.25">
      <c r="A1791" s="1"/>
      <c r="B1791" s="3">
        <v>44909</v>
      </c>
      <c r="C1791" s="4">
        <v>4.8</v>
      </c>
      <c r="D1791" s="4">
        <v>2.1537999999999999</v>
      </c>
      <c r="E1791" s="4">
        <v>4020</v>
      </c>
      <c r="F1791" s="4">
        <v>4.78</v>
      </c>
      <c r="G1791" s="4">
        <v>19215.599999999999</v>
      </c>
      <c r="H1791" s="5">
        <f t="shared" si="27"/>
        <v>-2.0849742853172267E-3</v>
      </c>
    </row>
    <row r="1792" spans="1:8" ht="13.5" x14ac:dyDescent="0.25">
      <c r="A1792" s="1"/>
      <c r="B1792" s="3">
        <v>44910</v>
      </c>
      <c r="C1792" s="4">
        <v>4.5999999999999996</v>
      </c>
      <c r="D1792" s="4">
        <v>2.0640000000000001</v>
      </c>
      <c r="E1792" s="4">
        <v>840</v>
      </c>
      <c r="F1792" s="4">
        <v>4.63</v>
      </c>
      <c r="G1792" s="4">
        <v>3889.2</v>
      </c>
      <c r="H1792" s="5">
        <f t="shared" si="27"/>
        <v>-4.1693750580369525E-2</v>
      </c>
    </row>
    <row r="1793" spans="1:8" ht="13.5" x14ac:dyDescent="0.25">
      <c r="A1793" s="1"/>
      <c r="B1793" s="3">
        <v>44911</v>
      </c>
      <c r="C1793" s="4">
        <v>4.51</v>
      </c>
      <c r="D1793" s="4">
        <v>2.0236999999999998</v>
      </c>
      <c r="E1793" s="4">
        <v>6359</v>
      </c>
      <c r="F1793" s="4">
        <v>4.5880000000000001</v>
      </c>
      <c r="G1793" s="4">
        <v>29175.092000000001</v>
      </c>
      <c r="H1793" s="5">
        <f t="shared" si="27"/>
        <v>-1.9525193798449719E-2</v>
      </c>
    </row>
    <row r="1794" spans="1:8" ht="13.5" x14ac:dyDescent="0.25">
      <c r="A1794" s="1"/>
      <c r="B1794" s="3">
        <v>44914</v>
      </c>
      <c r="C1794" s="4">
        <v>4.45</v>
      </c>
      <c r="D1794" s="4">
        <v>1.9966999999999999</v>
      </c>
      <c r="E1794" s="4">
        <v>2000</v>
      </c>
      <c r="F1794" s="4">
        <v>4.46</v>
      </c>
      <c r="G1794" s="4">
        <v>8920</v>
      </c>
      <c r="H1794" s="5">
        <f t="shared" si="27"/>
        <v>-1.334189850274246E-2</v>
      </c>
    </row>
    <row r="1795" spans="1:8" ht="13.5" x14ac:dyDescent="0.25">
      <c r="A1795" s="1"/>
      <c r="B1795" s="3">
        <v>44915</v>
      </c>
      <c r="C1795" s="4">
        <v>4.7</v>
      </c>
      <c r="D1795" s="4">
        <v>2.1089000000000002</v>
      </c>
      <c r="E1795" s="4">
        <v>18786</v>
      </c>
      <c r="F1795" s="4">
        <v>4.5830000000000002</v>
      </c>
      <c r="G1795" s="4">
        <v>86096.237999999998</v>
      </c>
      <c r="H1795" s="5">
        <f t="shared" si="27"/>
        <v>5.6192717984674866E-2</v>
      </c>
    </row>
    <row r="1796" spans="1:8" ht="13.5" x14ac:dyDescent="0.25">
      <c r="A1796" s="1"/>
      <c r="B1796" s="3">
        <v>44916</v>
      </c>
      <c r="C1796" s="4">
        <v>4.7</v>
      </c>
      <c r="D1796" s="4">
        <v>2.1089000000000002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4.7</v>
      </c>
      <c r="D1797" s="4">
        <v>2.1089000000000002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4.7</v>
      </c>
      <c r="D1798" s="4">
        <v>2.1089000000000002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4.7</v>
      </c>
      <c r="D1799" s="4">
        <v>2.1089000000000002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4.7</v>
      </c>
      <c r="D1800" s="4">
        <v>2.1089000000000002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4.7</v>
      </c>
      <c r="D1801" s="4">
        <v>2.1089000000000002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4.79</v>
      </c>
      <c r="D1802" s="4">
        <v>2.1493000000000002</v>
      </c>
      <c r="E1802" s="4">
        <v>24100</v>
      </c>
      <c r="F1802" s="4">
        <v>4.7370000000000001</v>
      </c>
      <c r="G1802" s="4">
        <v>114161.7</v>
      </c>
      <c r="H1802" s="5">
        <f t="shared" si="28"/>
        <v>1.9156906444117782E-2</v>
      </c>
    </row>
    <row r="1803" spans="1:8" ht="13.5" x14ac:dyDescent="0.25">
      <c r="A1803" s="1"/>
      <c r="B1803" s="3">
        <v>44925</v>
      </c>
      <c r="C1803" s="4">
        <v>4.75</v>
      </c>
      <c r="D1803" s="4">
        <v>2.1314000000000002</v>
      </c>
      <c r="E1803" s="4">
        <v>200</v>
      </c>
      <c r="F1803" s="4">
        <v>4.75</v>
      </c>
      <c r="G1803" s="4">
        <v>950</v>
      </c>
      <c r="H1803" s="5">
        <f t="shared" si="28"/>
        <v>-8.3282929325827135E-3</v>
      </c>
    </row>
    <row r="1804" spans="1:8" ht="13.5" x14ac:dyDescent="0.25">
      <c r="A1804" s="1"/>
      <c r="B1804" s="3">
        <v>44928</v>
      </c>
      <c r="C1804" s="4">
        <v>4.75</v>
      </c>
      <c r="D1804" s="4">
        <v>2.1314000000000002</v>
      </c>
      <c r="E1804" s="4">
        <v>6500</v>
      </c>
      <c r="F1804" s="4">
        <v>4.75</v>
      </c>
      <c r="G1804" s="4">
        <v>30875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4.6900000000000004</v>
      </c>
      <c r="D1805" s="4">
        <v>2.1044</v>
      </c>
      <c r="E1805" s="4">
        <v>2</v>
      </c>
      <c r="F1805" s="4">
        <v>4.6900000000000004</v>
      </c>
      <c r="G1805" s="4">
        <v>9.3800000000000008</v>
      </c>
      <c r="H1805" s="5">
        <f t="shared" si="28"/>
        <v>-1.2667730130430765E-2</v>
      </c>
    </row>
    <row r="1806" spans="1:8" ht="13.5" x14ac:dyDescent="0.25">
      <c r="A1806" s="1"/>
      <c r="B1806" s="3">
        <v>44930</v>
      </c>
      <c r="C1806" s="4">
        <v>4.6900000000000004</v>
      </c>
      <c r="D1806" s="4">
        <v>2.1044</v>
      </c>
      <c r="E1806" s="4">
        <v>6575</v>
      </c>
      <c r="F1806" s="4">
        <v>4.6900000000000004</v>
      </c>
      <c r="G1806" s="4">
        <v>30836.75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4.5999999999999996</v>
      </c>
      <c r="D1807" s="4">
        <v>2.0640000000000001</v>
      </c>
      <c r="E1807" s="4">
        <v>100</v>
      </c>
      <c r="F1807" s="4">
        <v>4.5999999999999996</v>
      </c>
      <c r="G1807" s="4">
        <v>460</v>
      </c>
      <c r="H1807" s="5">
        <f t="shared" si="28"/>
        <v>-1.9197871127162133E-2</v>
      </c>
    </row>
    <row r="1808" spans="1:8" ht="13.5" x14ac:dyDescent="0.25">
      <c r="A1808" s="1"/>
      <c r="B1808" s="3">
        <v>44932</v>
      </c>
      <c r="C1808" s="4">
        <v>4.5999999999999996</v>
      </c>
      <c r="D1808" s="4">
        <v>2.0640000000000001</v>
      </c>
      <c r="E1808" s="4">
        <v>688</v>
      </c>
      <c r="F1808" s="4">
        <v>4.5380000000000003</v>
      </c>
      <c r="G1808" s="4">
        <v>3122.1439999999998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4.55</v>
      </c>
      <c r="D1809" s="4">
        <v>2.0415999999999999</v>
      </c>
      <c r="E1809" s="4">
        <v>2394</v>
      </c>
      <c r="F1809" s="4">
        <v>4.55</v>
      </c>
      <c r="G1809" s="4">
        <v>10892.7</v>
      </c>
      <c r="H1809" s="5">
        <f t="shared" si="28"/>
        <v>-1.0852713178294669E-2</v>
      </c>
    </row>
    <row r="1810" spans="1:8" ht="13.5" x14ac:dyDescent="0.25">
      <c r="A1810" s="1"/>
      <c r="B1810" s="3">
        <v>44936</v>
      </c>
      <c r="C1810" s="4">
        <v>4.55</v>
      </c>
      <c r="D1810" s="4">
        <v>2.0415999999999999</v>
      </c>
      <c r="E1810" s="4">
        <v>11069</v>
      </c>
      <c r="F1810" s="4">
        <v>4.5490000000000004</v>
      </c>
      <c r="G1810" s="4">
        <v>50352.881000000001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4.6399999999999997</v>
      </c>
      <c r="D1811" s="4">
        <v>2.0819999999999999</v>
      </c>
      <c r="E1811" s="4">
        <v>22091</v>
      </c>
      <c r="F1811" s="4">
        <v>4.609</v>
      </c>
      <c r="G1811" s="4">
        <v>101817.41899999999</v>
      </c>
      <c r="H1811" s="5">
        <f t="shared" si="28"/>
        <v>1.9788401253918491E-2</v>
      </c>
    </row>
    <row r="1812" spans="1:8" ht="13.5" x14ac:dyDescent="0.25">
      <c r="A1812" s="1"/>
      <c r="B1812" s="3">
        <v>44938</v>
      </c>
      <c r="C1812" s="4">
        <v>4.54</v>
      </c>
      <c r="D1812" s="4">
        <v>2.0371000000000001</v>
      </c>
      <c r="E1812" s="4">
        <v>613</v>
      </c>
      <c r="F1812" s="4">
        <v>4.4329999999999998</v>
      </c>
      <c r="G1812" s="4">
        <v>2717.4290000000001</v>
      </c>
      <c r="H1812" s="5">
        <f t="shared" si="28"/>
        <v>-2.1565802113352413E-2</v>
      </c>
    </row>
    <row r="1813" spans="1:8" ht="13.5" x14ac:dyDescent="0.25">
      <c r="A1813" s="1"/>
      <c r="B1813" s="3">
        <v>44939</v>
      </c>
      <c r="C1813" s="4">
        <v>4.5</v>
      </c>
      <c r="D1813" s="4">
        <v>2.0192000000000001</v>
      </c>
      <c r="E1813" s="4">
        <v>14244</v>
      </c>
      <c r="F1813" s="4">
        <v>4.4950000000000001</v>
      </c>
      <c r="G1813" s="4">
        <v>64026.78</v>
      </c>
      <c r="H1813" s="5">
        <f t="shared" si="28"/>
        <v>-8.7870011290560237E-3</v>
      </c>
    </row>
    <row r="1814" spans="1:8" ht="13.5" x14ac:dyDescent="0.25">
      <c r="A1814" s="1"/>
      <c r="B1814" s="3">
        <v>44942</v>
      </c>
      <c r="C1814" s="4">
        <v>4.54</v>
      </c>
      <c r="D1814" s="4">
        <v>2.0371000000000001</v>
      </c>
      <c r="E1814" s="4">
        <v>14295</v>
      </c>
      <c r="F1814" s="4">
        <v>4.5090000000000003</v>
      </c>
      <c r="G1814" s="4">
        <v>64456.154999999999</v>
      </c>
      <c r="H1814" s="5">
        <f t="shared" si="28"/>
        <v>8.8648969889065111E-3</v>
      </c>
    </row>
    <row r="1815" spans="1:8" ht="13.5" x14ac:dyDescent="0.25">
      <c r="A1815" s="1"/>
      <c r="B1815" s="3">
        <v>44943</v>
      </c>
      <c r="C1815" s="4">
        <v>4.41</v>
      </c>
      <c r="D1815" s="4">
        <v>1.9787999999999999</v>
      </c>
      <c r="E1815" s="4">
        <v>420</v>
      </c>
      <c r="F1815" s="4">
        <v>4.4260000000000002</v>
      </c>
      <c r="G1815" s="4">
        <v>1858.92</v>
      </c>
      <c r="H1815" s="5">
        <f t="shared" si="28"/>
        <v>-2.8619115409160196E-2</v>
      </c>
    </row>
    <row r="1816" spans="1:8" ht="13.5" x14ac:dyDescent="0.25">
      <c r="A1816" s="1"/>
      <c r="B1816" s="3">
        <v>44944</v>
      </c>
      <c r="C1816" s="4">
        <v>4.5199999999999996</v>
      </c>
      <c r="D1816" s="4">
        <v>2.0282</v>
      </c>
      <c r="E1816" s="4">
        <v>1337</v>
      </c>
      <c r="F1816" s="4">
        <v>4.4710000000000001</v>
      </c>
      <c r="G1816" s="4">
        <v>5977.7269999999999</v>
      </c>
      <c r="H1816" s="5">
        <f t="shared" si="28"/>
        <v>2.4964625025267896E-2</v>
      </c>
    </row>
    <row r="1817" spans="1:8" ht="13.5" x14ac:dyDescent="0.25">
      <c r="A1817" s="1"/>
      <c r="B1817" s="3">
        <v>44945</v>
      </c>
      <c r="C1817" s="4">
        <v>4.54</v>
      </c>
      <c r="D1817" s="4">
        <v>2.0371000000000001</v>
      </c>
      <c r="E1817" s="4">
        <v>220</v>
      </c>
      <c r="F1817" s="4">
        <v>4.54</v>
      </c>
      <c r="G1817" s="4">
        <v>998.8</v>
      </c>
      <c r="H1817" s="5">
        <f t="shared" si="28"/>
        <v>4.3881274036091759E-3</v>
      </c>
    </row>
    <row r="1818" spans="1:8" ht="13.5" x14ac:dyDescent="0.25">
      <c r="A1818" s="1"/>
      <c r="B1818" s="3">
        <v>44946</v>
      </c>
      <c r="C1818" s="4">
        <v>4.54</v>
      </c>
      <c r="D1818" s="4">
        <v>2.0371000000000001</v>
      </c>
      <c r="E1818" s="4">
        <v>1706</v>
      </c>
      <c r="F1818" s="4">
        <v>4.4930000000000003</v>
      </c>
      <c r="G1818" s="4">
        <v>7665.058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4.5</v>
      </c>
      <c r="D1819" s="4">
        <v>2.0192000000000001</v>
      </c>
      <c r="E1819" s="4">
        <v>100</v>
      </c>
      <c r="F1819" s="4">
        <v>4.5</v>
      </c>
      <c r="G1819" s="4">
        <v>450</v>
      </c>
      <c r="H1819" s="5">
        <f t="shared" si="28"/>
        <v>-8.7870011290560237E-3</v>
      </c>
    </row>
    <row r="1820" spans="1:8" ht="13.5" x14ac:dyDescent="0.25">
      <c r="A1820" s="1"/>
      <c r="B1820" s="3">
        <v>44950</v>
      </c>
      <c r="C1820" s="4">
        <v>4.45</v>
      </c>
      <c r="D1820" s="4">
        <v>1.9966999999999999</v>
      </c>
      <c r="E1820" s="4">
        <v>1675</v>
      </c>
      <c r="F1820" s="4">
        <v>4.4210000000000003</v>
      </c>
      <c r="G1820" s="4">
        <v>7405.1750000000002</v>
      </c>
      <c r="H1820" s="5">
        <f t="shared" si="28"/>
        <v>-1.1143026941363007E-2</v>
      </c>
    </row>
    <row r="1821" spans="1:8" ht="13.5" x14ac:dyDescent="0.25">
      <c r="A1821" s="1"/>
      <c r="B1821" s="3">
        <v>44951</v>
      </c>
      <c r="C1821" s="4">
        <v>4.4000000000000004</v>
      </c>
      <c r="D1821" s="4">
        <v>1.9742999999999999</v>
      </c>
      <c r="E1821" s="4">
        <v>859</v>
      </c>
      <c r="F1821" s="4">
        <v>4.4000000000000004</v>
      </c>
      <c r="G1821" s="4">
        <v>3779.6</v>
      </c>
      <c r="H1821" s="5">
        <f t="shared" si="28"/>
        <v>-1.1218510542394941E-2</v>
      </c>
    </row>
    <row r="1822" spans="1:8" ht="13.5" x14ac:dyDescent="0.25">
      <c r="A1822" s="1"/>
      <c r="B1822" s="3">
        <v>44952</v>
      </c>
      <c r="C1822" s="4">
        <v>4.25</v>
      </c>
      <c r="D1822" s="4">
        <v>1.907</v>
      </c>
      <c r="E1822" s="4">
        <v>539</v>
      </c>
      <c r="F1822" s="4">
        <v>4.2709999999999999</v>
      </c>
      <c r="G1822" s="4">
        <v>2302.069</v>
      </c>
      <c r="H1822" s="5">
        <f t="shared" si="28"/>
        <v>-3.4088031200931936E-2</v>
      </c>
    </row>
    <row r="1823" spans="1:8" ht="13.5" x14ac:dyDescent="0.25">
      <c r="A1823" s="1"/>
      <c r="B1823" s="3">
        <v>44953</v>
      </c>
      <c r="C1823" s="4">
        <v>4.2300000000000004</v>
      </c>
      <c r="D1823" s="4">
        <v>1.8979999999999999</v>
      </c>
      <c r="E1823" s="4">
        <v>450</v>
      </c>
      <c r="F1823" s="4">
        <v>4.2439999999999998</v>
      </c>
      <c r="G1823" s="4">
        <v>1909.8</v>
      </c>
      <c r="H1823" s="5">
        <f t="shared" si="28"/>
        <v>-4.719454640797126E-3</v>
      </c>
    </row>
    <row r="1824" spans="1:8" ht="13.5" x14ac:dyDescent="0.25">
      <c r="A1824" s="1"/>
      <c r="B1824" s="3">
        <v>44956</v>
      </c>
      <c r="C1824" s="4">
        <v>4.4000000000000004</v>
      </c>
      <c r="D1824" s="4">
        <v>1.9742999999999999</v>
      </c>
      <c r="E1824" s="4">
        <v>2098</v>
      </c>
      <c r="F1824" s="4">
        <v>4.07</v>
      </c>
      <c r="G1824" s="4">
        <v>8538.86</v>
      </c>
      <c r="H1824" s="5">
        <f t="shared" si="28"/>
        <v>4.0200210748155975E-2</v>
      </c>
    </row>
    <row r="1825" spans="1:8" ht="13.5" x14ac:dyDescent="0.25">
      <c r="A1825" s="1"/>
      <c r="B1825" s="3">
        <v>44957</v>
      </c>
      <c r="C1825" s="4">
        <v>4.4000000000000004</v>
      </c>
      <c r="D1825" s="4">
        <v>1.9742999999999999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4.4000000000000004</v>
      </c>
      <c r="D1826" s="4">
        <v>1.9742999999999999</v>
      </c>
      <c r="E1826" s="4">
        <v>3</v>
      </c>
      <c r="F1826" s="4">
        <v>4.4000000000000004</v>
      </c>
      <c r="G1826" s="4">
        <v>13.2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4.1500000000000004</v>
      </c>
      <c r="D1827" s="4">
        <v>1.8621000000000001</v>
      </c>
      <c r="E1827" s="4">
        <v>1960</v>
      </c>
      <c r="F1827" s="4">
        <v>4.1559999999999997</v>
      </c>
      <c r="G1827" s="4">
        <v>8145.76</v>
      </c>
      <c r="H1827" s="5">
        <f t="shared" si="28"/>
        <v>-5.6830268956085631E-2</v>
      </c>
    </row>
    <row r="1828" spans="1:8" ht="13.5" x14ac:dyDescent="0.25">
      <c r="A1828" s="1"/>
      <c r="B1828" s="3">
        <v>44960</v>
      </c>
      <c r="C1828" s="4">
        <v>4.0999999999999996</v>
      </c>
      <c r="D1828" s="4">
        <v>1.8396999999999999</v>
      </c>
      <c r="E1828" s="4">
        <v>692</v>
      </c>
      <c r="F1828" s="4">
        <v>4.0999999999999996</v>
      </c>
      <c r="G1828" s="4">
        <v>2837.2</v>
      </c>
      <c r="H1828" s="5">
        <f t="shared" si="28"/>
        <v>-1.2029429139144083E-2</v>
      </c>
    </row>
    <row r="1829" spans="1:8" ht="13.5" x14ac:dyDescent="0.25">
      <c r="A1829" s="1"/>
      <c r="B1829" s="3">
        <v>44963</v>
      </c>
      <c r="C1829" s="4">
        <v>4.0999999999999996</v>
      </c>
      <c r="D1829" s="4">
        <v>1.8396999999999999</v>
      </c>
      <c r="E1829" s="4">
        <v>810</v>
      </c>
      <c r="F1829" s="4">
        <v>4.0199999999999996</v>
      </c>
      <c r="G1829" s="4">
        <v>3256.2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4.0999999999999996</v>
      </c>
      <c r="D1830" s="4">
        <v>1.8396999999999999</v>
      </c>
      <c r="E1830" s="4">
        <v>500</v>
      </c>
      <c r="F1830" s="4">
        <v>4.0999999999999996</v>
      </c>
      <c r="G1830" s="4">
        <v>2050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4.0999999999999996</v>
      </c>
      <c r="D1831" s="4">
        <v>1.8396999999999999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4</v>
      </c>
      <c r="D1832" s="4">
        <v>1.7948</v>
      </c>
      <c r="E1832" s="4">
        <v>3222</v>
      </c>
      <c r="F1832" s="4">
        <v>4</v>
      </c>
      <c r="G1832" s="4">
        <v>12888</v>
      </c>
      <c r="H1832" s="5">
        <f t="shared" si="28"/>
        <v>-2.4406153177148417E-2</v>
      </c>
    </row>
    <row r="1833" spans="1:8" ht="13.5" x14ac:dyDescent="0.25">
      <c r="A1833" s="1"/>
      <c r="B1833" s="3">
        <v>44967</v>
      </c>
      <c r="C1833" s="4">
        <v>4.0999999999999996</v>
      </c>
      <c r="D1833" s="4">
        <v>1.8396999999999999</v>
      </c>
      <c r="E1833" s="4">
        <v>10</v>
      </c>
      <c r="F1833" s="4">
        <v>4.0999999999999996</v>
      </c>
      <c r="G1833" s="4">
        <v>41</v>
      </c>
      <c r="H1833" s="5">
        <f t="shared" si="28"/>
        <v>2.5016714954312427E-2</v>
      </c>
    </row>
    <row r="1834" spans="1:8" ht="13.5" x14ac:dyDescent="0.25">
      <c r="A1834" s="1"/>
      <c r="B1834" s="3">
        <v>44970</v>
      </c>
      <c r="C1834" s="4">
        <v>4.0999999999999996</v>
      </c>
      <c r="D1834" s="4">
        <v>1.8396999999999999</v>
      </c>
      <c r="E1834" s="4">
        <v>101</v>
      </c>
      <c r="F1834" s="4">
        <v>4.0999999999999996</v>
      </c>
      <c r="G1834" s="4">
        <v>414.1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4.0999999999999996</v>
      </c>
      <c r="D1835" s="4">
        <v>1.8396999999999999</v>
      </c>
      <c r="E1835" s="4">
        <v>877</v>
      </c>
      <c r="F1835" s="4">
        <v>4.0110000000000001</v>
      </c>
      <c r="G1835" s="4">
        <v>3517.6469999999999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4.2</v>
      </c>
      <c r="D1836" s="4">
        <v>1.8846000000000001</v>
      </c>
      <c r="E1836" s="4">
        <v>5</v>
      </c>
      <c r="F1836" s="4">
        <v>4.2</v>
      </c>
      <c r="G1836" s="4">
        <v>21</v>
      </c>
      <c r="H1836" s="5">
        <f t="shared" si="28"/>
        <v>2.4406153177148539E-2</v>
      </c>
    </row>
    <row r="1837" spans="1:8" ht="13.5" x14ac:dyDescent="0.25">
      <c r="A1837" s="1"/>
      <c r="B1837" s="3">
        <v>44973</v>
      </c>
      <c r="C1837" s="4">
        <v>4.18</v>
      </c>
      <c r="D1837" s="4">
        <v>1.8755999999999999</v>
      </c>
      <c r="E1837" s="4">
        <v>537</v>
      </c>
      <c r="F1837" s="4">
        <v>4.1669999999999998</v>
      </c>
      <c r="G1837" s="4">
        <v>2237.6790000000001</v>
      </c>
      <c r="H1837" s="5">
        <f t="shared" si="28"/>
        <v>-4.7755491881567008E-3</v>
      </c>
    </row>
    <row r="1838" spans="1:8" ht="13.5" x14ac:dyDescent="0.25">
      <c r="A1838" s="1"/>
      <c r="B1838" s="3">
        <v>44974</v>
      </c>
      <c r="C1838" s="4">
        <v>4.18</v>
      </c>
      <c r="D1838" s="4">
        <v>1.8755999999999999</v>
      </c>
      <c r="E1838" s="4">
        <v>0</v>
      </c>
      <c r="F1838" s="4">
        <v>0</v>
      </c>
      <c r="G1838" s="4">
        <v>0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4.16</v>
      </c>
      <c r="D1839" s="4">
        <v>1.8666</v>
      </c>
      <c r="E1839" s="4">
        <v>3479</v>
      </c>
      <c r="F1839" s="4">
        <v>4.0880000000000001</v>
      </c>
      <c r="G1839" s="4">
        <v>14222.152</v>
      </c>
      <c r="H1839" s="5">
        <f t="shared" si="28"/>
        <v>-4.7984644913627089E-3</v>
      </c>
    </row>
    <row r="1840" spans="1:8" ht="13.5" x14ac:dyDescent="0.25">
      <c r="A1840" s="1"/>
      <c r="B1840" s="3">
        <v>44978</v>
      </c>
      <c r="C1840" s="4">
        <v>4.16</v>
      </c>
      <c r="D1840" s="4">
        <v>1.8666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4.08</v>
      </c>
      <c r="D1841" s="4">
        <v>1.8307</v>
      </c>
      <c r="E1841" s="4">
        <v>7824</v>
      </c>
      <c r="F1841" s="4">
        <v>4.08</v>
      </c>
      <c r="G1841" s="4">
        <v>31921.919999999998</v>
      </c>
      <c r="H1841" s="5">
        <f t="shared" si="28"/>
        <v>-1.9232829743919447E-2</v>
      </c>
    </row>
    <row r="1842" spans="1:8" ht="13.5" x14ac:dyDescent="0.25">
      <c r="A1842" s="1"/>
      <c r="B1842" s="3">
        <v>44980</v>
      </c>
      <c r="C1842" s="4">
        <v>4.2</v>
      </c>
      <c r="D1842" s="4">
        <v>1.8846000000000001</v>
      </c>
      <c r="E1842" s="4">
        <v>202</v>
      </c>
      <c r="F1842" s="4">
        <v>4.1449999999999996</v>
      </c>
      <c r="G1842" s="4">
        <v>837.29</v>
      </c>
      <c r="H1842" s="5">
        <f t="shared" si="28"/>
        <v>2.9442289834489571E-2</v>
      </c>
    </row>
    <row r="1843" spans="1:8" ht="13.5" x14ac:dyDescent="0.25">
      <c r="A1843" s="1"/>
      <c r="B1843" s="3">
        <v>44981</v>
      </c>
      <c r="C1843" s="4">
        <v>4.4000000000000004</v>
      </c>
      <c r="D1843" s="4">
        <v>1.9742999999999999</v>
      </c>
      <c r="E1843" s="4">
        <v>3211</v>
      </c>
      <c r="F1843" s="4">
        <v>4.1550000000000002</v>
      </c>
      <c r="G1843" s="4">
        <v>13341.705</v>
      </c>
      <c r="H1843" s="5">
        <f t="shared" si="28"/>
        <v>4.7596306908627768E-2</v>
      </c>
    </row>
    <row r="1844" spans="1:8" ht="13.5" x14ac:dyDescent="0.25">
      <c r="A1844" s="1"/>
      <c r="B1844" s="3">
        <v>44984</v>
      </c>
      <c r="C1844" s="4">
        <v>4.38</v>
      </c>
      <c r="D1844" s="4">
        <v>1.9653</v>
      </c>
      <c r="E1844" s="4">
        <v>10</v>
      </c>
      <c r="F1844" s="4">
        <v>4.38</v>
      </c>
      <c r="G1844" s="4">
        <v>43.8</v>
      </c>
      <c r="H1844" s="5">
        <f t="shared" si="28"/>
        <v>-4.5585777237501382E-3</v>
      </c>
    </row>
    <row r="1845" spans="1:8" ht="13.5" x14ac:dyDescent="0.25">
      <c r="A1845" s="1"/>
      <c r="B1845" s="3">
        <v>44985</v>
      </c>
      <c r="C1845" s="4">
        <v>4.38</v>
      </c>
      <c r="D1845" s="4">
        <v>1.9653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4.37</v>
      </c>
      <c r="D1846" s="4">
        <v>1.9608000000000001</v>
      </c>
      <c r="E1846" s="4">
        <v>182</v>
      </c>
      <c r="F1846" s="4">
        <v>4.218</v>
      </c>
      <c r="G1846" s="4">
        <v>767.67600000000004</v>
      </c>
      <c r="H1846" s="5">
        <f t="shared" si="28"/>
        <v>-2.289726759273367E-3</v>
      </c>
    </row>
    <row r="1847" spans="1:8" ht="13.5" x14ac:dyDescent="0.25">
      <c r="A1847" s="1"/>
      <c r="B1847" s="3">
        <v>44987</v>
      </c>
      <c r="C1847" s="4">
        <v>4.3499999999999996</v>
      </c>
      <c r="D1847" s="4">
        <v>1.9519</v>
      </c>
      <c r="E1847" s="4">
        <v>755</v>
      </c>
      <c r="F1847" s="4">
        <v>4.1870000000000003</v>
      </c>
      <c r="G1847" s="4">
        <v>3161.1849999999999</v>
      </c>
      <c r="H1847" s="5">
        <f t="shared" si="28"/>
        <v>-4.53896368829056E-3</v>
      </c>
    </row>
    <row r="1848" spans="1:8" ht="13.5" x14ac:dyDescent="0.25">
      <c r="A1848" s="1"/>
      <c r="B1848" s="3">
        <v>44988</v>
      </c>
      <c r="C1848" s="4">
        <v>4.3499999999999996</v>
      </c>
      <c r="D1848" s="4">
        <v>1.9519</v>
      </c>
      <c r="E1848" s="4">
        <v>1034</v>
      </c>
      <c r="F1848" s="4">
        <v>4.29</v>
      </c>
      <c r="G1848" s="4">
        <v>4435.8599999999997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4.33</v>
      </c>
      <c r="D1849" s="4">
        <v>1.9429000000000001</v>
      </c>
      <c r="E1849" s="4">
        <v>800</v>
      </c>
      <c r="F1849" s="4">
        <v>4.3079999999999998</v>
      </c>
      <c r="G1849" s="4">
        <v>3446.4</v>
      </c>
      <c r="H1849" s="5">
        <f t="shared" si="28"/>
        <v>-4.6108919514318853E-3</v>
      </c>
    </row>
    <row r="1850" spans="1:8" ht="13.5" x14ac:dyDescent="0.25">
      <c r="A1850" s="1"/>
      <c r="B1850" s="3">
        <v>44992</v>
      </c>
      <c r="C1850" s="4">
        <v>4.38</v>
      </c>
      <c r="D1850" s="4">
        <v>1.9653</v>
      </c>
      <c r="E1850" s="4">
        <v>1373</v>
      </c>
      <c r="F1850" s="4">
        <v>4.3310000000000004</v>
      </c>
      <c r="G1850" s="4">
        <v>5946.4629999999997</v>
      </c>
      <c r="H1850" s="5">
        <f t="shared" si="28"/>
        <v>1.1529157445056346E-2</v>
      </c>
    </row>
    <row r="1851" spans="1:8" ht="13.5" x14ac:dyDescent="0.25">
      <c r="A1851" s="1"/>
      <c r="B1851" s="3">
        <v>44993</v>
      </c>
      <c r="C1851" s="4">
        <v>4.3499999999999996</v>
      </c>
      <c r="D1851" s="4">
        <v>1.9519</v>
      </c>
      <c r="E1851" s="4">
        <v>3781</v>
      </c>
      <c r="F1851" s="4">
        <v>4.2140000000000004</v>
      </c>
      <c r="G1851" s="4">
        <v>15933.134</v>
      </c>
      <c r="H1851" s="5">
        <f t="shared" si="28"/>
        <v>-6.8182974609474782E-3</v>
      </c>
    </row>
    <row r="1852" spans="1:8" ht="13.5" x14ac:dyDescent="0.25">
      <c r="A1852" s="1"/>
      <c r="B1852" s="3">
        <v>44994</v>
      </c>
      <c r="C1852" s="4">
        <v>4.2</v>
      </c>
      <c r="D1852" s="4">
        <v>1.8846000000000001</v>
      </c>
      <c r="E1852" s="4">
        <v>200</v>
      </c>
      <c r="F1852" s="4">
        <v>4.2</v>
      </c>
      <c r="G1852" s="4">
        <v>840</v>
      </c>
      <c r="H1852" s="5">
        <f t="shared" si="28"/>
        <v>-3.447922537015212E-2</v>
      </c>
    </row>
    <row r="1853" spans="1:8" ht="13.5" x14ac:dyDescent="0.25">
      <c r="A1853" s="1"/>
      <c r="B1853" s="3">
        <v>44995</v>
      </c>
      <c r="C1853" s="4">
        <v>4.2699999999999996</v>
      </c>
      <c r="D1853" s="4">
        <v>1.9159999999999999</v>
      </c>
      <c r="E1853" s="4">
        <v>6900</v>
      </c>
      <c r="F1853" s="4">
        <v>4.2699999999999996</v>
      </c>
      <c r="G1853" s="4">
        <v>29463</v>
      </c>
      <c r="H1853" s="5">
        <f t="shared" si="28"/>
        <v>1.666136050090198E-2</v>
      </c>
    </row>
    <row r="1854" spans="1:8" ht="13.5" x14ac:dyDescent="0.25">
      <c r="A1854" s="1"/>
      <c r="B1854" s="3">
        <v>44998</v>
      </c>
      <c r="C1854" s="4">
        <v>4.2699999999999996</v>
      </c>
      <c r="D1854" s="4">
        <v>1.9159999999999999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4.2699999999999996</v>
      </c>
      <c r="D1855" s="4">
        <v>1.9159999999999999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4.25</v>
      </c>
      <c r="D1856" s="4">
        <v>1.907</v>
      </c>
      <c r="E1856" s="4">
        <v>200</v>
      </c>
      <c r="F1856" s="4">
        <v>4.25</v>
      </c>
      <c r="G1856" s="4">
        <v>850</v>
      </c>
      <c r="H1856" s="5">
        <f t="shared" si="28"/>
        <v>-4.6972860125260429E-3</v>
      </c>
    </row>
    <row r="1857" spans="1:8" ht="13.5" x14ac:dyDescent="0.25">
      <c r="A1857" s="1"/>
      <c r="B1857" s="3">
        <v>45001</v>
      </c>
      <c r="C1857" s="4">
        <v>4.28</v>
      </c>
      <c r="D1857" s="4">
        <v>1.9205000000000001</v>
      </c>
      <c r="E1857" s="4">
        <v>2</v>
      </c>
      <c r="F1857" s="4">
        <v>4.28</v>
      </c>
      <c r="G1857" s="4">
        <v>8.56</v>
      </c>
      <c r="H1857" s="5">
        <f t="shared" si="28"/>
        <v>7.0791819611956304E-3</v>
      </c>
    </row>
    <row r="1858" spans="1:8" ht="13.5" x14ac:dyDescent="0.25">
      <c r="A1858" s="1"/>
      <c r="B1858" s="3">
        <v>45002</v>
      </c>
      <c r="C1858" s="4">
        <v>4.3</v>
      </c>
      <c r="D1858" s="4">
        <v>1.9294</v>
      </c>
      <c r="E1858" s="4">
        <v>36</v>
      </c>
      <c r="F1858" s="4">
        <v>4.3</v>
      </c>
      <c r="G1858" s="4">
        <v>154.80000000000001</v>
      </c>
      <c r="H1858" s="5">
        <f t="shared" si="28"/>
        <v>4.6342098411871428E-3</v>
      </c>
    </row>
    <row r="1859" spans="1:8" ht="13.5" x14ac:dyDescent="0.25">
      <c r="A1859" s="1"/>
      <c r="B1859" s="3">
        <v>45006</v>
      </c>
      <c r="C1859" s="4">
        <v>4.1900000000000004</v>
      </c>
      <c r="D1859" s="4">
        <v>1.8801000000000001</v>
      </c>
      <c r="E1859" s="4">
        <v>1000</v>
      </c>
      <c r="F1859" s="4">
        <v>4.1900000000000004</v>
      </c>
      <c r="G1859" s="4">
        <v>4190</v>
      </c>
      <c r="H1859" s="5">
        <f t="shared" si="28"/>
        <v>-2.5551985073079663E-2</v>
      </c>
    </row>
    <row r="1860" spans="1:8" ht="13.5" x14ac:dyDescent="0.25">
      <c r="A1860" s="1"/>
      <c r="B1860" s="3">
        <v>45007</v>
      </c>
      <c r="C1860" s="4">
        <v>4.18</v>
      </c>
      <c r="D1860" s="4">
        <v>1.8755999999999999</v>
      </c>
      <c r="E1860" s="4">
        <v>1897</v>
      </c>
      <c r="F1860" s="4">
        <v>4.1829999999999998</v>
      </c>
      <c r="G1860" s="4">
        <v>7935.1509999999998</v>
      </c>
      <c r="H1860" s="5">
        <f t="shared" si="28"/>
        <v>-2.3934897079943463E-3</v>
      </c>
    </row>
    <row r="1861" spans="1:8" ht="13.5" x14ac:dyDescent="0.25">
      <c r="A1861" s="1"/>
      <c r="B1861" s="3">
        <v>45008</v>
      </c>
      <c r="C1861" s="4">
        <v>4.18</v>
      </c>
      <c r="D1861" s="4">
        <v>1.8755999999999999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4.25</v>
      </c>
      <c r="D1862" s="4">
        <v>1.907</v>
      </c>
      <c r="E1862" s="4">
        <v>600</v>
      </c>
      <c r="F1862" s="4">
        <v>4.2380000000000004</v>
      </c>
      <c r="G1862" s="4">
        <v>2542.8000000000002</v>
      </c>
      <c r="H1862" s="5">
        <f t="shared" si="28"/>
        <v>1.674130944764347E-2</v>
      </c>
    </row>
    <row r="1863" spans="1:8" ht="13.5" x14ac:dyDescent="0.25">
      <c r="A1863" s="1"/>
      <c r="B1863" s="3">
        <v>45012</v>
      </c>
      <c r="C1863" s="4">
        <v>4.21</v>
      </c>
      <c r="D1863" s="4">
        <v>1.8891</v>
      </c>
      <c r="E1863" s="4">
        <v>1386</v>
      </c>
      <c r="F1863" s="4">
        <v>4.21</v>
      </c>
      <c r="G1863" s="4">
        <v>5835.06</v>
      </c>
      <c r="H1863" s="5">
        <f t="shared" ref="H1863:H1926" si="29">(D1863-D1862)/D1862</f>
        <v>-9.3864708966963951E-3</v>
      </c>
    </row>
    <row r="1864" spans="1:8" ht="13.5" x14ac:dyDescent="0.25">
      <c r="A1864" s="1"/>
      <c r="B1864" s="3">
        <v>45013</v>
      </c>
      <c r="C1864" s="4">
        <v>4.18</v>
      </c>
      <c r="D1864" s="4">
        <v>1.8755999999999999</v>
      </c>
      <c r="E1864" s="4">
        <v>19250</v>
      </c>
      <c r="F1864" s="4">
        <v>4.18</v>
      </c>
      <c r="G1864" s="4">
        <v>80465</v>
      </c>
      <c r="H1864" s="5">
        <f t="shared" si="29"/>
        <v>-7.1462601238685445E-3</v>
      </c>
    </row>
    <row r="1865" spans="1:8" ht="13.5" x14ac:dyDescent="0.25">
      <c r="A1865" s="1"/>
      <c r="B1865" s="3">
        <v>45014</v>
      </c>
      <c r="C1865" s="4">
        <v>4.18</v>
      </c>
      <c r="D1865" s="4">
        <v>1.8755999999999999</v>
      </c>
      <c r="E1865" s="4">
        <v>276</v>
      </c>
      <c r="F1865" s="4">
        <v>4.16</v>
      </c>
      <c r="G1865" s="4">
        <v>1148.1600000000001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4.18</v>
      </c>
      <c r="D1866" s="4">
        <v>1.8755999999999999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4.16</v>
      </c>
      <c r="D1867" s="4">
        <v>1.8666</v>
      </c>
      <c r="E1867" s="4">
        <v>656</v>
      </c>
      <c r="F1867" s="4">
        <v>4.18</v>
      </c>
      <c r="G1867" s="4">
        <v>2742.08</v>
      </c>
      <c r="H1867" s="5">
        <f t="shared" si="29"/>
        <v>-4.7984644913627089E-3</v>
      </c>
    </row>
    <row r="1868" spans="1:8" ht="13.5" x14ac:dyDescent="0.25">
      <c r="A1868" s="1"/>
      <c r="B1868" s="3">
        <v>45019</v>
      </c>
      <c r="C1868" s="4">
        <v>4.16</v>
      </c>
      <c r="D1868" s="4">
        <v>1.8666</v>
      </c>
      <c r="E1868" s="4">
        <v>558</v>
      </c>
      <c r="F1868" s="4">
        <v>4.125</v>
      </c>
      <c r="G1868" s="4">
        <v>2301.75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4.24</v>
      </c>
      <c r="D1869" s="4">
        <v>1.9025000000000001</v>
      </c>
      <c r="E1869" s="4">
        <v>5</v>
      </c>
      <c r="F1869" s="4">
        <v>4.24</v>
      </c>
      <c r="G1869" s="4">
        <v>21.2</v>
      </c>
      <c r="H1869" s="5">
        <f t="shared" si="29"/>
        <v>1.9232829743919447E-2</v>
      </c>
    </row>
    <row r="1870" spans="1:8" ht="13.5" x14ac:dyDescent="0.25">
      <c r="A1870" s="1"/>
      <c r="B1870" s="3">
        <v>45021</v>
      </c>
      <c r="C1870" s="4">
        <v>4.3499999999999996</v>
      </c>
      <c r="D1870" s="4">
        <v>1.9519</v>
      </c>
      <c r="E1870" s="4">
        <v>1243</v>
      </c>
      <c r="F1870" s="4">
        <v>4.3479999999999999</v>
      </c>
      <c r="G1870" s="4">
        <v>5404.5640000000003</v>
      </c>
      <c r="H1870" s="5">
        <f t="shared" si="29"/>
        <v>2.5965834428383645E-2</v>
      </c>
    </row>
    <row r="1871" spans="1:8" ht="13.5" x14ac:dyDescent="0.25">
      <c r="A1871" s="1"/>
      <c r="B1871" s="3">
        <v>45022</v>
      </c>
      <c r="C1871" s="4">
        <v>4.3499999999999996</v>
      </c>
      <c r="D1871" s="4">
        <v>1.9519</v>
      </c>
      <c r="E1871" s="4">
        <v>1493</v>
      </c>
      <c r="F1871" s="4">
        <v>4.3499999999999996</v>
      </c>
      <c r="G1871" s="4">
        <v>6494.55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4.3499999999999996</v>
      </c>
      <c r="D1872" s="4">
        <v>1.9519</v>
      </c>
      <c r="E1872" s="4">
        <v>2665</v>
      </c>
      <c r="F1872" s="4">
        <v>4.3499999999999996</v>
      </c>
      <c r="G1872" s="4">
        <v>11592.75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4.3499999999999996</v>
      </c>
      <c r="D1873" s="4">
        <v>1.9519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4.3499999999999996</v>
      </c>
      <c r="D1874" s="4">
        <v>1.9519</v>
      </c>
      <c r="E1874" s="4">
        <v>900</v>
      </c>
      <c r="F1874" s="4">
        <v>4.3499999999999996</v>
      </c>
      <c r="G1874" s="4">
        <v>3915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4.3499999999999996</v>
      </c>
      <c r="D1875" s="4">
        <v>1.9519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4.1100000000000003</v>
      </c>
      <c r="D1876" s="4">
        <v>1.8442000000000001</v>
      </c>
      <c r="E1876" s="4">
        <v>233</v>
      </c>
      <c r="F1876" s="4">
        <v>4.1100000000000003</v>
      </c>
      <c r="G1876" s="4">
        <v>957.63</v>
      </c>
      <c r="H1876" s="5">
        <f t="shared" si="29"/>
        <v>-5.5177007018802147E-2</v>
      </c>
    </row>
    <row r="1877" spans="1:8" ht="13.5" x14ac:dyDescent="0.25">
      <c r="A1877" s="1"/>
      <c r="B1877" s="3">
        <v>45030</v>
      </c>
      <c r="C1877" s="4">
        <v>4.3</v>
      </c>
      <c r="D1877" s="4">
        <v>1.9294</v>
      </c>
      <c r="E1877" s="4">
        <v>5</v>
      </c>
      <c r="F1877" s="4">
        <v>4.3</v>
      </c>
      <c r="G1877" s="4">
        <v>21.5</v>
      </c>
      <c r="H1877" s="5">
        <f t="shared" si="29"/>
        <v>4.6198893829302645E-2</v>
      </c>
    </row>
    <row r="1878" spans="1:8" ht="13.5" x14ac:dyDescent="0.25">
      <c r="A1878" s="1"/>
      <c r="B1878" s="3">
        <v>45033</v>
      </c>
      <c r="C1878" s="4">
        <v>4.3</v>
      </c>
      <c r="D1878" s="4">
        <v>1.9294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4.3</v>
      </c>
      <c r="D1879" s="4">
        <v>1.9294</v>
      </c>
      <c r="E1879" s="4">
        <v>0</v>
      </c>
      <c r="F1879" s="4">
        <v>0</v>
      </c>
      <c r="G1879" s="4">
        <v>0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4.1500000000000004</v>
      </c>
      <c r="D1880" s="4">
        <v>1.8621000000000001</v>
      </c>
      <c r="E1880" s="4">
        <v>288</v>
      </c>
      <c r="F1880" s="4">
        <v>4.1500000000000004</v>
      </c>
      <c r="G1880" s="4">
        <v>1195.2</v>
      </c>
      <c r="H1880" s="5">
        <f t="shared" si="29"/>
        <v>-3.4881310251891735E-2</v>
      </c>
    </row>
    <row r="1881" spans="1:8" ht="13.5" x14ac:dyDescent="0.25">
      <c r="A1881" s="1"/>
      <c r="B1881" s="3">
        <v>45036</v>
      </c>
      <c r="C1881" s="4">
        <v>4.28</v>
      </c>
      <c r="D1881" s="4">
        <v>1.9205000000000001</v>
      </c>
      <c r="E1881" s="4">
        <v>527</v>
      </c>
      <c r="F1881" s="4">
        <v>4.1500000000000004</v>
      </c>
      <c r="G1881" s="4">
        <v>2187.0500000000002</v>
      </c>
      <c r="H1881" s="5">
        <f t="shared" si="29"/>
        <v>3.1362440255625373E-2</v>
      </c>
    </row>
    <row r="1882" spans="1:8" ht="13.5" x14ac:dyDescent="0.25">
      <c r="A1882" s="1"/>
      <c r="B1882" s="3">
        <v>45040</v>
      </c>
      <c r="C1882" s="4">
        <v>4.1500000000000004</v>
      </c>
      <c r="D1882" s="4">
        <v>1.8621000000000001</v>
      </c>
      <c r="E1882" s="4">
        <v>981</v>
      </c>
      <c r="F1882" s="4">
        <v>4.1379999999999999</v>
      </c>
      <c r="G1882" s="4">
        <v>4059.3780000000002</v>
      </c>
      <c r="H1882" s="5">
        <f t="shared" si="29"/>
        <v>-3.0408747721947411E-2</v>
      </c>
    </row>
    <row r="1883" spans="1:8" ht="13.5" x14ac:dyDescent="0.25">
      <c r="A1883" s="1"/>
      <c r="B1883" s="3">
        <v>45041</v>
      </c>
      <c r="C1883" s="4">
        <v>4.26</v>
      </c>
      <c r="D1883" s="4">
        <v>1.9115</v>
      </c>
      <c r="E1883" s="4">
        <v>330</v>
      </c>
      <c r="F1883" s="4">
        <v>4.1500000000000004</v>
      </c>
      <c r="G1883" s="4">
        <v>1369.5</v>
      </c>
      <c r="H1883" s="5">
        <f t="shared" si="29"/>
        <v>2.652918747650496E-2</v>
      </c>
    </row>
    <row r="1884" spans="1:8" ht="13.5" x14ac:dyDescent="0.25">
      <c r="A1884" s="1"/>
      <c r="B1884" s="3">
        <v>45042</v>
      </c>
      <c r="C1884" s="4">
        <v>4.26</v>
      </c>
      <c r="D1884" s="4">
        <v>1.9115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4.26</v>
      </c>
      <c r="D1885" s="4">
        <v>1.9115</v>
      </c>
      <c r="E1885" s="4">
        <v>250</v>
      </c>
      <c r="F1885" s="4">
        <v>4.26</v>
      </c>
      <c r="G1885" s="4">
        <v>1065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4.28</v>
      </c>
      <c r="D1886" s="4">
        <v>1.9205000000000001</v>
      </c>
      <c r="E1886" s="4">
        <v>207</v>
      </c>
      <c r="F1886" s="4">
        <v>4.1230000000000002</v>
      </c>
      <c r="G1886" s="4">
        <v>853.46100000000001</v>
      </c>
      <c r="H1886" s="5">
        <f t="shared" si="29"/>
        <v>4.7083442322783777E-3</v>
      </c>
    </row>
    <row r="1887" spans="1:8" ht="13.5" x14ac:dyDescent="0.25">
      <c r="A1887" s="1"/>
      <c r="B1887" s="3">
        <v>45048</v>
      </c>
      <c r="C1887" s="4">
        <v>4.12</v>
      </c>
      <c r="D1887" s="4">
        <v>1.8487</v>
      </c>
      <c r="E1887" s="4">
        <v>562</v>
      </c>
      <c r="F1887" s="4">
        <v>4.12</v>
      </c>
      <c r="G1887" s="4">
        <v>2315.44</v>
      </c>
      <c r="H1887" s="5">
        <f t="shared" si="29"/>
        <v>-3.7386097370476483E-2</v>
      </c>
    </row>
    <row r="1888" spans="1:8" ht="13.5" x14ac:dyDescent="0.25">
      <c r="A1888" s="1"/>
      <c r="B1888" s="3">
        <v>45049</v>
      </c>
      <c r="C1888" s="4">
        <v>4.28</v>
      </c>
      <c r="D1888" s="4">
        <v>1.9205000000000001</v>
      </c>
      <c r="E1888" s="4">
        <v>1</v>
      </c>
      <c r="F1888" s="4">
        <v>4.28</v>
      </c>
      <c r="G1888" s="4">
        <v>4.28</v>
      </c>
      <c r="H1888" s="5">
        <f t="shared" si="29"/>
        <v>3.8838102450370574E-2</v>
      </c>
    </row>
    <row r="1889" spans="1:8" ht="13.5" x14ac:dyDescent="0.25">
      <c r="A1889" s="1"/>
      <c r="B1889" s="3">
        <v>45050</v>
      </c>
      <c r="C1889" s="4">
        <v>4.25</v>
      </c>
      <c r="D1889" s="4">
        <v>1.907</v>
      </c>
      <c r="E1889" s="4">
        <v>73</v>
      </c>
      <c r="F1889" s="4">
        <v>4.1760000000000002</v>
      </c>
      <c r="G1889" s="4">
        <v>304.84800000000001</v>
      </c>
      <c r="H1889" s="5">
        <f t="shared" si="29"/>
        <v>-7.0294194220255493E-3</v>
      </c>
    </row>
    <row r="1890" spans="1:8" ht="13.5" x14ac:dyDescent="0.25">
      <c r="A1890" s="1"/>
      <c r="B1890" s="3">
        <v>45051</v>
      </c>
      <c r="C1890" s="4">
        <v>4.25</v>
      </c>
      <c r="D1890" s="4">
        <v>1.907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4.2</v>
      </c>
      <c r="D1891" s="4">
        <v>1.8846000000000001</v>
      </c>
      <c r="E1891" s="4">
        <v>430</v>
      </c>
      <c r="F1891" s="4">
        <v>4.2050000000000001</v>
      </c>
      <c r="G1891" s="4">
        <v>1808.15</v>
      </c>
      <c r="H1891" s="5">
        <f t="shared" si="29"/>
        <v>-1.17461982170949E-2</v>
      </c>
    </row>
    <row r="1892" spans="1:8" ht="13.5" x14ac:dyDescent="0.25">
      <c r="A1892" s="1"/>
      <c r="B1892" s="3">
        <v>45055</v>
      </c>
      <c r="C1892" s="4">
        <v>4.1900000000000004</v>
      </c>
      <c r="D1892" s="4">
        <v>1.8801000000000001</v>
      </c>
      <c r="E1892" s="4">
        <v>1599</v>
      </c>
      <c r="F1892" s="4">
        <v>4.1139999999999999</v>
      </c>
      <c r="G1892" s="4">
        <v>6578.2860000000001</v>
      </c>
      <c r="H1892" s="5">
        <f t="shared" si="29"/>
        <v>-2.3877745940782914E-3</v>
      </c>
    </row>
    <row r="1893" spans="1:8" ht="13.5" x14ac:dyDescent="0.25">
      <c r="A1893" s="1"/>
      <c r="B1893" s="3">
        <v>45056</v>
      </c>
      <c r="C1893" s="4">
        <v>4.1100000000000003</v>
      </c>
      <c r="D1893" s="4">
        <v>1.8442000000000001</v>
      </c>
      <c r="E1893" s="4">
        <v>1383</v>
      </c>
      <c r="F1893" s="4">
        <v>4.1029999999999998</v>
      </c>
      <c r="G1893" s="4">
        <v>5674.4489999999996</v>
      </c>
      <c r="H1893" s="5">
        <f t="shared" si="29"/>
        <v>-1.9094729003776418E-2</v>
      </c>
    </row>
    <row r="1894" spans="1:8" ht="13.5" x14ac:dyDescent="0.25">
      <c r="A1894" s="1"/>
      <c r="B1894" s="3">
        <v>45057</v>
      </c>
      <c r="C1894" s="4">
        <v>4.0999999999999996</v>
      </c>
      <c r="D1894" s="4">
        <v>1.8396999999999999</v>
      </c>
      <c r="E1894" s="4">
        <v>1069</v>
      </c>
      <c r="F1894" s="4">
        <v>4.1079999999999997</v>
      </c>
      <c r="G1894" s="4">
        <v>4391.4520000000002</v>
      </c>
      <c r="H1894" s="5">
        <f t="shared" si="29"/>
        <v>-2.4400824205618537E-3</v>
      </c>
    </row>
    <row r="1895" spans="1:8" ht="13.5" x14ac:dyDescent="0.25">
      <c r="A1895" s="1"/>
      <c r="B1895" s="3">
        <v>45058</v>
      </c>
      <c r="C1895" s="4">
        <v>4.0999999999999996</v>
      </c>
      <c r="D1895" s="4">
        <v>1.8396999999999999</v>
      </c>
      <c r="E1895" s="4">
        <v>13951</v>
      </c>
      <c r="F1895" s="4">
        <v>4.1360000000000001</v>
      </c>
      <c r="G1895" s="4">
        <v>57701.336000000003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4.0999999999999996</v>
      </c>
      <c r="D1896" s="4">
        <v>1.8396999999999999</v>
      </c>
      <c r="E1896" s="4">
        <v>0</v>
      </c>
      <c r="F1896" s="4">
        <v>0</v>
      </c>
      <c r="G1896" s="4">
        <v>0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4.0999999999999996</v>
      </c>
      <c r="D1897" s="4">
        <v>1.8396999999999999</v>
      </c>
      <c r="E1897" s="4">
        <v>0</v>
      </c>
      <c r="F1897" s="4">
        <v>0</v>
      </c>
      <c r="G1897" s="4">
        <v>0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4.0999999999999996</v>
      </c>
      <c r="D1898" s="4">
        <v>1.8396999999999999</v>
      </c>
      <c r="E1898" s="4">
        <v>1874</v>
      </c>
      <c r="F1898" s="4">
        <v>4.0999999999999996</v>
      </c>
      <c r="G1898" s="4">
        <v>7683.4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4.05</v>
      </c>
      <c r="D1899" s="4">
        <v>1.8172999999999999</v>
      </c>
      <c r="E1899" s="4">
        <v>1794</v>
      </c>
      <c r="F1899" s="4">
        <v>4.0759999999999996</v>
      </c>
      <c r="G1899" s="4">
        <v>7312.3440000000001</v>
      </c>
      <c r="H1899" s="5">
        <f t="shared" si="29"/>
        <v>-1.2175898244278945E-2</v>
      </c>
    </row>
    <row r="1900" spans="1:8" ht="13.5" x14ac:dyDescent="0.25">
      <c r="A1900" s="1"/>
      <c r="B1900" s="3">
        <v>45065</v>
      </c>
      <c r="C1900" s="4">
        <v>3.94</v>
      </c>
      <c r="D1900" s="4">
        <v>1.7679</v>
      </c>
      <c r="E1900" s="4">
        <v>5649</v>
      </c>
      <c r="F1900" s="4">
        <v>4.0039999999999996</v>
      </c>
      <c r="G1900" s="4">
        <v>22618.596000000001</v>
      </c>
      <c r="H1900" s="5">
        <f t="shared" si="29"/>
        <v>-2.718318384416436E-2</v>
      </c>
    </row>
    <row r="1901" spans="1:8" ht="13.5" x14ac:dyDescent="0.25">
      <c r="A1901" s="1"/>
      <c r="B1901" s="3">
        <v>45068</v>
      </c>
      <c r="C1901" s="4">
        <v>4.0999999999999996</v>
      </c>
      <c r="D1901" s="4">
        <v>1.8396999999999999</v>
      </c>
      <c r="E1901" s="4">
        <v>1</v>
      </c>
      <c r="F1901" s="4">
        <v>4.0999999999999996</v>
      </c>
      <c r="G1901" s="4">
        <v>4.0999999999999996</v>
      </c>
      <c r="H1901" s="5">
        <f t="shared" si="29"/>
        <v>4.0613156852763087E-2</v>
      </c>
    </row>
    <row r="1902" spans="1:8" ht="13.5" x14ac:dyDescent="0.25">
      <c r="A1902" s="1"/>
      <c r="B1902" s="3">
        <v>45069</v>
      </c>
      <c r="C1902" s="4">
        <v>4.0999999999999996</v>
      </c>
      <c r="D1902" s="4">
        <v>1.8396999999999999</v>
      </c>
      <c r="E1902" s="4">
        <v>744</v>
      </c>
      <c r="F1902" s="4">
        <v>4.0999999999999996</v>
      </c>
      <c r="G1902" s="4">
        <v>3050.4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4.0999999999999996</v>
      </c>
      <c r="D1903" s="4">
        <v>1.8396999999999999</v>
      </c>
      <c r="E1903" s="4">
        <v>96</v>
      </c>
      <c r="F1903" s="4">
        <v>4.0999999999999996</v>
      </c>
      <c r="G1903" s="4">
        <v>393.6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4.0999999999999996</v>
      </c>
      <c r="D1904" s="4">
        <v>1.8396999999999999</v>
      </c>
      <c r="E1904" s="4">
        <v>2568</v>
      </c>
      <c r="F1904" s="4">
        <v>3.95</v>
      </c>
      <c r="G1904" s="4">
        <v>10143.6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4.0999999999999996</v>
      </c>
      <c r="D1905" s="4">
        <v>1.8396999999999999</v>
      </c>
      <c r="E1905" s="4">
        <v>500</v>
      </c>
      <c r="F1905" s="4">
        <v>4.0999999999999996</v>
      </c>
      <c r="G1905" s="4">
        <v>2050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4.05</v>
      </c>
      <c r="D1906" s="4">
        <v>1.8172999999999999</v>
      </c>
      <c r="E1906" s="4">
        <v>756</v>
      </c>
      <c r="F1906" s="4">
        <v>4.0590000000000002</v>
      </c>
      <c r="G1906" s="4">
        <v>3068.6039999999998</v>
      </c>
      <c r="H1906" s="5">
        <f t="shared" si="29"/>
        <v>-1.2175898244278945E-2</v>
      </c>
    </row>
    <row r="1907" spans="1:8" ht="13.5" x14ac:dyDescent="0.25">
      <c r="A1907" s="1"/>
      <c r="B1907" s="3">
        <v>45076</v>
      </c>
      <c r="C1907" s="4">
        <v>4.05</v>
      </c>
      <c r="D1907" s="4">
        <v>1.8172999999999999</v>
      </c>
      <c r="E1907" s="4">
        <v>4019</v>
      </c>
      <c r="F1907" s="4">
        <v>3.984</v>
      </c>
      <c r="G1907" s="4">
        <v>16011.696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3.95</v>
      </c>
      <c r="D1908" s="4">
        <v>1.7724</v>
      </c>
      <c r="E1908" s="4">
        <v>839</v>
      </c>
      <c r="F1908" s="4">
        <v>3.95</v>
      </c>
      <c r="G1908" s="4">
        <v>3314.05</v>
      </c>
      <c r="H1908" s="5">
        <f t="shared" si="29"/>
        <v>-2.4706982886700018E-2</v>
      </c>
    </row>
    <row r="1909" spans="1:8" ht="13.5" x14ac:dyDescent="0.25">
      <c r="A1909" s="1"/>
      <c r="B1909" s="3">
        <v>45078</v>
      </c>
      <c r="C1909" s="4">
        <v>4.18</v>
      </c>
      <c r="D1909" s="4">
        <v>1.8755999999999999</v>
      </c>
      <c r="E1909" s="4">
        <v>4613</v>
      </c>
      <c r="F1909" s="4">
        <v>4.18</v>
      </c>
      <c r="G1909" s="4">
        <v>19282.34</v>
      </c>
      <c r="H1909" s="5">
        <f t="shared" si="29"/>
        <v>5.8226134055517922E-2</v>
      </c>
    </row>
    <row r="1910" spans="1:8" ht="13.5" x14ac:dyDescent="0.25">
      <c r="A1910" s="1"/>
      <c r="B1910" s="3">
        <v>45079</v>
      </c>
      <c r="C1910" s="4">
        <v>4.25</v>
      </c>
      <c r="D1910" s="4">
        <v>1.907</v>
      </c>
      <c r="E1910" s="4">
        <v>23700</v>
      </c>
      <c r="F1910" s="4">
        <v>4.2169999999999996</v>
      </c>
      <c r="G1910" s="4">
        <v>99942.9</v>
      </c>
      <c r="H1910" s="5">
        <f t="shared" si="29"/>
        <v>1.674130944764347E-2</v>
      </c>
    </row>
    <row r="1911" spans="1:8" ht="13.5" x14ac:dyDescent="0.25">
      <c r="A1911" s="1"/>
      <c r="B1911" s="3">
        <v>45082</v>
      </c>
      <c r="C1911" s="4">
        <v>4.25</v>
      </c>
      <c r="D1911" s="4">
        <v>1.907</v>
      </c>
      <c r="E1911" s="4">
        <v>200</v>
      </c>
      <c r="F1911" s="4">
        <v>4.25</v>
      </c>
      <c r="G1911" s="4">
        <v>850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4.18</v>
      </c>
      <c r="D1912" s="4">
        <v>1.8755999999999999</v>
      </c>
      <c r="E1912" s="4">
        <v>848</v>
      </c>
      <c r="F1912" s="4">
        <v>4.18</v>
      </c>
      <c r="G1912" s="4">
        <v>3544.64</v>
      </c>
      <c r="H1912" s="5">
        <f t="shared" si="29"/>
        <v>-1.6465652857892026E-2</v>
      </c>
    </row>
    <row r="1913" spans="1:8" ht="13.5" x14ac:dyDescent="0.25">
      <c r="A1913" s="1"/>
      <c r="B1913" s="3">
        <v>45084</v>
      </c>
      <c r="C1913" s="4">
        <v>4.18</v>
      </c>
      <c r="D1913" s="4">
        <v>1.8755999999999999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4.18</v>
      </c>
      <c r="D1914" s="4">
        <v>1.8755999999999999</v>
      </c>
      <c r="E1914" s="4">
        <v>500</v>
      </c>
      <c r="F1914" s="4">
        <v>4.18</v>
      </c>
      <c r="G1914" s="4">
        <v>2090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4.18</v>
      </c>
      <c r="D1915" s="4">
        <v>1.8755999999999999</v>
      </c>
      <c r="E1915" s="4">
        <v>1000</v>
      </c>
      <c r="F1915" s="4">
        <v>4.18</v>
      </c>
      <c r="G1915" s="4">
        <v>4180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4.18</v>
      </c>
      <c r="D1916" s="4">
        <v>1.8755999999999999</v>
      </c>
      <c r="E1916" s="4">
        <v>400</v>
      </c>
      <c r="F1916" s="4">
        <v>4.18</v>
      </c>
      <c r="G1916" s="4">
        <v>1672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4.18</v>
      </c>
      <c r="D1917" s="4">
        <v>1.8755999999999999</v>
      </c>
      <c r="E1917" s="4">
        <v>1941</v>
      </c>
      <c r="F1917" s="4">
        <v>4.1639999999999997</v>
      </c>
      <c r="G1917" s="4">
        <v>8082.3239999999996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4.18</v>
      </c>
      <c r="D1918" s="4">
        <v>1.8755999999999999</v>
      </c>
      <c r="E1918" s="4">
        <v>1119</v>
      </c>
      <c r="F1918" s="4">
        <v>4.18</v>
      </c>
      <c r="G1918" s="4">
        <v>4677.42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4.18</v>
      </c>
      <c r="D1919" s="4">
        <v>1.8755999999999999</v>
      </c>
      <c r="E1919" s="4">
        <v>3714</v>
      </c>
      <c r="F1919" s="4">
        <v>4.1059999999999999</v>
      </c>
      <c r="G1919" s="4">
        <v>15249.683999999999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4.0999999999999996</v>
      </c>
      <c r="D1920" s="4">
        <v>1.8396999999999999</v>
      </c>
      <c r="E1920" s="4">
        <v>650</v>
      </c>
      <c r="F1920" s="4">
        <v>4.0999999999999996</v>
      </c>
      <c r="G1920" s="4">
        <v>2665</v>
      </c>
      <c r="H1920" s="5">
        <f t="shared" si="29"/>
        <v>-1.9140541693324825E-2</v>
      </c>
    </row>
    <row r="1921" spans="1:8" ht="13.5" x14ac:dyDescent="0.25">
      <c r="A1921" s="1"/>
      <c r="B1921" s="3">
        <v>45096</v>
      </c>
      <c r="C1921" s="4">
        <v>4.05</v>
      </c>
      <c r="D1921" s="4">
        <v>1.8172999999999999</v>
      </c>
      <c r="E1921" s="4">
        <v>590</v>
      </c>
      <c r="F1921" s="4">
        <v>4.0949999999999998</v>
      </c>
      <c r="G1921" s="4">
        <v>2416.0500000000002</v>
      </c>
      <c r="H1921" s="5">
        <f t="shared" si="29"/>
        <v>-1.2175898244278945E-2</v>
      </c>
    </row>
    <row r="1922" spans="1:8" ht="13.5" x14ac:dyDescent="0.25">
      <c r="A1922" s="1"/>
      <c r="B1922" s="3">
        <v>45097</v>
      </c>
      <c r="C1922" s="4">
        <v>4.05</v>
      </c>
      <c r="D1922" s="4">
        <v>1.8172999999999999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4.2699999999999996</v>
      </c>
      <c r="D1923" s="4">
        <v>1.9159999999999999</v>
      </c>
      <c r="E1923" s="4">
        <v>2607</v>
      </c>
      <c r="F1923" s="4">
        <v>4.1749999999999998</v>
      </c>
      <c r="G1923" s="4">
        <v>10884.225</v>
      </c>
      <c r="H1923" s="5">
        <f t="shared" si="29"/>
        <v>5.4311341000385198E-2</v>
      </c>
    </row>
    <row r="1924" spans="1:8" ht="13.5" x14ac:dyDescent="0.25">
      <c r="A1924" s="1"/>
      <c r="B1924" s="3">
        <v>45099</v>
      </c>
      <c r="C1924" s="4">
        <v>4.25</v>
      </c>
      <c r="D1924" s="4">
        <v>1.907</v>
      </c>
      <c r="E1924" s="4">
        <v>569</v>
      </c>
      <c r="F1924" s="4">
        <v>4.2469999999999999</v>
      </c>
      <c r="G1924" s="4">
        <v>2416.5430000000001</v>
      </c>
      <c r="H1924" s="5">
        <f t="shared" si="29"/>
        <v>-4.6972860125260429E-3</v>
      </c>
    </row>
    <row r="1925" spans="1:8" ht="13.5" x14ac:dyDescent="0.25">
      <c r="A1925" s="1"/>
      <c r="B1925" s="3">
        <v>45100</v>
      </c>
      <c r="C1925" s="4">
        <v>4.25</v>
      </c>
      <c r="D1925" s="4">
        <v>1.907</v>
      </c>
      <c r="E1925" s="4">
        <v>0</v>
      </c>
      <c r="F1925" s="4">
        <v>0</v>
      </c>
      <c r="G1925" s="4">
        <v>0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4.25</v>
      </c>
      <c r="D1926" s="4">
        <v>1.907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4.2</v>
      </c>
      <c r="D1927" s="4">
        <v>1.8846000000000001</v>
      </c>
      <c r="E1927" s="4">
        <v>783</v>
      </c>
      <c r="F1927" s="4">
        <v>4.242</v>
      </c>
      <c r="G1927" s="4">
        <v>3321.4859999999999</v>
      </c>
      <c r="H1927" s="5">
        <f t="shared" ref="H1927:H1990" si="30">(D1927-D1926)/D1926</f>
        <v>-1.17461982170949E-2</v>
      </c>
    </row>
    <row r="1928" spans="1:8" ht="13.5" x14ac:dyDescent="0.25">
      <c r="A1928" s="1"/>
      <c r="B1928" s="3">
        <v>45107</v>
      </c>
      <c r="C1928" s="4">
        <v>4.29</v>
      </c>
      <c r="D1928" s="4">
        <v>1.9249000000000001</v>
      </c>
      <c r="E1928" s="4">
        <v>120</v>
      </c>
      <c r="F1928" s="4">
        <v>4.2619999999999996</v>
      </c>
      <c r="G1928" s="4">
        <v>511.44</v>
      </c>
      <c r="H1928" s="5">
        <f t="shared" si="30"/>
        <v>2.1383848031412502E-2</v>
      </c>
    </row>
    <row r="1929" spans="1:8" ht="13.5" x14ac:dyDescent="0.25">
      <c r="A1929" s="1"/>
      <c r="B1929" s="3">
        <v>45110</v>
      </c>
      <c r="C1929" s="4">
        <v>4.29</v>
      </c>
      <c r="D1929" s="4">
        <v>1.9249000000000001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4.28</v>
      </c>
      <c r="D1930" s="4">
        <v>1.9205000000000001</v>
      </c>
      <c r="E1930" s="4">
        <v>2000</v>
      </c>
      <c r="F1930" s="4">
        <v>4.28</v>
      </c>
      <c r="G1930" s="4">
        <v>8560</v>
      </c>
      <c r="H1930" s="5">
        <f t="shared" si="30"/>
        <v>-2.2858330302872668E-3</v>
      </c>
    </row>
    <row r="1931" spans="1:8" ht="13.5" x14ac:dyDescent="0.25">
      <c r="A1931" s="1"/>
      <c r="B1931" s="3">
        <v>45112</v>
      </c>
      <c r="C1931" s="4">
        <v>4.28</v>
      </c>
      <c r="D1931" s="4">
        <v>1.9205000000000001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4.25</v>
      </c>
      <c r="D1932" s="4">
        <v>1.907</v>
      </c>
      <c r="E1932" s="4">
        <v>69</v>
      </c>
      <c r="F1932" s="4">
        <v>4.25</v>
      </c>
      <c r="G1932" s="4">
        <v>293.25</v>
      </c>
      <c r="H1932" s="5">
        <f t="shared" si="30"/>
        <v>-7.0294194220255493E-3</v>
      </c>
    </row>
    <row r="1933" spans="1:8" ht="13.5" x14ac:dyDescent="0.25">
      <c r="A1933" s="1"/>
      <c r="B1933" s="3">
        <v>45114</v>
      </c>
      <c r="C1933" s="4">
        <v>4.25</v>
      </c>
      <c r="D1933" s="4">
        <v>1.907</v>
      </c>
      <c r="E1933" s="4">
        <v>201</v>
      </c>
      <c r="F1933" s="4">
        <v>4.2279999999999998</v>
      </c>
      <c r="G1933" s="4">
        <v>849.82799999999997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4.25</v>
      </c>
      <c r="D1934" s="4">
        <v>1.907</v>
      </c>
      <c r="E1934" s="4">
        <v>117</v>
      </c>
      <c r="F1934" s="4">
        <v>4.25</v>
      </c>
      <c r="G1934" s="4">
        <v>497.25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4.25</v>
      </c>
      <c r="D1935" s="4">
        <v>1.907</v>
      </c>
      <c r="E1935" s="4">
        <v>2165</v>
      </c>
      <c r="F1935" s="4">
        <v>4.2160000000000002</v>
      </c>
      <c r="G1935" s="4">
        <v>9127.64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4.4000000000000004</v>
      </c>
      <c r="D1936" s="4">
        <v>1.9742999999999999</v>
      </c>
      <c r="E1936" s="4">
        <v>6119</v>
      </c>
      <c r="F1936" s="4">
        <v>4.32</v>
      </c>
      <c r="G1936" s="4">
        <v>26434.080000000002</v>
      </c>
      <c r="H1936" s="5">
        <f t="shared" si="30"/>
        <v>3.5291033036182438E-2</v>
      </c>
    </row>
    <row r="1937" spans="1:8" ht="13.5" x14ac:dyDescent="0.25">
      <c r="A1937" s="1"/>
      <c r="B1937" s="3">
        <v>45120</v>
      </c>
      <c r="C1937" s="4">
        <v>4.43</v>
      </c>
      <c r="D1937" s="4">
        <v>2.0964</v>
      </c>
      <c r="E1937" s="4">
        <v>8659</v>
      </c>
      <c r="F1937" s="4">
        <v>4.3959999999999999</v>
      </c>
      <c r="G1937" s="4">
        <v>38064.964</v>
      </c>
      <c r="H1937" s="5">
        <f t="shared" si="30"/>
        <v>6.1844704452210963E-2</v>
      </c>
    </row>
    <row r="1938" spans="1:8" ht="13.5" x14ac:dyDescent="0.25">
      <c r="A1938" s="1"/>
      <c r="B1938" s="3">
        <v>45121</v>
      </c>
      <c r="C1938" s="4">
        <v>4.45</v>
      </c>
      <c r="D1938" s="4">
        <v>2.1057999999999999</v>
      </c>
      <c r="E1938" s="4">
        <v>3099</v>
      </c>
      <c r="F1938" s="4">
        <v>4.4489999999999998</v>
      </c>
      <c r="G1938" s="4">
        <v>13787.450999999999</v>
      </c>
      <c r="H1938" s="5">
        <f t="shared" si="30"/>
        <v>4.4838771226864398E-3</v>
      </c>
    </row>
    <row r="1939" spans="1:8" ht="13.5" x14ac:dyDescent="0.25">
      <c r="A1939" s="1"/>
      <c r="B1939" s="3">
        <v>45124</v>
      </c>
      <c r="C1939" s="4">
        <v>4.55</v>
      </c>
      <c r="D1939" s="4">
        <v>2.1530999999999998</v>
      </c>
      <c r="E1939" s="4">
        <v>28783</v>
      </c>
      <c r="F1939" s="4">
        <v>4.4980000000000002</v>
      </c>
      <c r="G1939" s="4">
        <v>129465.93399999999</v>
      </c>
      <c r="H1939" s="5">
        <f t="shared" si="30"/>
        <v>2.2461772248076693E-2</v>
      </c>
    </row>
    <row r="1940" spans="1:8" ht="13.5" x14ac:dyDescent="0.25">
      <c r="A1940" s="1"/>
      <c r="B1940" s="3">
        <v>45125</v>
      </c>
      <c r="C1940" s="4">
        <v>4.5</v>
      </c>
      <c r="D1940" s="4">
        <v>2.1295000000000002</v>
      </c>
      <c r="E1940" s="4">
        <v>1150</v>
      </c>
      <c r="F1940" s="4">
        <v>4.5</v>
      </c>
      <c r="G1940" s="4">
        <v>5175</v>
      </c>
      <c r="H1940" s="5">
        <f t="shared" si="30"/>
        <v>-1.0960940039942234E-2</v>
      </c>
    </row>
    <row r="1941" spans="1:8" ht="13.5" x14ac:dyDescent="0.25">
      <c r="A1941" s="1"/>
      <c r="B1941" s="3">
        <v>45127</v>
      </c>
      <c r="C1941" s="4">
        <v>4.6500000000000004</v>
      </c>
      <c r="D1941" s="4">
        <v>2.2004999999999999</v>
      </c>
      <c r="E1941" s="4">
        <v>23613</v>
      </c>
      <c r="F1941" s="4">
        <v>4.62</v>
      </c>
      <c r="G1941" s="4">
        <v>109092.06</v>
      </c>
      <c r="H1941" s="5">
        <f t="shared" si="30"/>
        <v>3.3341159896689232E-2</v>
      </c>
    </row>
    <row r="1942" spans="1:8" ht="13.5" x14ac:dyDescent="0.25">
      <c r="A1942" s="1"/>
      <c r="B1942" s="3">
        <v>45128</v>
      </c>
      <c r="C1942" s="4">
        <v>4.5999999999999996</v>
      </c>
      <c r="D1942" s="4">
        <v>2.1768000000000001</v>
      </c>
      <c r="E1942" s="4">
        <v>8405</v>
      </c>
      <c r="F1942" s="4">
        <v>4.6310000000000002</v>
      </c>
      <c r="G1942" s="4">
        <v>38923.555</v>
      </c>
      <c r="H1942" s="5">
        <f t="shared" si="30"/>
        <v>-1.0770279481935848E-2</v>
      </c>
    </row>
    <row r="1943" spans="1:8" ht="13.5" x14ac:dyDescent="0.25">
      <c r="A1943" s="1"/>
      <c r="B1943" s="3">
        <v>45131</v>
      </c>
      <c r="C1943" s="4">
        <v>4.7</v>
      </c>
      <c r="D1943" s="4">
        <v>2.2241</v>
      </c>
      <c r="E1943" s="4">
        <v>21935</v>
      </c>
      <c r="F1943" s="4">
        <v>4.6849999999999996</v>
      </c>
      <c r="G1943" s="4">
        <v>102765.47500000001</v>
      </c>
      <c r="H1943" s="5">
        <f t="shared" si="30"/>
        <v>2.1729143697170109E-2</v>
      </c>
    </row>
    <row r="1944" spans="1:8" ht="13.5" x14ac:dyDescent="0.25">
      <c r="A1944" s="1"/>
      <c r="B1944" s="3">
        <v>45133</v>
      </c>
      <c r="C1944" s="4">
        <v>4.75</v>
      </c>
      <c r="D1944" s="4">
        <v>2.2477999999999998</v>
      </c>
      <c r="E1944" s="4">
        <v>13500</v>
      </c>
      <c r="F1944" s="4">
        <v>4.75</v>
      </c>
      <c r="G1944" s="4">
        <v>64125</v>
      </c>
      <c r="H1944" s="5">
        <f t="shared" si="30"/>
        <v>1.0655995683647243E-2</v>
      </c>
    </row>
    <row r="1945" spans="1:8" ht="13.5" x14ac:dyDescent="0.25">
      <c r="A1945" s="1"/>
      <c r="B1945" s="3">
        <v>45134</v>
      </c>
      <c r="C1945" s="4">
        <v>4.7699999999999996</v>
      </c>
      <c r="D1945" s="4">
        <v>2.2572999999999999</v>
      </c>
      <c r="E1945" s="4">
        <v>7450</v>
      </c>
      <c r="F1945" s="4">
        <v>4.7960000000000003</v>
      </c>
      <c r="G1945" s="4">
        <v>35730.199999999997</v>
      </c>
      <c r="H1945" s="5">
        <f t="shared" si="30"/>
        <v>4.2263546578877416E-3</v>
      </c>
    </row>
    <row r="1946" spans="1:8" ht="13.5" x14ac:dyDescent="0.25">
      <c r="A1946" s="1"/>
      <c r="B1946" s="3">
        <v>45135</v>
      </c>
      <c r="C1946" s="4">
        <v>4.8499999999999996</v>
      </c>
      <c r="D1946" s="4">
        <v>2.2951000000000001</v>
      </c>
      <c r="E1946" s="4">
        <v>2225</v>
      </c>
      <c r="F1946" s="4">
        <v>4.8470000000000004</v>
      </c>
      <c r="G1946" s="4">
        <v>10784.575000000001</v>
      </c>
      <c r="H1946" s="5">
        <f t="shared" si="30"/>
        <v>1.6745669605280768E-2</v>
      </c>
    </row>
    <row r="1947" spans="1:8" ht="13.5" x14ac:dyDescent="0.25">
      <c r="A1947" s="1"/>
      <c r="B1947" s="3">
        <v>45138</v>
      </c>
      <c r="C1947" s="4">
        <v>4.8</v>
      </c>
      <c r="D1947" s="4">
        <v>2.2713999999999999</v>
      </c>
      <c r="E1947" s="4">
        <v>12110</v>
      </c>
      <c r="F1947" s="4">
        <v>4.8380000000000001</v>
      </c>
      <c r="G1947" s="4">
        <v>58588.18</v>
      </c>
      <c r="H1947" s="5">
        <f t="shared" si="30"/>
        <v>-1.0326347435841696E-2</v>
      </c>
    </row>
    <row r="1948" spans="1:8" ht="13.5" x14ac:dyDescent="0.25">
      <c r="A1948" s="1"/>
      <c r="B1948" s="3">
        <v>45139</v>
      </c>
      <c r="C1948" s="4">
        <v>4.8499999999999996</v>
      </c>
      <c r="D1948" s="4">
        <v>2.2951000000000001</v>
      </c>
      <c r="E1948" s="4">
        <v>100</v>
      </c>
      <c r="F1948" s="4">
        <v>4.8499999999999996</v>
      </c>
      <c r="G1948" s="4">
        <v>485</v>
      </c>
      <c r="H1948" s="5">
        <f t="shared" si="30"/>
        <v>1.0434093510610318E-2</v>
      </c>
    </row>
    <row r="1949" spans="1:8" ht="13.5" x14ac:dyDescent="0.25">
      <c r="A1949" s="1"/>
      <c r="B1949" s="3">
        <v>45140</v>
      </c>
      <c r="C1949" s="4">
        <v>4.8499999999999996</v>
      </c>
      <c r="D1949" s="4">
        <v>2.2951000000000001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4.8499999999999996</v>
      </c>
      <c r="D1950" s="4">
        <v>2.2951000000000001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4.8499999999999996</v>
      </c>
      <c r="D1951" s="4">
        <v>2.2951000000000001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4.8499999999999996</v>
      </c>
      <c r="D1952" s="4">
        <v>2.2951000000000001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4.75</v>
      </c>
      <c r="D1953" s="4">
        <v>2.2477999999999998</v>
      </c>
      <c r="E1953" s="4">
        <v>3</v>
      </c>
      <c r="F1953" s="4">
        <v>4.75</v>
      </c>
      <c r="G1953" s="4">
        <v>14.25</v>
      </c>
      <c r="H1953" s="5">
        <f t="shared" si="30"/>
        <v>-2.060912378545612E-2</v>
      </c>
    </row>
    <row r="1954" spans="1:8" ht="13.5" x14ac:dyDescent="0.25">
      <c r="A1954" s="1"/>
      <c r="B1954" s="3">
        <v>45147</v>
      </c>
      <c r="C1954" s="4">
        <v>4.6100000000000003</v>
      </c>
      <c r="D1954" s="4">
        <v>2.1815000000000002</v>
      </c>
      <c r="E1954" s="4">
        <v>11872</v>
      </c>
      <c r="F1954" s="4">
        <v>4.617</v>
      </c>
      <c r="G1954" s="4">
        <v>54813.023999999998</v>
      </c>
      <c r="H1954" s="5">
        <f t="shared" si="30"/>
        <v>-2.9495506717679327E-2</v>
      </c>
    </row>
    <row r="1955" spans="1:8" ht="13.5" x14ac:dyDescent="0.25">
      <c r="A1955" s="1"/>
      <c r="B1955" s="3">
        <v>45148</v>
      </c>
      <c r="C1955" s="4">
        <v>4.6100000000000003</v>
      </c>
      <c r="D1955" s="4">
        <v>2.1815000000000002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4.62</v>
      </c>
      <c r="D1956" s="4">
        <v>2.1863000000000001</v>
      </c>
      <c r="E1956" s="4">
        <v>51</v>
      </c>
      <c r="F1956" s="4">
        <v>4.5220000000000002</v>
      </c>
      <c r="G1956" s="4">
        <v>230.62200000000001</v>
      </c>
      <c r="H1956" s="5">
        <f t="shared" si="30"/>
        <v>2.2003208801283131E-3</v>
      </c>
    </row>
    <row r="1957" spans="1:8" ht="13.5" x14ac:dyDescent="0.25">
      <c r="A1957" s="1"/>
      <c r="B1957" s="3">
        <v>45152</v>
      </c>
      <c r="C1957" s="4">
        <v>4.45</v>
      </c>
      <c r="D1957" s="4">
        <v>2.1057999999999999</v>
      </c>
      <c r="E1957" s="4">
        <v>1500</v>
      </c>
      <c r="F1957" s="4">
        <v>4.45</v>
      </c>
      <c r="G1957" s="4">
        <v>6675</v>
      </c>
      <c r="H1957" s="5">
        <f t="shared" si="30"/>
        <v>-3.6820198508896416E-2</v>
      </c>
    </row>
    <row r="1958" spans="1:8" ht="13.5" x14ac:dyDescent="0.25">
      <c r="A1958" s="1"/>
      <c r="B1958" s="3">
        <v>45153</v>
      </c>
      <c r="C1958" s="4">
        <v>4.45</v>
      </c>
      <c r="D1958" s="4">
        <v>2.1057999999999999</v>
      </c>
      <c r="E1958" s="4">
        <v>1626</v>
      </c>
      <c r="F1958" s="4">
        <v>4.45</v>
      </c>
      <c r="G1958" s="4">
        <v>7235.7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4.45</v>
      </c>
      <c r="D1959" s="4">
        <v>2.1057999999999999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4.45</v>
      </c>
      <c r="D1960" s="4">
        <v>2.1057999999999999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4.45</v>
      </c>
      <c r="D1961" s="4">
        <v>2.1057999999999999</v>
      </c>
      <c r="E1961" s="4">
        <v>135</v>
      </c>
      <c r="F1961" s="4">
        <v>4.407</v>
      </c>
      <c r="G1961" s="4">
        <v>594.94500000000005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4.5</v>
      </c>
      <c r="D1962" s="4">
        <v>2.1295000000000002</v>
      </c>
      <c r="E1962" s="4">
        <v>655</v>
      </c>
      <c r="F1962" s="4">
        <v>4.46</v>
      </c>
      <c r="G1962" s="4">
        <v>2921.3</v>
      </c>
      <c r="H1962" s="5">
        <f t="shared" si="30"/>
        <v>1.1254630069332453E-2</v>
      </c>
    </row>
    <row r="1963" spans="1:8" ht="13.5" x14ac:dyDescent="0.25">
      <c r="A1963" s="1"/>
      <c r="B1963" s="3">
        <v>45160</v>
      </c>
      <c r="C1963" s="4">
        <v>4.5</v>
      </c>
      <c r="D1963" s="4">
        <v>2.1295000000000002</v>
      </c>
      <c r="E1963" s="4">
        <v>33989</v>
      </c>
      <c r="F1963" s="4">
        <v>4.5</v>
      </c>
      <c r="G1963" s="4">
        <v>152950.5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4.6500000000000004</v>
      </c>
      <c r="D1964" s="4">
        <v>2.2004999999999999</v>
      </c>
      <c r="E1964" s="4">
        <v>10900</v>
      </c>
      <c r="F1964" s="4">
        <v>4.6470000000000002</v>
      </c>
      <c r="G1964" s="4">
        <v>50652.3</v>
      </c>
      <c r="H1964" s="5">
        <f t="shared" si="30"/>
        <v>3.3341159896689232E-2</v>
      </c>
    </row>
    <row r="1965" spans="1:8" ht="13.5" x14ac:dyDescent="0.25">
      <c r="A1965" s="1"/>
      <c r="B1965" s="3">
        <v>45162</v>
      </c>
      <c r="C1965" s="4">
        <v>4.6500000000000004</v>
      </c>
      <c r="D1965" s="4">
        <v>2.2004999999999999</v>
      </c>
      <c r="E1965" s="4">
        <v>10</v>
      </c>
      <c r="F1965" s="4">
        <v>4.6500000000000004</v>
      </c>
      <c r="G1965" s="4">
        <v>46.5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4.6500000000000004</v>
      </c>
      <c r="D1966" s="4">
        <v>2.2004999999999999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4.6500000000000004</v>
      </c>
      <c r="D1967" s="4">
        <v>2.2004999999999999</v>
      </c>
      <c r="E1967" s="4">
        <v>50</v>
      </c>
      <c r="F1967" s="4">
        <v>4.6500000000000004</v>
      </c>
      <c r="G1967" s="4">
        <v>232.5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4.5999999999999996</v>
      </c>
      <c r="D1968" s="4">
        <v>2.1768000000000001</v>
      </c>
      <c r="E1968" s="4">
        <v>191</v>
      </c>
      <c r="F1968" s="4">
        <v>4.6159999999999997</v>
      </c>
      <c r="G1968" s="4">
        <v>881.65599999999995</v>
      </c>
      <c r="H1968" s="5">
        <f t="shared" si="30"/>
        <v>-1.0770279481935848E-2</v>
      </c>
    </row>
    <row r="1969" spans="1:8" ht="13.5" x14ac:dyDescent="0.25">
      <c r="A1969" s="1"/>
      <c r="B1969" s="3">
        <v>45168</v>
      </c>
      <c r="C1969" s="4">
        <v>4.5999999999999996</v>
      </c>
      <c r="D1969" s="4">
        <v>2.1768000000000001</v>
      </c>
      <c r="E1969" s="4">
        <v>5663</v>
      </c>
      <c r="F1969" s="4">
        <v>4.5999999999999996</v>
      </c>
      <c r="G1969" s="4">
        <v>26049.8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4.5999999999999996</v>
      </c>
      <c r="D1970" s="4">
        <v>2.1768000000000001</v>
      </c>
      <c r="E1970" s="4">
        <v>363</v>
      </c>
      <c r="F1970" s="4">
        <v>4.6040000000000001</v>
      </c>
      <c r="G1970" s="4">
        <v>1671.252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4.5999999999999996</v>
      </c>
      <c r="D1971" s="4">
        <v>2.1768000000000001</v>
      </c>
      <c r="E1971" s="4">
        <v>718</v>
      </c>
      <c r="F1971" s="4">
        <v>4.5999999999999996</v>
      </c>
      <c r="G1971" s="4">
        <v>3302.8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4.5</v>
      </c>
      <c r="D1972" s="4">
        <v>2.1295000000000002</v>
      </c>
      <c r="E1972" s="4">
        <v>583</v>
      </c>
      <c r="F1972" s="4">
        <v>4.5209999999999999</v>
      </c>
      <c r="G1972" s="4">
        <v>2635.7429999999999</v>
      </c>
      <c r="H1972" s="5">
        <f t="shared" si="30"/>
        <v>-2.1729143697170109E-2</v>
      </c>
    </row>
    <row r="1973" spans="1:8" ht="13.5" x14ac:dyDescent="0.25">
      <c r="A1973" s="1"/>
      <c r="B1973" s="3">
        <v>45174</v>
      </c>
      <c r="C1973" s="4">
        <v>4.3499999999999996</v>
      </c>
      <c r="D1973" s="4">
        <v>2.0585</v>
      </c>
      <c r="E1973" s="4">
        <v>1500</v>
      </c>
      <c r="F1973" s="4">
        <v>4.3730000000000002</v>
      </c>
      <c r="G1973" s="4">
        <v>6559.5</v>
      </c>
      <c r="H1973" s="5">
        <f t="shared" si="30"/>
        <v>-3.334115989668944E-2</v>
      </c>
    </row>
    <row r="1974" spans="1:8" ht="13.5" x14ac:dyDescent="0.25">
      <c r="A1974" s="1"/>
      <c r="B1974" s="3">
        <v>45175</v>
      </c>
      <c r="C1974" s="4">
        <v>4.3499999999999996</v>
      </c>
      <c r="D1974" s="4">
        <v>2.0585</v>
      </c>
      <c r="E1974" s="4">
        <v>3259</v>
      </c>
      <c r="F1974" s="4">
        <v>4.2460000000000004</v>
      </c>
      <c r="G1974" s="4">
        <v>13837.714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4.3499999999999996</v>
      </c>
      <c r="D1975" s="4">
        <v>2.0585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4.4000000000000004</v>
      </c>
      <c r="D1976" s="4">
        <v>2.0821999999999998</v>
      </c>
      <c r="E1976" s="4">
        <v>1062</v>
      </c>
      <c r="F1976" s="4">
        <v>4.3529999999999998</v>
      </c>
      <c r="G1976" s="4">
        <v>4622.8860000000004</v>
      </c>
      <c r="H1976" s="5">
        <f t="shared" si="30"/>
        <v>1.1513237794510484E-2</v>
      </c>
    </row>
    <row r="1977" spans="1:8" ht="13.5" x14ac:dyDescent="0.25">
      <c r="A1977" s="1"/>
      <c r="B1977" s="3">
        <v>45180</v>
      </c>
      <c r="C1977" s="4">
        <v>4.3499999999999996</v>
      </c>
      <c r="D1977" s="4">
        <v>2.0585</v>
      </c>
      <c r="E1977" s="4">
        <v>216</v>
      </c>
      <c r="F1977" s="4">
        <v>4.3499999999999996</v>
      </c>
      <c r="G1977" s="4">
        <v>939.6</v>
      </c>
      <c r="H1977" s="5">
        <f t="shared" si="30"/>
        <v>-1.1382191912400266E-2</v>
      </c>
    </row>
    <row r="1978" spans="1:8" ht="13.5" x14ac:dyDescent="0.25">
      <c r="A1978" s="1"/>
      <c r="B1978" s="3">
        <v>45181</v>
      </c>
      <c r="C1978" s="4">
        <v>4.3</v>
      </c>
      <c r="D1978" s="4">
        <v>2.0348000000000002</v>
      </c>
      <c r="E1978" s="4">
        <v>73</v>
      </c>
      <c r="F1978" s="4">
        <v>4.3</v>
      </c>
      <c r="G1978" s="4">
        <v>313.89999999999998</v>
      </c>
      <c r="H1978" s="5">
        <f t="shared" si="30"/>
        <v>-1.1513237794510484E-2</v>
      </c>
    </row>
    <row r="1979" spans="1:8" ht="13.5" x14ac:dyDescent="0.25">
      <c r="A1979" s="1"/>
      <c r="B1979" s="3">
        <v>45182</v>
      </c>
      <c r="C1979" s="4">
        <v>4.3</v>
      </c>
      <c r="D1979" s="4">
        <v>2.0348000000000002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4.29</v>
      </c>
      <c r="D1980" s="4">
        <v>2.0301</v>
      </c>
      <c r="E1980" s="4">
        <v>2881</v>
      </c>
      <c r="F1980" s="4">
        <v>4.29</v>
      </c>
      <c r="G1980" s="4">
        <v>12359.49</v>
      </c>
      <c r="H1980" s="5">
        <f t="shared" si="30"/>
        <v>-2.309809317869151E-3</v>
      </c>
    </row>
    <row r="1981" spans="1:8" ht="13.5" x14ac:dyDescent="0.25">
      <c r="A1981" s="1"/>
      <c r="B1981" s="3">
        <v>45184</v>
      </c>
      <c r="C1981" s="4">
        <v>4.25</v>
      </c>
      <c r="D1981" s="4">
        <v>2.0112000000000001</v>
      </c>
      <c r="E1981" s="4">
        <v>150</v>
      </c>
      <c r="F1981" s="4">
        <v>4.25</v>
      </c>
      <c r="G1981" s="4">
        <v>637.5</v>
      </c>
      <c r="H1981" s="5">
        <f t="shared" si="30"/>
        <v>-9.3098862125018059E-3</v>
      </c>
    </row>
    <row r="1982" spans="1:8" ht="13.5" x14ac:dyDescent="0.25">
      <c r="A1982" s="1"/>
      <c r="B1982" s="3">
        <v>45187</v>
      </c>
      <c r="C1982" s="4">
        <v>4.25</v>
      </c>
      <c r="D1982" s="4">
        <v>2.0112000000000001</v>
      </c>
      <c r="E1982" s="4">
        <v>250</v>
      </c>
      <c r="F1982" s="4">
        <v>4.25</v>
      </c>
      <c r="G1982" s="4">
        <v>1062.5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4.5</v>
      </c>
      <c r="D1983" s="4">
        <v>2.1295000000000002</v>
      </c>
      <c r="E1983" s="4">
        <v>6801</v>
      </c>
      <c r="F1983" s="4">
        <v>4.25</v>
      </c>
      <c r="G1983" s="4">
        <v>28904.25</v>
      </c>
      <c r="H1983" s="5">
        <f t="shared" si="30"/>
        <v>5.8820604614160735E-2</v>
      </c>
    </row>
    <row r="1984" spans="1:8" ht="13.5" x14ac:dyDescent="0.25">
      <c r="A1984" s="1"/>
      <c r="B1984" s="3">
        <v>45189</v>
      </c>
      <c r="C1984" s="4">
        <v>4.5</v>
      </c>
      <c r="D1984" s="4">
        <v>2.1295000000000002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4.5</v>
      </c>
      <c r="D1985" s="4">
        <v>2.1295000000000002</v>
      </c>
      <c r="E1985" s="4">
        <v>1290</v>
      </c>
      <c r="F1985" s="4">
        <v>4.5</v>
      </c>
      <c r="G1985" s="4">
        <v>5805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4.5</v>
      </c>
      <c r="D1986" s="4">
        <v>2.1295000000000002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4.5</v>
      </c>
      <c r="D1987" s="4">
        <v>2.1295000000000002</v>
      </c>
      <c r="E1987" s="4">
        <v>36</v>
      </c>
      <c r="F1987" s="4">
        <v>4.5</v>
      </c>
      <c r="G1987" s="4">
        <v>162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4.41</v>
      </c>
      <c r="D1988" s="4">
        <v>2.0869</v>
      </c>
      <c r="E1988" s="4">
        <v>3068</v>
      </c>
      <c r="F1988" s="4">
        <v>4.4139999999999997</v>
      </c>
      <c r="G1988" s="4">
        <v>13542.152</v>
      </c>
      <c r="H1988" s="5">
        <f t="shared" si="30"/>
        <v>-2.0004695938013708E-2</v>
      </c>
    </row>
    <row r="1989" spans="1:8" ht="13.5" x14ac:dyDescent="0.25">
      <c r="A1989" s="1"/>
      <c r="B1989" s="3">
        <v>45197</v>
      </c>
      <c r="C1989" s="4">
        <v>4.41</v>
      </c>
      <c r="D1989" s="4">
        <v>2.0869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4.5</v>
      </c>
      <c r="D1990" s="4">
        <v>2.1295000000000002</v>
      </c>
      <c r="E1990" s="4">
        <v>1344</v>
      </c>
      <c r="F1990" s="4">
        <v>4.32</v>
      </c>
      <c r="G1990" s="4">
        <v>5806.08</v>
      </c>
      <c r="H1990" s="5">
        <f t="shared" si="30"/>
        <v>2.0413052853514874E-2</v>
      </c>
    </row>
    <row r="1991" spans="1:8" ht="13.5" x14ac:dyDescent="0.25">
      <c r="A1991" s="1"/>
      <c r="B1991" s="3">
        <v>45201</v>
      </c>
      <c r="C1991" s="4">
        <v>4.7</v>
      </c>
      <c r="D1991" s="4">
        <v>2.2241</v>
      </c>
      <c r="E1991" s="4">
        <v>1</v>
      </c>
      <c r="F1991" s="4">
        <v>4.7</v>
      </c>
      <c r="G1991" s="4">
        <v>4.7</v>
      </c>
      <c r="H1991" s="5">
        <f t="shared" ref="H1991:H2054" si="31">(D1991-D1990)/D1990</f>
        <v>4.4423573608828267E-2</v>
      </c>
    </row>
    <row r="1992" spans="1:8" ht="13.5" x14ac:dyDescent="0.25">
      <c r="A1992" s="1"/>
      <c r="B1992" s="3">
        <v>45202</v>
      </c>
      <c r="C1992" s="4">
        <v>4.5199999999999996</v>
      </c>
      <c r="D1992" s="4">
        <v>2.1389</v>
      </c>
      <c r="E1992" s="4">
        <v>5518</v>
      </c>
      <c r="F1992" s="4">
        <v>4.5279999999999996</v>
      </c>
      <c r="G1992" s="4">
        <v>24985.504000000001</v>
      </c>
      <c r="H1992" s="5">
        <f t="shared" si="31"/>
        <v>-3.8307630052605526E-2</v>
      </c>
    </row>
    <row r="1993" spans="1:8" ht="13.5" x14ac:dyDescent="0.25">
      <c r="A1993" s="1"/>
      <c r="B1993" s="3">
        <v>45203</v>
      </c>
      <c r="C1993" s="4">
        <v>4.6100000000000003</v>
      </c>
      <c r="D1993" s="4">
        <v>2.1815000000000002</v>
      </c>
      <c r="E1993" s="4">
        <v>4932</v>
      </c>
      <c r="F1993" s="4">
        <v>4.5199999999999996</v>
      </c>
      <c r="G1993" s="4">
        <v>22292.639999999999</v>
      </c>
      <c r="H1993" s="5">
        <f t="shared" si="31"/>
        <v>1.9916779653092801E-2</v>
      </c>
    </row>
    <row r="1994" spans="1:8" ht="13.5" x14ac:dyDescent="0.25">
      <c r="A1994" s="1"/>
      <c r="B1994" s="3">
        <v>45204</v>
      </c>
      <c r="C1994" s="4">
        <v>4.6900000000000004</v>
      </c>
      <c r="D1994" s="4">
        <v>2.2193999999999998</v>
      </c>
      <c r="E1994" s="4">
        <v>2</v>
      </c>
      <c r="F1994" s="4">
        <v>4.6900000000000004</v>
      </c>
      <c r="G1994" s="4">
        <v>9.3800000000000008</v>
      </c>
      <c r="H1994" s="5">
        <f t="shared" si="31"/>
        <v>1.7373366949346596E-2</v>
      </c>
    </row>
    <row r="1995" spans="1:8" ht="13.5" x14ac:dyDescent="0.25">
      <c r="A1995" s="1"/>
      <c r="B1995" s="3">
        <v>45205</v>
      </c>
      <c r="C1995" s="4">
        <v>4.5199999999999996</v>
      </c>
      <c r="D1995" s="4">
        <v>2.1389</v>
      </c>
      <c r="E1995" s="4">
        <v>5986</v>
      </c>
      <c r="F1995" s="4">
        <v>4.5170000000000003</v>
      </c>
      <c r="G1995" s="4">
        <v>27038.761999999999</v>
      </c>
      <c r="H1995" s="5">
        <f t="shared" si="31"/>
        <v>-3.6271064251599441E-2</v>
      </c>
    </row>
    <row r="1996" spans="1:8" ht="13.5" x14ac:dyDescent="0.25">
      <c r="A1996" s="1"/>
      <c r="B1996" s="3">
        <v>45208</v>
      </c>
      <c r="C1996" s="4">
        <v>4.5199999999999996</v>
      </c>
      <c r="D1996" s="4">
        <v>2.1389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4.5999999999999996</v>
      </c>
      <c r="D1997" s="4">
        <v>2.1768000000000001</v>
      </c>
      <c r="E1997" s="4">
        <v>763</v>
      </c>
      <c r="F1997" s="4">
        <v>4.5209999999999999</v>
      </c>
      <c r="G1997" s="4">
        <v>3449.5230000000001</v>
      </c>
      <c r="H1997" s="5">
        <f t="shared" si="31"/>
        <v>1.7719388470709262E-2</v>
      </c>
    </row>
    <row r="1998" spans="1:8" ht="13.5" x14ac:dyDescent="0.25">
      <c r="A1998" s="1"/>
      <c r="B1998" s="3">
        <v>45210</v>
      </c>
      <c r="C1998" s="4">
        <v>4.5199999999999996</v>
      </c>
      <c r="D1998" s="4">
        <v>2.1389</v>
      </c>
      <c r="E1998" s="4">
        <v>2930</v>
      </c>
      <c r="F1998" s="4">
        <v>4.5199999999999996</v>
      </c>
      <c r="G1998" s="4">
        <v>13243.6</v>
      </c>
      <c r="H1998" s="5">
        <f t="shared" si="31"/>
        <v>-1.7410878353546509E-2</v>
      </c>
    </row>
    <row r="1999" spans="1:8" ht="13.5" x14ac:dyDescent="0.25">
      <c r="A1999" s="1"/>
      <c r="B1999" s="3">
        <v>45211</v>
      </c>
      <c r="C1999" s="4">
        <v>4.5199999999999996</v>
      </c>
      <c r="D1999" s="4">
        <v>2.1389</v>
      </c>
      <c r="E1999" s="4">
        <v>6367</v>
      </c>
      <c r="F1999" s="4">
        <v>4.5199999999999996</v>
      </c>
      <c r="G1999" s="4">
        <v>28778.84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4.5199999999999996</v>
      </c>
      <c r="D2000" s="4">
        <v>2.1389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4.5199999999999996</v>
      </c>
      <c r="D2001" s="4">
        <v>2.1389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4.5199999999999996</v>
      </c>
      <c r="D2002" s="4">
        <v>2.1389</v>
      </c>
      <c r="E2002" s="4">
        <v>3600</v>
      </c>
      <c r="F2002" s="4">
        <v>4.5199999999999996</v>
      </c>
      <c r="G2002" s="4">
        <v>16272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4.5199999999999996</v>
      </c>
      <c r="D2003" s="4">
        <v>2.1389</v>
      </c>
      <c r="E2003" s="4">
        <v>7233</v>
      </c>
      <c r="F2003" s="4">
        <v>4.5259999999999998</v>
      </c>
      <c r="G2003" s="4">
        <v>32736.558000000001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4.5199999999999996</v>
      </c>
      <c r="D2004" s="4">
        <v>2.1389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4.5199999999999996</v>
      </c>
      <c r="D2005" s="4">
        <v>2.1389</v>
      </c>
      <c r="E2005" s="4">
        <v>500</v>
      </c>
      <c r="F2005" s="4">
        <v>4.5330000000000004</v>
      </c>
      <c r="G2005" s="4">
        <v>2266.5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4.55</v>
      </c>
      <c r="D2006" s="4">
        <v>2.1530999999999998</v>
      </c>
      <c r="E2006" s="4">
        <v>1</v>
      </c>
      <c r="F2006" s="4">
        <v>4.55</v>
      </c>
      <c r="G2006" s="4">
        <v>4.55</v>
      </c>
      <c r="H2006" s="5">
        <f t="shared" si="31"/>
        <v>6.6389265510307955E-3</v>
      </c>
    </row>
    <row r="2007" spans="1:8" ht="13.5" x14ac:dyDescent="0.25">
      <c r="A2007" s="1"/>
      <c r="B2007" s="3">
        <v>45223</v>
      </c>
      <c r="C2007" s="4">
        <v>4.5199999999999996</v>
      </c>
      <c r="D2007" s="4">
        <v>2.1389</v>
      </c>
      <c r="E2007" s="4">
        <v>12263</v>
      </c>
      <c r="F2007" s="4">
        <v>4.5199999999999996</v>
      </c>
      <c r="G2007" s="4">
        <v>55428.76</v>
      </c>
      <c r="H2007" s="5">
        <f t="shared" si="31"/>
        <v>-6.5951418884398171E-3</v>
      </c>
    </row>
    <row r="2008" spans="1:8" ht="13.5" x14ac:dyDescent="0.25">
      <c r="A2008" s="1"/>
      <c r="B2008" s="3">
        <v>45224</v>
      </c>
      <c r="C2008" s="4">
        <v>4.5999999999999996</v>
      </c>
      <c r="D2008" s="4">
        <v>2.1768000000000001</v>
      </c>
      <c r="E2008" s="4">
        <v>2784</v>
      </c>
      <c r="F2008" s="4">
        <v>4.5279999999999996</v>
      </c>
      <c r="G2008" s="4">
        <v>12605.951999999999</v>
      </c>
      <c r="H2008" s="5">
        <f t="shared" si="31"/>
        <v>1.7719388470709262E-2</v>
      </c>
    </row>
    <row r="2009" spans="1:8" ht="13.5" x14ac:dyDescent="0.25">
      <c r="A2009" s="1"/>
      <c r="B2009" s="3">
        <v>45225</v>
      </c>
      <c r="C2009" s="4">
        <v>4.5999999999999996</v>
      </c>
      <c r="D2009" s="4">
        <v>2.1768000000000001</v>
      </c>
      <c r="E2009" s="4">
        <v>7094</v>
      </c>
      <c r="F2009" s="4">
        <v>4.5430000000000001</v>
      </c>
      <c r="G2009" s="4">
        <v>32228.042000000001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4.62</v>
      </c>
      <c r="D2010" s="4">
        <v>2.1863000000000001</v>
      </c>
      <c r="E2010" s="4">
        <v>380</v>
      </c>
      <c r="F2010" s="4">
        <v>4.601</v>
      </c>
      <c r="G2010" s="4">
        <v>1748.38</v>
      </c>
      <c r="H2010" s="5">
        <f t="shared" si="31"/>
        <v>4.3642043366409703E-3</v>
      </c>
    </row>
    <row r="2011" spans="1:8" ht="13.5" x14ac:dyDescent="0.25">
      <c r="A2011" s="1"/>
      <c r="B2011" s="3">
        <v>45229</v>
      </c>
      <c r="C2011" s="4">
        <v>4.55</v>
      </c>
      <c r="D2011" s="4">
        <v>2.1530999999999998</v>
      </c>
      <c r="E2011" s="4">
        <v>1070</v>
      </c>
      <c r="F2011" s="4">
        <v>4.5679999999999996</v>
      </c>
      <c r="G2011" s="4">
        <v>4887.76</v>
      </c>
      <c r="H2011" s="5">
        <f t="shared" si="31"/>
        <v>-1.5185473173855527E-2</v>
      </c>
    </row>
    <row r="2012" spans="1:8" ht="13.5" x14ac:dyDescent="0.25">
      <c r="A2012" s="1"/>
      <c r="B2012" s="3">
        <v>45230</v>
      </c>
      <c r="C2012" s="4">
        <v>4.55</v>
      </c>
      <c r="D2012" s="4">
        <v>2.1530999999999998</v>
      </c>
      <c r="E2012" s="4">
        <v>100</v>
      </c>
      <c r="F2012" s="4">
        <v>4.55</v>
      </c>
      <c r="G2012" s="4">
        <v>455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4.55</v>
      </c>
      <c r="D2013" s="4">
        <v>2.1530999999999998</v>
      </c>
      <c r="E2013" s="4">
        <v>2001</v>
      </c>
      <c r="F2013" s="4">
        <v>4.55</v>
      </c>
      <c r="G2013" s="4">
        <v>9104.5499999999993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4.62</v>
      </c>
      <c r="D2014" s="4">
        <v>2.1863000000000001</v>
      </c>
      <c r="E2014" s="4">
        <v>52</v>
      </c>
      <c r="F2014" s="4">
        <v>4.524</v>
      </c>
      <c r="G2014" s="4">
        <v>235.24799999999999</v>
      </c>
      <c r="H2014" s="5">
        <f t="shared" si="31"/>
        <v>1.5419627513817447E-2</v>
      </c>
    </row>
    <row r="2015" spans="1:8" ht="13.5" x14ac:dyDescent="0.25">
      <c r="A2015" s="1"/>
      <c r="B2015" s="3">
        <v>45233</v>
      </c>
      <c r="C2015" s="4">
        <v>4.6500000000000004</v>
      </c>
      <c r="D2015" s="4">
        <v>2.2004999999999999</v>
      </c>
      <c r="E2015" s="4">
        <v>1</v>
      </c>
      <c r="F2015" s="4">
        <v>4.6500000000000004</v>
      </c>
      <c r="G2015" s="4">
        <v>4.6500000000000004</v>
      </c>
      <c r="H2015" s="5">
        <f t="shared" si="31"/>
        <v>6.4949915382151429E-3</v>
      </c>
    </row>
    <row r="2016" spans="1:8" ht="13.5" x14ac:dyDescent="0.25">
      <c r="A2016" s="1"/>
      <c r="B2016" s="3">
        <v>45236</v>
      </c>
      <c r="C2016" s="4">
        <v>4.59</v>
      </c>
      <c r="D2016" s="4">
        <v>2.1720999999999999</v>
      </c>
      <c r="E2016" s="4">
        <v>3000</v>
      </c>
      <c r="F2016" s="4">
        <v>4.5599999999999996</v>
      </c>
      <c r="G2016" s="4">
        <v>13680</v>
      </c>
      <c r="H2016" s="5">
        <f t="shared" si="31"/>
        <v>-1.2906157691433757E-2</v>
      </c>
    </row>
    <row r="2017" spans="1:8" ht="13.5" x14ac:dyDescent="0.25">
      <c r="A2017" s="1"/>
      <c r="B2017" s="3">
        <v>45237</v>
      </c>
      <c r="C2017" s="4">
        <v>4.59</v>
      </c>
      <c r="D2017" s="4">
        <v>2.1720999999999999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4.6900000000000004</v>
      </c>
      <c r="D2018" s="4">
        <v>2.2193999999999998</v>
      </c>
      <c r="E2018" s="4">
        <v>5665</v>
      </c>
      <c r="F2018" s="4">
        <v>4.6500000000000004</v>
      </c>
      <c r="G2018" s="4">
        <v>26342.25</v>
      </c>
      <c r="H2018" s="5">
        <f t="shared" si="31"/>
        <v>2.1776161318539617E-2</v>
      </c>
    </row>
    <row r="2019" spans="1:8" ht="13.5" x14ac:dyDescent="0.25">
      <c r="A2019" s="1"/>
      <c r="B2019" s="3">
        <v>45239</v>
      </c>
      <c r="C2019" s="4">
        <v>4.6900000000000004</v>
      </c>
      <c r="D2019" s="4">
        <v>2.2193999999999998</v>
      </c>
      <c r="E2019" s="4">
        <v>109</v>
      </c>
      <c r="F2019" s="4">
        <v>4.6900000000000004</v>
      </c>
      <c r="G2019" s="4">
        <v>511.21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4.66</v>
      </c>
      <c r="D2020" s="4">
        <v>2.2052</v>
      </c>
      <c r="E2020" s="4">
        <v>5861</v>
      </c>
      <c r="F2020" s="4">
        <v>4.6550000000000002</v>
      </c>
      <c r="G2020" s="4">
        <v>27282.955000000002</v>
      </c>
      <c r="H2020" s="5">
        <f t="shared" si="31"/>
        <v>-6.3981256195367077E-3</v>
      </c>
    </row>
    <row r="2021" spans="1:8" ht="13.5" x14ac:dyDescent="0.25">
      <c r="A2021" s="1"/>
      <c r="B2021" s="3">
        <v>45243</v>
      </c>
      <c r="C2021" s="4">
        <v>4.7</v>
      </c>
      <c r="D2021" s="4">
        <v>2.2241</v>
      </c>
      <c r="E2021" s="4">
        <v>5402</v>
      </c>
      <c r="F2021" s="4">
        <v>4.6520000000000001</v>
      </c>
      <c r="G2021" s="4">
        <v>25130.103999999999</v>
      </c>
      <c r="H2021" s="5">
        <f t="shared" si="31"/>
        <v>8.5706511881008147E-3</v>
      </c>
    </row>
    <row r="2022" spans="1:8" ht="13.5" x14ac:dyDescent="0.25">
      <c r="A2022" s="1"/>
      <c r="B2022" s="3">
        <v>45244</v>
      </c>
      <c r="C2022" s="4">
        <v>4.7</v>
      </c>
      <c r="D2022" s="4">
        <v>2.2241</v>
      </c>
      <c r="E2022" s="4">
        <v>2474</v>
      </c>
      <c r="F2022" s="4">
        <v>4.7</v>
      </c>
      <c r="G2022" s="4">
        <v>11627.8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4.72</v>
      </c>
      <c r="D2023" s="4">
        <v>2.2336</v>
      </c>
      <c r="E2023" s="4">
        <v>4682</v>
      </c>
      <c r="F2023" s="4">
        <v>4.72</v>
      </c>
      <c r="G2023" s="4">
        <v>22099.040000000001</v>
      </c>
      <c r="H2023" s="5">
        <f t="shared" si="31"/>
        <v>4.2713906748797553E-3</v>
      </c>
    </row>
    <row r="2024" spans="1:8" ht="13.5" x14ac:dyDescent="0.25">
      <c r="A2024" s="1"/>
      <c r="B2024" s="3">
        <v>45246</v>
      </c>
      <c r="C2024" s="4">
        <v>4.8</v>
      </c>
      <c r="D2024" s="4">
        <v>2.2713999999999999</v>
      </c>
      <c r="E2024" s="4">
        <v>15521</v>
      </c>
      <c r="F2024" s="4">
        <v>4.702</v>
      </c>
      <c r="G2024" s="4">
        <v>72979.741999999998</v>
      </c>
      <c r="H2024" s="5">
        <f t="shared" si="31"/>
        <v>1.6923352435530011E-2</v>
      </c>
    </row>
    <row r="2025" spans="1:8" ht="13.5" x14ac:dyDescent="0.25">
      <c r="A2025" s="1"/>
      <c r="B2025" s="3">
        <v>45247</v>
      </c>
      <c r="C2025" s="4">
        <v>4.8</v>
      </c>
      <c r="D2025" s="4">
        <v>2.2713999999999999</v>
      </c>
      <c r="E2025" s="4">
        <v>343</v>
      </c>
      <c r="F2025" s="4">
        <v>4.7990000000000004</v>
      </c>
      <c r="G2025" s="4">
        <v>1646.057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4.8</v>
      </c>
      <c r="D2026" s="4">
        <v>2.2713999999999999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4.8</v>
      </c>
      <c r="D2027" s="4">
        <v>2.2713999999999999</v>
      </c>
      <c r="E2027" s="4">
        <v>2869</v>
      </c>
      <c r="F2027" s="4">
        <v>4.7880000000000003</v>
      </c>
      <c r="G2027" s="4">
        <v>13736.772000000001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4.8</v>
      </c>
      <c r="D2028" s="4">
        <v>2.2713999999999999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4.83</v>
      </c>
      <c r="D2029" s="4">
        <v>2.2856000000000001</v>
      </c>
      <c r="E2029" s="4">
        <v>1000</v>
      </c>
      <c r="F2029" s="4">
        <v>4.8250000000000002</v>
      </c>
      <c r="G2029" s="4">
        <v>4825</v>
      </c>
      <c r="H2029" s="5">
        <f t="shared" si="31"/>
        <v>6.2516509641631652E-3</v>
      </c>
    </row>
    <row r="2030" spans="1:8" ht="13.5" x14ac:dyDescent="0.25">
      <c r="A2030" s="1"/>
      <c r="B2030" s="3">
        <v>45254</v>
      </c>
      <c r="C2030" s="4">
        <v>4.83</v>
      </c>
      <c r="D2030" s="4">
        <v>2.2856000000000001</v>
      </c>
      <c r="E2030" s="4">
        <v>3360</v>
      </c>
      <c r="F2030" s="4">
        <v>4.83</v>
      </c>
      <c r="G2030" s="4">
        <v>16228.8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4.83</v>
      </c>
      <c r="D2031" s="4">
        <v>2.2856000000000001</v>
      </c>
      <c r="E2031" s="4">
        <v>2901</v>
      </c>
      <c r="F2031" s="4">
        <v>4.83</v>
      </c>
      <c r="G2031" s="4">
        <v>14011.83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4.83</v>
      </c>
      <c r="D2032" s="4">
        <v>2.2856000000000001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4.74</v>
      </c>
      <c r="D2033" s="4">
        <v>2.2431000000000001</v>
      </c>
      <c r="E2033" s="4">
        <v>3566</v>
      </c>
      <c r="F2033" s="4">
        <v>4.74</v>
      </c>
      <c r="G2033" s="4">
        <v>16902.84</v>
      </c>
      <c r="H2033" s="5">
        <f t="shared" si="31"/>
        <v>-1.859467973398669E-2</v>
      </c>
    </row>
    <row r="2034" spans="1:8" ht="13.5" x14ac:dyDescent="0.25">
      <c r="A2034" s="1"/>
      <c r="B2034" s="3">
        <v>45260</v>
      </c>
      <c r="C2034" s="4">
        <v>4.8</v>
      </c>
      <c r="D2034" s="4">
        <v>2.2713999999999999</v>
      </c>
      <c r="E2034" s="4">
        <v>677</v>
      </c>
      <c r="F2034" s="4">
        <v>4.75</v>
      </c>
      <c r="G2034" s="4">
        <v>3215.75</v>
      </c>
      <c r="H2034" s="5">
        <f t="shared" si="31"/>
        <v>1.2616468280504556E-2</v>
      </c>
    </row>
    <row r="2035" spans="1:8" ht="13.5" x14ac:dyDescent="0.25">
      <c r="A2035" s="1"/>
      <c r="B2035" s="3">
        <v>45261</v>
      </c>
      <c r="C2035" s="4">
        <v>4.8499999999999996</v>
      </c>
      <c r="D2035" s="4">
        <v>2.2951000000000001</v>
      </c>
      <c r="E2035" s="4">
        <v>660</v>
      </c>
      <c r="F2035" s="4">
        <v>4.806</v>
      </c>
      <c r="G2035" s="4">
        <v>3171.96</v>
      </c>
      <c r="H2035" s="5">
        <f t="shared" si="31"/>
        <v>1.0434093510610318E-2</v>
      </c>
    </row>
    <row r="2036" spans="1:8" ht="13.5" x14ac:dyDescent="0.25">
      <c r="A2036" s="1"/>
      <c r="B2036" s="3">
        <v>45264</v>
      </c>
      <c r="C2036" s="4">
        <v>4.8</v>
      </c>
      <c r="D2036" s="4">
        <v>2.2713999999999999</v>
      </c>
      <c r="E2036" s="4">
        <v>2000</v>
      </c>
      <c r="F2036" s="4">
        <v>4.8</v>
      </c>
      <c r="G2036" s="4">
        <v>9600</v>
      </c>
      <c r="H2036" s="5">
        <f t="shared" si="31"/>
        <v>-1.0326347435841696E-2</v>
      </c>
    </row>
    <row r="2037" spans="1:8" ht="13.5" x14ac:dyDescent="0.25">
      <c r="A2037" s="1"/>
      <c r="B2037" s="3">
        <v>45265</v>
      </c>
      <c r="C2037" s="4">
        <v>4.8</v>
      </c>
      <c r="D2037" s="4">
        <v>2.2713999999999999</v>
      </c>
      <c r="E2037" s="4">
        <v>600</v>
      </c>
      <c r="F2037" s="4">
        <v>4.8</v>
      </c>
      <c r="G2037" s="4">
        <v>2880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4.79</v>
      </c>
      <c r="D2038" s="4">
        <v>2.2667000000000002</v>
      </c>
      <c r="E2038" s="4">
        <v>589</v>
      </c>
      <c r="F2038" s="4">
        <v>4.79</v>
      </c>
      <c r="G2038" s="4">
        <v>2821.31</v>
      </c>
      <c r="H2038" s="5">
        <f t="shared" si="31"/>
        <v>-2.0692084177158163E-3</v>
      </c>
    </row>
    <row r="2039" spans="1:8" ht="13.5" x14ac:dyDescent="0.25">
      <c r="A2039" s="1"/>
      <c r="B2039" s="3">
        <v>45267</v>
      </c>
      <c r="C2039" s="4">
        <v>4.8</v>
      </c>
      <c r="D2039" s="4">
        <v>2.2713999999999999</v>
      </c>
      <c r="E2039" s="4">
        <v>4591</v>
      </c>
      <c r="F2039" s="4">
        <v>4.7910000000000004</v>
      </c>
      <c r="G2039" s="4">
        <v>21995.481</v>
      </c>
      <c r="H2039" s="5">
        <f t="shared" si="31"/>
        <v>2.0734989191334117E-3</v>
      </c>
    </row>
    <row r="2040" spans="1:8" ht="13.5" x14ac:dyDescent="0.25">
      <c r="A2040" s="1"/>
      <c r="B2040" s="3">
        <v>45268</v>
      </c>
      <c r="C2040" s="4">
        <v>4.95</v>
      </c>
      <c r="D2040" s="4">
        <v>2.3424</v>
      </c>
      <c r="E2040" s="4">
        <v>9561</v>
      </c>
      <c r="F2040" s="4">
        <v>4.843</v>
      </c>
      <c r="G2040" s="4">
        <v>46303.923000000003</v>
      </c>
      <c r="H2040" s="5">
        <f t="shared" si="31"/>
        <v>3.1258254820815436E-2</v>
      </c>
    </row>
    <row r="2041" spans="1:8" ht="13.5" x14ac:dyDescent="0.25">
      <c r="A2041" s="1"/>
      <c r="B2041" s="3">
        <v>45271</v>
      </c>
      <c r="C2041" s="4">
        <v>4.95</v>
      </c>
      <c r="D2041" s="4">
        <v>2.3424</v>
      </c>
      <c r="E2041" s="4">
        <v>2543</v>
      </c>
      <c r="F2041" s="4">
        <v>4.8460000000000001</v>
      </c>
      <c r="G2041" s="4">
        <v>12323.378000000001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4.95</v>
      </c>
      <c r="D2042" s="4">
        <v>2.3424</v>
      </c>
      <c r="E2042" s="4">
        <v>10667</v>
      </c>
      <c r="F2042" s="4">
        <v>4.8659999999999997</v>
      </c>
      <c r="G2042" s="4">
        <v>51905.622000000003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4.96</v>
      </c>
      <c r="D2043" s="4">
        <v>2.3472</v>
      </c>
      <c r="E2043" s="4">
        <v>1000</v>
      </c>
      <c r="F2043" s="4">
        <v>4.9560000000000004</v>
      </c>
      <c r="G2043" s="4">
        <v>4956</v>
      </c>
      <c r="H2043" s="5">
        <f t="shared" si="31"/>
        <v>2.0491803278688161E-3</v>
      </c>
    </row>
    <row r="2044" spans="1:8" ht="13.5" x14ac:dyDescent="0.25">
      <c r="A2044" s="1"/>
      <c r="B2044" s="3">
        <v>45274</v>
      </c>
      <c r="C2044" s="4">
        <v>4.9000000000000004</v>
      </c>
      <c r="D2044" s="4">
        <v>2.3188</v>
      </c>
      <c r="E2044" s="4">
        <v>4043</v>
      </c>
      <c r="F2044" s="4">
        <v>4.9000000000000004</v>
      </c>
      <c r="G2044" s="4">
        <v>19810.7</v>
      </c>
      <c r="H2044" s="5">
        <f t="shared" si="31"/>
        <v>-1.2099522835719146E-2</v>
      </c>
    </row>
    <row r="2045" spans="1:8" ht="13.5" x14ac:dyDescent="0.25">
      <c r="A2045" s="1"/>
      <c r="B2045" s="3">
        <v>45275</v>
      </c>
      <c r="C2045" s="4">
        <v>4.9000000000000004</v>
      </c>
      <c r="D2045" s="4">
        <v>2.3188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4.95</v>
      </c>
      <c r="D2046" s="4">
        <v>2.3424</v>
      </c>
      <c r="E2046" s="4">
        <v>6856</v>
      </c>
      <c r="F2046" s="4">
        <v>4.9279999999999999</v>
      </c>
      <c r="G2046" s="4">
        <v>33786.368000000002</v>
      </c>
      <c r="H2046" s="5">
        <f t="shared" si="31"/>
        <v>1.0177678109366942E-2</v>
      </c>
    </row>
    <row r="2047" spans="1:8" ht="13.5" x14ac:dyDescent="0.25">
      <c r="A2047" s="1"/>
      <c r="B2047" s="3">
        <v>45279</v>
      </c>
      <c r="C2047" s="4">
        <v>4.9000000000000004</v>
      </c>
      <c r="D2047" s="4">
        <v>2.3188</v>
      </c>
      <c r="E2047" s="4">
        <v>4975</v>
      </c>
      <c r="F2047" s="4">
        <v>4.9180000000000001</v>
      </c>
      <c r="G2047" s="4">
        <v>24467.05</v>
      </c>
      <c r="H2047" s="5">
        <f t="shared" si="31"/>
        <v>-1.0075136612021886E-2</v>
      </c>
    </row>
    <row r="2048" spans="1:8" ht="13.5" x14ac:dyDescent="0.25">
      <c r="A2048" s="1"/>
      <c r="B2048" s="3">
        <v>45280</v>
      </c>
      <c r="C2048" s="4">
        <v>5.19</v>
      </c>
      <c r="D2048" s="4">
        <v>2.456</v>
      </c>
      <c r="E2048" s="4">
        <v>15696</v>
      </c>
      <c r="F2048" s="4">
        <v>5.19</v>
      </c>
      <c r="G2048" s="4">
        <v>81462.240000000005</v>
      </c>
      <c r="H2048" s="5">
        <f t="shared" si="31"/>
        <v>5.9168535449370362E-2</v>
      </c>
    </row>
    <row r="2049" spans="1:8" ht="13.5" x14ac:dyDescent="0.25">
      <c r="A2049" s="1"/>
      <c r="B2049" s="3">
        <v>45281</v>
      </c>
      <c r="C2049" s="4">
        <v>5.35</v>
      </c>
      <c r="D2049" s="4">
        <v>2.5316999999999998</v>
      </c>
      <c r="E2049" s="4">
        <v>16084</v>
      </c>
      <c r="F2049" s="4">
        <v>5.3239999999999998</v>
      </c>
      <c r="G2049" s="4">
        <v>85631.216</v>
      </c>
      <c r="H2049" s="5">
        <f t="shared" si="31"/>
        <v>3.0822475570032523E-2</v>
      </c>
    </row>
    <row r="2050" spans="1:8" ht="13.5" x14ac:dyDescent="0.25">
      <c r="A2050" s="1"/>
      <c r="B2050" s="3">
        <v>45282</v>
      </c>
      <c r="C2050" s="4">
        <v>5.67</v>
      </c>
      <c r="D2050" s="4">
        <v>2.6831</v>
      </c>
      <c r="E2050" s="4">
        <v>43336</v>
      </c>
      <c r="F2050" s="4">
        <v>5.4569999999999999</v>
      </c>
      <c r="G2050" s="4">
        <v>236484.552</v>
      </c>
      <c r="H2050" s="5">
        <f t="shared" si="31"/>
        <v>5.9801714263143423E-2</v>
      </c>
    </row>
    <row r="2051" spans="1:8" ht="13.5" x14ac:dyDescent="0.25">
      <c r="A2051" s="1"/>
      <c r="B2051" s="3">
        <v>45285</v>
      </c>
      <c r="C2051" s="4">
        <v>5.69</v>
      </c>
      <c r="D2051" s="4">
        <v>2.6926000000000001</v>
      </c>
      <c r="E2051" s="4">
        <v>16662</v>
      </c>
      <c r="F2051" s="4">
        <v>5.6639999999999997</v>
      </c>
      <c r="G2051" s="4">
        <v>94373.567999999999</v>
      </c>
      <c r="H2051" s="5">
        <f t="shared" si="31"/>
        <v>3.5406805560732227E-3</v>
      </c>
    </row>
    <row r="2052" spans="1:8" ht="13.5" x14ac:dyDescent="0.25">
      <c r="A2052" s="1"/>
      <c r="B2052" s="3">
        <v>45286</v>
      </c>
      <c r="C2052" s="4">
        <v>5.67</v>
      </c>
      <c r="D2052" s="4">
        <v>2.6831</v>
      </c>
      <c r="E2052" s="4">
        <v>8930</v>
      </c>
      <c r="F2052" s="4">
        <v>5.6779999999999999</v>
      </c>
      <c r="G2052" s="4">
        <v>50704.54</v>
      </c>
      <c r="H2052" s="5">
        <f t="shared" si="31"/>
        <v>-3.5281883681200564E-3</v>
      </c>
    </row>
    <row r="2053" spans="1:8" ht="13.5" x14ac:dyDescent="0.25">
      <c r="A2053" s="1"/>
      <c r="B2053" s="3">
        <v>45287</v>
      </c>
      <c r="C2053" s="4">
        <v>5.66</v>
      </c>
      <c r="D2053" s="4">
        <v>2.6783999999999999</v>
      </c>
      <c r="E2053" s="4">
        <v>2625</v>
      </c>
      <c r="F2053" s="4">
        <v>5.6710000000000003</v>
      </c>
      <c r="G2053" s="4">
        <v>14886.375</v>
      </c>
      <c r="H2053" s="5">
        <f t="shared" si="31"/>
        <v>-1.7517051172152168E-3</v>
      </c>
    </row>
    <row r="2054" spans="1:8" ht="13.5" x14ac:dyDescent="0.25">
      <c r="A2054" s="1"/>
      <c r="B2054" s="3">
        <v>45288</v>
      </c>
      <c r="C2054" s="4">
        <v>5.7</v>
      </c>
      <c r="D2054" s="4">
        <v>2.6972999999999998</v>
      </c>
      <c r="E2054" s="4">
        <v>11515</v>
      </c>
      <c r="F2054" s="4">
        <v>5.665</v>
      </c>
      <c r="G2054" s="4">
        <v>65232.474999999999</v>
      </c>
      <c r="H2054" s="5">
        <f t="shared" si="31"/>
        <v>7.0564516129031953E-3</v>
      </c>
    </row>
    <row r="2055" spans="1:8" ht="13.5" x14ac:dyDescent="0.25">
      <c r="A2055" s="1"/>
      <c r="B2055" s="3">
        <v>45289</v>
      </c>
      <c r="C2055" s="4">
        <v>5.36</v>
      </c>
      <c r="D2055" s="4">
        <v>2.5365000000000002</v>
      </c>
      <c r="E2055" s="4">
        <v>8799</v>
      </c>
      <c r="F2055" s="4">
        <v>5.7229999999999999</v>
      </c>
      <c r="G2055" s="4">
        <v>50356.677000000003</v>
      </c>
      <c r="H2055" s="5">
        <f t="shared" ref="H2055:H2118" si="32">(D2055-D2054)/D2054</f>
        <v>-5.9615170726281697E-2</v>
      </c>
    </row>
    <row r="2056" spans="1:8" ht="13.5" x14ac:dyDescent="0.25">
      <c r="A2056" s="1"/>
      <c r="B2056" s="3">
        <v>45293</v>
      </c>
      <c r="C2056" s="4">
        <v>5.3</v>
      </c>
      <c r="D2056" s="4">
        <v>2.5081000000000002</v>
      </c>
      <c r="E2056" s="4">
        <v>555</v>
      </c>
      <c r="F2056" s="4">
        <v>5.3</v>
      </c>
      <c r="G2056" s="4">
        <v>2941.5</v>
      </c>
      <c r="H2056" s="5">
        <f t="shared" si="32"/>
        <v>-1.1196530652473873E-2</v>
      </c>
    </row>
    <row r="2057" spans="1:8" ht="13.5" x14ac:dyDescent="0.25">
      <c r="A2057" s="1"/>
      <c r="B2057" s="3">
        <v>45294</v>
      </c>
      <c r="C2057" s="4">
        <v>5.24</v>
      </c>
      <c r="D2057" s="4">
        <v>2.4796999999999998</v>
      </c>
      <c r="E2057" s="4">
        <v>5610</v>
      </c>
      <c r="F2057" s="4">
        <v>5.2530000000000001</v>
      </c>
      <c r="G2057" s="4">
        <v>29469.33</v>
      </c>
      <c r="H2057" s="5">
        <f t="shared" si="32"/>
        <v>-1.1323312467605129E-2</v>
      </c>
    </row>
    <row r="2058" spans="1:8" ht="13.5" x14ac:dyDescent="0.25">
      <c r="A2058" s="1"/>
      <c r="B2058" s="3">
        <v>45295</v>
      </c>
      <c r="C2058" s="4">
        <v>5.14</v>
      </c>
      <c r="D2058" s="4">
        <v>2.4323000000000001</v>
      </c>
      <c r="E2058" s="4">
        <v>7850</v>
      </c>
      <c r="F2058" s="4">
        <v>5.14</v>
      </c>
      <c r="G2058" s="4">
        <v>40349</v>
      </c>
      <c r="H2058" s="5">
        <f t="shared" si="32"/>
        <v>-1.9115215550268044E-2</v>
      </c>
    </row>
    <row r="2059" spans="1:8" ht="13.5" x14ac:dyDescent="0.25">
      <c r="A2059" s="1"/>
      <c r="B2059" s="3">
        <v>45296</v>
      </c>
      <c r="C2059" s="4">
        <v>5.0999999999999996</v>
      </c>
      <c r="D2059" s="4">
        <v>2.4134000000000002</v>
      </c>
      <c r="E2059" s="4">
        <v>1</v>
      </c>
      <c r="F2059" s="4">
        <v>5.0999999999999996</v>
      </c>
      <c r="G2059" s="4">
        <v>5.0999999999999996</v>
      </c>
      <c r="H2059" s="5">
        <f t="shared" si="32"/>
        <v>-7.7704230563663676E-3</v>
      </c>
    </row>
    <row r="2060" spans="1:8" ht="13.5" x14ac:dyDescent="0.25">
      <c r="A2060" s="1"/>
      <c r="B2060" s="3">
        <v>45299</v>
      </c>
      <c r="C2060" s="4">
        <v>4.8499999999999996</v>
      </c>
      <c r="D2060" s="4">
        <v>2.2951000000000001</v>
      </c>
      <c r="E2060" s="4">
        <v>159</v>
      </c>
      <c r="F2060" s="4">
        <v>4.8760000000000003</v>
      </c>
      <c r="G2060" s="4">
        <v>775.28399999999999</v>
      </c>
      <c r="H2060" s="5">
        <f t="shared" si="32"/>
        <v>-4.9017982928648403E-2</v>
      </c>
    </row>
    <row r="2061" spans="1:8" ht="13.5" x14ac:dyDescent="0.25">
      <c r="A2061" s="1"/>
      <c r="B2061" s="3">
        <v>45300</v>
      </c>
      <c r="C2061" s="4">
        <v>4.8</v>
      </c>
      <c r="D2061" s="4">
        <v>2.2713999999999999</v>
      </c>
      <c r="E2061" s="4">
        <v>2293</v>
      </c>
      <c r="F2061" s="4">
        <v>4.8360000000000003</v>
      </c>
      <c r="G2061" s="4">
        <v>11088.948</v>
      </c>
      <c r="H2061" s="5">
        <f t="shared" si="32"/>
        <v>-1.0326347435841696E-2</v>
      </c>
    </row>
    <row r="2062" spans="1:8" ht="13.5" x14ac:dyDescent="0.25">
      <c r="A2062" s="1"/>
      <c r="B2062" s="3">
        <v>45301</v>
      </c>
      <c r="C2062" s="4">
        <v>4.7</v>
      </c>
      <c r="D2062" s="4">
        <v>2.2241</v>
      </c>
      <c r="E2062" s="4">
        <v>805</v>
      </c>
      <c r="F2062" s="4">
        <v>4.7249999999999996</v>
      </c>
      <c r="G2062" s="4">
        <v>3803.625</v>
      </c>
      <c r="H2062" s="5">
        <f t="shared" si="32"/>
        <v>-2.0824161310205116E-2</v>
      </c>
    </row>
    <row r="2063" spans="1:8" ht="13.5" x14ac:dyDescent="0.25">
      <c r="A2063" s="1"/>
      <c r="B2063" s="3">
        <v>45302</v>
      </c>
      <c r="C2063" s="4">
        <v>4.6900000000000004</v>
      </c>
      <c r="D2063" s="4">
        <v>2.2193999999999998</v>
      </c>
      <c r="E2063" s="4">
        <v>222</v>
      </c>
      <c r="F2063" s="4">
        <v>4.6989999999999998</v>
      </c>
      <c r="G2063" s="4">
        <v>1043.1780000000001</v>
      </c>
      <c r="H2063" s="5">
        <f t="shared" si="32"/>
        <v>-2.1132143338879316E-3</v>
      </c>
    </row>
    <row r="2064" spans="1:8" ht="13.5" x14ac:dyDescent="0.25">
      <c r="A2064" s="1"/>
      <c r="B2064" s="3">
        <v>45303</v>
      </c>
      <c r="C2064" s="4">
        <v>4.5999999999999996</v>
      </c>
      <c r="D2064" s="4">
        <v>2.1768000000000001</v>
      </c>
      <c r="E2064" s="4">
        <v>918</v>
      </c>
      <c r="F2064" s="4">
        <v>4.625</v>
      </c>
      <c r="G2064" s="4">
        <v>4245.75</v>
      </c>
      <c r="H2064" s="5">
        <f t="shared" si="32"/>
        <v>-1.9194376858610324E-2</v>
      </c>
    </row>
    <row r="2065" spans="1:8" ht="13.5" x14ac:dyDescent="0.25">
      <c r="A2065" s="1"/>
      <c r="B2065" s="3">
        <v>45306</v>
      </c>
      <c r="C2065" s="4">
        <v>4.5</v>
      </c>
      <c r="D2065" s="4">
        <v>2.1295000000000002</v>
      </c>
      <c r="E2065" s="4">
        <v>1338</v>
      </c>
      <c r="F2065" s="4">
        <v>4.5019999999999998</v>
      </c>
      <c r="G2065" s="4">
        <v>6023.6760000000004</v>
      </c>
      <c r="H2065" s="5">
        <f t="shared" si="32"/>
        <v>-2.1729143697170109E-2</v>
      </c>
    </row>
    <row r="2066" spans="1:8" ht="13.5" x14ac:dyDescent="0.25">
      <c r="A2066" s="1"/>
      <c r="B2066" s="3">
        <v>45307</v>
      </c>
      <c r="C2066" s="4">
        <v>4.5999999999999996</v>
      </c>
      <c r="D2066" s="4">
        <v>2.1768000000000001</v>
      </c>
      <c r="E2066" s="4">
        <v>220</v>
      </c>
      <c r="F2066" s="4">
        <v>4.4130000000000003</v>
      </c>
      <c r="G2066" s="4">
        <v>970.86</v>
      </c>
      <c r="H2066" s="5">
        <f t="shared" si="32"/>
        <v>2.2211786804414133E-2</v>
      </c>
    </row>
    <row r="2067" spans="1:8" ht="13.5" x14ac:dyDescent="0.25">
      <c r="A2067" s="1"/>
      <c r="B2067" s="3">
        <v>45308</v>
      </c>
      <c r="C2067" s="4">
        <v>4.5999999999999996</v>
      </c>
      <c r="D2067" s="4">
        <v>2.1768000000000001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4.51</v>
      </c>
      <c r="D2068" s="4">
        <v>2.1341999999999999</v>
      </c>
      <c r="E2068" s="4">
        <v>30</v>
      </c>
      <c r="F2068" s="4">
        <v>4.51</v>
      </c>
      <c r="G2068" s="4">
        <v>135.30000000000001</v>
      </c>
      <c r="H2068" s="5">
        <f t="shared" si="32"/>
        <v>-1.9570011025358412E-2</v>
      </c>
    </row>
    <row r="2069" spans="1:8" ht="13.5" x14ac:dyDescent="0.25">
      <c r="A2069" s="1"/>
      <c r="B2069" s="3">
        <v>45310</v>
      </c>
      <c r="C2069" s="4">
        <v>4.51</v>
      </c>
      <c r="D2069" s="4">
        <v>2.1341999999999999</v>
      </c>
      <c r="E2069" s="4">
        <v>50</v>
      </c>
      <c r="F2069" s="4">
        <v>4.51</v>
      </c>
      <c r="G2069" s="4">
        <v>225.5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4.4000000000000004</v>
      </c>
      <c r="D2070" s="4">
        <v>2.0821999999999998</v>
      </c>
      <c r="E2070" s="4">
        <v>2613</v>
      </c>
      <c r="F2070" s="4">
        <v>4.4329999999999998</v>
      </c>
      <c r="G2070" s="4">
        <v>11583.429</v>
      </c>
      <c r="H2070" s="5">
        <f t="shared" si="32"/>
        <v>-2.4365101677443563E-2</v>
      </c>
    </row>
    <row r="2071" spans="1:8" ht="13.5" x14ac:dyDescent="0.25">
      <c r="A2071" s="1"/>
      <c r="B2071" s="3">
        <v>45314</v>
      </c>
      <c r="C2071" s="4">
        <v>4.5999999999999996</v>
      </c>
      <c r="D2071" s="4">
        <v>2.1768000000000001</v>
      </c>
      <c r="E2071" s="4">
        <v>74</v>
      </c>
      <c r="F2071" s="4">
        <v>4.5720000000000001</v>
      </c>
      <c r="G2071" s="4">
        <v>338.32799999999997</v>
      </c>
      <c r="H2071" s="5">
        <f t="shared" si="32"/>
        <v>4.5432715397176179E-2</v>
      </c>
    </row>
    <row r="2072" spans="1:8" ht="13.5" x14ac:dyDescent="0.25">
      <c r="A2072" s="1"/>
      <c r="B2072" s="3">
        <v>45315</v>
      </c>
      <c r="C2072" s="4">
        <v>4.5999999999999996</v>
      </c>
      <c r="D2072" s="4">
        <v>2.1768000000000001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4.5999999999999996</v>
      </c>
      <c r="D2073" s="4">
        <v>2.1768000000000001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4.58</v>
      </c>
      <c r="D2074" s="4">
        <v>2.1673</v>
      </c>
      <c r="E2074" s="4">
        <v>20</v>
      </c>
      <c r="F2074" s="4">
        <v>4.58</v>
      </c>
      <c r="G2074" s="4">
        <v>91.6</v>
      </c>
      <c r="H2074" s="5">
        <f t="shared" si="32"/>
        <v>-4.3642043366409703E-3</v>
      </c>
    </row>
    <row r="2075" spans="1:8" ht="13.5" x14ac:dyDescent="0.25">
      <c r="A2075" s="1"/>
      <c r="B2075" s="3">
        <v>45320</v>
      </c>
      <c r="C2075" s="4">
        <v>4.5</v>
      </c>
      <c r="D2075" s="4">
        <v>2.1295000000000002</v>
      </c>
      <c r="E2075" s="4">
        <v>274</v>
      </c>
      <c r="F2075" s="4">
        <v>4.5</v>
      </c>
      <c r="G2075" s="4">
        <v>1233</v>
      </c>
      <c r="H2075" s="5">
        <f t="shared" si="32"/>
        <v>-1.7441055691413201E-2</v>
      </c>
    </row>
    <row r="2076" spans="1:8" ht="13.5" x14ac:dyDescent="0.25">
      <c r="A2076" s="1"/>
      <c r="B2076" s="3">
        <v>45321</v>
      </c>
      <c r="C2076" s="4">
        <v>4.55</v>
      </c>
      <c r="D2076" s="4">
        <v>2.1530999999999998</v>
      </c>
      <c r="E2076" s="4">
        <v>2617</v>
      </c>
      <c r="F2076" s="4">
        <v>4.5110000000000001</v>
      </c>
      <c r="G2076" s="4">
        <v>11805.287</v>
      </c>
      <c r="H2076" s="5">
        <f t="shared" si="32"/>
        <v>1.1082413712138821E-2</v>
      </c>
    </row>
    <row r="2077" spans="1:8" ht="13.5" x14ac:dyDescent="0.25">
      <c r="A2077" s="1"/>
      <c r="B2077" s="3">
        <v>45322</v>
      </c>
      <c r="C2077" s="4">
        <v>4.57</v>
      </c>
      <c r="D2077" s="4">
        <v>2.1625999999999999</v>
      </c>
      <c r="E2077" s="4">
        <v>50</v>
      </c>
      <c r="F2077" s="4">
        <v>4.57</v>
      </c>
      <c r="G2077" s="4">
        <v>228.5</v>
      </c>
      <c r="H2077" s="5">
        <f t="shared" si="32"/>
        <v>4.4122428126887117E-3</v>
      </c>
    </row>
    <row r="2078" spans="1:8" ht="13.5" x14ac:dyDescent="0.25">
      <c r="A2078" s="1"/>
      <c r="B2078" s="3">
        <v>45323</v>
      </c>
      <c r="C2078" s="4">
        <v>4.55</v>
      </c>
      <c r="D2078" s="4">
        <v>2.1530999999999998</v>
      </c>
      <c r="E2078" s="4">
        <v>1411</v>
      </c>
      <c r="F2078" s="4">
        <v>4.4509999999999996</v>
      </c>
      <c r="G2078" s="4">
        <v>6280.3609999999999</v>
      </c>
      <c r="H2078" s="5">
        <f t="shared" si="32"/>
        <v>-4.3928604457597635E-3</v>
      </c>
    </row>
    <row r="2079" spans="1:8" ht="13.5" x14ac:dyDescent="0.25">
      <c r="A2079" s="1"/>
      <c r="B2079" s="3">
        <v>45324</v>
      </c>
      <c r="C2079" s="4">
        <v>4.55</v>
      </c>
      <c r="D2079" s="4">
        <v>2.1530999999999998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4.55</v>
      </c>
      <c r="D2080" s="4">
        <v>2.1530999999999998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4.55</v>
      </c>
      <c r="D2081" s="4">
        <v>2.1530999999999998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4.5</v>
      </c>
      <c r="D2082" s="4">
        <v>2.1295000000000002</v>
      </c>
      <c r="E2082" s="4">
        <v>110</v>
      </c>
      <c r="F2082" s="4">
        <v>4.5</v>
      </c>
      <c r="G2082" s="4">
        <v>495</v>
      </c>
      <c r="H2082" s="5">
        <f t="shared" si="32"/>
        <v>-1.0960940039942234E-2</v>
      </c>
    </row>
    <row r="2083" spans="1:8" ht="13.5" x14ac:dyDescent="0.25">
      <c r="A2083" s="1"/>
      <c r="B2083" s="3">
        <v>45330</v>
      </c>
      <c r="C2083" s="4">
        <v>4.5</v>
      </c>
      <c r="D2083" s="4">
        <v>2.1295000000000002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4.5199999999999996</v>
      </c>
      <c r="D2084" s="4">
        <v>2.1389</v>
      </c>
      <c r="E2084" s="4">
        <v>673</v>
      </c>
      <c r="F2084" s="4">
        <v>4.431</v>
      </c>
      <c r="G2084" s="4">
        <v>2982.0630000000001</v>
      </c>
      <c r="H2084" s="5">
        <f t="shared" si="32"/>
        <v>4.4141817328010573E-3</v>
      </c>
    </row>
    <row r="2085" spans="1:8" ht="13.5" x14ac:dyDescent="0.25">
      <c r="A2085" s="1"/>
      <c r="B2085" s="3">
        <v>45334</v>
      </c>
      <c r="C2085" s="4">
        <v>4.5</v>
      </c>
      <c r="D2085" s="4">
        <v>2.1295000000000002</v>
      </c>
      <c r="E2085" s="4">
        <v>100</v>
      </c>
      <c r="F2085" s="4">
        <v>4.5</v>
      </c>
      <c r="G2085" s="4">
        <v>450</v>
      </c>
      <c r="H2085" s="5">
        <f t="shared" si="32"/>
        <v>-4.3947823647668676E-3</v>
      </c>
    </row>
    <row r="2086" spans="1:8" ht="13.5" x14ac:dyDescent="0.25">
      <c r="A2086" s="1"/>
      <c r="B2086" s="3">
        <v>45335</v>
      </c>
      <c r="C2086" s="4">
        <v>4.45</v>
      </c>
      <c r="D2086" s="4">
        <v>2.1057999999999999</v>
      </c>
      <c r="E2086" s="4">
        <v>10</v>
      </c>
      <c r="F2086" s="4">
        <v>4.45</v>
      </c>
      <c r="G2086" s="4">
        <v>44.5</v>
      </c>
      <c r="H2086" s="5">
        <f t="shared" si="32"/>
        <v>-1.112937309227531E-2</v>
      </c>
    </row>
    <row r="2087" spans="1:8" ht="13.5" x14ac:dyDescent="0.25">
      <c r="A2087" s="1"/>
      <c r="B2087" s="3">
        <v>45336</v>
      </c>
      <c r="C2087" s="4">
        <v>4.4400000000000004</v>
      </c>
      <c r="D2087" s="4">
        <v>2.1011000000000002</v>
      </c>
      <c r="E2087" s="4">
        <v>500</v>
      </c>
      <c r="F2087" s="4">
        <v>4.4400000000000004</v>
      </c>
      <c r="G2087" s="4">
        <v>2220</v>
      </c>
      <c r="H2087" s="5">
        <f t="shared" si="32"/>
        <v>-2.2319308576311636E-3</v>
      </c>
    </row>
    <row r="2088" spans="1:8" ht="13.5" x14ac:dyDescent="0.25">
      <c r="A2088" s="1"/>
      <c r="B2088" s="3">
        <v>45337</v>
      </c>
      <c r="C2088" s="4">
        <v>4.5</v>
      </c>
      <c r="D2088" s="4">
        <v>2.1295000000000002</v>
      </c>
      <c r="E2088" s="4">
        <v>116</v>
      </c>
      <c r="F2088" s="4">
        <v>4.4059999999999997</v>
      </c>
      <c r="G2088" s="4">
        <v>511.096</v>
      </c>
      <c r="H2088" s="5">
        <f t="shared" si="32"/>
        <v>1.3516729332254522E-2</v>
      </c>
    </row>
    <row r="2089" spans="1:8" ht="13.5" x14ac:dyDescent="0.25">
      <c r="A2089" s="1"/>
      <c r="B2089" s="3">
        <v>45338</v>
      </c>
      <c r="C2089" s="4">
        <v>4.5</v>
      </c>
      <c r="D2089" s="4">
        <v>2.1295000000000002</v>
      </c>
      <c r="E2089" s="4">
        <v>20</v>
      </c>
      <c r="F2089" s="4">
        <v>4.5</v>
      </c>
      <c r="G2089" s="4">
        <v>90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4.5</v>
      </c>
      <c r="D2090" s="4">
        <v>2.1295000000000002</v>
      </c>
      <c r="E2090" s="4">
        <v>1</v>
      </c>
      <c r="F2090" s="4">
        <v>4.5</v>
      </c>
      <c r="G2090" s="4">
        <v>4.5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4.49</v>
      </c>
      <c r="D2091" s="4">
        <v>2.1248</v>
      </c>
      <c r="E2091" s="4">
        <v>1850</v>
      </c>
      <c r="F2091" s="4">
        <v>4.49</v>
      </c>
      <c r="G2091" s="4">
        <v>8306.5</v>
      </c>
      <c r="H2091" s="5">
        <f t="shared" si="32"/>
        <v>-2.2070908664006332E-3</v>
      </c>
    </row>
    <row r="2092" spans="1:8" ht="13.5" x14ac:dyDescent="0.25">
      <c r="A2092" s="1"/>
      <c r="B2092" s="3">
        <v>45343</v>
      </c>
      <c r="C2092" s="4">
        <v>4.5199999999999996</v>
      </c>
      <c r="D2092" s="4">
        <v>2.1389</v>
      </c>
      <c r="E2092" s="4">
        <v>34445</v>
      </c>
      <c r="F2092" s="4">
        <v>4.4939999999999998</v>
      </c>
      <c r="G2092" s="4">
        <v>154795.82999999999</v>
      </c>
      <c r="H2092" s="5">
        <f t="shared" si="32"/>
        <v>6.6359186746987962E-3</v>
      </c>
    </row>
    <row r="2093" spans="1:8" ht="13.5" x14ac:dyDescent="0.25">
      <c r="A2093" s="1"/>
      <c r="B2093" s="3">
        <v>45344</v>
      </c>
      <c r="C2093" s="4">
        <v>4.79</v>
      </c>
      <c r="D2093" s="4">
        <v>2.2667000000000002</v>
      </c>
      <c r="E2093" s="4">
        <v>1856</v>
      </c>
      <c r="F2093" s="4">
        <v>4.5780000000000003</v>
      </c>
      <c r="G2093" s="4">
        <v>8496.768</v>
      </c>
      <c r="H2093" s="5">
        <f t="shared" si="32"/>
        <v>5.9750338959278199E-2</v>
      </c>
    </row>
    <row r="2094" spans="1:8" ht="13.5" x14ac:dyDescent="0.25">
      <c r="A2094" s="1"/>
      <c r="B2094" s="3">
        <v>45345</v>
      </c>
      <c r="C2094" s="4">
        <v>5.07</v>
      </c>
      <c r="D2094" s="4">
        <v>2.3992</v>
      </c>
      <c r="E2094" s="4">
        <v>1340</v>
      </c>
      <c r="F2094" s="4">
        <v>4.9509999999999996</v>
      </c>
      <c r="G2094" s="4">
        <v>6634.34</v>
      </c>
      <c r="H2094" s="5">
        <f t="shared" si="32"/>
        <v>5.8455022720254039E-2</v>
      </c>
    </row>
    <row r="2095" spans="1:8" ht="13.5" x14ac:dyDescent="0.25">
      <c r="A2095" s="1"/>
      <c r="B2095" s="3">
        <v>45348</v>
      </c>
      <c r="C2095" s="4">
        <v>5.3</v>
      </c>
      <c r="D2095" s="4">
        <v>2.5081000000000002</v>
      </c>
      <c r="E2095" s="4">
        <v>150</v>
      </c>
      <c r="F2095" s="4">
        <v>5.3680000000000003</v>
      </c>
      <c r="G2095" s="4">
        <v>805.2</v>
      </c>
      <c r="H2095" s="5">
        <f t="shared" si="32"/>
        <v>4.5390130043347875E-2</v>
      </c>
    </row>
    <row r="2096" spans="1:8" ht="13.5" x14ac:dyDescent="0.25">
      <c r="A2096" s="1"/>
      <c r="B2096" s="3">
        <v>45349</v>
      </c>
      <c r="C2096" s="4">
        <v>5</v>
      </c>
      <c r="D2096" s="4">
        <v>2.3660999999999999</v>
      </c>
      <c r="E2096" s="4">
        <v>347</v>
      </c>
      <c r="F2096" s="4">
        <v>5.0540000000000003</v>
      </c>
      <c r="G2096" s="4">
        <v>1753.7380000000001</v>
      </c>
      <c r="H2096" s="5">
        <f t="shared" si="32"/>
        <v>-5.6616562338024937E-2</v>
      </c>
    </row>
    <row r="2097" spans="1:8" ht="13.5" x14ac:dyDescent="0.25">
      <c r="A2097" s="1"/>
      <c r="B2097" s="3">
        <v>45350</v>
      </c>
      <c r="C2097" s="4">
        <v>4.99</v>
      </c>
      <c r="D2097" s="4">
        <v>2.3614000000000002</v>
      </c>
      <c r="E2097" s="4">
        <v>999</v>
      </c>
      <c r="F2097" s="4">
        <v>4.9370000000000003</v>
      </c>
      <c r="G2097" s="4">
        <v>4932.0630000000001</v>
      </c>
      <c r="H2097" s="5">
        <f t="shared" si="32"/>
        <v>-1.986391107729895E-3</v>
      </c>
    </row>
    <row r="2098" spans="1:8" ht="13.5" x14ac:dyDescent="0.25">
      <c r="A2098" s="1"/>
      <c r="B2098" s="3">
        <v>45351</v>
      </c>
      <c r="C2098" s="4">
        <v>5.19</v>
      </c>
      <c r="D2098" s="4">
        <v>2.456</v>
      </c>
      <c r="E2098" s="4">
        <v>45</v>
      </c>
      <c r="F2098" s="4">
        <v>5.0039999999999996</v>
      </c>
      <c r="G2098" s="4">
        <v>225.18</v>
      </c>
      <c r="H2098" s="5">
        <f t="shared" si="32"/>
        <v>4.0060980774116961E-2</v>
      </c>
    </row>
    <row r="2099" spans="1:8" ht="13.5" x14ac:dyDescent="0.25">
      <c r="A2099" s="1"/>
      <c r="B2099" s="3">
        <v>45352</v>
      </c>
      <c r="C2099" s="4">
        <v>4.9400000000000004</v>
      </c>
      <c r="D2099" s="4">
        <v>2.3376999999999999</v>
      </c>
      <c r="E2099" s="4">
        <v>4240</v>
      </c>
      <c r="F2099" s="4">
        <v>5.1059999999999999</v>
      </c>
      <c r="G2099" s="4">
        <v>21649.439999999999</v>
      </c>
      <c r="H2099" s="5">
        <f t="shared" si="32"/>
        <v>-4.8167752442996772E-2</v>
      </c>
    </row>
    <row r="2100" spans="1:8" ht="13.5" x14ac:dyDescent="0.25">
      <c r="A2100" s="1"/>
      <c r="B2100" s="3">
        <v>45355</v>
      </c>
      <c r="C2100" s="4">
        <v>5.13</v>
      </c>
      <c r="D2100" s="4">
        <v>2.4276</v>
      </c>
      <c r="E2100" s="4">
        <v>1</v>
      </c>
      <c r="F2100" s="4">
        <v>5.13</v>
      </c>
      <c r="G2100" s="4">
        <v>5.13</v>
      </c>
      <c r="H2100" s="5">
        <f t="shared" si="32"/>
        <v>3.8456602643624119E-2</v>
      </c>
    </row>
    <row r="2101" spans="1:8" ht="13.5" x14ac:dyDescent="0.25">
      <c r="A2101" s="1"/>
      <c r="B2101" s="3">
        <v>45356</v>
      </c>
      <c r="C2101" s="4">
        <v>5.13</v>
      </c>
      <c r="D2101" s="4">
        <v>2.4276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5.08</v>
      </c>
      <c r="D2102" s="4">
        <v>2.4039999999999999</v>
      </c>
      <c r="E2102" s="4">
        <v>4302</v>
      </c>
      <c r="F2102" s="4">
        <v>5.08</v>
      </c>
      <c r="G2102" s="4">
        <v>21854.16</v>
      </c>
      <c r="H2102" s="5">
        <f t="shared" si="32"/>
        <v>-9.7215356730927932E-3</v>
      </c>
    </row>
    <row r="2103" spans="1:8" ht="13.5" x14ac:dyDescent="0.25">
      <c r="A2103" s="1"/>
      <c r="B2103" s="3">
        <v>45358</v>
      </c>
      <c r="C2103" s="4">
        <v>5.0999999999999996</v>
      </c>
      <c r="D2103" s="4">
        <v>2.4134000000000002</v>
      </c>
      <c r="E2103" s="4">
        <v>1220</v>
      </c>
      <c r="F2103" s="4">
        <v>5.0659999999999998</v>
      </c>
      <c r="G2103" s="4">
        <v>6180.52</v>
      </c>
      <c r="H2103" s="5">
        <f t="shared" si="32"/>
        <v>3.9101497504160972E-3</v>
      </c>
    </row>
    <row r="2104" spans="1:8" ht="13.5" x14ac:dyDescent="0.25">
      <c r="A2104" s="1"/>
      <c r="B2104" s="3">
        <v>45359</v>
      </c>
      <c r="C2104" s="4">
        <v>5.15</v>
      </c>
      <c r="D2104" s="4">
        <v>2.4371</v>
      </c>
      <c r="E2104" s="4">
        <v>850</v>
      </c>
      <c r="F2104" s="4">
        <v>5.1479999999999997</v>
      </c>
      <c r="G2104" s="4">
        <v>4375.8</v>
      </c>
      <c r="H2104" s="5">
        <f t="shared" si="32"/>
        <v>9.8201707135161312E-3</v>
      </c>
    </row>
    <row r="2105" spans="1:8" ht="13.5" x14ac:dyDescent="0.25">
      <c r="A2105" s="1"/>
      <c r="B2105" s="3">
        <v>45362</v>
      </c>
      <c r="C2105" s="4">
        <v>5.15</v>
      </c>
      <c r="D2105" s="4">
        <v>2.4371</v>
      </c>
      <c r="E2105" s="4">
        <v>11</v>
      </c>
      <c r="F2105" s="4">
        <v>5.15</v>
      </c>
      <c r="G2105" s="4">
        <v>56.65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5.15</v>
      </c>
      <c r="D2106" s="4">
        <v>2.4371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5.0999999999999996</v>
      </c>
      <c r="D2107" s="4">
        <v>2.4134000000000002</v>
      </c>
      <c r="E2107" s="4">
        <v>10</v>
      </c>
      <c r="F2107" s="4">
        <v>5.0999999999999996</v>
      </c>
      <c r="G2107" s="4">
        <v>51</v>
      </c>
      <c r="H2107" s="5">
        <f t="shared" si="32"/>
        <v>-9.7246727668129467E-3</v>
      </c>
    </row>
    <row r="2108" spans="1:8" ht="13.5" x14ac:dyDescent="0.25">
      <c r="A2108" s="1"/>
      <c r="B2108" s="3">
        <v>45365</v>
      </c>
      <c r="C2108" s="4">
        <v>4.9000000000000004</v>
      </c>
      <c r="D2108" s="4">
        <v>2.3188</v>
      </c>
      <c r="E2108" s="4">
        <v>3000</v>
      </c>
      <c r="F2108" s="4">
        <v>4.9000000000000004</v>
      </c>
      <c r="G2108" s="4">
        <v>14700</v>
      </c>
      <c r="H2108" s="5">
        <f t="shared" si="32"/>
        <v>-3.9197812215132272E-2</v>
      </c>
    </row>
    <row r="2109" spans="1:8" ht="13.5" x14ac:dyDescent="0.25">
      <c r="A2109" s="1"/>
      <c r="B2109" s="3">
        <v>45366</v>
      </c>
      <c r="C2109" s="4">
        <v>4.9000000000000004</v>
      </c>
      <c r="D2109" s="4">
        <v>2.3188</v>
      </c>
      <c r="E2109" s="4">
        <v>921</v>
      </c>
      <c r="F2109" s="4">
        <v>4.9000000000000004</v>
      </c>
      <c r="G2109" s="4">
        <v>4512.8999999999996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4.9000000000000004</v>
      </c>
      <c r="D2110" s="4">
        <v>2.3188</v>
      </c>
      <c r="E2110" s="4">
        <v>6</v>
      </c>
      <c r="F2110" s="4">
        <v>4.9000000000000004</v>
      </c>
      <c r="G2110" s="4">
        <v>29.4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5</v>
      </c>
      <c r="D2111" s="4">
        <v>2.3660999999999999</v>
      </c>
      <c r="E2111" s="4">
        <v>100</v>
      </c>
      <c r="F2111" s="4">
        <v>5</v>
      </c>
      <c r="G2111" s="4">
        <v>500</v>
      </c>
      <c r="H2111" s="5">
        <f t="shared" si="32"/>
        <v>2.0398481973434492E-2</v>
      </c>
    </row>
    <row r="2112" spans="1:8" ht="13.5" x14ac:dyDescent="0.25">
      <c r="A2112" s="1"/>
      <c r="B2112" s="3">
        <v>45372</v>
      </c>
      <c r="C2112" s="4">
        <v>5</v>
      </c>
      <c r="D2112" s="4">
        <v>2.3660999999999999</v>
      </c>
      <c r="E2112" s="4">
        <v>72</v>
      </c>
      <c r="F2112" s="4">
        <v>5</v>
      </c>
      <c r="G2112" s="4">
        <v>360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5</v>
      </c>
      <c r="D2113" s="4">
        <v>2.3660999999999999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4.8499999999999996</v>
      </c>
      <c r="D2114" s="4">
        <v>2.2951000000000001</v>
      </c>
      <c r="E2114" s="4">
        <v>48</v>
      </c>
      <c r="F2114" s="4">
        <v>4.8499999999999996</v>
      </c>
      <c r="G2114" s="4">
        <v>232.8</v>
      </c>
      <c r="H2114" s="5">
        <f t="shared" si="32"/>
        <v>-3.0007184818900186E-2</v>
      </c>
    </row>
    <row r="2115" spans="1:8" ht="13.5" x14ac:dyDescent="0.25">
      <c r="A2115" s="1"/>
      <c r="B2115" s="3">
        <v>45377</v>
      </c>
      <c r="C2115" s="4">
        <v>4.99</v>
      </c>
      <c r="D2115" s="4">
        <v>2.3614000000000002</v>
      </c>
      <c r="E2115" s="4">
        <v>100</v>
      </c>
      <c r="F2115" s="4">
        <v>4.99</v>
      </c>
      <c r="G2115" s="4">
        <v>499</v>
      </c>
      <c r="H2115" s="5">
        <f t="shared" si="32"/>
        <v>2.8887630168620112E-2</v>
      </c>
    </row>
    <row r="2116" spans="1:8" ht="13.5" x14ac:dyDescent="0.25">
      <c r="A2116" s="1"/>
      <c r="B2116" s="3">
        <v>45378</v>
      </c>
      <c r="C2116" s="4">
        <v>4.99</v>
      </c>
      <c r="D2116" s="4">
        <v>2.3614000000000002</v>
      </c>
      <c r="E2116" s="4">
        <v>5800</v>
      </c>
      <c r="F2116" s="4">
        <v>4.99</v>
      </c>
      <c r="G2116" s="4">
        <v>28942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4.99</v>
      </c>
      <c r="D2117" s="4">
        <v>2.3614000000000002</v>
      </c>
      <c r="E2117" s="4">
        <v>200</v>
      </c>
      <c r="F2117" s="4">
        <v>4.99</v>
      </c>
      <c r="G2117" s="4">
        <v>998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4.8</v>
      </c>
      <c r="D2118" s="4">
        <v>2.2713999999999999</v>
      </c>
      <c r="E2118" s="4">
        <v>2395</v>
      </c>
      <c r="F2118" s="4">
        <v>4.8780000000000001</v>
      </c>
      <c r="G2118" s="4">
        <v>11682.81</v>
      </c>
      <c r="H2118" s="5">
        <f t="shared" si="32"/>
        <v>-3.811298382315588E-2</v>
      </c>
    </row>
    <row r="2119" spans="1:8" ht="13.5" x14ac:dyDescent="0.25">
      <c r="A2119" s="1"/>
      <c r="B2119" s="3">
        <v>45383</v>
      </c>
      <c r="C2119" s="4">
        <v>4.8</v>
      </c>
      <c r="D2119" s="4">
        <v>2.2713999999999999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4.8</v>
      </c>
      <c r="D2120" s="4">
        <v>2.2713999999999999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4.5999999999999996</v>
      </c>
      <c r="D2121" s="4">
        <v>2.1768000000000001</v>
      </c>
      <c r="E2121" s="4">
        <v>1020</v>
      </c>
      <c r="F2121" s="4">
        <v>4.78</v>
      </c>
      <c r="G2121" s="4">
        <v>4875.6000000000004</v>
      </c>
      <c r="H2121" s="5">
        <f t="shared" si="33"/>
        <v>-4.1648322620410232E-2</v>
      </c>
    </row>
    <row r="2122" spans="1:8" ht="13.5" x14ac:dyDescent="0.25">
      <c r="A2122" s="1"/>
      <c r="B2122" s="3">
        <v>45386</v>
      </c>
      <c r="C2122" s="4">
        <v>4.5999999999999996</v>
      </c>
      <c r="D2122" s="4">
        <v>2.1768000000000001</v>
      </c>
      <c r="E2122" s="4">
        <v>5</v>
      </c>
      <c r="F2122" s="4">
        <v>4.5999999999999996</v>
      </c>
      <c r="G2122" s="4">
        <v>23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4.5</v>
      </c>
      <c r="D2123" s="4">
        <v>2.1295000000000002</v>
      </c>
      <c r="E2123" s="4">
        <v>403</v>
      </c>
      <c r="F2123" s="4">
        <v>4.5839999999999996</v>
      </c>
      <c r="G2123" s="4">
        <v>1847.3520000000001</v>
      </c>
      <c r="H2123" s="5">
        <f t="shared" si="33"/>
        <v>-2.1729143697170109E-2</v>
      </c>
    </row>
    <row r="2124" spans="1:8" ht="13.5" x14ac:dyDescent="0.25">
      <c r="A2124" s="1"/>
      <c r="B2124" s="3">
        <v>45390</v>
      </c>
      <c r="C2124" s="4">
        <v>4.5</v>
      </c>
      <c r="D2124" s="4">
        <v>2.1295000000000002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4.7699999999999996</v>
      </c>
      <c r="D2125" s="4">
        <v>2.2572999999999999</v>
      </c>
      <c r="E2125" s="4">
        <v>0</v>
      </c>
      <c r="F2125" s="4">
        <v>0</v>
      </c>
      <c r="G2125" s="4">
        <v>0</v>
      </c>
      <c r="H2125" s="5">
        <f t="shared" si="33"/>
        <v>6.0014087814040704E-2</v>
      </c>
    </row>
    <row r="2126" spans="1:8" ht="13.5" x14ac:dyDescent="0.25">
      <c r="A2126" s="1"/>
      <c r="B2126" s="3">
        <v>45397</v>
      </c>
      <c r="C2126" s="4">
        <v>4.7699999999999996</v>
      </c>
      <c r="D2126" s="4">
        <v>2.2572999999999999</v>
      </c>
      <c r="E2126" s="4">
        <v>20</v>
      </c>
      <c r="F2126" s="4">
        <v>4.7699999999999996</v>
      </c>
      <c r="G2126" s="4">
        <v>95.4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4.7699999999999996</v>
      </c>
      <c r="D2127" s="4">
        <v>2.2572999999999999</v>
      </c>
      <c r="E2127" s="4">
        <v>287</v>
      </c>
      <c r="F2127" s="4">
        <v>4.7329999999999997</v>
      </c>
      <c r="G2127" s="4">
        <v>1358.3710000000001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4.68</v>
      </c>
      <c r="D2128" s="4">
        <v>2.2147000000000001</v>
      </c>
      <c r="E2128" s="4">
        <v>348</v>
      </c>
      <c r="F2128" s="4">
        <v>4.68</v>
      </c>
      <c r="G2128" s="4">
        <v>1628.64</v>
      </c>
      <c r="H2128" s="5">
        <f t="shared" si="33"/>
        <v>-1.8872103840871728E-2</v>
      </c>
    </row>
    <row r="2129" spans="1:8" ht="13.5" x14ac:dyDescent="0.25">
      <c r="A2129" s="1"/>
      <c r="B2129" s="3">
        <v>45400</v>
      </c>
      <c r="C2129" s="4">
        <v>4.7</v>
      </c>
      <c r="D2129" s="4">
        <v>2.2241</v>
      </c>
      <c r="E2129" s="4">
        <v>502</v>
      </c>
      <c r="F2129" s="4">
        <v>4.7</v>
      </c>
      <c r="G2129" s="4">
        <v>2359.4</v>
      </c>
      <c r="H2129" s="5">
        <f t="shared" si="33"/>
        <v>4.2443671829140977E-3</v>
      </c>
    </row>
    <row r="2130" spans="1:8" ht="13.5" x14ac:dyDescent="0.25">
      <c r="A2130" s="1"/>
      <c r="B2130" s="3">
        <v>45401</v>
      </c>
      <c r="C2130" s="4">
        <v>4.6500000000000004</v>
      </c>
      <c r="D2130" s="4">
        <v>2.2004999999999999</v>
      </c>
      <c r="E2130" s="4">
        <v>500</v>
      </c>
      <c r="F2130" s="4">
        <v>4.6500000000000004</v>
      </c>
      <c r="G2130" s="4">
        <v>2325</v>
      </c>
      <c r="H2130" s="5">
        <f t="shared" si="33"/>
        <v>-1.061103367654335E-2</v>
      </c>
    </row>
    <row r="2131" spans="1:8" ht="13.5" x14ac:dyDescent="0.25">
      <c r="A2131" s="1"/>
      <c r="B2131" s="3">
        <v>45404</v>
      </c>
      <c r="C2131" s="4">
        <v>4.92</v>
      </c>
      <c r="D2131" s="4">
        <v>2.3281999999999998</v>
      </c>
      <c r="E2131" s="4">
        <v>17211</v>
      </c>
      <c r="F2131" s="4">
        <v>4.8239999999999998</v>
      </c>
      <c r="G2131" s="4">
        <v>83025.864000000001</v>
      </c>
      <c r="H2131" s="5">
        <f t="shared" si="33"/>
        <v>5.8032265394228552E-2</v>
      </c>
    </row>
    <row r="2132" spans="1:8" ht="13.5" x14ac:dyDescent="0.25">
      <c r="A2132" s="1"/>
      <c r="B2132" s="3">
        <v>45405</v>
      </c>
      <c r="C2132" s="4">
        <v>5.21</v>
      </c>
      <c r="D2132" s="4">
        <v>2.4655</v>
      </c>
      <c r="E2132" s="4">
        <v>9574</v>
      </c>
      <c r="F2132" s="4">
        <v>5.1109999999999998</v>
      </c>
      <c r="G2132" s="4">
        <v>48932.714</v>
      </c>
      <c r="H2132" s="5">
        <f t="shared" si="33"/>
        <v>5.89725968559403E-2</v>
      </c>
    </row>
    <row r="2133" spans="1:8" ht="13.5" x14ac:dyDescent="0.25">
      <c r="A2133" s="1"/>
      <c r="B2133" s="3">
        <v>45406</v>
      </c>
      <c r="C2133" s="4">
        <v>5.39</v>
      </c>
      <c r="D2133" s="4">
        <v>2.5506000000000002</v>
      </c>
      <c r="E2133" s="4">
        <v>18885</v>
      </c>
      <c r="F2133" s="4">
        <v>5.375</v>
      </c>
      <c r="G2133" s="4">
        <v>101506.875</v>
      </c>
      <c r="H2133" s="5">
        <f t="shared" si="33"/>
        <v>3.4516325288988105E-2</v>
      </c>
    </row>
    <row r="2134" spans="1:8" ht="13.5" x14ac:dyDescent="0.25">
      <c r="A2134" s="1"/>
      <c r="B2134" s="3">
        <v>45407</v>
      </c>
      <c r="C2134" s="4">
        <v>5.37</v>
      </c>
      <c r="D2134" s="4">
        <v>2.5411999999999999</v>
      </c>
      <c r="E2134" s="4">
        <v>464</v>
      </c>
      <c r="F2134" s="4">
        <v>5.2210000000000001</v>
      </c>
      <c r="G2134" s="4">
        <v>2422.5439999999999</v>
      </c>
      <c r="H2134" s="5">
        <f t="shared" si="33"/>
        <v>-3.6854073551322421E-3</v>
      </c>
    </row>
    <row r="2135" spans="1:8" ht="13.5" x14ac:dyDescent="0.25">
      <c r="A2135" s="1"/>
      <c r="B2135" s="3">
        <v>45408</v>
      </c>
      <c r="C2135" s="4">
        <v>5.37</v>
      </c>
      <c r="D2135" s="4">
        <v>2.5411999999999999</v>
      </c>
      <c r="E2135" s="4">
        <v>4826</v>
      </c>
      <c r="F2135" s="4">
        <v>5.3470000000000004</v>
      </c>
      <c r="G2135" s="4">
        <v>25804.621999999999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5.37</v>
      </c>
      <c r="D2136" s="4">
        <v>2.5411999999999999</v>
      </c>
      <c r="E2136" s="4">
        <v>0</v>
      </c>
      <c r="F2136" s="4">
        <v>0</v>
      </c>
      <c r="G2136" s="4">
        <v>0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5.05</v>
      </c>
      <c r="D2137" s="4">
        <v>2.3898000000000001</v>
      </c>
      <c r="E2137" s="4">
        <v>344</v>
      </c>
      <c r="F2137" s="4">
        <v>5.1109999999999998</v>
      </c>
      <c r="G2137" s="4">
        <v>1758.184</v>
      </c>
      <c r="H2137" s="5">
        <f t="shared" si="33"/>
        <v>-5.9578152054147557E-2</v>
      </c>
    </row>
    <row r="2138" spans="1:8" ht="13.5" x14ac:dyDescent="0.25">
      <c r="A2138" s="1"/>
      <c r="B2138" s="3">
        <v>45414</v>
      </c>
      <c r="C2138" s="4">
        <v>5.2</v>
      </c>
      <c r="D2138" s="4">
        <v>2.4607000000000001</v>
      </c>
      <c r="E2138" s="4">
        <v>2515</v>
      </c>
      <c r="F2138" s="4">
        <v>5.0750000000000002</v>
      </c>
      <c r="G2138" s="4">
        <v>12763.625</v>
      </c>
      <c r="H2138" s="5">
        <f t="shared" si="33"/>
        <v>2.9667754623817877E-2</v>
      </c>
    </row>
    <row r="2139" spans="1:8" ht="13.5" x14ac:dyDescent="0.25">
      <c r="A2139" s="1"/>
      <c r="B2139" s="3">
        <v>45415</v>
      </c>
      <c r="C2139" s="4">
        <v>5.25</v>
      </c>
      <c r="D2139" s="4">
        <v>2.4843999999999999</v>
      </c>
      <c r="E2139" s="4">
        <v>4821</v>
      </c>
      <c r="F2139" s="4">
        <v>5.2510000000000003</v>
      </c>
      <c r="G2139" s="4">
        <v>25315.071</v>
      </c>
      <c r="H2139" s="5">
        <f t="shared" si="33"/>
        <v>9.6314056975656641E-3</v>
      </c>
    </row>
    <row r="2140" spans="1:8" ht="13.5" x14ac:dyDescent="0.25">
      <c r="A2140" s="1"/>
      <c r="B2140" s="3">
        <v>45418</v>
      </c>
      <c r="C2140" s="4">
        <v>5.25</v>
      </c>
      <c r="D2140" s="4">
        <v>2.4843999999999999</v>
      </c>
      <c r="E2140" s="4">
        <v>120</v>
      </c>
      <c r="F2140" s="4">
        <v>5.25</v>
      </c>
      <c r="G2140" s="4">
        <v>630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5.22</v>
      </c>
      <c r="D2141" s="4">
        <v>2.4702000000000002</v>
      </c>
      <c r="E2141" s="4">
        <v>291</v>
      </c>
      <c r="F2141" s="4">
        <v>5.2460000000000004</v>
      </c>
      <c r="G2141" s="4">
        <v>1526.586</v>
      </c>
      <c r="H2141" s="5">
        <f t="shared" si="33"/>
        <v>-5.7156657543067819E-3</v>
      </c>
    </row>
    <row r="2142" spans="1:8" ht="13.5" x14ac:dyDescent="0.25">
      <c r="A2142" s="1"/>
      <c r="B2142" s="3">
        <v>45420</v>
      </c>
      <c r="C2142" s="4">
        <v>5.2</v>
      </c>
      <c r="D2142" s="4">
        <v>2.4607000000000001</v>
      </c>
      <c r="E2142" s="4">
        <v>761</v>
      </c>
      <c r="F2142" s="4">
        <v>5.2</v>
      </c>
      <c r="G2142" s="4">
        <v>3957.2</v>
      </c>
      <c r="H2142" s="5">
        <f t="shared" si="33"/>
        <v>-3.8458424419075634E-3</v>
      </c>
    </row>
    <row r="2143" spans="1:8" ht="13.5" x14ac:dyDescent="0.25">
      <c r="A2143" s="1"/>
      <c r="B2143" s="3">
        <v>45421</v>
      </c>
      <c r="C2143" s="4">
        <v>5.15</v>
      </c>
      <c r="D2143" s="4">
        <v>2.4371</v>
      </c>
      <c r="E2143" s="4">
        <v>352</v>
      </c>
      <c r="F2143" s="4">
        <v>5.1539999999999999</v>
      </c>
      <c r="G2143" s="4">
        <v>1814.2080000000001</v>
      </c>
      <c r="H2143" s="5">
        <f t="shared" si="33"/>
        <v>-9.5907668549599975E-3</v>
      </c>
    </row>
    <row r="2144" spans="1:8" ht="13.5" x14ac:dyDescent="0.25">
      <c r="A2144" s="1"/>
      <c r="B2144" s="3">
        <v>45422</v>
      </c>
      <c r="C2144" s="4">
        <v>5.15</v>
      </c>
      <c r="D2144" s="4">
        <v>2.4371</v>
      </c>
      <c r="E2144" s="4">
        <v>1579</v>
      </c>
      <c r="F2144" s="4">
        <v>5.1429999999999998</v>
      </c>
      <c r="G2144" s="4">
        <v>8120.7969999999996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4.95</v>
      </c>
      <c r="D2145" s="4">
        <v>2.3424</v>
      </c>
      <c r="E2145" s="4">
        <v>1462</v>
      </c>
      <c r="F2145" s="4">
        <v>5.0170000000000003</v>
      </c>
      <c r="G2145" s="4">
        <v>7334.8540000000003</v>
      </c>
      <c r="H2145" s="5">
        <f t="shared" si="33"/>
        <v>-3.8857658692708547E-2</v>
      </c>
    </row>
    <row r="2146" spans="1:8" ht="13.5" x14ac:dyDescent="0.25">
      <c r="A2146" s="1"/>
      <c r="B2146" s="3">
        <v>45426</v>
      </c>
      <c r="C2146" s="4">
        <v>5.15</v>
      </c>
      <c r="D2146" s="4">
        <v>2.4371</v>
      </c>
      <c r="E2146" s="4">
        <v>1</v>
      </c>
      <c r="F2146" s="4">
        <v>5.15</v>
      </c>
      <c r="G2146" s="4">
        <v>5.15</v>
      </c>
      <c r="H2146" s="5">
        <f t="shared" si="33"/>
        <v>4.0428620218579236E-2</v>
      </c>
    </row>
    <row r="2147" spans="1:8" ht="13.5" x14ac:dyDescent="0.25">
      <c r="A2147" s="1"/>
      <c r="B2147" s="3">
        <v>45427</v>
      </c>
      <c r="C2147" s="4">
        <v>5.15</v>
      </c>
      <c r="D2147" s="4">
        <v>2.4371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5.15</v>
      </c>
      <c r="D2148" s="4">
        <v>2.4371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5</v>
      </c>
      <c r="D2149" s="4">
        <v>2.3660999999999999</v>
      </c>
      <c r="E2149" s="4">
        <v>1000</v>
      </c>
      <c r="F2149" s="4">
        <v>5</v>
      </c>
      <c r="G2149" s="4">
        <v>5000</v>
      </c>
      <c r="H2149" s="5">
        <f t="shared" si="33"/>
        <v>-2.9132985925895603E-2</v>
      </c>
    </row>
    <row r="2150" spans="1:8" ht="13.5" x14ac:dyDescent="0.25">
      <c r="A2150" s="1"/>
      <c r="B2150" s="3">
        <v>45432</v>
      </c>
      <c r="C2150" s="4">
        <v>4.95</v>
      </c>
      <c r="D2150" s="4">
        <v>2.3424</v>
      </c>
      <c r="E2150" s="4">
        <v>1448</v>
      </c>
      <c r="F2150" s="4">
        <v>4.9939999999999998</v>
      </c>
      <c r="G2150" s="4">
        <v>7231.3119999999999</v>
      </c>
      <c r="H2150" s="5">
        <f t="shared" si="33"/>
        <v>-1.001648281983003E-2</v>
      </c>
    </row>
    <row r="2151" spans="1:8" ht="13.5" x14ac:dyDescent="0.25">
      <c r="A2151" s="1"/>
      <c r="B2151" s="3">
        <v>45433</v>
      </c>
      <c r="C2151" s="4">
        <v>4.95</v>
      </c>
      <c r="D2151" s="4">
        <v>2.3424</v>
      </c>
      <c r="E2151" s="4">
        <v>999</v>
      </c>
      <c r="F2151" s="4">
        <v>4.95</v>
      </c>
      <c r="G2151" s="4">
        <v>4945.05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5</v>
      </c>
      <c r="D2152" s="4">
        <v>2.3660999999999999</v>
      </c>
      <c r="E2152" s="4">
        <v>201</v>
      </c>
      <c r="F2152" s="4">
        <v>4.91</v>
      </c>
      <c r="G2152" s="4">
        <v>986.91</v>
      </c>
      <c r="H2152" s="5">
        <f t="shared" si="33"/>
        <v>1.0117827868852387E-2</v>
      </c>
    </row>
    <row r="2153" spans="1:8" ht="13.5" x14ac:dyDescent="0.25">
      <c r="A2153" s="1"/>
      <c r="B2153" s="3">
        <v>45435</v>
      </c>
      <c r="C2153" s="4">
        <v>4.92</v>
      </c>
      <c r="D2153" s="4">
        <v>2.3281999999999998</v>
      </c>
      <c r="E2153" s="4">
        <v>104</v>
      </c>
      <c r="F2153" s="4">
        <v>4.92</v>
      </c>
      <c r="G2153" s="4">
        <v>511.68</v>
      </c>
      <c r="H2153" s="5">
        <f t="shared" si="33"/>
        <v>-1.6017919783610179E-2</v>
      </c>
    </row>
    <row r="2154" spans="1:8" ht="13.5" x14ac:dyDescent="0.25">
      <c r="A2154" s="1"/>
      <c r="B2154" s="3">
        <v>45436</v>
      </c>
      <c r="C2154" s="4">
        <v>4.9000000000000004</v>
      </c>
      <c r="D2154" s="4">
        <v>2.3188</v>
      </c>
      <c r="E2154" s="4">
        <v>2067</v>
      </c>
      <c r="F2154" s="4">
        <v>4.91</v>
      </c>
      <c r="G2154" s="4">
        <v>10148.969999999999</v>
      </c>
      <c r="H2154" s="5">
        <f t="shared" si="33"/>
        <v>-4.0374538269907457E-3</v>
      </c>
    </row>
    <row r="2155" spans="1:8" ht="13.5" x14ac:dyDescent="0.25">
      <c r="A2155" s="1"/>
      <c r="B2155" s="3">
        <v>45439</v>
      </c>
      <c r="C2155" s="4">
        <v>4.9800000000000004</v>
      </c>
      <c r="D2155" s="4">
        <v>2.3565999999999998</v>
      </c>
      <c r="E2155" s="4">
        <v>1217</v>
      </c>
      <c r="F2155" s="4">
        <v>4.9720000000000004</v>
      </c>
      <c r="G2155" s="4">
        <v>6050.924</v>
      </c>
      <c r="H2155" s="5">
        <f t="shared" si="33"/>
        <v>1.6301535276867275E-2</v>
      </c>
    </row>
    <row r="2156" spans="1:8" ht="13.5" x14ac:dyDescent="0.25">
      <c r="A2156" s="1"/>
      <c r="B2156" s="3">
        <v>45440</v>
      </c>
      <c r="C2156" s="4">
        <v>4.9000000000000004</v>
      </c>
      <c r="D2156" s="4">
        <v>2.3188</v>
      </c>
      <c r="E2156" s="4">
        <v>11985</v>
      </c>
      <c r="F2156" s="4">
        <v>4.9630000000000001</v>
      </c>
      <c r="G2156" s="4">
        <v>59481.555</v>
      </c>
      <c r="H2156" s="5">
        <f t="shared" si="33"/>
        <v>-1.6040057710260475E-2</v>
      </c>
    </row>
    <row r="2157" spans="1:8" ht="13.5" x14ac:dyDescent="0.25">
      <c r="A2157" s="1"/>
      <c r="B2157" s="3">
        <v>45441</v>
      </c>
      <c r="C2157" s="4">
        <v>4.9800000000000004</v>
      </c>
      <c r="D2157" s="4">
        <v>2.3565999999999998</v>
      </c>
      <c r="E2157" s="4">
        <v>5717</v>
      </c>
      <c r="F2157" s="4">
        <v>4.9800000000000004</v>
      </c>
      <c r="G2157" s="4">
        <v>28470.66</v>
      </c>
      <c r="H2157" s="5">
        <f t="shared" si="33"/>
        <v>1.6301535276867275E-2</v>
      </c>
    </row>
    <row r="2158" spans="1:8" ht="13.5" x14ac:dyDescent="0.25">
      <c r="A2158" s="1"/>
      <c r="B2158" s="3">
        <v>45442</v>
      </c>
      <c r="C2158" s="4">
        <v>5.05</v>
      </c>
      <c r="D2158" s="4">
        <v>2.3898000000000001</v>
      </c>
      <c r="E2158" s="4">
        <v>14447</v>
      </c>
      <c r="F2158" s="4">
        <v>5.056</v>
      </c>
      <c r="G2158" s="4">
        <v>73044.032000000007</v>
      </c>
      <c r="H2158" s="5">
        <f t="shared" si="33"/>
        <v>1.4088093015361259E-2</v>
      </c>
    </row>
    <row r="2159" spans="1:8" ht="13.5" x14ac:dyDescent="0.25">
      <c r="A2159" s="1"/>
      <c r="B2159" s="3">
        <v>45443</v>
      </c>
      <c r="C2159" s="4">
        <v>5.2</v>
      </c>
      <c r="D2159" s="4">
        <v>2.4607000000000001</v>
      </c>
      <c r="E2159" s="4">
        <v>5106</v>
      </c>
      <c r="F2159" s="4">
        <v>5.1040000000000001</v>
      </c>
      <c r="G2159" s="4">
        <v>26061.024000000001</v>
      </c>
      <c r="H2159" s="5">
        <f t="shared" si="33"/>
        <v>2.9667754623817877E-2</v>
      </c>
    </row>
    <row r="2160" spans="1:8" ht="13.5" x14ac:dyDescent="0.25">
      <c r="A2160" s="1"/>
      <c r="B2160" s="3">
        <v>45446</v>
      </c>
      <c r="C2160" s="4">
        <v>5.2</v>
      </c>
      <c r="D2160" s="4">
        <v>2.4607000000000001</v>
      </c>
      <c r="E2160" s="4">
        <v>1970</v>
      </c>
      <c r="F2160" s="4">
        <v>5.2069999999999999</v>
      </c>
      <c r="G2160" s="4">
        <v>10257.790000000001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5.2</v>
      </c>
      <c r="D2161" s="4">
        <v>2.4607000000000001</v>
      </c>
      <c r="E2161" s="4">
        <v>500</v>
      </c>
      <c r="F2161" s="4">
        <v>5.2</v>
      </c>
      <c r="G2161" s="4">
        <v>2600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5.2</v>
      </c>
      <c r="D2162" s="4">
        <v>2.4607000000000001</v>
      </c>
      <c r="E2162" s="4">
        <v>1300</v>
      </c>
      <c r="F2162" s="4">
        <v>5.2</v>
      </c>
      <c r="G2162" s="4">
        <v>6760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5.2</v>
      </c>
      <c r="D2163" s="4">
        <v>2.4607000000000001</v>
      </c>
      <c r="E2163" s="4">
        <v>507</v>
      </c>
      <c r="F2163" s="4">
        <v>5.2489999999999997</v>
      </c>
      <c r="G2163" s="4">
        <v>2661.2429999999999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5.3</v>
      </c>
      <c r="D2164" s="4">
        <v>2.5081000000000002</v>
      </c>
      <c r="E2164" s="4">
        <v>2930</v>
      </c>
      <c r="F2164" s="4">
        <v>5.3470000000000004</v>
      </c>
      <c r="G2164" s="4">
        <v>15666.71</v>
      </c>
      <c r="H2164" s="5">
        <f t="shared" si="33"/>
        <v>1.9262811395131509E-2</v>
      </c>
    </row>
    <row r="2165" spans="1:8" ht="13.5" x14ac:dyDescent="0.25">
      <c r="A2165" s="1"/>
      <c r="B2165" s="3">
        <v>45453</v>
      </c>
      <c r="C2165" s="4">
        <v>5.61</v>
      </c>
      <c r="D2165" s="4">
        <v>2.6547999999999998</v>
      </c>
      <c r="E2165" s="4">
        <v>25969</v>
      </c>
      <c r="F2165" s="4">
        <v>5.59</v>
      </c>
      <c r="G2165" s="4">
        <v>145166.71</v>
      </c>
      <c r="H2165" s="5">
        <f t="shared" si="33"/>
        <v>5.8490490809776162E-2</v>
      </c>
    </row>
    <row r="2166" spans="1:8" ht="13.5" x14ac:dyDescent="0.25">
      <c r="A2166" s="1"/>
      <c r="B2166" s="3">
        <v>45454</v>
      </c>
      <c r="C2166" s="4">
        <v>5.81</v>
      </c>
      <c r="D2166" s="4">
        <v>2.7494000000000001</v>
      </c>
      <c r="E2166" s="4">
        <v>2574</v>
      </c>
      <c r="F2166" s="4">
        <v>5.7949999999999999</v>
      </c>
      <c r="G2166" s="4">
        <v>14916.33</v>
      </c>
      <c r="H2166" s="5">
        <f t="shared" si="33"/>
        <v>3.5633569383757814E-2</v>
      </c>
    </row>
    <row r="2167" spans="1:8" ht="13.5" x14ac:dyDescent="0.25">
      <c r="A2167" s="1"/>
      <c r="B2167" s="3">
        <v>45455</v>
      </c>
      <c r="C2167" s="4">
        <v>5.9</v>
      </c>
      <c r="D2167" s="4">
        <v>2.7919999999999998</v>
      </c>
      <c r="E2167" s="4">
        <v>8224</v>
      </c>
      <c r="F2167" s="4">
        <v>5.8860000000000001</v>
      </c>
      <c r="G2167" s="4">
        <v>48406.464</v>
      </c>
      <c r="H2167" s="5">
        <f t="shared" si="33"/>
        <v>1.5494289663199151E-2</v>
      </c>
    </row>
    <row r="2168" spans="1:8" ht="13.5" x14ac:dyDescent="0.25">
      <c r="A2168" s="1"/>
      <c r="B2168" s="3">
        <v>45456</v>
      </c>
      <c r="C2168" s="4">
        <v>6.2</v>
      </c>
      <c r="D2168" s="4">
        <v>2.9340000000000002</v>
      </c>
      <c r="E2168" s="4">
        <v>6639</v>
      </c>
      <c r="F2168" s="4">
        <v>6.0010000000000003</v>
      </c>
      <c r="G2168" s="4">
        <v>39840.639000000003</v>
      </c>
      <c r="H2168" s="5">
        <f t="shared" si="33"/>
        <v>5.0859598853868322E-2</v>
      </c>
    </row>
    <row r="2169" spans="1:8" ht="13.5" x14ac:dyDescent="0.25">
      <c r="A2169" s="1"/>
      <c r="B2169" s="3">
        <v>45457</v>
      </c>
      <c r="C2169" s="4">
        <v>6.25</v>
      </c>
      <c r="D2169" s="4">
        <v>2.9575999999999998</v>
      </c>
      <c r="E2169" s="4">
        <v>30165</v>
      </c>
      <c r="F2169" s="4">
        <v>6.2409999999999997</v>
      </c>
      <c r="G2169" s="4">
        <v>188259.76500000001</v>
      </c>
      <c r="H2169" s="5">
        <f t="shared" si="33"/>
        <v>8.0436264485342947E-3</v>
      </c>
    </row>
    <row r="2170" spans="1:8" ht="13.5" x14ac:dyDescent="0.25">
      <c r="A2170" s="1"/>
      <c r="B2170" s="3">
        <v>45461</v>
      </c>
      <c r="C2170" s="4">
        <v>6.45</v>
      </c>
      <c r="D2170" s="4">
        <v>3.0522999999999998</v>
      </c>
      <c r="E2170" s="4">
        <v>1032</v>
      </c>
      <c r="F2170" s="4">
        <v>6.3490000000000002</v>
      </c>
      <c r="G2170" s="4">
        <v>6552.1679999999997</v>
      </c>
      <c r="H2170" s="5">
        <f t="shared" si="33"/>
        <v>3.2019204760616718E-2</v>
      </c>
    </row>
    <row r="2171" spans="1:8" ht="13.5" x14ac:dyDescent="0.25">
      <c r="A2171" s="1"/>
      <c r="B2171" s="3">
        <v>45462</v>
      </c>
      <c r="C2171" s="4">
        <v>6.49</v>
      </c>
      <c r="D2171" s="4">
        <v>3.0712000000000002</v>
      </c>
      <c r="E2171" s="4">
        <v>15395</v>
      </c>
      <c r="F2171" s="4">
        <v>6.4889999999999999</v>
      </c>
      <c r="G2171" s="4">
        <v>99898.154999999999</v>
      </c>
      <c r="H2171" s="5">
        <f t="shared" si="33"/>
        <v>6.1920518952921933E-3</v>
      </c>
    </row>
    <row r="2172" spans="1:8" ht="13.5" x14ac:dyDescent="0.25">
      <c r="A2172" s="1"/>
      <c r="B2172" s="3">
        <v>45463</v>
      </c>
      <c r="C2172" s="4">
        <v>6.52</v>
      </c>
      <c r="D2172" s="4">
        <v>3.0853999999999999</v>
      </c>
      <c r="E2172" s="4">
        <v>17338</v>
      </c>
      <c r="F2172" s="4">
        <v>6.47</v>
      </c>
      <c r="G2172" s="4">
        <v>112176.86</v>
      </c>
      <c r="H2172" s="5">
        <f t="shared" si="33"/>
        <v>4.6235998958061237E-3</v>
      </c>
    </row>
    <row r="2173" spans="1:8" ht="13.5" x14ac:dyDescent="0.25">
      <c r="A2173" s="1"/>
      <c r="B2173" s="3">
        <v>45464</v>
      </c>
      <c r="C2173" s="4">
        <v>6.9</v>
      </c>
      <c r="D2173" s="4">
        <v>3.2652000000000001</v>
      </c>
      <c r="E2173" s="4">
        <v>4009</v>
      </c>
      <c r="F2173" s="4">
        <v>6.8220000000000001</v>
      </c>
      <c r="G2173" s="4">
        <v>27349.398000000001</v>
      </c>
      <c r="H2173" s="5">
        <f t="shared" si="33"/>
        <v>5.8274453879561865E-2</v>
      </c>
    </row>
    <row r="2174" spans="1:8" ht="13.5" x14ac:dyDescent="0.25">
      <c r="A2174" s="1"/>
      <c r="B2174" s="3">
        <v>45467</v>
      </c>
      <c r="C2174" s="4">
        <v>6.88</v>
      </c>
      <c r="D2174" s="4">
        <v>3.2557</v>
      </c>
      <c r="E2174" s="4">
        <v>13931</v>
      </c>
      <c r="F2174" s="4">
        <v>6.8920000000000003</v>
      </c>
      <c r="G2174" s="4">
        <v>96012.452000000005</v>
      </c>
      <c r="H2174" s="5">
        <f t="shared" si="33"/>
        <v>-2.9094695577606467E-3</v>
      </c>
    </row>
    <row r="2175" spans="1:8" ht="13.5" x14ac:dyDescent="0.25">
      <c r="A2175" s="1"/>
      <c r="B2175" s="3">
        <v>45468</v>
      </c>
      <c r="C2175" s="4">
        <v>6.75</v>
      </c>
      <c r="D2175" s="4">
        <v>3.1941999999999999</v>
      </c>
      <c r="E2175" s="4">
        <v>2201</v>
      </c>
      <c r="F2175" s="4">
        <v>6.8360000000000003</v>
      </c>
      <c r="G2175" s="4">
        <v>15046.036</v>
      </c>
      <c r="H2175" s="5">
        <f t="shared" si="33"/>
        <v>-1.8889946862425934E-2</v>
      </c>
    </row>
    <row r="2176" spans="1:8" ht="13.5" x14ac:dyDescent="0.25">
      <c r="A2176" s="1"/>
      <c r="B2176" s="3">
        <v>45469</v>
      </c>
      <c r="C2176" s="4">
        <v>7.05</v>
      </c>
      <c r="D2176" s="4">
        <v>3.3361999999999998</v>
      </c>
      <c r="E2176" s="4">
        <v>41570</v>
      </c>
      <c r="F2176" s="4">
        <v>6.931</v>
      </c>
      <c r="G2176" s="4">
        <v>288121.67</v>
      </c>
      <c r="H2176" s="5">
        <f t="shared" si="33"/>
        <v>4.4455575731012428E-2</v>
      </c>
    </row>
    <row r="2177" spans="1:8" ht="13.5" x14ac:dyDescent="0.25">
      <c r="A2177" s="1"/>
      <c r="B2177" s="3">
        <v>45470</v>
      </c>
      <c r="C2177" s="4">
        <v>7.17</v>
      </c>
      <c r="D2177" s="4">
        <v>3.3929999999999998</v>
      </c>
      <c r="E2177" s="4">
        <v>19211</v>
      </c>
      <c r="F2177" s="4">
        <v>7.0780000000000003</v>
      </c>
      <c r="G2177" s="4">
        <v>135975.45800000001</v>
      </c>
      <c r="H2177" s="5">
        <f t="shared" si="33"/>
        <v>1.7025358191954908E-2</v>
      </c>
    </row>
    <row r="2178" spans="1:8" ht="13.5" x14ac:dyDescent="0.25">
      <c r="A2178" s="1"/>
      <c r="B2178" s="3">
        <v>45471</v>
      </c>
      <c r="C2178" s="4">
        <v>7.2</v>
      </c>
      <c r="D2178" s="4">
        <v>3.4072</v>
      </c>
      <c r="E2178" s="4">
        <v>11537</v>
      </c>
      <c r="F2178" s="4">
        <v>7.2539999999999996</v>
      </c>
      <c r="G2178" s="4">
        <v>83689.398000000001</v>
      </c>
      <c r="H2178" s="5">
        <f t="shared" si="33"/>
        <v>4.1850869437076964E-3</v>
      </c>
    </row>
    <row r="2179" spans="1:8" ht="13.5" x14ac:dyDescent="0.25">
      <c r="A2179" s="1"/>
      <c r="B2179" s="3">
        <v>45474</v>
      </c>
      <c r="C2179" s="4">
        <v>7.25</v>
      </c>
      <c r="D2179" s="4">
        <v>3.4308000000000001</v>
      </c>
      <c r="E2179" s="4">
        <v>8464</v>
      </c>
      <c r="F2179" s="4">
        <v>7.2629999999999999</v>
      </c>
      <c r="G2179" s="4">
        <v>61474.031999999999</v>
      </c>
      <c r="H2179" s="5">
        <f t="shared" si="33"/>
        <v>6.926508570086894E-3</v>
      </c>
    </row>
    <row r="2180" spans="1:8" ht="13.5" x14ac:dyDescent="0.25">
      <c r="A2180" s="1"/>
      <c r="B2180" s="3">
        <v>45475</v>
      </c>
      <c r="C2180" s="4">
        <v>7.24</v>
      </c>
      <c r="D2180" s="4">
        <v>3.4260999999999999</v>
      </c>
      <c r="E2180" s="4">
        <v>3703</v>
      </c>
      <c r="F2180" s="4">
        <v>7.2389999999999999</v>
      </c>
      <c r="G2180" s="4">
        <v>26806.017</v>
      </c>
      <c r="H2180" s="5">
        <f t="shared" si="33"/>
        <v>-1.3699428704675727E-3</v>
      </c>
    </row>
    <row r="2181" spans="1:8" ht="13.5" x14ac:dyDescent="0.25">
      <c r="A2181" s="1"/>
      <c r="B2181" s="3">
        <v>45476</v>
      </c>
      <c r="C2181" s="4">
        <v>7.25</v>
      </c>
      <c r="D2181" s="4">
        <v>3.4308000000000001</v>
      </c>
      <c r="E2181" s="4">
        <v>1741</v>
      </c>
      <c r="F2181" s="4">
        <v>7.2460000000000004</v>
      </c>
      <c r="G2181" s="4">
        <v>12615.286</v>
      </c>
      <c r="H2181" s="5">
        <f t="shared" si="33"/>
        <v>1.3718221884942497E-3</v>
      </c>
    </row>
    <row r="2182" spans="1:8" ht="13.5" x14ac:dyDescent="0.25">
      <c r="A2182" s="1"/>
      <c r="B2182" s="3">
        <v>45477</v>
      </c>
      <c r="C2182" s="4">
        <v>7.15</v>
      </c>
      <c r="D2182" s="4">
        <v>3.3835000000000002</v>
      </c>
      <c r="E2182" s="4">
        <v>840</v>
      </c>
      <c r="F2182" s="4">
        <v>7.226</v>
      </c>
      <c r="G2182" s="4">
        <v>6069.84</v>
      </c>
      <c r="H2182" s="5">
        <f t="shared" si="33"/>
        <v>-1.3786871866620001E-2</v>
      </c>
    </row>
    <row r="2183" spans="1:8" ht="13.5" x14ac:dyDescent="0.25">
      <c r="A2183" s="1"/>
      <c r="B2183" s="3">
        <v>45478</v>
      </c>
      <c r="C2183" s="4">
        <v>7.28</v>
      </c>
      <c r="D2183" s="4">
        <v>3.4449999999999998</v>
      </c>
      <c r="E2183" s="4">
        <v>5120</v>
      </c>
      <c r="F2183" s="4">
        <v>7.2750000000000004</v>
      </c>
      <c r="G2183" s="4">
        <v>37248</v>
      </c>
      <c r="H2183" s="5">
        <f t="shared" ref="H2183:H2246" si="34">(D2183-D2182)/D2182</f>
        <v>1.8176444510122555E-2</v>
      </c>
    </row>
    <row r="2184" spans="1:8" ht="13.5" x14ac:dyDescent="0.25">
      <c r="A2184" s="1"/>
      <c r="B2184" s="3">
        <v>45481</v>
      </c>
      <c r="C2184" s="4">
        <v>7.28</v>
      </c>
      <c r="D2184" s="4">
        <v>3.4449999999999998</v>
      </c>
      <c r="E2184" s="4">
        <v>53</v>
      </c>
      <c r="F2184" s="4">
        <v>7.2869999999999999</v>
      </c>
      <c r="G2184" s="4">
        <v>386.21100000000001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7.38</v>
      </c>
      <c r="D2185" s="4">
        <v>3.4923999999999999</v>
      </c>
      <c r="E2185" s="4">
        <v>3300</v>
      </c>
      <c r="F2185" s="4">
        <v>7.2869999999999999</v>
      </c>
      <c r="G2185" s="4">
        <v>24047.1</v>
      </c>
      <c r="H2185" s="5">
        <f t="shared" si="34"/>
        <v>1.3759071117561715E-2</v>
      </c>
    </row>
    <row r="2186" spans="1:8" ht="13.5" x14ac:dyDescent="0.25">
      <c r="A2186" s="1"/>
      <c r="B2186" s="3">
        <v>45483</v>
      </c>
      <c r="C2186" s="4">
        <v>7.37</v>
      </c>
      <c r="D2186" s="4">
        <v>3.4876</v>
      </c>
      <c r="E2186" s="4">
        <v>250</v>
      </c>
      <c r="F2186" s="4">
        <v>7.37</v>
      </c>
      <c r="G2186" s="4">
        <v>1842.5</v>
      </c>
      <c r="H2186" s="5">
        <f t="shared" si="34"/>
        <v>-1.3744130111098144E-3</v>
      </c>
    </row>
    <row r="2187" spans="1:8" ht="13.5" x14ac:dyDescent="0.25">
      <c r="A2187" s="1"/>
      <c r="B2187" s="3">
        <v>45484</v>
      </c>
      <c r="C2187" s="4">
        <v>7.3</v>
      </c>
      <c r="D2187" s="4">
        <v>3.5510999999999999</v>
      </c>
      <c r="E2187" s="4">
        <v>3753</v>
      </c>
      <c r="F2187" s="4">
        <v>7.1829999999999998</v>
      </c>
      <c r="G2187" s="4">
        <v>26957.798999999999</v>
      </c>
      <c r="H2187" s="5">
        <f t="shared" si="34"/>
        <v>1.8207363229728147E-2</v>
      </c>
    </row>
    <row r="2188" spans="1:8" ht="13.5" x14ac:dyDescent="0.25">
      <c r="A2188" s="1"/>
      <c r="B2188" s="3">
        <v>45485</v>
      </c>
      <c r="C2188" s="4">
        <v>7.47</v>
      </c>
      <c r="D2188" s="4">
        <v>3.6337999999999999</v>
      </c>
      <c r="E2188" s="4">
        <v>2933</v>
      </c>
      <c r="F2188" s="4">
        <v>7.49</v>
      </c>
      <c r="G2188" s="4">
        <v>21968.17</v>
      </c>
      <c r="H2188" s="5">
        <f t="shared" si="34"/>
        <v>2.328855847483878E-2</v>
      </c>
    </row>
    <row r="2189" spans="1:8" ht="13.5" x14ac:dyDescent="0.25">
      <c r="A2189" s="1"/>
      <c r="B2189" s="3">
        <v>45488</v>
      </c>
      <c r="C2189" s="4">
        <v>7.4</v>
      </c>
      <c r="D2189" s="4">
        <v>3.5996999999999999</v>
      </c>
      <c r="E2189" s="4">
        <v>6220</v>
      </c>
      <c r="F2189" s="4">
        <v>7.4489999999999998</v>
      </c>
      <c r="G2189" s="4">
        <v>46332.78</v>
      </c>
      <c r="H2189" s="5">
        <f t="shared" si="34"/>
        <v>-9.3841158016401624E-3</v>
      </c>
    </row>
    <row r="2190" spans="1:8" ht="13.5" x14ac:dyDescent="0.25">
      <c r="A2190" s="1"/>
      <c r="B2190" s="3">
        <v>45489</v>
      </c>
      <c r="C2190" s="4">
        <v>7.45</v>
      </c>
      <c r="D2190" s="4">
        <v>3.6240999999999999</v>
      </c>
      <c r="E2190" s="4">
        <v>1</v>
      </c>
      <c r="F2190" s="4">
        <v>7.45</v>
      </c>
      <c r="G2190" s="4">
        <v>7.45</v>
      </c>
      <c r="H2190" s="5">
        <f t="shared" si="34"/>
        <v>6.7783426396644106E-3</v>
      </c>
    </row>
    <row r="2191" spans="1:8" ht="13.5" x14ac:dyDescent="0.25">
      <c r="A2191" s="1"/>
      <c r="B2191" s="3">
        <v>45490</v>
      </c>
      <c r="C2191" s="4">
        <v>7.45</v>
      </c>
      <c r="D2191" s="4">
        <v>3.6240999999999999</v>
      </c>
      <c r="E2191" s="4">
        <v>6</v>
      </c>
      <c r="F2191" s="4">
        <v>7.45</v>
      </c>
      <c r="G2191" s="4">
        <v>44.7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7.48</v>
      </c>
      <c r="D2192" s="4">
        <v>3.6385999999999998</v>
      </c>
      <c r="E2192" s="4">
        <v>3416</v>
      </c>
      <c r="F2192" s="4">
        <v>7.4450000000000003</v>
      </c>
      <c r="G2192" s="4">
        <v>25432.12</v>
      </c>
      <c r="H2192" s="5">
        <f t="shared" si="34"/>
        <v>4.0009933500731098E-3</v>
      </c>
    </row>
    <row r="2193" spans="1:8" ht="13.5" x14ac:dyDescent="0.25">
      <c r="A2193" s="1"/>
      <c r="B2193" s="3">
        <v>45492</v>
      </c>
      <c r="C2193" s="4">
        <v>7.75</v>
      </c>
      <c r="D2193" s="4">
        <v>3.77</v>
      </c>
      <c r="E2193" s="4">
        <v>5027</v>
      </c>
      <c r="F2193" s="4">
        <v>7.6379999999999999</v>
      </c>
      <c r="G2193" s="4">
        <v>38396.226000000002</v>
      </c>
      <c r="H2193" s="5">
        <f t="shared" si="34"/>
        <v>3.6112790633760286E-2</v>
      </c>
    </row>
    <row r="2194" spans="1:8" ht="13.5" x14ac:dyDescent="0.25">
      <c r="A2194" s="1"/>
      <c r="B2194" s="3">
        <v>45495</v>
      </c>
      <c r="C2194" s="4">
        <v>7.9</v>
      </c>
      <c r="D2194" s="4">
        <v>3.843</v>
      </c>
      <c r="E2194" s="4">
        <v>5138</v>
      </c>
      <c r="F2194" s="4">
        <v>7.9</v>
      </c>
      <c r="G2194" s="4">
        <v>40590.199999999997</v>
      </c>
      <c r="H2194" s="5">
        <f t="shared" si="34"/>
        <v>1.9363395225464177E-2</v>
      </c>
    </row>
    <row r="2195" spans="1:8" ht="13.5" x14ac:dyDescent="0.25">
      <c r="A2195" s="1"/>
      <c r="B2195" s="3">
        <v>45496</v>
      </c>
      <c r="C2195" s="4">
        <v>8.34</v>
      </c>
      <c r="D2195" s="4">
        <v>4.0570000000000004</v>
      </c>
      <c r="E2195" s="4">
        <v>3939</v>
      </c>
      <c r="F2195" s="4">
        <v>7.9669999999999996</v>
      </c>
      <c r="G2195" s="4">
        <v>31382.012999999999</v>
      </c>
      <c r="H2195" s="5">
        <f t="shared" si="34"/>
        <v>5.5685662243039398E-2</v>
      </c>
    </row>
    <row r="2196" spans="1:8" ht="13.5" x14ac:dyDescent="0.25">
      <c r="A2196" s="1"/>
      <c r="B2196" s="3">
        <v>45497</v>
      </c>
      <c r="C2196" s="4">
        <v>8.14</v>
      </c>
      <c r="D2196" s="4">
        <v>3.9597000000000002</v>
      </c>
      <c r="E2196" s="4">
        <v>12726</v>
      </c>
      <c r="F2196" s="4">
        <v>8.3689999999999998</v>
      </c>
      <c r="G2196" s="4">
        <v>106503.894</v>
      </c>
      <c r="H2196" s="5">
        <f t="shared" si="34"/>
        <v>-2.3983238846438291E-2</v>
      </c>
    </row>
    <row r="2197" spans="1:8" ht="13.5" x14ac:dyDescent="0.25">
      <c r="A2197" s="1"/>
      <c r="B2197" s="3">
        <v>45499</v>
      </c>
      <c r="C2197" s="4">
        <v>8.1999999999999993</v>
      </c>
      <c r="D2197" s="4">
        <v>3.9889000000000001</v>
      </c>
      <c r="E2197" s="4">
        <v>4000</v>
      </c>
      <c r="F2197" s="4">
        <v>8.2959999999999994</v>
      </c>
      <c r="G2197" s="4">
        <v>33184</v>
      </c>
      <c r="H2197" s="5">
        <f t="shared" si="34"/>
        <v>7.3742960325276895E-3</v>
      </c>
    </row>
    <row r="2198" spans="1:8" ht="13.5" x14ac:dyDescent="0.25">
      <c r="A2198" s="1"/>
      <c r="B2198" s="3">
        <v>45502</v>
      </c>
      <c r="C2198" s="4">
        <v>8.1999999999999993</v>
      </c>
      <c r="D2198" s="4">
        <v>3.9889000000000001</v>
      </c>
      <c r="E2198" s="4">
        <v>501</v>
      </c>
      <c r="F2198" s="4">
        <v>8.1999999999999993</v>
      </c>
      <c r="G2198" s="4">
        <v>4108.2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8.14</v>
      </c>
      <c r="D2199" s="4">
        <v>3.9597000000000002</v>
      </c>
      <c r="E2199" s="4">
        <v>145</v>
      </c>
      <c r="F2199" s="4">
        <v>8.1660000000000004</v>
      </c>
      <c r="G2199" s="4">
        <v>1184.07</v>
      </c>
      <c r="H2199" s="5">
        <f t="shared" si="34"/>
        <v>-7.3203138709919758E-3</v>
      </c>
    </row>
    <row r="2200" spans="1:8" ht="13.5" x14ac:dyDescent="0.25">
      <c r="A2200" s="1"/>
      <c r="B2200" s="3">
        <v>45504</v>
      </c>
      <c r="C2200" s="4">
        <v>7.8</v>
      </c>
      <c r="D2200" s="4">
        <v>3.7942999999999998</v>
      </c>
      <c r="E2200" s="4">
        <v>86</v>
      </c>
      <c r="F2200" s="4">
        <v>7.8230000000000004</v>
      </c>
      <c r="G2200" s="4">
        <v>672.77800000000002</v>
      </c>
      <c r="H2200" s="5">
        <f t="shared" si="34"/>
        <v>-4.1770841225345461E-2</v>
      </c>
    </row>
    <row r="2201" spans="1:8" ht="13.5" x14ac:dyDescent="0.25">
      <c r="A2201" s="1"/>
      <c r="B2201" s="3">
        <v>45505</v>
      </c>
      <c r="C2201" s="4">
        <v>8</v>
      </c>
      <c r="D2201" s="4">
        <v>3.8915999999999999</v>
      </c>
      <c r="E2201" s="4">
        <v>379</v>
      </c>
      <c r="F2201" s="4">
        <v>8.0150000000000006</v>
      </c>
      <c r="G2201" s="4">
        <v>3037.6849999999999</v>
      </c>
      <c r="H2201" s="5">
        <f t="shared" si="34"/>
        <v>2.5643728751021312E-2</v>
      </c>
    </row>
    <row r="2202" spans="1:8" ht="13.5" x14ac:dyDescent="0.25">
      <c r="A2202" s="1"/>
      <c r="B2202" s="3">
        <v>45506</v>
      </c>
      <c r="C2202" s="4">
        <v>7.99</v>
      </c>
      <c r="D2202" s="4">
        <v>3.8866999999999998</v>
      </c>
      <c r="E2202" s="4">
        <v>269</v>
      </c>
      <c r="F2202" s="4">
        <v>7.9909999999999997</v>
      </c>
      <c r="G2202" s="4">
        <v>2149.5790000000002</v>
      </c>
      <c r="H2202" s="5">
        <f t="shared" si="34"/>
        <v>-1.259122211943706E-3</v>
      </c>
    </row>
    <row r="2203" spans="1:8" ht="13.5" x14ac:dyDescent="0.25">
      <c r="A2203" s="1"/>
      <c r="B2203" s="3">
        <v>45509</v>
      </c>
      <c r="C2203" s="4">
        <v>8.1</v>
      </c>
      <c r="D2203" s="4">
        <v>3.9401999999999999</v>
      </c>
      <c r="E2203" s="4">
        <v>28</v>
      </c>
      <c r="F2203" s="4">
        <v>8.0879999999999992</v>
      </c>
      <c r="G2203" s="4">
        <v>226.464</v>
      </c>
      <c r="H2203" s="5">
        <f t="shared" si="34"/>
        <v>1.3764890524095017E-2</v>
      </c>
    </row>
    <row r="2204" spans="1:8" ht="13.5" x14ac:dyDescent="0.25">
      <c r="A2204" s="1"/>
      <c r="B2204" s="3">
        <v>45510</v>
      </c>
      <c r="C2204" s="4">
        <v>8.09</v>
      </c>
      <c r="D2204" s="4">
        <v>3.9354</v>
      </c>
      <c r="E2204" s="4">
        <v>114</v>
      </c>
      <c r="F2204" s="4">
        <v>8.2129999999999992</v>
      </c>
      <c r="G2204" s="4">
        <v>936.28200000000004</v>
      </c>
      <c r="H2204" s="5">
        <f t="shared" si="34"/>
        <v>-1.2182122734886341E-3</v>
      </c>
    </row>
    <row r="2205" spans="1:8" ht="13.5" x14ac:dyDescent="0.25">
      <c r="A2205" s="1"/>
      <c r="B2205" s="3">
        <v>45511</v>
      </c>
      <c r="C2205" s="4">
        <v>8.1999999999999993</v>
      </c>
      <c r="D2205" s="4">
        <v>3.9889000000000001</v>
      </c>
      <c r="E2205" s="4">
        <v>25</v>
      </c>
      <c r="F2205" s="4">
        <v>8.0329999999999995</v>
      </c>
      <c r="G2205" s="4">
        <v>200.82499999999999</v>
      </c>
      <c r="H2205" s="5">
        <f t="shared" si="34"/>
        <v>1.359455201504297E-2</v>
      </c>
    </row>
    <row r="2206" spans="1:8" ht="13.5" x14ac:dyDescent="0.25">
      <c r="A2206" s="1"/>
      <c r="B2206" s="3">
        <v>45512</v>
      </c>
      <c r="C2206" s="4">
        <v>8.25</v>
      </c>
      <c r="D2206" s="4">
        <v>4.0132000000000003</v>
      </c>
      <c r="E2206" s="4">
        <v>25</v>
      </c>
      <c r="F2206" s="4">
        <v>8.25</v>
      </c>
      <c r="G2206" s="4">
        <v>206.25</v>
      </c>
      <c r="H2206" s="5">
        <f t="shared" si="34"/>
        <v>6.0919050364762741E-3</v>
      </c>
    </row>
    <row r="2207" spans="1:8" ht="13.5" x14ac:dyDescent="0.25">
      <c r="A2207" s="1"/>
      <c r="B2207" s="3">
        <v>45513</v>
      </c>
      <c r="C2207" s="4">
        <v>8.0299999999999994</v>
      </c>
      <c r="D2207" s="4">
        <v>3.9062000000000001</v>
      </c>
      <c r="E2207" s="4">
        <v>61</v>
      </c>
      <c r="F2207" s="4">
        <v>8.0299999999999994</v>
      </c>
      <c r="G2207" s="4">
        <v>489.83</v>
      </c>
      <c r="H2207" s="5">
        <f t="shared" si="34"/>
        <v>-2.6662015349347205E-2</v>
      </c>
    </row>
    <row r="2208" spans="1:8" ht="13.5" x14ac:dyDescent="0.25">
      <c r="A2208" s="1"/>
      <c r="B2208" s="3">
        <v>45516</v>
      </c>
      <c r="C2208" s="4">
        <v>7.9</v>
      </c>
      <c r="D2208" s="4">
        <v>3.843</v>
      </c>
      <c r="E2208" s="4">
        <v>402</v>
      </c>
      <c r="F2208" s="4">
        <v>7.9</v>
      </c>
      <c r="G2208" s="4">
        <v>3175.8</v>
      </c>
      <c r="H2208" s="5">
        <f t="shared" si="34"/>
        <v>-1.6179407096410872E-2</v>
      </c>
    </row>
    <row r="2209" spans="1:8" ht="13.5" x14ac:dyDescent="0.25">
      <c r="A2209" s="1"/>
      <c r="B2209" s="3">
        <v>45518</v>
      </c>
      <c r="C2209" s="4">
        <v>7.9</v>
      </c>
      <c r="D2209" s="4">
        <v>3.843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8</v>
      </c>
      <c r="D2210" s="4">
        <v>3.8915999999999999</v>
      </c>
      <c r="E2210" s="4">
        <v>173</v>
      </c>
      <c r="F2210" s="4">
        <v>7.867</v>
      </c>
      <c r="G2210" s="4">
        <v>1360.991</v>
      </c>
      <c r="H2210" s="5">
        <f t="shared" si="34"/>
        <v>1.2646370023419198E-2</v>
      </c>
    </row>
    <row r="2211" spans="1:8" ht="13.5" x14ac:dyDescent="0.25">
      <c r="A2211" s="1"/>
      <c r="B2211" s="3">
        <v>45520</v>
      </c>
      <c r="C2211" s="4">
        <v>8.1</v>
      </c>
      <c r="D2211" s="4">
        <v>3.9401999999999999</v>
      </c>
      <c r="E2211" s="4">
        <v>1200</v>
      </c>
      <c r="F2211" s="4">
        <v>8.1120000000000001</v>
      </c>
      <c r="G2211" s="4">
        <v>9734.4</v>
      </c>
      <c r="H2211" s="5">
        <f t="shared" si="34"/>
        <v>1.248843663274745E-2</v>
      </c>
    </row>
    <row r="2212" spans="1:8" ht="13.5" x14ac:dyDescent="0.25">
      <c r="A2212" s="1"/>
      <c r="B2212" s="3">
        <v>45523</v>
      </c>
      <c r="C2212" s="4">
        <v>8.1</v>
      </c>
      <c r="D2212" s="4">
        <v>3.9401999999999999</v>
      </c>
      <c r="E2212" s="4">
        <v>10</v>
      </c>
      <c r="F2212" s="4">
        <v>8.1</v>
      </c>
      <c r="G2212" s="4">
        <v>81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8.1</v>
      </c>
      <c r="D2213" s="4">
        <v>3.9401999999999999</v>
      </c>
      <c r="E2213" s="4">
        <v>10</v>
      </c>
      <c r="F2213" s="4">
        <v>8.1</v>
      </c>
      <c r="G2213" s="4">
        <v>81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8.1</v>
      </c>
      <c r="D2214" s="4">
        <v>3.9401999999999999</v>
      </c>
      <c r="E2214" s="4">
        <v>10</v>
      </c>
      <c r="F2214" s="4">
        <v>8.1</v>
      </c>
      <c r="G2214" s="4">
        <v>81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8</v>
      </c>
      <c r="D2215" s="4">
        <v>3.8915999999999999</v>
      </c>
      <c r="E2215" s="4">
        <v>92</v>
      </c>
      <c r="F2215" s="4">
        <v>8.0129999999999999</v>
      </c>
      <c r="G2215" s="4">
        <v>737.19600000000003</v>
      </c>
      <c r="H2215" s="5">
        <f t="shared" si="34"/>
        <v>-1.233439926907263E-2</v>
      </c>
    </row>
    <row r="2216" spans="1:8" ht="13.5" x14ac:dyDescent="0.25">
      <c r="A2216" s="1"/>
      <c r="B2216" s="3">
        <v>45527</v>
      </c>
      <c r="C2216" s="4">
        <v>8</v>
      </c>
      <c r="D2216" s="4">
        <v>3.8915999999999999</v>
      </c>
      <c r="E2216" s="4">
        <v>0</v>
      </c>
      <c r="F2216" s="4">
        <v>0</v>
      </c>
      <c r="G2216" s="4">
        <v>0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8.09</v>
      </c>
      <c r="D2217" s="4">
        <v>3.9354</v>
      </c>
      <c r="E2217" s="4">
        <v>115</v>
      </c>
      <c r="F2217" s="4">
        <v>8.0120000000000005</v>
      </c>
      <c r="G2217" s="4">
        <v>921.38</v>
      </c>
      <c r="H2217" s="5">
        <f t="shared" si="34"/>
        <v>1.1255010792476119E-2</v>
      </c>
    </row>
    <row r="2218" spans="1:8" ht="13.5" x14ac:dyDescent="0.25">
      <c r="A2218" s="1"/>
      <c r="B2218" s="3">
        <v>45531</v>
      </c>
      <c r="C2218" s="4">
        <v>8</v>
      </c>
      <c r="D2218" s="4">
        <v>3.8915999999999999</v>
      </c>
      <c r="E2218" s="4">
        <v>60</v>
      </c>
      <c r="F2218" s="4">
        <v>8.0150000000000006</v>
      </c>
      <c r="G2218" s="4">
        <v>480.9</v>
      </c>
      <c r="H2218" s="5">
        <f t="shared" si="34"/>
        <v>-1.1129745388016482E-2</v>
      </c>
    </row>
    <row r="2219" spans="1:8" ht="13.5" x14ac:dyDescent="0.25">
      <c r="A2219" s="1"/>
      <c r="B2219" s="3">
        <v>45532</v>
      </c>
      <c r="C2219" s="4">
        <v>8.08</v>
      </c>
      <c r="D2219" s="4">
        <v>3.9304999999999999</v>
      </c>
      <c r="E2219" s="4">
        <v>55</v>
      </c>
      <c r="F2219" s="4">
        <v>8.0289999999999999</v>
      </c>
      <c r="G2219" s="4">
        <v>441.59500000000003</v>
      </c>
      <c r="H2219" s="5">
        <f t="shared" si="34"/>
        <v>9.9958885805324117E-3</v>
      </c>
    </row>
    <row r="2220" spans="1:8" ht="13.5" x14ac:dyDescent="0.25">
      <c r="A2220" s="1"/>
      <c r="B2220" s="3">
        <v>45533</v>
      </c>
      <c r="C2220" s="4">
        <v>8.09</v>
      </c>
      <c r="D2220" s="4">
        <v>3.9354</v>
      </c>
      <c r="E2220" s="4">
        <v>20</v>
      </c>
      <c r="F2220" s="4">
        <v>8.0850000000000009</v>
      </c>
      <c r="G2220" s="4">
        <v>161.69999999999999</v>
      </c>
      <c r="H2220" s="5">
        <f t="shared" si="34"/>
        <v>1.2466607301870314E-3</v>
      </c>
    </row>
    <row r="2221" spans="1:8" ht="13.5" x14ac:dyDescent="0.25">
      <c r="A2221" s="1"/>
      <c r="B2221" s="3">
        <v>45534</v>
      </c>
      <c r="C2221" s="4">
        <v>8.09</v>
      </c>
      <c r="D2221" s="4">
        <v>3.9354</v>
      </c>
      <c r="E2221" s="4">
        <v>10</v>
      </c>
      <c r="F2221" s="4">
        <v>8.09</v>
      </c>
      <c r="G2221" s="4">
        <v>80.900000000000006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8.1999999999999993</v>
      </c>
      <c r="D2222" s="4">
        <v>3.9889000000000001</v>
      </c>
      <c r="E2222" s="4">
        <v>5</v>
      </c>
      <c r="F2222" s="4">
        <v>8.1999999999999993</v>
      </c>
      <c r="G2222" s="4">
        <v>41</v>
      </c>
      <c r="H2222" s="5">
        <f t="shared" si="34"/>
        <v>1.359455201504297E-2</v>
      </c>
    </row>
    <row r="2223" spans="1:8" ht="13.5" x14ac:dyDescent="0.25">
      <c r="A2223" s="1"/>
      <c r="B2223" s="3">
        <v>45538</v>
      </c>
      <c r="C2223" s="4">
        <v>8.4</v>
      </c>
      <c r="D2223" s="4">
        <v>4.0861999999999998</v>
      </c>
      <c r="E2223" s="4">
        <v>2209</v>
      </c>
      <c r="F2223" s="4">
        <v>8.3889999999999993</v>
      </c>
      <c r="G2223" s="4">
        <v>18531.300999999999</v>
      </c>
      <c r="H2223" s="5">
        <f t="shared" si="34"/>
        <v>2.4392689713956157E-2</v>
      </c>
    </row>
    <row r="2224" spans="1:8" ht="13.5" x14ac:dyDescent="0.25">
      <c r="A2224" s="1"/>
      <c r="B2224" s="3">
        <v>45539</v>
      </c>
      <c r="C2224" s="4">
        <v>8.41</v>
      </c>
      <c r="D2224" s="4">
        <v>4.0910000000000002</v>
      </c>
      <c r="E2224" s="4">
        <v>1311</v>
      </c>
      <c r="F2224" s="4">
        <v>8.3889999999999993</v>
      </c>
      <c r="G2224" s="4">
        <v>10997.978999999999</v>
      </c>
      <c r="H2224" s="5">
        <f t="shared" si="34"/>
        <v>1.174685526895492E-3</v>
      </c>
    </row>
    <row r="2225" spans="1:8" ht="13.5" x14ac:dyDescent="0.25">
      <c r="A2225" s="1"/>
      <c r="B2225" s="3">
        <v>45540</v>
      </c>
      <c r="C2225" s="4">
        <v>8.1999999999999993</v>
      </c>
      <c r="D2225" s="4">
        <v>3.9889000000000001</v>
      </c>
      <c r="E2225" s="4">
        <v>1348</v>
      </c>
      <c r="F2225" s="4">
        <v>8.2889999999999997</v>
      </c>
      <c r="G2225" s="4">
        <v>11173.572</v>
      </c>
      <c r="H2225" s="5">
        <f t="shared" si="34"/>
        <v>-2.4957223172818399E-2</v>
      </c>
    </row>
    <row r="2226" spans="1:8" ht="13.5" x14ac:dyDescent="0.25">
      <c r="A2226" s="1"/>
      <c r="B2226" s="3">
        <v>45541</v>
      </c>
      <c r="C2226" s="4">
        <v>8.18</v>
      </c>
      <c r="D2226" s="4">
        <v>3.9792000000000001</v>
      </c>
      <c r="E2226" s="4">
        <v>1723</v>
      </c>
      <c r="F2226" s="4">
        <v>8.1880000000000006</v>
      </c>
      <c r="G2226" s="4">
        <v>14107.924000000001</v>
      </c>
      <c r="H2226" s="5">
        <f t="shared" si="34"/>
        <v>-2.4317481009802308E-3</v>
      </c>
    </row>
    <row r="2227" spans="1:8" ht="13.5" x14ac:dyDescent="0.25">
      <c r="A2227" s="1"/>
      <c r="B2227" s="3">
        <v>45544</v>
      </c>
      <c r="C2227" s="4">
        <v>8.18</v>
      </c>
      <c r="D2227" s="4">
        <v>3.9792000000000001</v>
      </c>
      <c r="E2227" s="4">
        <v>4</v>
      </c>
      <c r="F2227" s="4">
        <v>8.18</v>
      </c>
      <c r="G2227" s="4">
        <v>32.72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8.35</v>
      </c>
      <c r="D2228" s="4">
        <v>4.0618999999999996</v>
      </c>
      <c r="E2228" s="4">
        <v>1686</v>
      </c>
      <c r="F2228" s="4">
        <v>8.2959999999999994</v>
      </c>
      <c r="G2228" s="4">
        <v>13987.056</v>
      </c>
      <c r="H2228" s="5">
        <f t="shared" si="34"/>
        <v>2.0783071974266071E-2</v>
      </c>
    </row>
    <row r="2229" spans="1:8" ht="13.5" x14ac:dyDescent="0.25">
      <c r="A2229" s="1"/>
      <c r="B2229" s="3">
        <v>45546</v>
      </c>
      <c r="C2229" s="4">
        <v>8.35</v>
      </c>
      <c r="D2229" s="4">
        <v>4.0618999999999996</v>
      </c>
      <c r="E2229" s="4">
        <v>1025</v>
      </c>
      <c r="F2229" s="4">
        <v>8.3059999999999992</v>
      </c>
      <c r="G2229" s="4">
        <v>8513.65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8.35</v>
      </c>
      <c r="D2230" s="4">
        <v>4.0618999999999996</v>
      </c>
      <c r="E2230" s="4">
        <v>30</v>
      </c>
      <c r="F2230" s="4">
        <v>8.35</v>
      </c>
      <c r="G2230" s="4">
        <v>250.5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8.32</v>
      </c>
      <c r="D2231" s="4">
        <v>4.0472999999999999</v>
      </c>
      <c r="E2231" s="4">
        <v>784</v>
      </c>
      <c r="F2231" s="4">
        <v>8.3490000000000002</v>
      </c>
      <c r="G2231" s="4">
        <v>6545.616</v>
      </c>
      <c r="H2231" s="5">
        <f t="shared" si="34"/>
        <v>-3.5943770156822486E-3</v>
      </c>
    </row>
    <row r="2232" spans="1:8" ht="13.5" x14ac:dyDescent="0.25">
      <c r="A2232" s="1"/>
      <c r="B2232" s="3">
        <v>45551</v>
      </c>
      <c r="C2232" s="4">
        <v>8.3000000000000007</v>
      </c>
      <c r="D2232" s="4">
        <v>4.0374999999999996</v>
      </c>
      <c r="E2232" s="4">
        <v>646</v>
      </c>
      <c r="F2232" s="4">
        <v>8.1609999999999996</v>
      </c>
      <c r="G2232" s="4">
        <v>5272.0060000000003</v>
      </c>
      <c r="H2232" s="5">
        <f t="shared" si="34"/>
        <v>-2.4213673313073537E-3</v>
      </c>
    </row>
    <row r="2233" spans="1:8" ht="13.5" x14ac:dyDescent="0.25">
      <c r="A2233" s="1"/>
      <c r="B2233" s="3">
        <v>45552</v>
      </c>
      <c r="C2233" s="4">
        <v>8.3000000000000007</v>
      </c>
      <c r="D2233" s="4">
        <v>4.0374999999999996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8.3000000000000007</v>
      </c>
      <c r="D2234" s="4">
        <v>4.0374999999999996</v>
      </c>
      <c r="E2234" s="4">
        <v>316</v>
      </c>
      <c r="F2234" s="4">
        <v>8.2080000000000002</v>
      </c>
      <c r="G2234" s="4">
        <v>2593.7280000000001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8</v>
      </c>
      <c r="D2235" s="4">
        <v>3.8915999999999999</v>
      </c>
      <c r="E2235" s="4">
        <v>3</v>
      </c>
      <c r="F2235" s="4">
        <v>8</v>
      </c>
      <c r="G2235" s="4">
        <v>24</v>
      </c>
      <c r="H2235" s="5">
        <f t="shared" si="34"/>
        <v>-3.6136222910216648E-2</v>
      </c>
    </row>
    <row r="2236" spans="1:8" ht="13.5" x14ac:dyDescent="0.25">
      <c r="A2236" s="1"/>
      <c r="B2236" s="3">
        <v>45555</v>
      </c>
      <c r="C2236" s="4">
        <v>8.1999999999999993</v>
      </c>
      <c r="D2236" s="4">
        <v>3.9889000000000001</v>
      </c>
      <c r="E2236" s="4">
        <v>741</v>
      </c>
      <c r="F2236" s="4">
        <v>8.0060000000000002</v>
      </c>
      <c r="G2236" s="4">
        <v>5932.4459999999999</v>
      </c>
      <c r="H2236" s="5">
        <f t="shared" si="34"/>
        <v>2.5002569637167276E-2</v>
      </c>
    </row>
    <row r="2237" spans="1:8" ht="13.5" x14ac:dyDescent="0.25">
      <c r="A2237" s="1"/>
      <c r="B2237" s="3">
        <v>45558</v>
      </c>
      <c r="C2237" s="4">
        <v>8.0500000000000007</v>
      </c>
      <c r="D2237" s="4">
        <v>3.9159000000000002</v>
      </c>
      <c r="E2237" s="4">
        <v>281</v>
      </c>
      <c r="F2237" s="4">
        <v>8.0619999999999994</v>
      </c>
      <c r="G2237" s="4">
        <v>2265.422</v>
      </c>
      <c r="H2237" s="5">
        <f t="shared" si="34"/>
        <v>-1.8300784677479996E-2</v>
      </c>
    </row>
    <row r="2238" spans="1:8" ht="13.5" x14ac:dyDescent="0.25">
      <c r="A2238" s="1"/>
      <c r="B2238" s="3">
        <v>45559</v>
      </c>
      <c r="C2238" s="4">
        <v>8.0500000000000007</v>
      </c>
      <c r="D2238" s="4">
        <v>3.9159000000000002</v>
      </c>
      <c r="E2238" s="4">
        <v>10120</v>
      </c>
      <c r="F2238" s="4">
        <v>8.0020000000000007</v>
      </c>
      <c r="G2238" s="4">
        <v>80980.240000000005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8.15</v>
      </c>
      <c r="D2239" s="4">
        <v>3.9645999999999999</v>
      </c>
      <c r="E2239" s="4">
        <v>2445</v>
      </c>
      <c r="F2239" s="4">
        <v>8.1980000000000004</v>
      </c>
      <c r="G2239" s="4">
        <v>20044.11</v>
      </c>
      <c r="H2239" s="5">
        <f t="shared" si="34"/>
        <v>1.2436476927398488E-2</v>
      </c>
    </row>
    <row r="2240" spans="1:8" ht="13.5" x14ac:dyDescent="0.25">
      <c r="A2240" s="1"/>
      <c r="B2240" s="3">
        <v>45561</v>
      </c>
      <c r="C2240" s="4">
        <v>8.15</v>
      </c>
      <c r="D2240" s="4">
        <v>3.9645999999999999</v>
      </c>
      <c r="E2240" s="4">
        <v>1738</v>
      </c>
      <c r="F2240" s="4">
        <v>8.1590000000000007</v>
      </c>
      <c r="G2240" s="4">
        <v>14180.342000000001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8.16</v>
      </c>
      <c r="D2241" s="4">
        <v>3.9693999999999998</v>
      </c>
      <c r="E2241" s="4">
        <v>4187</v>
      </c>
      <c r="F2241" s="4">
        <v>8.1890000000000001</v>
      </c>
      <c r="G2241" s="4">
        <v>34287.343000000001</v>
      </c>
      <c r="H2241" s="5">
        <f t="shared" si="34"/>
        <v>1.2107148262119546E-3</v>
      </c>
    </row>
    <row r="2242" spans="1:8" ht="13.5" x14ac:dyDescent="0.25">
      <c r="A2242" s="1"/>
      <c r="B2242" s="3">
        <v>45565</v>
      </c>
      <c r="C2242" s="4">
        <v>8.15</v>
      </c>
      <c r="D2242" s="4">
        <v>3.9645999999999999</v>
      </c>
      <c r="E2242" s="4">
        <v>1417</v>
      </c>
      <c r="F2242" s="4">
        <v>8.1509999999999998</v>
      </c>
      <c r="G2242" s="4">
        <v>11549.967000000001</v>
      </c>
      <c r="H2242" s="5">
        <f t="shared" si="34"/>
        <v>-1.2092507683780711E-3</v>
      </c>
    </row>
    <row r="2243" spans="1:8" ht="13.5" x14ac:dyDescent="0.25">
      <c r="A2243" s="1"/>
      <c r="B2243" s="3">
        <v>45566</v>
      </c>
      <c r="C2243" s="4">
        <v>8.2200000000000006</v>
      </c>
      <c r="D2243" s="4">
        <v>3.9986000000000002</v>
      </c>
      <c r="E2243" s="4">
        <v>4564</v>
      </c>
      <c r="F2243" s="4">
        <v>8.1880000000000006</v>
      </c>
      <c r="G2243" s="4">
        <v>37370.031999999999</v>
      </c>
      <c r="H2243" s="5">
        <f t="shared" si="34"/>
        <v>8.5758966856682266E-3</v>
      </c>
    </row>
    <row r="2244" spans="1:8" ht="13.5" x14ac:dyDescent="0.25">
      <c r="A2244" s="1"/>
      <c r="B2244" s="3">
        <v>45567</v>
      </c>
      <c r="C2244" s="4">
        <v>8.3699999999999992</v>
      </c>
      <c r="D2244" s="4">
        <v>4.0716000000000001</v>
      </c>
      <c r="E2244" s="4">
        <v>2693</v>
      </c>
      <c r="F2244" s="4">
        <v>8.3520000000000003</v>
      </c>
      <c r="G2244" s="4">
        <v>22491.936000000002</v>
      </c>
      <c r="H2244" s="5">
        <f t="shared" si="34"/>
        <v>1.8256389736407731E-2</v>
      </c>
    </row>
    <row r="2245" spans="1:8" ht="13.5" x14ac:dyDescent="0.25">
      <c r="A2245" s="1"/>
      <c r="B2245" s="3">
        <v>45568</v>
      </c>
      <c r="C2245" s="4">
        <v>8.35</v>
      </c>
      <c r="D2245" s="4">
        <v>4.0618999999999996</v>
      </c>
      <c r="E2245" s="4">
        <v>2033</v>
      </c>
      <c r="F2245" s="4">
        <v>8.3810000000000002</v>
      </c>
      <c r="G2245" s="4">
        <v>17038.573</v>
      </c>
      <c r="H2245" s="5">
        <f t="shared" si="34"/>
        <v>-2.3823558306318121E-3</v>
      </c>
    </row>
    <row r="2246" spans="1:8" ht="13.5" x14ac:dyDescent="0.25">
      <c r="A2246" s="1"/>
      <c r="B2246" s="3">
        <v>45569</v>
      </c>
      <c r="C2246" s="4">
        <v>8.3699999999999992</v>
      </c>
      <c r="D2246" s="4">
        <v>4.0716000000000001</v>
      </c>
      <c r="E2246" s="4">
        <v>2853</v>
      </c>
      <c r="F2246" s="4">
        <v>8.3510000000000009</v>
      </c>
      <c r="G2246" s="4">
        <v>23825.402999999998</v>
      </c>
      <c r="H2246" s="5">
        <f t="shared" si="34"/>
        <v>2.388045003569878E-3</v>
      </c>
    </row>
    <row r="2247" spans="1:8" ht="13.5" x14ac:dyDescent="0.25">
      <c r="A2247" s="1"/>
      <c r="B2247" s="3">
        <v>45572</v>
      </c>
      <c r="C2247" s="4">
        <v>8.36</v>
      </c>
      <c r="D2247" s="4">
        <v>4.0667</v>
      </c>
      <c r="E2247" s="4">
        <v>775</v>
      </c>
      <c r="F2247" s="4">
        <v>8.3569999999999993</v>
      </c>
      <c r="G2247" s="4">
        <v>6476.6750000000002</v>
      </c>
      <c r="H2247" s="5">
        <f t="shared" ref="H2247:H2310" si="35">(D2247-D2246)/D2246</f>
        <v>-1.2034581000098551E-3</v>
      </c>
    </row>
    <row r="2248" spans="1:8" ht="13.5" x14ac:dyDescent="0.25">
      <c r="A2248" s="1"/>
      <c r="B2248" s="3">
        <v>45573</v>
      </c>
      <c r="C2248" s="4">
        <v>8.34</v>
      </c>
      <c r="D2248" s="4">
        <v>4.0570000000000004</v>
      </c>
      <c r="E2248" s="4">
        <v>210</v>
      </c>
      <c r="F2248" s="4">
        <v>8.3409999999999993</v>
      </c>
      <c r="G2248" s="4">
        <v>1751.61</v>
      </c>
      <c r="H2248" s="5">
        <f t="shared" si="35"/>
        <v>-2.3852263506035846E-3</v>
      </c>
    </row>
    <row r="2249" spans="1:8" ht="13.5" x14ac:dyDescent="0.25">
      <c r="A2249" s="1"/>
      <c r="B2249" s="3">
        <v>45574</v>
      </c>
      <c r="C2249" s="4">
        <v>8.3699999999999992</v>
      </c>
      <c r="D2249" s="4">
        <v>4.0716000000000001</v>
      </c>
      <c r="E2249" s="4">
        <v>5508</v>
      </c>
      <c r="F2249" s="4">
        <v>8.3710000000000004</v>
      </c>
      <c r="G2249" s="4">
        <v>46107.468000000001</v>
      </c>
      <c r="H2249" s="5">
        <f t="shared" si="35"/>
        <v>3.5987182647275631E-3</v>
      </c>
    </row>
    <row r="2250" spans="1:8" ht="13.5" x14ac:dyDescent="0.25">
      <c r="A2250" s="1"/>
      <c r="B2250" s="3">
        <v>45575</v>
      </c>
      <c r="C2250" s="4">
        <v>8.32</v>
      </c>
      <c r="D2250" s="4">
        <v>4.0472999999999999</v>
      </c>
      <c r="E2250" s="4">
        <v>427</v>
      </c>
      <c r="F2250" s="4">
        <v>8.3390000000000004</v>
      </c>
      <c r="G2250" s="4">
        <v>3560.7530000000002</v>
      </c>
      <c r="H2250" s="5">
        <f t="shared" si="35"/>
        <v>-5.9681697612732612E-3</v>
      </c>
    </row>
    <row r="2251" spans="1:8" ht="13.5" x14ac:dyDescent="0.25">
      <c r="A2251" s="1"/>
      <c r="B2251" s="3">
        <v>45576</v>
      </c>
      <c r="C2251" s="4">
        <v>8.5</v>
      </c>
      <c r="D2251" s="4">
        <v>4.1348000000000003</v>
      </c>
      <c r="E2251" s="4">
        <v>11693</v>
      </c>
      <c r="F2251" s="4">
        <v>8.2850000000000001</v>
      </c>
      <c r="G2251" s="4">
        <v>96876.505000000005</v>
      </c>
      <c r="H2251" s="5">
        <f t="shared" si="35"/>
        <v>2.1619351172386617E-2</v>
      </c>
    </row>
    <row r="2252" spans="1:8" ht="13.5" x14ac:dyDescent="0.25">
      <c r="A2252" s="1"/>
      <c r="B2252" s="3">
        <v>45579</v>
      </c>
      <c r="C2252" s="4">
        <v>8.5</v>
      </c>
      <c r="D2252" s="4">
        <v>4.1348000000000003</v>
      </c>
      <c r="E2252" s="4">
        <v>1363</v>
      </c>
      <c r="F2252" s="4">
        <v>8.4269999999999996</v>
      </c>
      <c r="G2252" s="4">
        <v>11486.001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8.6</v>
      </c>
      <c r="D2253" s="4">
        <v>4.1835000000000004</v>
      </c>
      <c r="E2253" s="4">
        <v>2289</v>
      </c>
      <c r="F2253" s="4">
        <v>8.42</v>
      </c>
      <c r="G2253" s="4">
        <v>19273.38</v>
      </c>
      <c r="H2253" s="5">
        <f t="shared" si="35"/>
        <v>1.1778078746251374E-2</v>
      </c>
    </row>
    <row r="2254" spans="1:8" ht="13.5" x14ac:dyDescent="0.25">
      <c r="A2254" s="1"/>
      <c r="B2254" s="3">
        <v>45582</v>
      </c>
      <c r="C2254" s="4">
        <v>8.6</v>
      </c>
      <c r="D2254" s="4">
        <v>4.1835000000000004</v>
      </c>
      <c r="E2254" s="4">
        <v>565</v>
      </c>
      <c r="F2254" s="4">
        <v>8.6010000000000009</v>
      </c>
      <c r="G2254" s="4">
        <v>4859.5649999999996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8.7899999999999991</v>
      </c>
      <c r="D2255" s="4">
        <v>4.2759</v>
      </c>
      <c r="E2255" s="4">
        <v>663</v>
      </c>
      <c r="F2255" s="4">
        <v>8.6649999999999991</v>
      </c>
      <c r="G2255" s="4">
        <v>5744.8950000000004</v>
      </c>
      <c r="H2255" s="5">
        <f t="shared" si="35"/>
        <v>2.2086769451416178E-2</v>
      </c>
    </row>
    <row r="2256" spans="1:8" ht="13.5" x14ac:dyDescent="0.25">
      <c r="A2256" s="1"/>
      <c r="B2256" s="3">
        <v>45586</v>
      </c>
      <c r="C2256" s="4">
        <v>9.1999999999999993</v>
      </c>
      <c r="D2256" s="4">
        <v>4.4752999999999998</v>
      </c>
      <c r="E2256" s="4">
        <v>32226</v>
      </c>
      <c r="F2256" s="4">
        <v>8.9830000000000005</v>
      </c>
      <c r="G2256" s="4">
        <v>289486.158</v>
      </c>
      <c r="H2256" s="5">
        <f t="shared" si="35"/>
        <v>4.663345728384663E-2</v>
      </c>
    </row>
    <row r="2257" spans="1:8" ht="13.5" x14ac:dyDescent="0.25">
      <c r="A2257" s="1"/>
      <c r="B2257" s="3">
        <v>45587</v>
      </c>
      <c r="C2257" s="4">
        <v>9.6999999999999993</v>
      </c>
      <c r="D2257" s="4">
        <v>4.7186000000000003</v>
      </c>
      <c r="E2257" s="4">
        <v>31673</v>
      </c>
      <c r="F2257" s="4">
        <v>9.6929999999999996</v>
      </c>
      <c r="G2257" s="4">
        <v>307006.38900000002</v>
      </c>
      <c r="H2257" s="5">
        <f t="shared" si="35"/>
        <v>5.4365070498067283E-2</v>
      </c>
    </row>
    <row r="2258" spans="1:8" ht="13.5" x14ac:dyDescent="0.25">
      <c r="A2258" s="1"/>
      <c r="B2258" s="3">
        <v>45588</v>
      </c>
      <c r="C2258" s="4">
        <v>10.199999999999999</v>
      </c>
      <c r="D2258" s="4">
        <v>4.9618000000000002</v>
      </c>
      <c r="E2258" s="4">
        <v>24435</v>
      </c>
      <c r="F2258" s="4">
        <v>9.8190000000000008</v>
      </c>
      <c r="G2258" s="4">
        <v>239927.26500000001</v>
      </c>
      <c r="H2258" s="5">
        <f t="shared" si="35"/>
        <v>5.1540711227906551E-2</v>
      </c>
    </row>
    <row r="2259" spans="1:8" ht="13.5" x14ac:dyDescent="0.25">
      <c r="A2259" s="1"/>
      <c r="B2259" s="3">
        <v>45589</v>
      </c>
      <c r="C2259" s="4">
        <v>10.7</v>
      </c>
      <c r="D2259" s="4">
        <v>5.2050000000000001</v>
      </c>
      <c r="E2259" s="4">
        <v>13627</v>
      </c>
      <c r="F2259" s="4">
        <v>10.464</v>
      </c>
      <c r="G2259" s="4">
        <v>142592.92800000001</v>
      </c>
      <c r="H2259" s="5">
        <f t="shared" si="35"/>
        <v>4.9014470555040476E-2</v>
      </c>
    </row>
    <row r="2260" spans="1:8" ht="13.5" x14ac:dyDescent="0.25">
      <c r="A2260" s="1"/>
      <c r="B2260" s="3">
        <v>45590</v>
      </c>
      <c r="C2260" s="4">
        <v>10.5</v>
      </c>
      <c r="D2260" s="4">
        <v>5.1077000000000004</v>
      </c>
      <c r="E2260" s="4">
        <v>13485</v>
      </c>
      <c r="F2260" s="4">
        <v>10.641</v>
      </c>
      <c r="G2260" s="4">
        <v>143493.88500000001</v>
      </c>
      <c r="H2260" s="5">
        <f t="shared" si="35"/>
        <v>-1.8693563880883713E-2</v>
      </c>
    </row>
    <row r="2261" spans="1:8" ht="13.5" x14ac:dyDescent="0.25">
      <c r="A2261" s="1"/>
      <c r="B2261" s="3">
        <v>45593</v>
      </c>
      <c r="C2261" s="4">
        <v>11.13</v>
      </c>
      <c r="D2261" s="4">
        <v>5.4142000000000001</v>
      </c>
      <c r="E2261" s="4">
        <v>18891</v>
      </c>
      <c r="F2261" s="4">
        <v>10.978</v>
      </c>
      <c r="G2261" s="4">
        <v>207385.39799999999</v>
      </c>
      <c r="H2261" s="5">
        <f t="shared" si="35"/>
        <v>6.0007439747831653E-2</v>
      </c>
    </row>
    <row r="2262" spans="1:8" ht="13.5" x14ac:dyDescent="0.25">
      <c r="A2262" s="1"/>
      <c r="B2262" s="3">
        <v>45594</v>
      </c>
      <c r="C2262" s="4">
        <v>11.79</v>
      </c>
      <c r="D2262" s="4">
        <v>5.7351999999999999</v>
      </c>
      <c r="E2262" s="4">
        <v>11692</v>
      </c>
      <c r="F2262" s="4">
        <v>11.355</v>
      </c>
      <c r="G2262" s="4">
        <v>132762.66</v>
      </c>
      <c r="H2262" s="5">
        <f t="shared" si="35"/>
        <v>5.9288537549407064E-2</v>
      </c>
    </row>
    <row r="2263" spans="1:8" ht="13.5" x14ac:dyDescent="0.25">
      <c r="A2263" s="1"/>
      <c r="B2263" s="3">
        <v>45595</v>
      </c>
      <c r="C2263" s="4">
        <v>11.6</v>
      </c>
      <c r="D2263" s="4">
        <v>5.6428000000000003</v>
      </c>
      <c r="E2263" s="4">
        <v>36285</v>
      </c>
      <c r="F2263" s="4">
        <v>11.914999999999999</v>
      </c>
      <c r="G2263" s="4">
        <v>432335.77500000002</v>
      </c>
      <c r="H2263" s="5">
        <f t="shared" si="35"/>
        <v>-1.611103361696185E-2</v>
      </c>
    </row>
    <row r="2264" spans="1:8" ht="13.5" x14ac:dyDescent="0.25">
      <c r="A2264" s="1"/>
      <c r="B2264" s="3">
        <v>45596</v>
      </c>
      <c r="C2264" s="4">
        <v>11.11</v>
      </c>
      <c r="D2264" s="4">
        <v>5.4044999999999996</v>
      </c>
      <c r="E2264" s="4">
        <v>93927</v>
      </c>
      <c r="F2264" s="4">
        <v>10.933999999999999</v>
      </c>
      <c r="G2264" s="4">
        <v>1026997.818</v>
      </c>
      <c r="H2264" s="5">
        <f t="shared" si="35"/>
        <v>-4.2230807400581383E-2</v>
      </c>
    </row>
    <row r="2265" spans="1:8" ht="13.5" x14ac:dyDescent="0.25">
      <c r="A2265" s="1"/>
      <c r="B2265" s="3">
        <v>45597</v>
      </c>
      <c r="C2265" s="4">
        <v>11.14</v>
      </c>
      <c r="D2265" s="4">
        <v>5.4191000000000003</v>
      </c>
      <c r="E2265" s="4">
        <v>9835</v>
      </c>
      <c r="F2265" s="4">
        <v>11.109</v>
      </c>
      <c r="G2265" s="4">
        <v>109257.015</v>
      </c>
      <c r="H2265" s="5">
        <f t="shared" si="35"/>
        <v>2.70145249329274E-3</v>
      </c>
    </row>
    <row r="2266" spans="1:8" ht="13.5" x14ac:dyDescent="0.25">
      <c r="A2266" s="1"/>
      <c r="B2266" s="3">
        <v>45600</v>
      </c>
      <c r="C2266" s="4">
        <v>11.44</v>
      </c>
      <c r="D2266" s="4">
        <v>5.5650000000000004</v>
      </c>
      <c r="E2266" s="4">
        <v>915</v>
      </c>
      <c r="F2266" s="4">
        <v>11.311</v>
      </c>
      <c r="G2266" s="4">
        <v>10349.565000000001</v>
      </c>
      <c r="H2266" s="5">
        <f t="shared" si="35"/>
        <v>2.6923289845177268E-2</v>
      </c>
    </row>
    <row r="2267" spans="1:8" ht="13.5" x14ac:dyDescent="0.25">
      <c r="A2267" s="1"/>
      <c r="B2267" s="3">
        <v>45601</v>
      </c>
      <c r="C2267" s="4">
        <v>11.39</v>
      </c>
      <c r="D2267" s="4">
        <v>5.5407000000000002</v>
      </c>
      <c r="E2267" s="4">
        <v>611</v>
      </c>
      <c r="F2267" s="4">
        <v>11.131</v>
      </c>
      <c r="G2267" s="4">
        <v>6801.0410000000002</v>
      </c>
      <c r="H2267" s="5">
        <f t="shared" si="35"/>
        <v>-4.3665768194070453E-3</v>
      </c>
    </row>
    <row r="2268" spans="1:8" ht="13.5" x14ac:dyDescent="0.25">
      <c r="A2268" s="1"/>
      <c r="B2268" s="3">
        <v>45602</v>
      </c>
      <c r="C2268" s="4">
        <v>11.34</v>
      </c>
      <c r="D2268" s="4">
        <v>5.5163000000000002</v>
      </c>
      <c r="E2268" s="4">
        <v>10169</v>
      </c>
      <c r="F2268" s="4">
        <v>11.183999999999999</v>
      </c>
      <c r="G2268" s="4">
        <v>113730.09600000001</v>
      </c>
      <c r="H2268" s="5">
        <f t="shared" si="35"/>
        <v>-4.403775696211666E-3</v>
      </c>
    </row>
    <row r="2269" spans="1:8" ht="13.5" x14ac:dyDescent="0.25">
      <c r="A2269" s="1"/>
      <c r="B2269" s="3">
        <v>45603</v>
      </c>
      <c r="C2269" s="4">
        <v>11.3</v>
      </c>
      <c r="D2269" s="4">
        <v>5.4969000000000001</v>
      </c>
      <c r="E2269" s="4">
        <v>1347</v>
      </c>
      <c r="F2269" s="4">
        <v>11.3</v>
      </c>
      <c r="G2269" s="4">
        <v>15221.1</v>
      </c>
      <c r="H2269" s="5">
        <f t="shared" si="35"/>
        <v>-3.5168500625419362E-3</v>
      </c>
    </row>
    <row r="2270" spans="1:8" ht="13.5" x14ac:dyDescent="0.25">
      <c r="A2270" s="1"/>
      <c r="B2270" s="3">
        <v>45604</v>
      </c>
      <c r="C2270" s="4">
        <v>11.59</v>
      </c>
      <c r="D2270" s="4">
        <v>5.6379999999999999</v>
      </c>
      <c r="E2270" s="4">
        <v>1893</v>
      </c>
      <c r="F2270" s="4">
        <v>11.532</v>
      </c>
      <c r="G2270" s="4">
        <v>21830.076000000001</v>
      </c>
      <c r="H2270" s="5">
        <f t="shared" si="35"/>
        <v>2.566901344394109E-2</v>
      </c>
    </row>
    <row r="2271" spans="1:8" ht="13.5" x14ac:dyDescent="0.25">
      <c r="A2271" s="1"/>
      <c r="B2271" s="3">
        <v>45607</v>
      </c>
      <c r="C2271" s="4">
        <v>11.86</v>
      </c>
      <c r="D2271" s="4">
        <v>5.7693000000000003</v>
      </c>
      <c r="E2271" s="4">
        <v>910</v>
      </c>
      <c r="F2271" s="4">
        <v>11.653</v>
      </c>
      <c r="G2271" s="4">
        <v>10604.23</v>
      </c>
      <c r="H2271" s="5">
        <f t="shared" si="35"/>
        <v>2.3288400141894362E-2</v>
      </c>
    </row>
    <row r="2272" spans="1:8" ht="13.5" x14ac:dyDescent="0.25">
      <c r="A2272" s="1"/>
      <c r="B2272" s="3">
        <v>45608</v>
      </c>
      <c r="C2272" s="4">
        <v>11.85</v>
      </c>
      <c r="D2272" s="4">
        <v>5.7644000000000002</v>
      </c>
      <c r="E2272" s="4">
        <v>1314</v>
      </c>
      <c r="F2272" s="4">
        <v>11.824999999999999</v>
      </c>
      <c r="G2272" s="4">
        <v>15538.05</v>
      </c>
      <c r="H2272" s="5">
        <f t="shared" si="35"/>
        <v>-8.4932314145565776E-4</v>
      </c>
    </row>
    <row r="2273" spans="1:8" ht="13.5" x14ac:dyDescent="0.25">
      <c r="A2273" s="1"/>
      <c r="B2273" s="3">
        <v>45609</v>
      </c>
      <c r="C2273" s="4">
        <v>11.9</v>
      </c>
      <c r="D2273" s="4">
        <v>5.7888000000000002</v>
      </c>
      <c r="E2273" s="4">
        <v>71</v>
      </c>
      <c r="F2273" s="4">
        <v>11.894</v>
      </c>
      <c r="G2273" s="4">
        <v>844.47400000000005</v>
      </c>
      <c r="H2273" s="5">
        <f t="shared" si="35"/>
        <v>4.2328776628963944E-3</v>
      </c>
    </row>
    <row r="2274" spans="1:8" ht="13.5" x14ac:dyDescent="0.25">
      <c r="A2274" s="1"/>
      <c r="B2274" s="3">
        <v>45610</v>
      </c>
      <c r="C2274" s="4">
        <v>11.9</v>
      </c>
      <c r="D2274" s="4">
        <v>5.7888000000000002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11.83</v>
      </c>
      <c r="D2275" s="4">
        <v>5.7546999999999997</v>
      </c>
      <c r="E2275" s="4">
        <v>10</v>
      </c>
      <c r="F2275" s="4">
        <v>11.83</v>
      </c>
      <c r="G2275" s="4">
        <v>118.3</v>
      </c>
      <c r="H2275" s="5">
        <f t="shared" si="35"/>
        <v>-5.8906854615810638E-3</v>
      </c>
    </row>
    <row r="2276" spans="1:8" ht="13.5" x14ac:dyDescent="0.25">
      <c r="A2276" s="1"/>
      <c r="B2276" s="3">
        <v>45614</v>
      </c>
      <c r="C2276" s="4">
        <v>11.7</v>
      </c>
      <c r="D2276" s="4">
        <v>5.6914999999999996</v>
      </c>
      <c r="E2276" s="4">
        <v>1447</v>
      </c>
      <c r="F2276" s="4">
        <v>11.67</v>
      </c>
      <c r="G2276" s="4">
        <v>16886.490000000002</v>
      </c>
      <c r="H2276" s="5">
        <f t="shared" si="35"/>
        <v>-1.0982327488835238E-2</v>
      </c>
    </row>
    <row r="2277" spans="1:8" ht="13.5" x14ac:dyDescent="0.25">
      <c r="A2277" s="1"/>
      <c r="B2277" s="3">
        <v>45615</v>
      </c>
      <c r="C2277" s="4">
        <v>11.7</v>
      </c>
      <c r="D2277" s="4">
        <v>5.6914999999999996</v>
      </c>
      <c r="E2277" s="4">
        <v>60</v>
      </c>
      <c r="F2277" s="4">
        <v>11.7</v>
      </c>
      <c r="G2277" s="4">
        <v>702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11.65</v>
      </c>
      <c r="D2278" s="4">
        <v>5.6670999999999996</v>
      </c>
      <c r="E2278" s="4">
        <v>27655</v>
      </c>
      <c r="F2278" s="4">
        <v>11.112</v>
      </c>
      <c r="G2278" s="4">
        <v>307302.36</v>
      </c>
      <c r="H2278" s="5">
        <f t="shared" si="35"/>
        <v>-4.2870947904770232E-3</v>
      </c>
    </row>
    <row r="2279" spans="1:8" ht="13.5" x14ac:dyDescent="0.25">
      <c r="A2279" s="1"/>
      <c r="B2279" s="3">
        <v>45617</v>
      </c>
      <c r="C2279" s="4">
        <v>11.6</v>
      </c>
      <c r="D2279" s="4">
        <v>5.6428000000000003</v>
      </c>
      <c r="E2279" s="4">
        <v>1351</v>
      </c>
      <c r="F2279" s="4">
        <v>11.645</v>
      </c>
      <c r="G2279" s="4">
        <v>15732.395</v>
      </c>
      <c r="H2279" s="5">
        <f t="shared" si="35"/>
        <v>-4.2879073953167096E-3</v>
      </c>
    </row>
    <row r="2280" spans="1:8" ht="13.5" x14ac:dyDescent="0.25">
      <c r="A2280" s="1"/>
      <c r="B2280" s="3">
        <v>45618</v>
      </c>
      <c r="C2280" s="4">
        <v>11.7</v>
      </c>
      <c r="D2280" s="4">
        <v>5.6914999999999996</v>
      </c>
      <c r="E2280" s="4">
        <v>5370</v>
      </c>
      <c r="F2280" s="4">
        <v>11.619</v>
      </c>
      <c r="G2280" s="4">
        <v>62394.03</v>
      </c>
      <c r="H2280" s="5">
        <f t="shared" si="35"/>
        <v>8.6304671439709543E-3</v>
      </c>
    </row>
    <row r="2281" spans="1:8" ht="13.5" x14ac:dyDescent="0.25">
      <c r="A2281" s="1"/>
      <c r="B2281" s="3">
        <v>45621</v>
      </c>
      <c r="C2281" s="4">
        <v>11.7</v>
      </c>
      <c r="D2281" s="4">
        <v>5.6914999999999996</v>
      </c>
      <c r="E2281" s="4">
        <v>1282</v>
      </c>
      <c r="F2281" s="4">
        <v>11.676</v>
      </c>
      <c r="G2281" s="4">
        <v>14968.632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11.7</v>
      </c>
      <c r="D2282" s="4">
        <v>5.6914999999999996</v>
      </c>
      <c r="E2282" s="4">
        <v>4356</v>
      </c>
      <c r="F2282" s="4">
        <v>11.712</v>
      </c>
      <c r="G2282" s="4">
        <v>51017.472000000002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11.96</v>
      </c>
      <c r="D2283" s="4">
        <v>5.8178999999999998</v>
      </c>
      <c r="E2283" s="4">
        <v>201</v>
      </c>
      <c r="F2283" s="4">
        <v>11.673</v>
      </c>
      <c r="G2283" s="4">
        <v>2346.2730000000001</v>
      </c>
      <c r="H2283" s="5">
        <f t="shared" si="35"/>
        <v>2.2208556619520391E-2</v>
      </c>
    </row>
    <row r="2284" spans="1:8" ht="13.5" x14ac:dyDescent="0.25">
      <c r="A2284" s="1"/>
      <c r="B2284" s="3">
        <v>45624</v>
      </c>
      <c r="C2284" s="4">
        <v>11.9</v>
      </c>
      <c r="D2284" s="4">
        <v>5.7888000000000002</v>
      </c>
      <c r="E2284" s="4">
        <v>826</v>
      </c>
      <c r="F2284" s="4">
        <v>11.901999999999999</v>
      </c>
      <c r="G2284" s="4">
        <v>9831.0519999999997</v>
      </c>
      <c r="H2284" s="5">
        <f t="shared" si="35"/>
        <v>-5.0018047749187302E-3</v>
      </c>
    </row>
    <row r="2285" spans="1:8" ht="13.5" x14ac:dyDescent="0.25">
      <c r="A2285" s="1"/>
      <c r="B2285" s="3">
        <v>45625</v>
      </c>
      <c r="C2285" s="4">
        <v>12</v>
      </c>
      <c r="D2285" s="4">
        <v>5.8373999999999997</v>
      </c>
      <c r="E2285" s="4">
        <v>816</v>
      </c>
      <c r="F2285" s="4">
        <v>11.961</v>
      </c>
      <c r="G2285" s="4">
        <v>9760.1759999999995</v>
      </c>
      <c r="H2285" s="5">
        <f t="shared" si="35"/>
        <v>8.3955223880596199E-3</v>
      </c>
    </row>
    <row r="2286" spans="1:8" ht="13.5" x14ac:dyDescent="0.25">
      <c r="A2286" s="1"/>
      <c r="B2286" s="3">
        <v>45628</v>
      </c>
      <c r="C2286" s="4">
        <v>11.99</v>
      </c>
      <c r="D2286" s="4">
        <v>5.8324999999999996</v>
      </c>
      <c r="E2286" s="4">
        <v>2687</v>
      </c>
      <c r="F2286" s="4">
        <v>11.991</v>
      </c>
      <c r="G2286" s="4">
        <v>32219.816999999999</v>
      </c>
      <c r="H2286" s="5">
        <f t="shared" si="35"/>
        <v>-8.3941480796247071E-4</v>
      </c>
    </row>
    <row r="2287" spans="1:8" ht="13.5" x14ac:dyDescent="0.25">
      <c r="A2287" s="1"/>
      <c r="B2287" s="3">
        <v>45629</v>
      </c>
      <c r="C2287" s="4">
        <v>11.95</v>
      </c>
      <c r="D2287" s="4">
        <v>5.8131000000000004</v>
      </c>
      <c r="E2287" s="4">
        <v>956</v>
      </c>
      <c r="F2287" s="4">
        <v>11.964</v>
      </c>
      <c r="G2287" s="4">
        <v>11437.584000000001</v>
      </c>
      <c r="H2287" s="5">
        <f t="shared" si="35"/>
        <v>-3.3261894556363817E-3</v>
      </c>
    </row>
    <row r="2288" spans="1:8" ht="13.5" x14ac:dyDescent="0.25">
      <c r="A2288" s="1"/>
      <c r="B2288" s="3">
        <v>45630</v>
      </c>
      <c r="C2288" s="4">
        <v>12.38</v>
      </c>
      <c r="D2288" s="4">
        <v>6.0223000000000004</v>
      </c>
      <c r="E2288" s="4">
        <v>24105</v>
      </c>
      <c r="F2288" s="4">
        <v>12.101000000000001</v>
      </c>
      <c r="G2288" s="4">
        <v>291694.60499999998</v>
      </c>
      <c r="H2288" s="5">
        <f t="shared" si="35"/>
        <v>3.598768299186321E-2</v>
      </c>
    </row>
    <row r="2289" spans="1:8" ht="13.5" x14ac:dyDescent="0.25">
      <c r="A2289" s="1"/>
      <c r="B2289" s="3">
        <v>45631</v>
      </c>
      <c r="C2289" s="4">
        <v>12.22</v>
      </c>
      <c r="D2289" s="4">
        <v>5.9443999999999999</v>
      </c>
      <c r="E2289" s="4">
        <v>1986</v>
      </c>
      <c r="F2289" s="4">
        <v>12.26</v>
      </c>
      <c r="G2289" s="4">
        <v>24348.36</v>
      </c>
      <c r="H2289" s="5">
        <f t="shared" si="35"/>
        <v>-1.2935257293725074E-2</v>
      </c>
    </row>
    <row r="2290" spans="1:8" ht="13.5" x14ac:dyDescent="0.25">
      <c r="A2290" s="1"/>
      <c r="B2290" s="3">
        <v>45632</v>
      </c>
      <c r="C2290" s="4">
        <v>12.22</v>
      </c>
      <c r="D2290" s="4">
        <v>5.9443999999999999</v>
      </c>
      <c r="E2290" s="4">
        <v>308</v>
      </c>
      <c r="F2290" s="4">
        <v>12.122</v>
      </c>
      <c r="G2290" s="4">
        <v>3733.576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12.1</v>
      </c>
      <c r="D2291" s="4">
        <v>5.8860000000000001</v>
      </c>
      <c r="E2291" s="4">
        <v>2508</v>
      </c>
      <c r="F2291" s="4">
        <v>11.975</v>
      </c>
      <c r="G2291" s="4">
        <v>30033.3</v>
      </c>
      <c r="H2291" s="5">
        <f t="shared" si="35"/>
        <v>-9.824372518673E-3</v>
      </c>
    </row>
    <row r="2292" spans="1:8" ht="13.5" x14ac:dyDescent="0.25">
      <c r="A2292" s="1"/>
      <c r="B2292" s="3">
        <v>45636</v>
      </c>
      <c r="C2292" s="4">
        <v>12.1</v>
      </c>
      <c r="D2292" s="4">
        <v>5.8860000000000001</v>
      </c>
      <c r="E2292" s="4">
        <v>1758</v>
      </c>
      <c r="F2292" s="4">
        <v>12.058999999999999</v>
      </c>
      <c r="G2292" s="4">
        <v>21199.722000000002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11.95</v>
      </c>
      <c r="D2293" s="4">
        <v>5.8131000000000004</v>
      </c>
      <c r="E2293" s="4">
        <v>3702</v>
      </c>
      <c r="F2293" s="4">
        <v>11.993</v>
      </c>
      <c r="G2293" s="4">
        <v>44398.086000000003</v>
      </c>
      <c r="H2293" s="5">
        <f t="shared" si="35"/>
        <v>-1.2385321100917387E-2</v>
      </c>
    </row>
    <row r="2294" spans="1:8" ht="13.5" x14ac:dyDescent="0.25">
      <c r="A2294" s="1"/>
      <c r="B2294" s="3">
        <v>45638</v>
      </c>
      <c r="C2294" s="4">
        <v>11.92</v>
      </c>
      <c r="D2294" s="4">
        <v>5.7984999999999998</v>
      </c>
      <c r="E2294" s="4">
        <v>1454</v>
      </c>
      <c r="F2294" s="4">
        <v>11.945</v>
      </c>
      <c r="G2294" s="4">
        <v>17368.03</v>
      </c>
      <c r="H2294" s="5">
        <f t="shared" si="35"/>
        <v>-2.5115686982850136E-3</v>
      </c>
    </row>
    <row r="2295" spans="1:8" ht="13.5" x14ac:dyDescent="0.25">
      <c r="A2295" s="1"/>
      <c r="B2295" s="3">
        <v>45639</v>
      </c>
      <c r="C2295" s="4">
        <v>11.88</v>
      </c>
      <c r="D2295" s="4">
        <v>5.7789999999999999</v>
      </c>
      <c r="E2295" s="4">
        <v>6850</v>
      </c>
      <c r="F2295" s="4">
        <v>11.904</v>
      </c>
      <c r="G2295" s="4">
        <v>81542.399999999994</v>
      </c>
      <c r="H2295" s="5">
        <f t="shared" si="35"/>
        <v>-3.3629386910407609E-3</v>
      </c>
    </row>
    <row r="2296" spans="1:8" ht="13.5" x14ac:dyDescent="0.25">
      <c r="A2296" s="1"/>
      <c r="B2296" s="3">
        <v>45642</v>
      </c>
      <c r="C2296" s="4">
        <v>11.88</v>
      </c>
      <c r="D2296" s="4">
        <v>5.7789999999999999</v>
      </c>
      <c r="E2296" s="4">
        <v>1100</v>
      </c>
      <c r="F2296" s="4">
        <v>11.88</v>
      </c>
      <c r="G2296" s="4">
        <v>13068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11.7</v>
      </c>
      <c r="D2297" s="4">
        <v>5.6914999999999996</v>
      </c>
      <c r="E2297" s="4">
        <v>1107</v>
      </c>
      <c r="F2297" s="4">
        <v>11.847</v>
      </c>
      <c r="G2297" s="4">
        <v>13114.629000000001</v>
      </c>
      <c r="H2297" s="5">
        <f t="shared" si="35"/>
        <v>-1.5141027859491323E-2</v>
      </c>
    </row>
    <row r="2298" spans="1:8" ht="13.5" x14ac:dyDescent="0.25">
      <c r="A2298" s="1"/>
      <c r="B2298" s="3">
        <v>45645</v>
      </c>
      <c r="C2298" s="4">
        <v>11.88</v>
      </c>
      <c r="D2298" s="4">
        <v>5.7789999999999999</v>
      </c>
      <c r="E2298" s="4">
        <v>1</v>
      </c>
      <c r="F2298" s="4">
        <v>11.88</v>
      </c>
      <c r="G2298" s="4">
        <v>11.88</v>
      </c>
      <c r="H2298" s="5">
        <f t="shared" si="35"/>
        <v>1.537380303962055E-2</v>
      </c>
    </row>
    <row r="2299" spans="1:8" ht="13.5" x14ac:dyDescent="0.25">
      <c r="A2299" s="1"/>
      <c r="B2299" s="3">
        <v>45646</v>
      </c>
      <c r="C2299" s="4">
        <v>11.84</v>
      </c>
      <c r="D2299" s="4">
        <v>5.7595999999999998</v>
      </c>
      <c r="E2299" s="4">
        <v>1273</v>
      </c>
      <c r="F2299" s="4">
        <v>11.661</v>
      </c>
      <c r="G2299" s="4">
        <v>14844.453</v>
      </c>
      <c r="H2299" s="5">
        <f t="shared" si="35"/>
        <v>-3.3569821768472201E-3</v>
      </c>
    </row>
    <row r="2300" spans="1:8" ht="13.5" x14ac:dyDescent="0.25">
      <c r="A2300" s="1"/>
      <c r="B2300" s="3">
        <v>45649</v>
      </c>
      <c r="C2300" s="4">
        <v>11.9</v>
      </c>
      <c r="D2300" s="4">
        <v>5.7888000000000002</v>
      </c>
      <c r="E2300" s="4">
        <v>1720</v>
      </c>
      <c r="F2300" s="4">
        <v>11.882999999999999</v>
      </c>
      <c r="G2300" s="4">
        <v>20438.759999999998</v>
      </c>
      <c r="H2300" s="5">
        <f t="shared" si="35"/>
        <v>5.06979651364684E-3</v>
      </c>
    </row>
    <row r="2301" spans="1:8" ht="13.5" x14ac:dyDescent="0.25">
      <c r="A2301" s="1"/>
      <c r="B2301" s="3">
        <v>45650</v>
      </c>
      <c r="C2301" s="4">
        <v>11.9</v>
      </c>
      <c r="D2301" s="4">
        <v>5.7888000000000002</v>
      </c>
      <c r="E2301" s="4">
        <v>0</v>
      </c>
      <c r="F2301" s="4">
        <v>0</v>
      </c>
      <c r="G2301" s="4">
        <v>0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11.81</v>
      </c>
      <c r="D2302" s="4">
        <v>5.7450000000000001</v>
      </c>
      <c r="E2302" s="4">
        <v>2449</v>
      </c>
      <c r="F2302" s="4">
        <v>11.680999999999999</v>
      </c>
      <c r="G2302" s="4">
        <v>28606.769</v>
      </c>
      <c r="H2302" s="5">
        <f t="shared" si="35"/>
        <v>-7.5663349917081367E-3</v>
      </c>
    </row>
    <row r="2303" spans="1:8" ht="13.5" x14ac:dyDescent="0.25">
      <c r="A2303" s="1"/>
      <c r="B2303" s="3">
        <v>45652</v>
      </c>
      <c r="C2303" s="4">
        <v>12.07</v>
      </c>
      <c r="D2303" s="4">
        <v>5.8715000000000002</v>
      </c>
      <c r="E2303" s="4">
        <v>10357</v>
      </c>
      <c r="F2303" s="4">
        <v>11.848000000000001</v>
      </c>
      <c r="G2303" s="4">
        <v>122709.736</v>
      </c>
      <c r="H2303" s="5">
        <f t="shared" si="35"/>
        <v>2.2019147084421244E-2</v>
      </c>
    </row>
    <row r="2304" spans="1:8" ht="13.5" x14ac:dyDescent="0.25">
      <c r="A2304" s="1"/>
      <c r="B2304" s="3">
        <v>45653</v>
      </c>
      <c r="C2304" s="4">
        <v>12.19</v>
      </c>
      <c r="D2304" s="4">
        <v>5.9298000000000002</v>
      </c>
      <c r="E2304" s="4">
        <v>5000</v>
      </c>
      <c r="F2304" s="4">
        <v>12.13</v>
      </c>
      <c r="G2304" s="4">
        <v>60650</v>
      </c>
      <c r="H2304" s="5">
        <f t="shared" si="35"/>
        <v>9.9293195946521355E-3</v>
      </c>
    </row>
    <row r="2305" spans="1:8" ht="13.5" x14ac:dyDescent="0.25">
      <c r="A2305" s="1"/>
      <c r="B2305" s="3">
        <v>45656</v>
      </c>
      <c r="C2305" s="4">
        <v>12.3</v>
      </c>
      <c r="D2305" s="4">
        <v>5.9832999999999998</v>
      </c>
      <c r="E2305" s="4">
        <v>3007</v>
      </c>
      <c r="F2305" s="4">
        <v>12.3</v>
      </c>
      <c r="G2305" s="4">
        <v>36986.1</v>
      </c>
      <c r="H2305" s="5">
        <f t="shared" si="35"/>
        <v>9.0222267192822114E-3</v>
      </c>
    </row>
    <row r="2306" spans="1:8" ht="13.5" x14ac:dyDescent="0.25">
      <c r="A2306" s="1"/>
      <c r="B2306" s="3">
        <v>45657</v>
      </c>
      <c r="C2306" s="4">
        <v>12.21</v>
      </c>
      <c r="D2306" s="4">
        <v>5.9396000000000004</v>
      </c>
      <c r="E2306" s="4">
        <v>3551</v>
      </c>
      <c r="F2306" s="4">
        <v>12.397</v>
      </c>
      <c r="G2306" s="4">
        <v>44021.747000000003</v>
      </c>
      <c r="H2306" s="5">
        <f t="shared" si="35"/>
        <v>-7.3036618588403403E-3</v>
      </c>
    </row>
    <row r="2307" spans="1:8" ht="13.5" x14ac:dyDescent="0.25">
      <c r="A2307" s="1"/>
      <c r="B2307" s="3">
        <v>45659</v>
      </c>
      <c r="C2307" s="4">
        <v>12.2</v>
      </c>
      <c r="D2307" s="4">
        <v>5.9347000000000003</v>
      </c>
      <c r="E2307" s="4">
        <v>111</v>
      </c>
      <c r="F2307" s="4">
        <v>12.2</v>
      </c>
      <c r="G2307" s="4">
        <v>1354.2</v>
      </c>
      <c r="H2307" s="5">
        <f t="shared" si="35"/>
        <v>-8.2497137854403095E-4</v>
      </c>
    </row>
    <row r="2308" spans="1:8" ht="13.5" x14ac:dyDescent="0.25">
      <c r="A2308" s="1"/>
      <c r="B2308" s="3">
        <v>45660</v>
      </c>
      <c r="C2308" s="4">
        <v>12</v>
      </c>
      <c r="D2308" s="4">
        <v>5.8373999999999997</v>
      </c>
      <c r="E2308" s="4">
        <v>1127</v>
      </c>
      <c r="F2308" s="4">
        <v>12.117000000000001</v>
      </c>
      <c r="G2308" s="4">
        <v>13655.859</v>
      </c>
      <c r="H2308" s="5">
        <f t="shared" si="35"/>
        <v>-1.6395100005055119E-2</v>
      </c>
    </row>
    <row r="2309" spans="1:8" ht="13.5" x14ac:dyDescent="0.25">
      <c r="A2309" s="1"/>
      <c r="B2309" s="3">
        <v>45663</v>
      </c>
      <c r="C2309" s="4">
        <v>12</v>
      </c>
      <c r="D2309" s="4">
        <v>5.8373999999999997</v>
      </c>
      <c r="E2309" s="4">
        <v>9602</v>
      </c>
      <c r="F2309" s="4">
        <v>12.058</v>
      </c>
      <c r="G2309" s="4">
        <v>115780.916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11.89</v>
      </c>
      <c r="D2310" s="4">
        <v>5.7839</v>
      </c>
      <c r="E2310" s="4">
        <v>10188</v>
      </c>
      <c r="F2310" s="4">
        <v>11.837999999999999</v>
      </c>
      <c r="G2310" s="4">
        <v>120605.54399999999</v>
      </c>
      <c r="H2310" s="5">
        <f t="shared" si="35"/>
        <v>-9.1650392297940291E-3</v>
      </c>
    </row>
    <row r="2311" spans="1:8" ht="13.5" x14ac:dyDescent="0.25">
      <c r="A2311" s="1"/>
      <c r="B2311" s="3">
        <v>45665</v>
      </c>
      <c r="C2311" s="4">
        <v>11.69</v>
      </c>
      <c r="D2311" s="4">
        <v>5.6866000000000003</v>
      </c>
      <c r="E2311" s="4">
        <v>7386</v>
      </c>
      <c r="F2311" s="4">
        <v>11.677</v>
      </c>
      <c r="G2311" s="4">
        <v>86246.322</v>
      </c>
      <c r="H2311" s="5">
        <f t="shared" ref="H2311:H2374" si="36">(D2311-D2310)/D2310</f>
        <v>-1.6822559172876384E-2</v>
      </c>
    </row>
    <row r="2312" spans="1:8" ht="13.5" x14ac:dyDescent="0.25">
      <c r="A2312" s="1"/>
      <c r="B2312" s="3">
        <v>45666</v>
      </c>
      <c r="C2312" s="4">
        <v>11.69</v>
      </c>
      <c r="D2312" s="4">
        <v>5.6866000000000003</v>
      </c>
      <c r="E2312" s="4">
        <v>625</v>
      </c>
      <c r="F2312" s="4">
        <v>11.682</v>
      </c>
      <c r="G2312" s="4">
        <v>7301.25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11.69</v>
      </c>
      <c r="D2313" s="4">
        <v>5.6866000000000003</v>
      </c>
      <c r="E2313" s="4">
        <v>2227</v>
      </c>
      <c r="F2313" s="4">
        <v>11.722</v>
      </c>
      <c r="G2313" s="4">
        <v>26104.894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11.65</v>
      </c>
      <c r="D2314" s="4">
        <v>5.6670999999999996</v>
      </c>
      <c r="E2314" s="4">
        <v>1526</v>
      </c>
      <c r="F2314" s="4">
        <v>11.601000000000001</v>
      </c>
      <c r="G2314" s="4">
        <v>17703.126</v>
      </c>
      <c r="H2314" s="5">
        <f t="shared" si="36"/>
        <v>-3.429114057609246E-3</v>
      </c>
    </row>
    <row r="2315" spans="1:8" ht="13.5" x14ac:dyDescent="0.25">
      <c r="A2315" s="1"/>
      <c r="B2315" s="3">
        <v>45671</v>
      </c>
      <c r="C2315" s="4">
        <v>11.41</v>
      </c>
      <c r="D2315" s="4">
        <v>5.5503999999999998</v>
      </c>
      <c r="E2315" s="4">
        <v>1043</v>
      </c>
      <c r="F2315" s="4">
        <v>11.46</v>
      </c>
      <c r="G2315" s="4">
        <v>11952.78</v>
      </c>
      <c r="H2315" s="5">
        <f t="shared" si="36"/>
        <v>-2.0592542923188194E-2</v>
      </c>
    </row>
    <row r="2316" spans="1:8" ht="13.5" x14ac:dyDescent="0.25">
      <c r="A2316" s="1"/>
      <c r="B2316" s="3">
        <v>45672</v>
      </c>
      <c r="C2316" s="4">
        <v>11.41</v>
      </c>
      <c r="D2316" s="4">
        <v>5.5503999999999998</v>
      </c>
      <c r="E2316" s="4">
        <v>2779</v>
      </c>
      <c r="F2316" s="4">
        <v>11.343999999999999</v>
      </c>
      <c r="G2316" s="4">
        <v>31524.975999999999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11.3</v>
      </c>
      <c r="D2317" s="4">
        <v>5.4969000000000001</v>
      </c>
      <c r="E2317" s="4">
        <v>3541</v>
      </c>
      <c r="F2317" s="4">
        <v>11.375999999999999</v>
      </c>
      <c r="G2317" s="4">
        <v>40282.415999999997</v>
      </c>
      <c r="H2317" s="5">
        <f t="shared" si="36"/>
        <v>-9.6389449409050986E-3</v>
      </c>
    </row>
    <row r="2318" spans="1:8" ht="13.5" x14ac:dyDescent="0.25">
      <c r="A2318" s="1"/>
      <c r="B2318" s="3">
        <v>45674</v>
      </c>
      <c r="C2318" s="4">
        <v>11.3</v>
      </c>
      <c r="D2318" s="4">
        <v>5.4969000000000001</v>
      </c>
      <c r="E2318" s="4">
        <v>3164</v>
      </c>
      <c r="F2318" s="4">
        <v>11.069000000000001</v>
      </c>
      <c r="G2318" s="4">
        <v>35022.315999999999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11.2</v>
      </c>
      <c r="D2319" s="4">
        <v>5.4481999999999999</v>
      </c>
      <c r="E2319" s="4">
        <v>340</v>
      </c>
      <c r="F2319" s="4">
        <v>11.164999999999999</v>
      </c>
      <c r="G2319" s="4">
        <v>3796.1</v>
      </c>
      <c r="H2319" s="5">
        <f t="shared" si="36"/>
        <v>-8.8595390128982134E-3</v>
      </c>
    </row>
    <row r="2320" spans="1:8" ht="13.5" x14ac:dyDescent="0.25">
      <c r="A2320" s="1"/>
      <c r="B2320" s="3">
        <v>45678</v>
      </c>
      <c r="C2320" s="4">
        <v>11.4</v>
      </c>
      <c r="D2320" s="4">
        <v>5.5454999999999997</v>
      </c>
      <c r="E2320" s="4">
        <v>4330</v>
      </c>
      <c r="F2320" s="4">
        <v>11.4</v>
      </c>
      <c r="G2320" s="4">
        <v>49362</v>
      </c>
      <c r="H2320" s="5">
        <f t="shared" si="36"/>
        <v>1.785910943063759E-2</v>
      </c>
    </row>
    <row r="2321" spans="1:8" ht="13.5" x14ac:dyDescent="0.25">
      <c r="A2321" s="1"/>
      <c r="B2321" s="3">
        <v>45679</v>
      </c>
      <c r="C2321" s="4">
        <v>11.49</v>
      </c>
      <c r="D2321" s="4">
        <v>5.5892999999999997</v>
      </c>
      <c r="E2321" s="4">
        <v>2369</v>
      </c>
      <c r="F2321" s="4">
        <v>11.459</v>
      </c>
      <c r="G2321" s="4">
        <v>27146.370999999999</v>
      </c>
      <c r="H2321" s="5">
        <f t="shared" si="36"/>
        <v>7.8982959156072598E-3</v>
      </c>
    </row>
    <row r="2322" spans="1:8" ht="13.5" x14ac:dyDescent="0.25">
      <c r="A2322" s="1"/>
      <c r="B2322" s="3">
        <v>45680</v>
      </c>
      <c r="C2322" s="4">
        <v>11.49</v>
      </c>
      <c r="D2322" s="4">
        <v>5.5892999999999997</v>
      </c>
      <c r="E2322" s="4">
        <v>5542</v>
      </c>
      <c r="F2322" s="4">
        <v>11.497</v>
      </c>
      <c r="G2322" s="4">
        <v>63716.374000000003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11.6</v>
      </c>
      <c r="D2323" s="4">
        <v>5.6428000000000003</v>
      </c>
      <c r="E2323" s="4">
        <v>1260</v>
      </c>
      <c r="F2323" s="4">
        <v>11.573</v>
      </c>
      <c r="G2323" s="4">
        <v>14581.98</v>
      </c>
      <c r="H2323" s="5">
        <f t="shared" si="36"/>
        <v>9.5718605192064397E-3</v>
      </c>
    </row>
    <row r="2324" spans="1:8" ht="13.5" x14ac:dyDescent="0.25">
      <c r="A2324" s="1"/>
      <c r="B2324" s="3">
        <v>45684</v>
      </c>
      <c r="C2324" s="4">
        <v>11.49</v>
      </c>
      <c r="D2324" s="4">
        <v>5.5892999999999997</v>
      </c>
      <c r="E2324" s="4">
        <v>343</v>
      </c>
      <c r="F2324" s="4">
        <v>11.558</v>
      </c>
      <c r="G2324" s="4">
        <v>3964.3939999999998</v>
      </c>
      <c r="H2324" s="5">
        <f t="shared" si="36"/>
        <v>-9.4811086694549778E-3</v>
      </c>
    </row>
    <row r="2325" spans="1:8" ht="13.5" x14ac:dyDescent="0.25">
      <c r="A2325" s="1"/>
      <c r="B2325" s="3">
        <v>45685</v>
      </c>
      <c r="C2325" s="4">
        <v>11.59</v>
      </c>
      <c r="D2325" s="4">
        <v>5.6379999999999999</v>
      </c>
      <c r="E2325" s="4">
        <v>1001</v>
      </c>
      <c r="F2325" s="4">
        <v>11.45</v>
      </c>
      <c r="G2325" s="4">
        <v>11461.45</v>
      </c>
      <c r="H2325" s="5">
        <f t="shared" si="36"/>
        <v>8.7130767716887964E-3</v>
      </c>
    </row>
    <row r="2326" spans="1:8" ht="13.5" x14ac:dyDescent="0.25">
      <c r="A2326" s="1"/>
      <c r="B2326" s="3">
        <v>45686</v>
      </c>
      <c r="C2326" s="4">
        <v>11.36</v>
      </c>
      <c r="D2326" s="4">
        <v>5.5260999999999996</v>
      </c>
      <c r="E2326" s="4">
        <v>1586</v>
      </c>
      <c r="F2326" s="4">
        <v>11.375</v>
      </c>
      <c r="G2326" s="4">
        <v>18040.75</v>
      </c>
      <c r="H2326" s="5">
        <f t="shared" si="36"/>
        <v>-1.9847463639588565E-2</v>
      </c>
    </row>
    <row r="2327" spans="1:8" ht="13.5" x14ac:dyDescent="0.25">
      <c r="A2327" s="1"/>
      <c r="B2327" s="3">
        <v>45687</v>
      </c>
      <c r="C2327" s="4">
        <v>11.34</v>
      </c>
      <c r="D2327" s="4">
        <v>5.5163000000000002</v>
      </c>
      <c r="E2327" s="4">
        <v>2357</v>
      </c>
      <c r="F2327" s="4">
        <v>11.269</v>
      </c>
      <c r="G2327" s="4">
        <v>26561.032999999999</v>
      </c>
      <c r="H2327" s="5">
        <f t="shared" si="36"/>
        <v>-1.7734025804815993E-3</v>
      </c>
    </row>
    <row r="2328" spans="1:8" ht="13.5" x14ac:dyDescent="0.25">
      <c r="A2328" s="1"/>
      <c r="B2328" s="3">
        <v>45688</v>
      </c>
      <c r="C2328" s="4">
        <v>11.33</v>
      </c>
      <c r="D2328" s="4">
        <v>5.5114999999999998</v>
      </c>
      <c r="E2328" s="4">
        <v>2544</v>
      </c>
      <c r="F2328" s="4">
        <v>11.32</v>
      </c>
      <c r="G2328" s="4">
        <v>28798.080000000002</v>
      </c>
      <c r="H2328" s="5">
        <f t="shared" si="36"/>
        <v>-8.7014846908260236E-4</v>
      </c>
    </row>
    <row r="2329" spans="1:8" ht="13.5" x14ac:dyDescent="0.25">
      <c r="A2329" s="1"/>
      <c r="B2329" s="3">
        <v>45691</v>
      </c>
      <c r="C2329" s="4">
        <v>11</v>
      </c>
      <c r="D2329" s="4">
        <v>5.351</v>
      </c>
      <c r="E2329" s="4">
        <v>2113</v>
      </c>
      <c r="F2329" s="4">
        <v>11.04</v>
      </c>
      <c r="G2329" s="4">
        <v>23327.52</v>
      </c>
      <c r="H2329" s="5">
        <f t="shared" si="36"/>
        <v>-2.9120928966705956E-2</v>
      </c>
    </row>
    <row r="2330" spans="1:8" ht="13.5" x14ac:dyDescent="0.25">
      <c r="A2330" s="1"/>
      <c r="B2330" s="3">
        <v>45692</v>
      </c>
      <c r="C2330" s="4">
        <v>10.9</v>
      </c>
      <c r="D2330" s="4">
        <v>5.3022999999999998</v>
      </c>
      <c r="E2330" s="4">
        <v>1218</v>
      </c>
      <c r="F2330" s="4">
        <v>10.972</v>
      </c>
      <c r="G2330" s="4">
        <v>13363.896000000001</v>
      </c>
      <c r="H2330" s="5">
        <f t="shared" si="36"/>
        <v>-9.1011025976453358E-3</v>
      </c>
    </row>
    <row r="2331" spans="1:8" ht="13.5" x14ac:dyDescent="0.25">
      <c r="A2331" s="1"/>
      <c r="B2331" s="3">
        <v>45693</v>
      </c>
      <c r="C2331" s="4">
        <v>10.82</v>
      </c>
      <c r="D2331" s="4">
        <v>5.2633999999999999</v>
      </c>
      <c r="E2331" s="4">
        <v>611</v>
      </c>
      <c r="F2331" s="4">
        <v>10.811999999999999</v>
      </c>
      <c r="G2331" s="4">
        <v>6606.1319999999996</v>
      </c>
      <c r="H2331" s="5">
        <f t="shared" si="36"/>
        <v>-7.3364389038718929E-3</v>
      </c>
    </row>
    <row r="2332" spans="1:8" ht="13.5" x14ac:dyDescent="0.25">
      <c r="A2332" s="1"/>
      <c r="B2332" s="3">
        <v>45694</v>
      </c>
      <c r="C2332" s="4">
        <v>10.89</v>
      </c>
      <c r="D2332" s="4">
        <v>5.2973999999999997</v>
      </c>
      <c r="E2332" s="4">
        <v>1399</v>
      </c>
      <c r="F2332" s="4">
        <v>10.853</v>
      </c>
      <c r="G2332" s="4">
        <v>15183.347</v>
      </c>
      <c r="H2332" s="5">
        <f t="shared" si="36"/>
        <v>6.4597028536686951E-3</v>
      </c>
    </row>
    <row r="2333" spans="1:8" ht="13.5" x14ac:dyDescent="0.25">
      <c r="A2333" s="1"/>
      <c r="B2333" s="3">
        <v>45695</v>
      </c>
      <c r="C2333" s="4">
        <v>10.79</v>
      </c>
      <c r="D2333" s="4">
        <v>5.2488000000000001</v>
      </c>
      <c r="E2333" s="4">
        <v>21638</v>
      </c>
      <c r="F2333" s="4">
        <v>10.835000000000001</v>
      </c>
      <c r="G2333" s="4">
        <v>234447.73</v>
      </c>
      <c r="H2333" s="5">
        <f t="shared" si="36"/>
        <v>-9.1743119266054166E-3</v>
      </c>
    </row>
    <row r="2334" spans="1:8" ht="13.5" x14ac:dyDescent="0.25">
      <c r="A2334" s="1"/>
      <c r="B2334" s="3">
        <v>45698</v>
      </c>
      <c r="C2334" s="4">
        <v>10.26</v>
      </c>
      <c r="D2334" s="4">
        <v>4.9909999999999997</v>
      </c>
      <c r="E2334" s="4">
        <v>2955</v>
      </c>
      <c r="F2334" s="4">
        <v>10.255000000000001</v>
      </c>
      <c r="G2334" s="4">
        <v>30303.525000000001</v>
      </c>
      <c r="H2334" s="5">
        <f t="shared" si="36"/>
        <v>-4.9115988416400025E-2</v>
      </c>
    </row>
    <row r="2335" spans="1:8" ht="13.5" x14ac:dyDescent="0.25">
      <c r="A2335" s="1"/>
      <c r="B2335" s="3">
        <v>45699</v>
      </c>
      <c r="C2335" s="4">
        <v>9.9</v>
      </c>
      <c r="D2335" s="4">
        <v>4.8159000000000001</v>
      </c>
      <c r="E2335" s="4">
        <v>5158</v>
      </c>
      <c r="F2335" s="4">
        <v>10.012</v>
      </c>
      <c r="G2335" s="4">
        <v>51641.896000000001</v>
      </c>
      <c r="H2335" s="5">
        <f t="shared" si="36"/>
        <v>-3.5083149669404852E-2</v>
      </c>
    </row>
    <row r="2336" spans="1:8" ht="13.5" x14ac:dyDescent="0.25">
      <c r="A2336" s="1"/>
      <c r="B2336" s="3">
        <v>45700</v>
      </c>
      <c r="C2336" s="4">
        <v>9.99</v>
      </c>
      <c r="D2336" s="4">
        <v>4.8596000000000004</v>
      </c>
      <c r="E2336" s="4">
        <v>2768</v>
      </c>
      <c r="F2336" s="4">
        <v>9.8979999999999997</v>
      </c>
      <c r="G2336" s="4">
        <v>27397.664000000001</v>
      </c>
      <c r="H2336" s="5">
        <f t="shared" si="36"/>
        <v>9.0741086816587338E-3</v>
      </c>
    </row>
    <row r="2337" spans="1:8" ht="13.5" x14ac:dyDescent="0.25">
      <c r="A2337" s="1"/>
      <c r="B2337" s="3">
        <v>45701</v>
      </c>
      <c r="C2337" s="4">
        <v>10.58</v>
      </c>
      <c r="D2337" s="4">
        <v>5.1466000000000003</v>
      </c>
      <c r="E2337" s="4">
        <v>111739</v>
      </c>
      <c r="F2337" s="4">
        <v>10.012</v>
      </c>
      <c r="G2337" s="4">
        <v>1118730.868</v>
      </c>
      <c r="H2337" s="5">
        <f t="shared" si="36"/>
        <v>5.9058358712651228E-2</v>
      </c>
    </row>
    <row r="2338" spans="1:8" ht="13.5" x14ac:dyDescent="0.25">
      <c r="A2338" s="1"/>
      <c r="B2338" s="3">
        <v>45702</v>
      </c>
      <c r="C2338" s="4">
        <v>11.21</v>
      </c>
      <c r="D2338" s="4">
        <v>5.4531000000000001</v>
      </c>
      <c r="E2338" s="4">
        <v>9997</v>
      </c>
      <c r="F2338" s="4">
        <v>10.983000000000001</v>
      </c>
      <c r="G2338" s="4">
        <v>109797.05100000001</v>
      </c>
      <c r="H2338" s="5">
        <f t="shared" si="36"/>
        <v>5.9553880231609173E-2</v>
      </c>
    </row>
    <row r="2339" spans="1:8" ht="13.5" x14ac:dyDescent="0.25">
      <c r="A2339" s="1"/>
      <c r="B2339" s="3">
        <v>45705</v>
      </c>
      <c r="C2339" s="4">
        <v>11.43</v>
      </c>
      <c r="D2339" s="4">
        <v>5.5601000000000003</v>
      </c>
      <c r="E2339" s="4">
        <v>20141</v>
      </c>
      <c r="F2339" s="4">
        <v>11.443</v>
      </c>
      <c r="G2339" s="4">
        <v>230473.46299999999</v>
      </c>
      <c r="H2339" s="5">
        <f t="shared" si="36"/>
        <v>1.9621866461278944E-2</v>
      </c>
    </row>
    <row r="2340" spans="1:8" ht="13.5" x14ac:dyDescent="0.25">
      <c r="A2340" s="1"/>
      <c r="B2340" s="3">
        <v>45706</v>
      </c>
      <c r="C2340" s="4">
        <v>11.32</v>
      </c>
      <c r="D2340" s="4">
        <v>5.5065999999999997</v>
      </c>
      <c r="E2340" s="4">
        <v>4881</v>
      </c>
      <c r="F2340" s="4">
        <v>11.266</v>
      </c>
      <c r="G2340" s="4">
        <v>54989.345999999998</v>
      </c>
      <c r="H2340" s="5">
        <f t="shared" si="36"/>
        <v>-9.6221290983976096E-3</v>
      </c>
    </row>
    <row r="2341" spans="1:8" ht="13.5" x14ac:dyDescent="0.25">
      <c r="A2341" s="1"/>
      <c r="B2341" s="3">
        <v>45707</v>
      </c>
      <c r="C2341" s="4">
        <v>11.3</v>
      </c>
      <c r="D2341" s="4">
        <v>5.4969000000000001</v>
      </c>
      <c r="E2341" s="4">
        <v>5239</v>
      </c>
      <c r="F2341" s="4">
        <v>11.218999999999999</v>
      </c>
      <c r="G2341" s="4">
        <v>58776.341</v>
      </c>
      <c r="H2341" s="5">
        <f t="shared" si="36"/>
        <v>-1.7615225365923796E-3</v>
      </c>
    </row>
    <row r="2342" spans="1:8" ht="13.5" x14ac:dyDescent="0.25">
      <c r="A2342" s="1"/>
      <c r="B2342" s="3">
        <v>45708</v>
      </c>
      <c r="C2342" s="4">
        <v>11.07</v>
      </c>
      <c r="D2342" s="4">
        <v>5.3849999999999998</v>
      </c>
      <c r="E2342" s="4">
        <v>1076</v>
      </c>
      <c r="F2342" s="4">
        <v>11.076000000000001</v>
      </c>
      <c r="G2342" s="4">
        <v>11917.776</v>
      </c>
      <c r="H2342" s="5">
        <f t="shared" si="36"/>
        <v>-2.0356928450581298E-2</v>
      </c>
    </row>
    <row r="2343" spans="1:8" ht="13.5" x14ac:dyDescent="0.25">
      <c r="A2343" s="1"/>
      <c r="B2343" s="3">
        <v>45709</v>
      </c>
      <c r="C2343" s="4">
        <v>11.03</v>
      </c>
      <c r="D2343" s="4">
        <v>5.3654999999999999</v>
      </c>
      <c r="E2343" s="4">
        <v>1281</v>
      </c>
      <c r="F2343" s="4">
        <v>10.994999999999999</v>
      </c>
      <c r="G2343" s="4">
        <v>14084.594999999999</v>
      </c>
      <c r="H2343" s="5">
        <f t="shared" si="36"/>
        <v>-3.6211699164345129E-3</v>
      </c>
    </row>
    <row r="2344" spans="1:8" ht="13.5" x14ac:dyDescent="0.25">
      <c r="A2344" s="1"/>
      <c r="B2344" s="3">
        <v>45712</v>
      </c>
      <c r="C2344" s="4">
        <v>11.04</v>
      </c>
      <c r="D2344" s="4">
        <v>5.3704000000000001</v>
      </c>
      <c r="E2344" s="4">
        <v>2690</v>
      </c>
      <c r="F2344" s="4">
        <v>11.071999999999999</v>
      </c>
      <c r="G2344" s="4">
        <v>29783.68</v>
      </c>
      <c r="H2344" s="5">
        <f t="shared" si="36"/>
        <v>9.132420091324437E-4</v>
      </c>
    </row>
    <row r="2345" spans="1:8" ht="13.5" x14ac:dyDescent="0.25">
      <c r="A2345" s="1"/>
      <c r="B2345" s="3">
        <v>45713</v>
      </c>
      <c r="C2345" s="4">
        <v>10.62</v>
      </c>
      <c r="D2345" s="4">
        <v>5.1661000000000001</v>
      </c>
      <c r="E2345" s="4">
        <v>8410</v>
      </c>
      <c r="F2345" s="4">
        <v>10.612</v>
      </c>
      <c r="G2345" s="4">
        <v>89246.92</v>
      </c>
      <c r="H2345" s="5">
        <f t="shared" si="36"/>
        <v>-3.8041859079398166E-2</v>
      </c>
    </row>
    <row r="2346" spans="1:8" ht="13.5" x14ac:dyDescent="0.25">
      <c r="A2346" s="1"/>
      <c r="B2346" s="3">
        <v>45714</v>
      </c>
      <c r="C2346" s="4">
        <v>10.85</v>
      </c>
      <c r="D2346" s="4">
        <v>5.2779999999999996</v>
      </c>
      <c r="E2346" s="4">
        <v>325</v>
      </c>
      <c r="F2346" s="4">
        <v>10.696999999999999</v>
      </c>
      <c r="G2346" s="4">
        <v>3476.5250000000001</v>
      </c>
      <c r="H2346" s="5">
        <f t="shared" si="36"/>
        <v>2.1660440177309663E-2</v>
      </c>
    </row>
    <row r="2347" spans="1:8" ht="13.5" x14ac:dyDescent="0.25">
      <c r="A2347" s="1"/>
      <c r="B2347" s="3">
        <v>45715</v>
      </c>
      <c r="C2347" s="4">
        <v>10.78</v>
      </c>
      <c r="D2347" s="4">
        <v>5.2439</v>
      </c>
      <c r="E2347" s="4">
        <v>2964</v>
      </c>
      <c r="F2347" s="4">
        <v>10.65</v>
      </c>
      <c r="G2347" s="4">
        <v>31566.6</v>
      </c>
      <c r="H2347" s="5">
        <f t="shared" si="36"/>
        <v>-6.4607805987115536E-3</v>
      </c>
    </row>
    <row r="2348" spans="1:8" ht="13.5" x14ac:dyDescent="0.25">
      <c r="A2348" s="1"/>
      <c r="B2348" s="3">
        <v>45716</v>
      </c>
      <c r="C2348" s="4">
        <v>10.78</v>
      </c>
      <c r="D2348" s="4">
        <v>5.2439</v>
      </c>
      <c r="E2348" s="4">
        <v>1704</v>
      </c>
      <c r="F2348" s="4">
        <v>10.708</v>
      </c>
      <c r="G2348" s="4">
        <v>18246.432000000001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10.78</v>
      </c>
      <c r="D2349" s="4">
        <v>5.2439</v>
      </c>
      <c r="E2349" s="4">
        <v>1394</v>
      </c>
      <c r="F2349" s="4">
        <v>10.78</v>
      </c>
      <c r="G2349" s="4">
        <v>15027.32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10.78</v>
      </c>
      <c r="D2350" s="4">
        <v>5.2439</v>
      </c>
      <c r="E2350" s="4">
        <v>126</v>
      </c>
      <c r="F2350" s="4">
        <v>10.78</v>
      </c>
      <c r="G2350" s="4">
        <v>1358.28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10.77</v>
      </c>
      <c r="D2351" s="4">
        <v>5.2390999999999996</v>
      </c>
      <c r="E2351" s="4">
        <v>3111</v>
      </c>
      <c r="F2351" s="4">
        <v>10.78</v>
      </c>
      <c r="G2351" s="4">
        <v>33536.58</v>
      </c>
      <c r="H2351" s="5">
        <f t="shared" si="36"/>
        <v>-9.1534926295321409E-4</v>
      </c>
    </row>
    <row r="2352" spans="1:8" ht="13.5" x14ac:dyDescent="0.25">
      <c r="A2352" s="1"/>
      <c r="B2352" s="3">
        <v>45722</v>
      </c>
      <c r="C2352" s="4">
        <v>10.77</v>
      </c>
      <c r="D2352" s="4">
        <v>5.2390999999999996</v>
      </c>
      <c r="E2352" s="4">
        <v>1428</v>
      </c>
      <c r="F2352" s="4">
        <v>10.776999999999999</v>
      </c>
      <c r="G2352" s="4">
        <v>15389.556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10.6</v>
      </c>
      <c r="D2353" s="4">
        <v>5.1563999999999997</v>
      </c>
      <c r="E2353" s="4">
        <v>2173</v>
      </c>
      <c r="F2353" s="4">
        <v>10.593</v>
      </c>
      <c r="G2353" s="4">
        <v>23018.589</v>
      </c>
      <c r="H2353" s="5">
        <f t="shared" si="36"/>
        <v>-1.5785153938653585E-2</v>
      </c>
    </row>
    <row r="2354" spans="1:8" ht="13.5" x14ac:dyDescent="0.25">
      <c r="A2354" s="1"/>
      <c r="B2354" s="3">
        <v>45726</v>
      </c>
      <c r="C2354" s="4">
        <v>10.7</v>
      </c>
      <c r="D2354" s="4">
        <v>5.2050000000000001</v>
      </c>
      <c r="E2354" s="4">
        <v>21</v>
      </c>
      <c r="F2354" s="4">
        <v>10.69</v>
      </c>
      <c r="G2354" s="4">
        <v>224.49</v>
      </c>
      <c r="H2354" s="5">
        <f t="shared" si="36"/>
        <v>9.4251803583896565E-3</v>
      </c>
    </row>
    <row r="2355" spans="1:8" ht="13.5" x14ac:dyDescent="0.25">
      <c r="A2355" s="1"/>
      <c r="B2355" s="3">
        <v>45727</v>
      </c>
      <c r="C2355" s="4">
        <v>11.07</v>
      </c>
      <c r="D2355" s="4">
        <v>5.3849999999999998</v>
      </c>
      <c r="E2355" s="4">
        <v>2873</v>
      </c>
      <c r="F2355" s="4">
        <v>11.03</v>
      </c>
      <c r="G2355" s="4">
        <v>31689.19</v>
      </c>
      <c r="H2355" s="5">
        <f t="shared" si="36"/>
        <v>3.4582132564841446E-2</v>
      </c>
    </row>
    <row r="2356" spans="1:8" ht="13.5" x14ac:dyDescent="0.25">
      <c r="A2356" s="1"/>
      <c r="B2356" s="3">
        <v>45728</v>
      </c>
      <c r="C2356" s="4">
        <v>11.09</v>
      </c>
      <c r="D2356" s="4">
        <v>5.3947000000000003</v>
      </c>
      <c r="E2356" s="4">
        <v>4438</v>
      </c>
      <c r="F2356" s="4">
        <v>11.09</v>
      </c>
      <c r="G2356" s="4">
        <v>49217.42</v>
      </c>
      <c r="H2356" s="5">
        <f t="shared" si="36"/>
        <v>1.8012999071495795E-3</v>
      </c>
    </row>
    <row r="2357" spans="1:8" ht="13.5" x14ac:dyDescent="0.25">
      <c r="A2357" s="1"/>
      <c r="B2357" s="3">
        <v>45729</v>
      </c>
      <c r="C2357" s="4">
        <v>11.01</v>
      </c>
      <c r="D2357" s="4">
        <v>5.3558000000000003</v>
      </c>
      <c r="E2357" s="4">
        <v>1685</v>
      </c>
      <c r="F2357" s="4">
        <v>10.904999999999999</v>
      </c>
      <c r="G2357" s="4">
        <v>18374.924999999999</v>
      </c>
      <c r="H2357" s="5">
        <f t="shared" si="36"/>
        <v>-7.2107809516747797E-3</v>
      </c>
    </row>
    <row r="2358" spans="1:8" ht="13.5" x14ac:dyDescent="0.25">
      <c r="A2358" s="1"/>
      <c r="B2358" s="3">
        <v>45730</v>
      </c>
      <c r="C2358" s="4">
        <v>11.11</v>
      </c>
      <c r="D2358" s="4">
        <v>5.4044999999999996</v>
      </c>
      <c r="E2358" s="4">
        <v>3153</v>
      </c>
      <c r="F2358" s="4">
        <v>11.101000000000001</v>
      </c>
      <c r="G2358" s="4">
        <v>35001.453000000001</v>
      </c>
      <c r="H2358" s="5">
        <f t="shared" si="36"/>
        <v>9.0929459651217931E-3</v>
      </c>
    </row>
    <row r="2359" spans="1:8" ht="13.5" x14ac:dyDescent="0.25">
      <c r="A2359" s="1"/>
      <c r="B2359" s="3">
        <v>45733</v>
      </c>
      <c r="C2359" s="4">
        <v>11.04</v>
      </c>
      <c r="D2359" s="4">
        <v>5.3704000000000001</v>
      </c>
      <c r="E2359" s="4">
        <v>11109</v>
      </c>
      <c r="F2359" s="4">
        <v>10.647</v>
      </c>
      <c r="G2359" s="4">
        <v>118277.523</v>
      </c>
      <c r="H2359" s="5">
        <f t="shared" si="36"/>
        <v>-6.3095568507724265E-3</v>
      </c>
    </row>
    <row r="2360" spans="1:8" ht="13.5" x14ac:dyDescent="0.25">
      <c r="A2360" s="1"/>
      <c r="B2360" s="3">
        <v>45734</v>
      </c>
      <c r="C2360" s="4">
        <v>11</v>
      </c>
      <c r="D2360" s="4">
        <v>5.351</v>
      </c>
      <c r="E2360" s="4">
        <v>642112</v>
      </c>
      <c r="F2360" s="4">
        <v>10.851000000000001</v>
      </c>
      <c r="G2360" s="4">
        <v>6967557.3119999999</v>
      </c>
      <c r="H2360" s="5">
        <f t="shared" si="36"/>
        <v>-3.6123938626545665E-3</v>
      </c>
    </row>
    <row r="2361" spans="1:8" ht="13.5" x14ac:dyDescent="0.25">
      <c r="A2361" s="1"/>
      <c r="B2361" s="3">
        <v>45735</v>
      </c>
      <c r="C2361" s="4">
        <v>10.91</v>
      </c>
      <c r="D2361" s="4">
        <v>5.3071999999999999</v>
      </c>
      <c r="E2361" s="4">
        <v>14032</v>
      </c>
      <c r="F2361" s="4">
        <v>10.984999999999999</v>
      </c>
      <c r="G2361" s="4">
        <v>154141.51999999999</v>
      </c>
      <c r="H2361" s="5">
        <f t="shared" si="36"/>
        <v>-8.1853859091758664E-3</v>
      </c>
    </row>
    <row r="2362" spans="1:8" ht="13.5" x14ac:dyDescent="0.25">
      <c r="A2362" s="1"/>
      <c r="B2362" s="3">
        <v>45737</v>
      </c>
      <c r="C2362" s="4">
        <v>10.99</v>
      </c>
      <c r="D2362" s="4">
        <v>5.3460999999999999</v>
      </c>
      <c r="E2362" s="4">
        <v>35551</v>
      </c>
      <c r="F2362" s="4">
        <v>10.683</v>
      </c>
      <c r="G2362" s="4">
        <v>379791.33299999998</v>
      </c>
      <c r="H2362" s="5">
        <f t="shared" si="36"/>
        <v>7.3296653602652881E-3</v>
      </c>
    </row>
    <row r="2363" spans="1:8" ht="13.5" x14ac:dyDescent="0.25">
      <c r="A2363" s="1"/>
      <c r="B2363" s="3">
        <v>45740</v>
      </c>
      <c r="C2363" s="4">
        <v>11.02</v>
      </c>
      <c r="D2363" s="4">
        <v>5.3606999999999996</v>
      </c>
      <c r="E2363" s="4">
        <v>261</v>
      </c>
      <c r="F2363" s="4">
        <v>10.962999999999999</v>
      </c>
      <c r="G2363" s="4">
        <v>2861.3429999999998</v>
      </c>
      <c r="H2363" s="5">
        <f t="shared" si="36"/>
        <v>2.7309627578982294E-3</v>
      </c>
    </row>
    <row r="2364" spans="1:8" ht="13.5" x14ac:dyDescent="0.25">
      <c r="A2364" s="1"/>
      <c r="B2364" s="3">
        <v>45741</v>
      </c>
      <c r="C2364" s="4">
        <v>10.95</v>
      </c>
      <c r="D2364" s="4">
        <v>5.3266</v>
      </c>
      <c r="E2364" s="4">
        <v>894</v>
      </c>
      <c r="F2364" s="4">
        <v>10.972</v>
      </c>
      <c r="G2364" s="4">
        <v>9808.9680000000008</v>
      </c>
      <c r="H2364" s="5">
        <f t="shared" si="36"/>
        <v>-6.3611095565876807E-3</v>
      </c>
    </row>
    <row r="2365" spans="1:8" ht="13.5" x14ac:dyDescent="0.25">
      <c r="A2365" s="1"/>
      <c r="B2365" s="3">
        <v>45742</v>
      </c>
      <c r="C2365" s="4">
        <v>10.95</v>
      </c>
      <c r="D2365" s="4">
        <v>5.3266</v>
      </c>
      <c r="E2365" s="4">
        <v>1834</v>
      </c>
      <c r="F2365" s="4">
        <v>10.951000000000001</v>
      </c>
      <c r="G2365" s="4">
        <v>20084.133999999998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11</v>
      </c>
      <c r="D2366" s="4">
        <v>5.351</v>
      </c>
      <c r="E2366" s="4">
        <v>1002</v>
      </c>
      <c r="F2366" s="4">
        <v>10.981999999999999</v>
      </c>
      <c r="G2366" s="4">
        <v>11003.964</v>
      </c>
      <c r="H2366" s="5">
        <f t="shared" si="36"/>
        <v>4.5807832388390299E-3</v>
      </c>
    </row>
    <row r="2367" spans="1:8" ht="13.5" x14ac:dyDescent="0.25">
      <c r="A2367" s="1"/>
      <c r="B2367" s="3">
        <v>45744</v>
      </c>
      <c r="C2367" s="4">
        <v>10.97</v>
      </c>
      <c r="D2367" s="4">
        <v>5.3364000000000003</v>
      </c>
      <c r="E2367" s="4">
        <v>768</v>
      </c>
      <c r="F2367" s="4">
        <v>10.911</v>
      </c>
      <c r="G2367" s="4">
        <v>8379.6479999999992</v>
      </c>
      <c r="H2367" s="5">
        <f t="shared" si="36"/>
        <v>-2.7284619697252334E-3</v>
      </c>
    </row>
    <row r="2368" spans="1:8" ht="13.5" x14ac:dyDescent="0.25">
      <c r="A2368" s="1"/>
      <c r="B2368" s="3">
        <v>45749</v>
      </c>
      <c r="C2368" s="4">
        <v>10.95</v>
      </c>
      <c r="D2368" s="4">
        <v>5.3266</v>
      </c>
      <c r="E2368" s="4">
        <v>378</v>
      </c>
      <c r="F2368" s="4">
        <v>10.938000000000001</v>
      </c>
      <c r="G2368" s="4">
        <v>4134.5640000000003</v>
      </c>
      <c r="H2368" s="5">
        <f t="shared" si="36"/>
        <v>-1.8364440446743595E-3</v>
      </c>
    </row>
    <row r="2369" spans="1:8" ht="13.5" x14ac:dyDescent="0.25">
      <c r="A2369" s="1"/>
      <c r="B2369" s="3">
        <v>45750</v>
      </c>
      <c r="C2369" s="4">
        <v>10.9</v>
      </c>
      <c r="D2369" s="4">
        <v>5.3022999999999998</v>
      </c>
      <c r="E2369" s="4">
        <v>2427</v>
      </c>
      <c r="F2369" s="4">
        <v>10.87</v>
      </c>
      <c r="G2369" s="4">
        <v>26381.49</v>
      </c>
      <c r="H2369" s="5">
        <f t="shared" si="36"/>
        <v>-4.5620095370405532E-3</v>
      </c>
    </row>
    <row r="2370" spans="1:8" ht="13.5" x14ac:dyDescent="0.25">
      <c r="A2370" s="1"/>
      <c r="B2370" s="3">
        <v>45751</v>
      </c>
      <c r="C2370" s="4">
        <v>10.8</v>
      </c>
      <c r="D2370" s="4">
        <v>5.2537000000000003</v>
      </c>
      <c r="E2370" s="4">
        <v>652</v>
      </c>
      <c r="F2370" s="4">
        <v>10.763</v>
      </c>
      <c r="G2370" s="4">
        <v>7017.4759999999997</v>
      </c>
      <c r="H2370" s="5">
        <f t="shared" si="36"/>
        <v>-9.1658336948115971E-3</v>
      </c>
    </row>
    <row r="2371" spans="1:8" ht="13.5" x14ac:dyDescent="0.25">
      <c r="A2371" s="1"/>
      <c r="B2371" s="3">
        <v>45754</v>
      </c>
      <c r="C2371" s="4">
        <v>10.84</v>
      </c>
      <c r="D2371" s="4">
        <v>5.2731000000000003</v>
      </c>
      <c r="E2371" s="4">
        <v>118</v>
      </c>
      <c r="F2371" s="4">
        <v>10.83</v>
      </c>
      <c r="G2371" s="4">
        <v>1277.94</v>
      </c>
      <c r="H2371" s="5">
        <f t="shared" si="36"/>
        <v>3.692635666292343E-3</v>
      </c>
    </row>
    <row r="2372" spans="1:8" ht="13.5" x14ac:dyDescent="0.25">
      <c r="A2372" s="1"/>
      <c r="B2372" s="3">
        <v>45755</v>
      </c>
      <c r="C2372" s="4">
        <v>10.49</v>
      </c>
      <c r="D2372" s="4">
        <v>5.1029</v>
      </c>
      <c r="E2372" s="4">
        <v>2900</v>
      </c>
      <c r="F2372" s="4">
        <v>10.742000000000001</v>
      </c>
      <c r="G2372" s="4">
        <v>31151.8</v>
      </c>
      <c r="H2372" s="5">
        <f t="shared" si="36"/>
        <v>-3.2277028692799366E-2</v>
      </c>
    </row>
    <row r="2373" spans="1:8" ht="13.5" x14ac:dyDescent="0.25">
      <c r="A2373" s="1"/>
      <c r="B2373" s="3">
        <v>45757</v>
      </c>
      <c r="C2373" s="4">
        <v>10.78</v>
      </c>
      <c r="D2373" s="4">
        <v>5.2439</v>
      </c>
      <c r="E2373" s="4">
        <v>871</v>
      </c>
      <c r="F2373" s="4">
        <v>10.569000000000001</v>
      </c>
      <c r="G2373" s="4">
        <v>9205.5990000000002</v>
      </c>
      <c r="H2373" s="5">
        <f t="shared" si="36"/>
        <v>2.7631346881185213E-2</v>
      </c>
    </row>
    <row r="2374" spans="1:8" ht="13.5" x14ac:dyDescent="0.25">
      <c r="A2374" s="1"/>
      <c r="B2374" s="3">
        <v>45758</v>
      </c>
      <c r="C2374" s="4">
        <v>11</v>
      </c>
      <c r="D2374" s="4">
        <v>5.351</v>
      </c>
      <c r="E2374" s="4">
        <v>1000</v>
      </c>
      <c r="F2374" s="4">
        <v>10.994999999999999</v>
      </c>
      <c r="G2374" s="4">
        <v>10995</v>
      </c>
      <c r="H2374" s="5">
        <f t="shared" si="36"/>
        <v>2.0423730429642056E-2</v>
      </c>
    </row>
    <row r="2375" spans="1:8" ht="13.5" x14ac:dyDescent="0.25">
      <c r="A2375" s="1"/>
      <c r="B2375" s="3">
        <v>45761</v>
      </c>
      <c r="C2375" s="4">
        <v>11</v>
      </c>
      <c r="D2375" s="4">
        <v>5.351</v>
      </c>
      <c r="E2375" s="4">
        <v>5208</v>
      </c>
      <c r="F2375" s="4">
        <v>11.015000000000001</v>
      </c>
      <c r="G2375" s="4">
        <v>57366.12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10.99</v>
      </c>
      <c r="D2376" s="4">
        <v>5.3460999999999999</v>
      </c>
      <c r="E2376" s="4">
        <v>689</v>
      </c>
      <c r="F2376" s="4">
        <v>10.958</v>
      </c>
      <c r="G2376" s="4">
        <v>7550.0619999999999</v>
      </c>
      <c r="H2376" s="5">
        <f t="shared" si="37"/>
        <v>-9.1571668846946862E-4</v>
      </c>
    </row>
    <row r="2377" spans="1:8" ht="13.5" x14ac:dyDescent="0.25">
      <c r="A2377" s="1"/>
      <c r="B2377" s="3">
        <v>45763</v>
      </c>
      <c r="C2377" s="4">
        <v>10.99</v>
      </c>
      <c r="D2377" s="4">
        <v>5.3460999999999999</v>
      </c>
      <c r="E2377" s="4">
        <v>1141</v>
      </c>
      <c r="F2377" s="4">
        <v>10.798</v>
      </c>
      <c r="G2377" s="4">
        <v>12320.518</v>
      </c>
      <c r="H2377" s="5">
        <f t="shared" si="37"/>
        <v>0</v>
      </c>
    </row>
    <row r="2378" spans="1:8" ht="13.5" x14ac:dyDescent="0.25">
      <c r="A2378" s="1"/>
      <c r="B2378" s="3">
        <v>45764</v>
      </c>
      <c r="C2378" s="4">
        <v>10.8</v>
      </c>
      <c r="D2378" s="4">
        <v>5.2537000000000003</v>
      </c>
      <c r="E2378" s="4">
        <v>3534</v>
      </c>
      <c r="F2378" s="4">
        <v>10.835000000000001</v>
      </c>
      <c r="G2378" s="4">
        <v>38290.89</v>
      </c>
      <c r="H2378" s="5">
        <f t="shared" si="37"/>
        <v>-1.7283627317109595E-2</v>
      </c>
    </row>
    <row r="2379" spans="1:8" ht="13.5" x14ac:dyDescent="0.25">
      <c r="A2379" s="1"/>
      <c r="B2379" s="3">
        <v>45765</v>
      </c>
      <c r="C2379" s="4">
        <v>10.9</v>
      </c>
      <c r="D2379" s="4">
        <v>5.3022999999999998</v>
      </c>
      <c r="E2379" s="4">
        <v>6980</v>
      </c>
      <c r="F2379" s="4">
        <v>10.818</v>
      </c>
      <c r="G2379" s="4">
        <v>75509.64</v>
      </c>
      <c r="H2379" s="5">
        <f t="shared" si="37"/>
        <v>9.2506233701961527E-3</v>
      </c>
    </row>
    <row r="2380" spans="1:8" ht="13.5" x14ac:dyDescent="0.25">
      <c r="A2380" s="1"/>
      <c r="B2380" s="3">
        <v>45768</v>
      </c>
      <c r="C2380" s="4">
        <v>10.99</v>
      </c>
      <c r="D2380" s="4">
        <v>5.3460999999999999</v>
      </c>
      <c r="E2380" s="4">
        <v>605</v>
      </c>
      <c r="F2380" s="4">
        <v>10.788</v>
      </c>
      <c r="G2380" s="4">
        <v>6526.74</v>
      </c>
      <c r="H2380" s="5">
        <f t="shared" si="37"/>
        <v>8.2605661693981973E-3</v>
      </c>
    </row>
    <row r="2381" spans="1:8" ht="13.5" x14ac:dyDescent="0.25">
      <c r="A2381" s="1"/>
      <c r="B2381" s="3">
        <v>45769</v>
      </c>
      <c r="C2381" s="4">
        <v>11.15</v>
      </c>
      <c r="D2381" s="4">
        <v>5.4238999999999997</v>
      </c>
      <c r="E2381" s="4">
        <v>9523</v>
      </c>
      <c r="F2381" s="4">
        <v>11.2</v>
      </c>
      <c r="G2381" s="4">
        <v>106657.60000000001</v>
      </c>
      <c r="H2381" s="5">
        <f t="shared" si="37"/>
        <v>1.4552664559211363E-2</v>
      </c>
    </row>
    <row r="2382" spans="1:8" ht="13.5" x14ac:dyDescent="0.25">
      <c r="A2382" s="1"/>
      <c r="B2382" s="3">
        <v>45770</v>
      </c>
      <c r="C2382" s="4">
        <v>11.28</v>
      </c>
      <c r="D2382" s="4">
        <v>5.4871999999999996</v>
      </c>
      <c r="E2382" s="4">
        <v>53573</v>
      </c>
      <c r="F2382" s="4">
        <v>11.164</v>
      </c>
      <c r="G2382" s="4">
        <v>598088.97199999995</v>
      </c>
      <c r="H2382" s="5">
        <f t="shared" si="37"/>
        <v>1.1670569147661262E-2</v>
      </c>
    </row>
    <row r="2383" spans="1:8" ht="13.5" x14ac:dyDescent="0.25">
      <c r="A2383" s="1"/>
      <c r="B2383" s="3">
        <v>45771</v>
      </c>
      <c r="C2383" s="4">
        <v>11.48</v>
      </c>
      <c r="D2383" s="4">
        <v>5.5843999999999996</v>
      </c>
      <c r="E2383" s="4">
        <v>11501</v>
      </c>
      <c r="F2383" s="4">
        <v>11.342000000000001</v>
      </c>
      <c r="G2383" s="4">
        <v>130444.342</v>
      </c>
      <c r="H2383" s="5">
        <f t="shared" si="37"/>
        <v>1.7713952471205708E-2</v>
      </c>
    </row>
    <row r="2384" spans="1:8" ht="13.5" x14ac:dyDescent="0.25">
      <c r="A2384" s="1"/>
      <c r="B2384" s="3">
        <v>45772</v>
      </c>
      <c r="C2384" s="4">
        <v>11.6</v>
      </c>
      <c r="D2384" s="4">
        <v>5.6428000000000003</v>
      </c>
      <c r="E2384" s="4">
        <v>1678</v>
      </c>
      <c r="F2384" s="4">
        <v>11.505000000000001</v>
      </c>
      <c r="G2384" s="4">
        <v>19305.39</v>
      </c>
      <c r="H2384" s="5">
        <f t="shared" si="37"/>
        <v>1.0457703602893897E-2</v>
      </c>
    </row>
    <row r="2385" spans="1:8" ht="13.5" x14ac:dyDescent="0.25">
      <c r="A2385" s="1"/>
      <c r="B2385" s="3">
        <v>45775</v>
      </c>
      <c r="C2385" s="4">
        <v>11.67</v>
      </c>
      <c r="D2385" s="4">
        <v>5.6768999999999998</v>
      </c>
      <c r="E2385" s="4">
        <v>10031</v>
      </c>
      <c r="F2385" s="4">
        <v>11.632999999999999</v>
      </c>
      <c r="G2385" s="4">
        <v>116690.62300000001</v>
      </c>
      <c r="H2385" s="5">
        <f t="shared" si="37"/>
        <v>6.043099170624437E-3</v>
      </c>
    </row>
    <row r="2386" spans="1:8" ht="13.5" x14ac:dyDescent="0.25">
      <c r="A2386" s="1"/>
      <c r="B2386" s="3">
        <v>45776</v>
      </c>
      <c r="C2386" s="4">
        <v>12.37</v>
      </c>
      <c r="D2386" s="4">
        <v>6.0174000000000003</v>
      </c>
      <c r="E2386" s="4">
        <v>3780</v>
      </c>
      <c r="F2386" s="4">
        <v>11.945</v>
      </c>
      <c r="G2386" s="4">
        <v>45152.1</v>
      </c>
      <c r="H2386" s="5">
        <f t="shared" si="37"/>
        <v>5.9979918617555437E-2</v>
      </c>
    </row>
    <row r="2387" spans="1:8" ht="13.5" x14ac:dyDescent="0.25">
      <c r="A2387" s="1"/>
      <c r="B2387" s="3">
        <v>45777</v>
      </c>
      <c r="C2387" s="4">
        <v>13.11</v>
      </c>
      <c r="D2387" s="4">
        <v>6.3773999999999997</v>
      </c>
      <c r="E2387" s="4">
        <v>5391</v>
      </c>
      <c r="F2387" s="4">
        <v>13.098000000000001</v>
      </c>
      <c r="G2387" s="4">
        <v>70611.317999999999</v>
      </c>
      <c r="H2387" s="5">
        <f t="shared" si="37"/>
        <v>5.9826503140891316E-2</v>
      </c>
    </row>
    <row r="2388" spans="1:8" ht="13.5" x14ac:dyDescent="0.25">
      <c r="A2388" s="1"/>
      <c r="B2388" s="3">
        <v>45779</v>
      </c>
      <c r="C2388" s="4">
        <v>13.87</v>
      </c>
      <c r="D2388" s="4">
        <v>6.7470999999999997</v>
      </c>
      <c r="E2388" s="4">
        <v>32326</v>
      </c>
      <c r="F2388" s="4">
        <v>13.808</v>
      </c>
      <c r="G2388" s="4">
        <v>446357.408</v>
      </c>
      <c r="H2388" s="5">
        <f t="shared" si="37"/>
        <v>5.7970332737479216E-2</v>
      </c>
    </row>
    <row r="2389" spans="1:8" ht="13.5" x14ac:dyDescent="0.25">
      <c r="A2389" s="1"/>
      <c r="B2389" s="3">
        <v>45782</v>
      </c>
      <c r="C2389" s="4">
        <v>13.98</v>
      </c>
      <c r="D2389" s="4">
        <v>6.8006000000000002</v>
      </c>
      <c r="E2389" s="4">
        <v>12056</v>
      </c>
      <c r="F2389" s="4">
        <v>13.894</v>
      </c>
      <c r="G2389" s="4">
        <v>167506.06400000001</v>
      </c>
      <c r="H2389" s="5">
        <f t="shared" si="37"/>
        <v>7.9293326021550817E-3</v>
      </c>
    </row>
    <row r="2390" spans="1:8" ht="13.5" x14ac:dyDescent="0.25">
      <c r="A2390" s="1"/>
      <c r="B2390" s="3">
        <v>45783</v>
      </c>
      <c r="C2390" s="4">
        <v>13.88</v>
      </c>
      <c r="D2390" s="4">
        <v>6.7519</v>
      </c>
      <c r="E2390" s="4">
        <v>5969</v>
      </c>
      <c r="F2390" s="4">
        <v>13.814</v>
      </c>
      <c r="G2390" s="4">
        <v>82455.766000000003</v>
      </c>
      <c r="H2390" s="5">
        <f t="shared" si="37"/>
        <v>-7.1611328412199199E-3</v>
      </c>
    </row>
    <row r="2391" spans="1:8" ht="13.5" x14ac:dyDescent="0.25">
      <c r="A2391" s="1"/>
      <c r="B2391" s="3">
        <v>45784</v>
      </c>
      <c r="C2391" s="4">
        <v>13.89</v>
      </c>
      <c r="D2391" s="4">
        <v>6.7568000000000001</v>
      </c>
      <c r="E2391" s="4">
        <v>8469</v>
      </c>
      <c r="F2391" s="4">
        <v>13.824</v>
      </c>
      <c r="G2391" s="4">
        <v>117075.45600000001</v>
      </c>
      <c r="H2391" s="5">
        <f t="shared" si="37"/>
        <v>7.2572164872111949E-4</v>
      </c>
    </row>
    <row r="2392" spans="1:8" ht="13.5" x14ac:dyDescent="0.25">
      <c r="A2392" s="1"/>
      <c r="B2392" s="3">
        <v>45785</v>
      </c>
      <c r="C2392" s="4">
        <v>13.96</v>
      </c>
      <c r="D2392" s="4">
        <v>6.7907999999999999</v>
      </c>
      <c r="E2392" s="4">
        <v>16625</v>
      </c>
      <c r="F2392" s="4">
        <v>13.856999999999999</v>
      </c>
      <c r="G2392" s="4">
        <v>230372.625</v>
      </c>
      <c r="H2392" s="5">
        <f t="shared" si="37"/>
        <v>5.0319677954060813E-3</v>
      </c>
    </row>
    <row r="2393" spans="1:8" ht="13.5" x14ac:dyDescent="0.25">
      <c r="A2393" s="1"/>
      <c r="B2393" s="3">
        <v>45786</v>
      </c>
      <c r="C2393" s="4">
        <v>13.9</v>
      </c>
      <c r="D2393" s="4">
        <v>6.7617000000000003</v>
      </c>
      <c r="E2393" s="4">
        <v>4687</v>
      </c>
      <c r="F2393" s="4">
        <v>13.811999999999999</v>
      </c>
      <c r="G2393" s="4">
        <v>64736.843999999997</v>
      </c>
      <c r="H2393" s="5">
        <f t="shared" si="37"/>
        <v>-4.2852094009541855E-3</v>
      </c>
    </row>
    <row r="2394" spans="1:8" ht="13.5" x14ac:dyDescent="0.25">
      <c r="A2394" s="1"/>
      <c r="B2394" s="3">
        <v>45789</v>
      </c>
      <c r="C2394" s="4">
        <v>13.95</v>
      </c>
      <c r="D2394" s="4">
        <v>6.7859999999999996</v>
      </c>
      <c r="E2394" s="4">
        <v>1044</v>
      </c>
      <c r="F2394" s="4">
        <v>13.936</v>
      </c>
      <c r="G2394" s="4">
        <v>14549.183999999999</v>
      </c>
      <c r="H2394" s="5">
        <f t="shared" si="37"/>
        <v>3.593770797284606E-3</v>
      </c>
    </row>
    <row r="2395" spans="1:8" ht="13.5" x14ac:dyDescent="0.25">
      <c r="A2395" s="1"/>
      <c r="B2395" s="3">
        <v>45790</v>
      </c>
      <c r="C2395" s="4">
        <v>13.9</v>
      </c>
      <c r="D2395" s="4">
        <v>6.7617000000000003</v>
      </c>
      <c r="E2395" s="4">
        <v>1316</v>
      </c>
      <c r="F2395" s="4">
        <v>13.898999999999999</v>
      </c>
      <c r="G2395" s="4">
        <v>18291.083999999999</v>
      </c>
      <c r="H2395" s="5">
        <f t="shared" si="37"/>
        <v>-3.5809018567638262E-3</v>
      </c>
    </row>
    <row r="2396" spans="1:8" ht="13.5" x14ac:dyDescent="0.25">
      <c r="A2396" s="1"/>
      <c r="B2396" s="3">
        <v>45791</v>
      </c>
      <c r="C2396" s="4">
        <v>13.85</v>
      </c>
      <c r="D2396" s="4">
        <v>6.7373000000000003</v>
      </c>
      <c r="E2396" s="4">
        <v>1366</v>
      </c>
      <c r="F2396" s="4">
        <v>13.862</v>
      </c>
      <c r="G2396" s="4">
        <v>18935.491999999998</v>
      </c>
      <c r="H2396" s="5">
        <f t="shared" si="37"/>
        <v>-3.6085599775204425E-3</v>
      </c>
    </row>
    <row r="2397" spans="1:8" ht="13.5" x14ac:dyDescent="0.25">
      <c r="A2397" s="1"/>
      <c r="B2397" s="3">
        <v>45792</v>
      </c>
      <c r="C2397" s="4">
        <v>13.7</v>
      </c>
      <c r="D2397" s="4">
        <v>6.6643999999999997</v>
      </c>
      <c r="E2397" s="4">
        <v>817</v>
      </c>
      <c r="F2397" s="4">
        <v>13.785</v>
      </c>
      <c r="G2397" s="4">
        <v>11262.344999999999</v>
      </c>
      <c r="H2397" s="5">
        <f t="shared" si="37"/>
        <v>-1.0820358303771633E-2</v>
      </c>
    </row>
    <row r="2398" spans="1:8" ht="13.5" x14ac:dyDescent="0.25">
      <c r="A2398" s="1"/>
      <c r="B2398" s="3">
        <v>45793</v>
      </c>
      <c r="C2398" s="4">
        <v>13.69</v>
      </c>
      <c r="D2398" s="4">
        <v>6.6595000000000004</v>
      </c>
      <c r="E2398" s="4">
        <v>2475</v>
      </c>
      <c r="F2398" s="4">
        <v>13.685</v>
      </c>
      <c r="G2398" s="4">
        <v>33870.375</v>
      </c>
      <c r="H2398" s="5">
        <f t="shared" si="37"/>
        <v>-7.3524998499478397E-4</v>
      </c>
    </row>
    <row r="2399" spans="1:8" ht="13.5" x14ac:dyDescent="0.25">
      <c r="A2399" s="1"/>
      <c r="B2399" s="3">
        <v>45796</v>
      </c>
      <c r="C2399" s="4">
        <v>13.35</v>
      </c>
      <c r="D2399" s="4">
        <v>6.4941000000000004</v>
      </c>
      <c r="E2399" s="4">
        <v>671</v>
      </c>
      <c r="F2399" s="4">
        <v>13.634</v>
      </c>
      <c r="G2399" s="4">
        <v>9148.4140000000007</v>
      </c>
      <c r="H2399" s="5">
        <f t="shared" si="37"/>
        <v>-2.4836699451910801E-2</v>
      </c>
    </row>
    <row r="2400" spans="1:8" ht="13.5" x14ac:dyDescent="0.25">
      <c r="A2400" s="1"/>
      <c r="B2400" s="3">
        <v>45797</v>
      </c>
      <c r="C2400" s="4">
        <v>13.6</v>
      </c>
      <c r="D2400" s="4">
        <v>6.6157000000000004</v>
      </c>
      <c r="E2400" s="4">
        <v>6608</v>
      </c>
      <c r="F2400" s="4">
        <v>13.506</v>
      </c>
      <c r="G2400" s="4">
        <v>89247.648000000001</v>
      </c>
      <c r="H2400" s="5">
        <f t="shared" si="37"/>
        <v>1.8724688563465288E-2</v>
      </c>
    </row>
    <row r="2401" spans="1:8" ht="13.5" x14ac:dyDescent="0.25">
      <c r="A2401" s="1"/>
      <c r="B2401" s="3">
        <v>45798</v>
      </c>
      <c r="C2401" s="4">
        <v>13.14</v>
      </c>
      <c r="D2401" s="4">
        <v>6.3920000000000003</v>
      </c>
      <c r="E2401" s="4">
        <v>75</v>
      </c>
      <c r="F2401" s="4">
        <v>13.164999999999999</v>
      </c>
      <c r="G2401" s="4">
        <v>987.375</v>
      </c>
      <c r="H2401" s="5">
        <f t="shared" si="37"/>
        <v>-3.3813504239914145E-2</v>
      </c>
    </row>
    <row r="2402" spans="1:8" ht="13.5" x14ac:dyDescent="0.25">
      <c r="A2402" s="1"/>
      <c r="B2402" s="3">
        <v>45799</v>
      </c>
      <c r="C2402" s="4">
        <v>13.45</v>
      </c>
      <c r="D2402" s="4">
        <v>6.5427999999999997</v>
      </c>
      <c r="E2402" s="4">
        <v>4258</v>
      </c>
      <c r="F2402" s="4">
        <v>13.65</v>
      </c>
      <c r="G2402" s="4">
        <v>58121.7</v>
      </c>
      <c r="H2402" s="5">
        <f t="shared" si="37"/>
        <v>2.3591989987484258E-2</v>
      </c>
    </row>
    <row r="2403" spans="1:8" ht="13.5" x14ac:dyDescent="0.25">
      <c r="A2403" s="1"/>
      <c r="B2403" s="3">
        <v>45800</v>
      </c>
      <c r="C2403" s="4">
        <v>13.4</v>
      </c>
      <c r="D2403" s="4">
        <v>6.5183999999999997</v>
      </c>
      <c r="E2403" s="4">
        <v>73455</v>
      </c>
      <c r="F2403" s="4">
        <v>13.4</v>
      </c>
      <c r="G2403" s="4">
        <v>984297</v>
      </c>
      <c r="H2403" s="5">
        <f t="shared" si="37"/>
        <v>-3.7292902121415874E-3</v>
      </c>
    </row>
    <row r="2404" spans="1:8" ht="13.5" x14ac:dyDescent="0.25">
      <c r="A2404" s="1"/>
      <c r="B2404" s="3">
        <v>45803</v>
      </c>
      <c r="C2404" s="4">
        <v>13.2</v>
      </c>
      <c r="D2404" s="4">
        <v>6.4211</v>
      </c>
      <c r="E2404" s="4">
        <v>3753</v>
      </c>
      <c r="F2404" s="4">
        <v>13.441000000000001</v>
      </c>
      <c r="G2404" s="4">
        <v>50444.072999999997</v>
      </c>
      <c r="H2404" s="5">
        <f t="shared" si="37"/>
        <v>-1.492697594501714E-2</v>
      </c>
    </row>
    <row r="2405" spans="1:8" ht="13.5" x14ac:dyDescent="0.25">
      <c r="A2405" s="1"/>
      <c r="B2405" s="3">
        <v>45804</v>
      </c>
      <c r="C2405" s="4">
        <v>13.4</v>
      </c>
      <c r="D2405" s="4">
        <v>6.5183999999999997</v>
      </c>
      <c r="E2405" s="4">
        <v>8292</v>
      </c>
      <c r="F2405" s="4">
        <v>13.233000000000001</v>
      </c>
      <c r="G2405" s="4">
        <v>109728.03599999999</v>
      </c>
      <c r="H2405" s="5">
        <f t="shared" si="37"/>
        <v>1.5153166902867067E-2</v>
      </c>
    </row>
    <row r="2406" spans="1:8" ht="13.5" x14ac:dyDescent="0.25">
      <c r="A2406" s="1"/>
      <c r="B2406" s="3">
        <v>45805</v>
      </c>
      <c r="C2406" s="4">
        <v>13.4</v>
      </c>
      <c r="D2406" s="4">
        <v>6.5183999999999997</v>
      </c>
      <c r="E2406" s="4">
        <v>511</v>
      </c>
      <c r="F2406" s="4">
        <v>13.401999999999999</v>
      </c>
      <c r="G2406" s="4">
        <v>6848.4219999999996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13.68</v>
      </c>
      <c r="D2407" s="4">
        <v>6.6546000000000003</v>
      </c>
      <c r="E2407" s="4">
        <v>598</v>
      </c>
      <c r="F2407" s="4">
        <v>13.441000000000001</v>
      </c>
      <c r="G2407" s="4">
        <v>8037.7179999999998</v>
      </c>
      <c r="H2407" s="5">
        <f t="shared" si="37"/>
        <v>2.089469808541982E-2</v>
      </c>
    </row>
    <row r="2408" spans="1:8" ht="13.5" x14ac:dyDescent="0.25">
      <c r="A2408" s="1"/>
      <c r="B2408" s="3">
        <v>45807</v>
      </c>
      <c r="C2408" s="4">
        <v>13.68</v>
      </c>
      <c r="D2408" s="4">
        <v>6.6546000000000003</v>
      </c>
      <c r="E2408" s="4">
        <v>726</v>
      </c>
      <c r="F2408" s="4">
        <v>13.73</v>
      </c>
      <c r="G2408" s="4">
        <v>9967.98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13.37</v>
      </c>
      <c r="D2409" s="4">
        <v>6.5038</v>
      </c>
      <c r="E2409" s="4">
        <v>6170</v>
      </c>
      <c r="F2409" s="4">
        <v>13.349</v>
      </c>
      <c r="G2409" s="4">
        <v>82363.33</v>
      </c>
      <c r="H2409" s="5">
        <f t="shared" si="37"/>
        <v>-2.2661016439755998E-2</v>
      </c>
    </row>
    <row r="2410" spans="1:8" ht="13.5" x14ac:dyDescent="0.25">
      <c r="A2410" s="1"/>
      <c r="B2410" s="3">
        <v>45811</v>
      </c>
      <c r="C2410" s="4">
        <v>13.21</v>
      </c>
      <c r="D2410" s="4">
        <v>6.4260000000000002</v>
      </c>
      <c r="E2410" s="4">
        <v>2152</v>
      </c>
      <c r="F2410" s="4">
        <v>13.561999999999999</v>
      </c>
      <c r="G2410" s="4">
        <v>29185.423999999999</v>
      </c>
      <c r="H2410" s="5">
        <f t="shared" si="37"/>
        <v>-1.1962237461176523E-2</v>
      </c>
    </row>
    <row r="2411" spans="1:8" ht="13.5" x14ac:dyDescent="0.25">
      <c r="A2411" s="1"/>
      <c r="B2411" s="3">
        <v>45812</v>
      </c>
      <c r="C2411" s="4">
        <v>13.2</v>
      </c>
      <c r="D2411" s="4">
        <v>6.4211</v>
      </c>
      <c r="E2411" s="4">
        <v>2910</v>
      </c>
      <c r="F2411" s="4">
        <v>13.397</v>
      </c>
      <c r="G2411" s="4">
        <v>38985.269999999997</v>
      </c>
      <c r="H2411" s="5">
        <f t="shared" si="37"/>
        <v>-7.6252723311548811E-4</v>
      </c>
    </row>
    <row r="2412" spans="1:8" ht="13.5" x14ac:dyDescent="0.25">
      <c r="A2412" s="1"/>
      <c r="B2412" s="3">
        <v>45813</v>
      </c>
      <c r="C2412" s="4">
        <v>13.68</v>
      </c>
      <c r="D2412" s="4">
        <v>6.6546000000000003</v>
      </c>
      <c r="E2412" s="4">
        <v>8157</v>
      </c>
      <c r="F2412" s="4">
        <v>13.207000000000001</v>
      </c>
      <c r="G2412" s="4">
        <v>107729.499</v>
      </c>
      <c r="H2412" s="5">
        <f t="shared" si="37"/>
        <v>3.6364485835760268E-2</v>
      </c>
    </row>
    <row r="2413" spans="1:8" ht="13.5" x14ac:dyDescent="0.25">
      <c r="A2413" s="1"/>
      <c r="B2413" s="3">
        <v>45817</v>
      </c>
      <c r="C2413" s="4">
        <v>13.54</v>
      </c>
      <c r="D2413" s="4">
        <v>6.5865</v>
      </c>
      <c r="E2413" s="4">
        <v>400</v>
      </c>
      <c r="F2413" s="4">
        <v>13.54</v>
      </c>
      <c r="G2413" s="4">
        <v>5416</v>
      </c>
      <c r="H2413" s="5">
        <f t="shared" si="37"/>
        <v>-1.0233522676043679E-2</v>
      </c>
    </row>
    <row r="2414" spans="1:8" ht="13.5" x14ac:dyDescent="0.25">
      <c r="A2414" s="1"/>
      <c r="B2414" s="3">
        <v>45818</v>
      </c>
      <c r="C2414" s="4">
        <v>13.61</v>
      </c>
      <c r="D2414" s="4">
        <v>6.6205999999999996</v>
      </c>
      <c r="E2414" s="4">
        <v>28</v>
      </c>
      <c r="F2414" s="4">
        <v>13.542</v>
      </c>
      <c r="G2414" s="4">
        <v>379.17599999999999</v>
      </c>
      <c r="H2414" s="5">
        <f t="shared" si="37"/>
        <v>5.1772565095269986E-3</v>
      </c>
    </row>
    <row r="2415" spans="1:8" ht="13.5" x14ac:dyDescent="0.25">
      <c r="A2415" s="1"/>
      <c r="B2415" s="3">
        <v>45819</v>
      </c>
      <c r="C2415" s="4">
        <v>13.67</v>
      </c>
      <c r="D2415" s="4">
        <v>6.6497999999999999</v>
      </c>
      <c r="E2415" s="4">
        <v>70141</v>
      </c>
      <c r="F2415" s="4">
        <v>13.68</v>
      </c>
      <c r="G2415" s="4">
        <v>959528.88</v>
      </c>
      <c r="H2415" s="5">
        <f t="shared" si="37"/>
        <v>4.4104763918678576E-3</v>
      </c>
    </row>
    <row r="2416" spans="1:8" ht="13.5" x14ac:dyDescent="0.25">
      <c r="A2416" s="1"/>
      <c r="B2416" s="3">
        <v>45820</v>
      </c>
      <c r="C2416" s="4">
        <v>13.78</v>
      </c>
      <c r="D2416" s="4">
        <v>6.7032999999999996</v>
      </c>
      <c r="E2416" s="4">
        <v>2027</v>
      </c>
      <c r="F2416" s="4">
        <v>13.688000000000001</v>
      </c>
      <c r="G2416" s="4">
        <v>27745.576000000001</v>
      </c>
      <c r="H2416" s="5">
        <f t="shared" si="37"/>
        <v>8.0453547475111513E-3</v>
      </c>
    </row>
    <row r="2417" spans="1:8" ht="13.5" x14ac:dyDescent="0.25">
      <c r="A2417" s="1"/>
      <c r="B2417" s="3">
        <v>45821</v>
      </c>
      <c r="C2417" s="4">
        <v>13.78</v>
      </c>
      <c r="D2417" s="4">
        <v>6.7032999999999996</v>
      </c>
      <c r="E2417" s="4">
        <v>105</v>
      </c>
      <c r="F2417" s="4">
        <v>13.717000000000001</v>
      </c>
      <c r="G2417" s="4">
        <v>1440.2850000000001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13.82</v>
      </c>
      <c r="D2418" s="4">
        <v>6.7226999999999997</v>
      </c>
      <c r="E2418" s="4">
        <v>180</v>
      </c>
      <c r="F2418" s="4">
        <v>13.823</v>
      </c>
      <c r="G2418" s="4">
        <v>2488.14</v>
      </c>
      <c r="H2418" s="5">
        <f t="shared" si="37"/>
        <v>2.8940969373293878E-3</v>
      </c>
    </row>
    <row r="2419" spans="1:8" ht="13.5" x14ac:dyDescent="0.25">
      <c r="A2419" s="1"/>
      <c r="B2419" s="3">
        <v>45825</v>
      </c>
      <c r="C2419" s="4">
        <v>13.8</v>
      </c>
      <c r="D2419" s="4">
        <v>6.7130000000000001</v>
      </c>
      <c r="E2419" s="4">
        <v>200</v>
      </c>
      <c r="F2419" s="4">
        <v>13.8</v>
      </c>
      <c r="G2419" s="4">
        <v>2760</v>
      </c>
      <c r="H2419" s="5">
        <f t="shared" si="37"/>
        <v>-1.4428726553318753E-3</v>
      </c>
    </row>
    <row r="2420" spans="1:8" ht="13.5" x14ac:dyDescent="0.25">
      <c r="A2420" s="1"/>
      <c r="B2420" s="3">
        <v>45826</v>
      </c>
      <c r="C2420" s="4">
        <v>13.68</v>
      </c>
      <c r="D2420" s="4">
        <v>6.6546000000000003</v>
      </c>
      <c r="E2420" s="4">
        <v>842</v>
      </c>
      <c r="F2420" s="4">
        <v>13.211</v>
      </c>
      <c r="G2420" s="4">
        <v>11123.662</v>
      </c>
      <c r="H2420" s="5">
        <f t="shared" si="37"/>
        <v>-8.6995382094443297E-3</v>
      </c>
    </row>
    <row r="2421" spans="1:8" ht="13.5" x14ac:dyDescent="0.25">
      <c r="A2421" s="1"/>
      <c r="B2421" s="3">
        <v>45827</v>
      </c>
      <c r="C2421" s="4">
        <v>13.68</v>
      </c>
      <c r="D2421" s="4">
        <v>6.6546000000000003</v>
      </c>
      <c r="E2421" s="4">
        <v>0</v>
      </c>
      <c r="F2421" s="4">
        <v>0</v>
      </c>
      <c r="G2421" s="4">
        <v>0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13.67</v>
      </c>
      <c r="D2422" s="4">
        <v>6.6497999999999999</v>
      </c>
      <c r="E2422" s="4">
        <v>59</v>
      </c>
      <c r="F2422" s="4">
        <v>13.305</v>
      </c>
      <c r="G2422" s="4">
        <v>784.995</v>
      </c>
      <c r="H2422" s="5">
        <f t="shared" si="37"/>
        <v>-7.213055630692092E-4</v>
      </c>
    </row>
    <row r="2423" spans="1:8" ht="13.5" x14ac:dyDescent="0.25">
      <c r="A2423" s="1"/>
      <c r="B2423" s="3">
        <v>45831</v>
      </c>
      <c r="C2423" s="4">
        <v>13.67</v>
      </c>
      <c r="D2423" s="4">
        <v>6.6497999999999999</v>
      </c>
      <c r="E2423" s="4">
        <v>0</v>
      </c>
      <c r="F2423" s="4">
        <v>0</v>
      </c>
      <c r="G2423" s="4">
        <v>0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13.64</v>
      </c>
      <c r="D2424" s="4">
        <v>6.6352000000000002</v>
      </c>
      <c r="E2424" s="4">
        <v>60</v>
      </c>
      <c r="F2424" s="4">
        <v>13.616</v>
      </c>
      <c r="G2424" s="4">
        <v>816.96</v>
      </c>
      <c r="H2424" s="5">
        <f t="shared" si="37"/>
        <v>-2.1955547535263804E-3</v>
      </c>
    </row>
    <row r="2425" spans="1:8" ht="13.5" x14ac:dyDescent="0.25">
      <c r="A2425" s="1"/>
      <c r="B2425" s="3">
        <v>45833</v>
      </c>
      <c r="C2425" s="4">
        <v>13.6</v>
      </c>
      <c r="D2425" s="4">
        <v>6.6157000000000004</v>
      </c>
      <c r="E2425" s="4">
        <v>158</v>
      </c>
      <c r="F2425" s="4">
        <v>13.608000000000001</v>
      </c>
      <c r="G2425" s="4">
        <v>2150.0639999999999</v>
      </c>
      <c r="H2425" s="5">
        <f t="shared" si="37"/>
        <v>-2.9388714733542096E-3</v>
      </c>
    </row>
    <row r="2426" spans="1:8" ht="13.5" x14ac:dyDescent="0.25">
      <c r="A2426" s="1"/>
      <c r="B2426" s="3">
        <v>45835</v>
      </c>
      <c r="C2426" s="4">
        <v>13.6</v>
      </c>
      <c r="D2426" s="4">
        <v>6.6157000000000004</v>
      </c>
      <c r="E2426" s="4">
        <v>2886</v>
      </c>
      <c r="F2426" s="4">
        <v>13.577999999999999</v>
      </c>
      <c r="G2426" s="4">
        <v>39186.108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13.56</v>
      </c>
      <c r="D2427" s="4">
        <v>6.5963000000000003</v>
      </c>
      <c r="E2427" s="4">
        <v>113</v>
      </c>
      <c r="F2427" s="4">
        <v>13.557</v>
      </c>
      <c r="G2427" s="4">
        <v>1531.941</v>
      </c>
      <c r="H2427" s="5">
        <f t="shared" si="37"/>
        <v>-2.9324183381955172E-3</v>
      </c>
    </row>
    <row r="2428" spans="1:8" ht="13.5" x14ac:dyDescent="0.25">
      <c r="A2428" s="1"/>
      <c r="B2428" s="3">
        <v>45839</v>
      </c>
      <c r="C2428" s="4">
        <v>13.5</v>
      </c>
      <c r="D2428" s="4">
        <v>6.5670999999999999</v>
      </c>
      <c r="E2428" s="4">
        <v>40</v>
      </c>
      <c r="F2428" s="4">
        <v>13.5</v>
      </c>
      <c r="G2428" s="4">
        <v>540</v>
      </c>
      <c r="H2428" s="5">
        <f t="shared" si="37"/>
        <v>-4.4267240725861974E-3</v>
      </c>
    </row>
    <row r="2429" spans="1:8" ht="13.5" x14ac:dyDescent="0.25">
      <c r="A2429" s="1"/>
      <c r="B2429" s="3">
        <v>45840</v>
      </c>
      <c r="C2429" s="4">
        <v>13.25</v>
      </c>
      <c r="D2429" s="4">
        <v>6.4455</v>
      </c>
      <c r="E2429" s="4">
        <v>1170</v>
      </c>
      <c r="F2429" s="4">
        <v>13.287000000000001</v>
      </c>
      <c r="G2429" s="4">
        <v>15545.79</v>
      </c>
      <c r="H2429" s="5">
        <f t="shared" si="37"/>
        <v>-1.8516544593503971E-2</v>
      </c>
    </row>
    <row r="2430" spans="1:8" ht="13.5" x14ac:dyDescent="0.25">
      <c r="A2430" s="1"/>
      <c r="B2430" s="3">
        <v>45841</v>
      </c>
      <c r="C2430" s="4">
        <v>13.45</v>
      </c>
      <c r="D2430" s="4">
        <v>6.5427999999999997</v>
      </c>
      <c r="E2430" s="4">
        <v>1101</v>
      </c>
      <c r="F2430" s="4">
        <v>13.35</v>
      </c>
      <c r="G2430" s="4">
        <v>14698.35</v>
      </c>
      <c r="H2430" s="5">
        <f t="shared" si="37"/>
        <v>1.5095803273601695E-2</v>
      </c>
    </row>
    <row r="2431" spans="1:8" ht="13.5" x14ac:dyDescent="0.25">
      <c r="A2431" s="1"/>
      <c r="B2431" s="3">
        <v>45842</v>
      </c>
      <c r="C2431" s="4">
        <v>13.21</v>
      </c>
      <c r="D2431" s="4">
        <v>6.4260000000000002</v>
      </c>
      <c r="E2431" s="4">
        <v>459</v>
      </c>
      <c r="F2431" s="4">
        <v>13.356999999999999</v>
      </c>
      <c r="G2431" s="4">
        <v>6130.8630000000003</v>
      </c>
      <c r="H2431" s="5">
        <f t="shared" si="37"/>
        <v>-1.7851684294185911E-2</v>
      </c>
    </row>
    <row r="2432" spans="1:8" ht="13.5" x14ac:dyDescent="0.25">
      <c r="A2432" s="1"/>
      <c r="B2432" s="3">
        <v>45845</v>
      </c>
      <c r="C2432" s="4">
        <v>13.45</v>
      </c>
      <c r="D2432" s="4">
        <v>6.5427999999999997</v>
      </c>
      <c r="E2432" s="4">
        <v>6</v>
      </c>
      <c r="F2432" s="4">
        <v>13.45</v>
      </c>
      <c r="G2432" s="4">
        <v>80.7</v>
      </c>
      <c r="H2432" s="5">
        <f t="shared" si="37"/>
        <v>1.8176159352629874E-2</v>
      </c>
    </row>
    <row r="2433" spans="1:8" ht="13.5" x14ac:dyDescent="0.25">
      <c r="A2433" s="1"/>
      <c r="B2433" s="3">
        <v>45846</v>
      </c>
      <c r="C2433" s="4">
        <v>13.69</v>
      </c>
      <c r="D2433" s="4">
        <v>6.6595000000000004</v>
      </c>
      <c r="E2433" s="4">
        <v>387</v>
      </c>
      <c r="F2433" s="4">
        <v>13.451000000000001</v>
      </c>
      <c r="G2433" s="4">
        <v>5205.5370000000003</v>
      </c>
      <c r="H2433" s="5">
        <f t="shared" si="37"/>
        <v>1.7836400317906814E-2</v>
      </c>
    </row>
    <row r="2434" spans="1:8" ht="13.5" x14ac:dyDescent="0.25">
      <c r="A2434" s="1"/>
      <c r="B2434" s="3">
        <v>45847</v>
      </c>
      <c r="C2434" s="4">
        <v>13.75</v>
      </c>
      <c r="D2434" s="4">
        <v>6.6886999999999999</v>
      </c>
      <c r="E2434" s="4">
        <v>1669</v>
      </c>
      <c r="F2434" s="4">
        <v>13.692</v>
      </c>
      <c r="G2434" s="4">
        <v>22851.948</v>
      </c>
      <c r="H2434" s="5">
        <f t="shared" si="37"/>
        <v>4.3847135670845331E-3</v>
      </c>
    </row>
    <row r="2435" spans="1:8" ht="13.5" x14ac:dyDescent="0.25">
      <c r="A2435" s="1"/>
      <c r="B2435" s="3">
        <v>45848</v>
      </c>
      <c r="C2435" s="4">
        <v>13.73</v>
      </c>
      <c r="D2435" s="4">
        <v>6.8650000000000002</v>
      </c>
      <c r="E2435" s="4">
        <v>91</v>
      </c>
      <c r="F2435" s="4">
        <v>13.727</v>
      </c>
      <c r="G2435" s="4">
        <v>1249.1569999999999</v>
      </c>
      <c r="H2435" s="5">
        <f t="shared" si="37"/>
        <v>2.6357887182860699E-2</v>
      </c>
    </row>
    <row r="2436" spans="1:8" ht="13.5" x14ac:dyDescent="0.25">
      <c r="A2436" s="1"/>
      <c r="B2436" s="3">
        <v>45849</v>
      </c>
      <c r="C2436" s="4">
        <v>13.74</v>
      </c>
      <c r="D2436" s="4">
        <v>6.87</v>
      </c>
      <c r="E2436" s="4">
        <v>5943</v>
      </c>
      <c r="F2436" s="4">
        <v>13.701000000000001</v>
      </c>
      <c r="G2436" s="4">
        <v>81425.043000000005</v>
      </c>
      <c r="H2436" s="5">
        <f t="shared" si="37"/>
        <v>7.2833211944645202E-4</v>
      </c>
    </row>
    <row r="2437" spans="1:8" ht="13.5" x14ac:dyDescent="0.25">
      <c r="A2437" s="1"/>
      <c r="B2437" s="3">
        <v>45852</v>
      </c>
      <c r="C2437" s="4">
        <v>13.99</v>
      </c>
      <c r="D2437" s="4">
        <v>6.9950000000000001</v>
      </c>
      <c r="E2437" s="4">
        <v>2401</v>
      </c>
      <c r="F2437" s="4">
        <v>13.762</v>
      </c>
      <c r="G2437" s="4">
        <v>33042.561999999998</v>
      </c>
      <c r="H2437" s="5">
        <f t="shared" si="37"/>
        <v>1.8195050946142648E-2</v>
      </c>
    </row>
    <row r="2438" spans="1:8" ht="13.5" x14ac:dyDescent="0.25">
      <c r="A2438" s="1"/>
      <c r="B2438" s="3">
        <v>45853</v>
      </c>
      <c r="C2438" s="4">
        <v>7.42</v>
      </c>
      <c r="D2438" s="4">
        <v>7.42</v>
      </c>
      <c r="E2438" s="4">
        <v>6295</v>
      </c>
      <c r="F2438" s="4">
        <v>7.407</v>
      </c>
      <c r="G2438" s="4">
        <v>46627.065000000002</v>
      </c>
      <c r="H2438" s="5">
        <f t="shared" si="37"/>
        <v>6.0757684060042859E-2</v>
      </c>
    </row>
    <row r="2439" spans="1:8" ht="13.5" x14ac:dyDescent="0.25">
      <c r="A2439" s="1"/>
      <c r="B2439" s="3">
        <v>45854</v>
      </c>
      <c r="C2439" s="4">
        <v>7.86</v>
      </c>
      <c r="D2439" s="4">
        <v>7.86</v>
      </c>
      <c r="E2439" s="4">
        <v>8463</v>
      </c>
      <c r="F2439" s="4">
        <v>7.5350000000000001</v>
      </c>
      <c r="G2439" s="4">
        <v>63768.705000000002</v>
      </c>
      <c r="H2439" s="5">
        <f t="shared" ref="H2439:H2502" si="38">(D2439-D2438)/D2438</f>
        <v>5.9299191374663128E-2</v>
      </c>
    </row>
    <row r="2440" spans="1:8" ht="13.5" x14ac:dyDescent="0.25">
      <c r="A2440" s="1"/>
      <c r="B2440" s="3">
        <v>45855</v>
      </c>
      <c r="C2440" s="4">
        <v>8.33</v>
      </c>
      <c r="D2440" s="4">
        <v>8.33</v>
      </c>
      <c r="E2440" s="4">
        <v>16652</v>
      </c>
      <c r="F2440" s="4">
        <v>8.2059999999999995</v>
      </c>
      <c r="G2440" s="4">
        <v>136646.31200000001</v>
      </c>
      <c r="H2440" s="5">
        <f t="shared" si="38"/>
        <v>5.9796437659033044E-2</v>
      </c>
    </row>
    <row r="2441" spans="1:8" ht="13.5" x14ac:dyDescent="0.25">
      <c r="A2441" s="1"/>
      <c r="B2441" s="3">
        <v>45856</v>
      </c>
      <c r="C2441" s="4">
        <v>8.82</v>
      </c>
      <c r="D2441" s="4">
        <v>8.82</v>
      </c>
      <c r="E2441" s="4">
        <v>10604</v>
      </c>
      <c r="F2441" s="4">
        <v>8.7050000000000001</v>
      </c>
      <c r="G2441" s="4">
        <v>92307.82</v>
      </c>
      <c r="H2441" s="5">
        <f t="shared" si="38"/>
        <v>5.8823529411764733E-2</v>
      </c>
    </row>
    <row r="2442" spans="1:8" ht="13.5" x14ac:dyDescent="0.25">
      <c r="A2442" s="1"/>
      <c r="B2442" s="3">
        <v>45859</v>
      </c>
      <c r="C2442" s="4">
        <v>9.34</v>
      </c>
      <c r="D2442" s="4">
        <v>9.34</v>
      </c>
      <c r="E2442" s="4">
        <v>16912</v>
      </c>
      <c r="F2442" s="4">
        <v>9</v>
      </c>
      <c r="G2442" s="4">
        <v>152208</v>
      </c>
      <c r="H2442" s="5">
        <f t="shared" si="38"/>
        <v>5.8956916099773195E-2</v>
      </c>
    </row>
    <row r="2443" spans="1:8" ht="13.5" x14ac:dyDescent="0.25">
      <c r="A2443" s="1"/>
      <c r="B2443" s="3">
        <v>45860</v>
      </c>
      <c r="C2443" s="4">
        <v>9.33</v>
      </c>
      <c r="D2443" s="4">
        <v>9.33</v>
      </c>
      <c r="E2443" s="4">
        <v>24494</v>
      </c>
      <c r="F2443" s="4">
        <v>9.61</v>
      </c>
      <c r="G2443" s="4">
        <v>235387.34</v>
      </c>
      <c r="H2443" s="5">
        <f t="shared" si="38"/>
        <v>-1.0706638115631465E-3</v>
      </c>
    </row>
    <row r="2444" spans="1:8" ht="13.5" x14ac:dyDescent="0.25">
      <c r="A2444" s="1"/>
      <c r="B2444" s="3">
        <v>45861</v>
      </c>
      <c r="C2444" s="4">
        <v>8.98</v>
      </c>
      <c r="D2444" s="4">
        <v>8.98</v>
      </c>
      <c r="E2444" s="4">
        <v>8265</v>
      </c>
      <c r="F2444" s="4">
        <v>9.0760000000000005</v>
      </c>
      <c r="G2444" s="4">
        <v>75013.14</v>
      </c>
      <c r="H2444" s="5">
        <f t="shared" si="38"/>
        <v>-3.7513397642014966E-2</v>
      </c>
    </row>
    <row r="2445" spans="1:8" ht="13.5" x14ac:dyDescent="0.25">
      <c r="A2445" s="1"/>
      <c r="B2445" s="3">
        <v>45862</v>
      </c>
      <c r="C2445" s="4">
        <v>8.4499999999999993</v>
      </c>
      <c r="D2445" s="4">
        <v>8.4499999999999993</v>
      </c>
      <c r="E2445" s="4">
        <v>4629</v>
      </c>
      <c r="F2445" s="4">
        <v>8.6120000000000001</v>
      </c>
      <c r="G2445" s="4">
        <v>39864.947999999997</v>
      </c>
      <c r="H2445" s="5">
        <f t="shared" si="38"/>
        <v>-5.9020044543429968E-2</v>
      </c>
    </row>
    <row r="2446" spans="1:8" ht="13.5" x14ac:dyDescent="0.25">
      <c r="A2446" s="1"/>
      <c r="B2446" s="3">
        <v>45866</v>
      </c>
      <c r="C2446" s="4">
        <v>7.95</v>
      </c>
      <c r="D2446" s="4">
        <v>7.95</v>
      </c>
      <c r="E2446" s="4">
        <v>1633</v>
      </c>
      <c r="F2446" s="4">
        <v>8.0530000000000008</v>
      </c>
      <c r="G2446" s="4">
        <v>13150.549000000001</v>
      </c>
      <c r="H2446" s="5">
        <f t="shared" si="38"/>
        <v>-5.9171597633135994E-2</v>
      </c>
    </row>
    <row r="2447" spans="1:8" ht="13.5" x14ac:dyDescent="0.25">
      <c r="A2447" s="1"/>
      <c r="B2447" s="3">
        <v>45867</v>
      </c>
      <c r="C2447" s="4">
        <v>7.89</v>
      </c>
      <c r="D2447" s="4">
        <v>7.89</v>
      </c>
      <c r="E2447" s="4">
        <v>3634</v>
      </c>
      <c r="F2447" s="4">
        <v>7.77</v>
      </c>
      <c r="G2447" s="4">
        <v>28236.18</v>
      </c>
      <c r="H2447" s="5">
        <f t="shared" si="38"/>
        <v>-7.5471698113208172E-3</v>
      </c>
    </row>
    <row r="2448" spans="1:8" ht="13.5" x14ac:dyDescent="0.25">
      <c r="A2448" s="1"/>
      <c r="B2448" s="3">
        <v>45868</v>
      </c>
      <c r="C2448" s="4">
        <v>7.8</v>
      </c>
      <c r="D2448" s="4">
        <v>7.8</v>
      </c>
      <c r="E2448" s="4">
        <v>817</v>
      </c>
      <c r="F2448" s="4">
        <v>7.83</v>
      </c>
      <c r="G2448" s="4">
        <v>6397.11</v>
      </c>
      <c r="H2448" s="5">
        <f t="shared" si="38"/>
        <v>-1.1406844106463861E-2</v>
      </c>
    </row>
    <row r="2449" spans="1:8" ht="13.5" x14ac:dyDescent="0.25">
      <c r="A2449" s="1"/>
      <c r="B2449" s="3">
        <v>45869</v>
      </c>
      <c r="C2449" s="4">
        <v>7.35</v>
      </c>
      <c r="D2449" s="4">
        <v>7.35</v>
      </c>
      <c r="E2449" s="4">
        <v>2183</v>
      </c>
      <c r="F2449" s="4">
        <v>7.4889999999999999</v>
      </c>
      <c r="G2449" s="4">
        <v>16348.486999999999</v>
      </c>
      <c r="H2449" s="5">
        <f t="shared" si="38"/>
        <v>-5.7692307692307716E-2</v>
      </c>
    </row>
    <row r="2450" spans="1:8" ht="13.5" x14ac:dyDescent="0.25">
      <c r="A2450" s="1"/>
      <c r="B2450" s="3">
        <v>45870</v>
      </c>
      <c r="C2450" s="4">
        <v>7.79</v>
      </c>
      <c r="D2450" s="4">
        <v>7.79</v>
      </c>
      <c r="E2450" s="4">
        <v>11596</v>
      </c>
      <c r="F2450" s="4">
        <v>7.59</v>
      </c>
      <c r="G2450" s="4">
        <v>88013.64</v>
      </c>
      <c r="H2450" s="5">
        <f t="shared" si="38"/>
        <v>5.9863945578231346E-2</v>
      </c>
    </row>
    <row r="2451" spans="1:8" ht="13.5" x14ac:dyDescent="0.25">
      <c r="A2451" s="1"/>
      <c r="B2451" s="3">
        <v>45873</v>
      </c>
      <c r="C2451" s="4">
        <v>8.09</v>
      </c>
      <c r="D2451" s="4">
        <v>8.09</v>
      </c>
      <c r="E2451" s="4">
        <v>6080</v>
      </c>
      <c r="F2451" s="4">
        <v>7.9850000000000003</v>
      </c>
      <c r="G2451" s="4">
        <v>48548.800000000003</v>
      </c>
      <c r="H2451" s="5">
        <f t="shared" si="38"/>
        <v>3.8510911424903697E-2</v>
      </c>
    </row>
    <row r="2452" spans="1:8" ht="13.5" x14ac:dyDescent="0.25">
      <c r="A2452" s="1"/>
      <c r="B2452" s="3">
        <v>45874</v>
      </c>
      <c r="C2452" s="4">
        <v>8.23</v>
      </c>
      <c r="D2452" s="4">
        <v>8.23</v>
      </c>
      <c r="E2452" s="4">
        <v>2605</v>
      </c>
      <c r="F2452" s="4">
        <v>8.1</v>
      </c>
      <c r="G2452" s="4">
        <v>21100.5</v>
      </c>
      <c r="H2452" s="5">
        <f t="shared" si="38"/>
        <v>1.7305315203955573E-2</v>
      </c>
    </row>
    <row r="2453" spans="1:8" ht="13.5" x14ac:dyDescent="0.25">
      <c r="A2453" s="1"/>
      <c r="B2453" s="3">
        <v>45875</v>
      </c>
      <c r="C2453" s="4">
        <v>8.1999999999999993</v>
      </c>
      <c r="D2453" s="4">
        <v>8.1999999999999993</v>
      </c>
      <c r="E2453" s="4">
        <v>2180</v>
      </c>
      <c r="F2453" s="4">
        <v>8.1890000000000001</v>
      </c>
      <c r="G2453" s="4">
        <v>17852.02</v>
      </c>
      <c r="H2453" s="5">
        <f t="shared" si="38"/>
        <v>-3.6452004860268693E-3</v>
      </c>
    </row>
    <row r="2454" spans="1:8" ht="13.5" x14ac:dyDescent="0.25">
      <c r="A2454" s="1"/>
      <c r="B2454" s="3">
        <v>45876</v>
      </c>
      <c r="C2454" s="4">
        <v>8.3800000000000008</v>
      </c>
      <c r="D2454" s="4">
        <v>8.3800000000000008</v>
      </c>
      <c r="E2454" s="4">
        <v>300</v>
      </c>
      <c r="F2454" s="4">
        <v>8.3800000000000008</v>
      </c>
      <c r="G2454" s="4">
        <v>2514</v>
      </c>
      <c r="H2454" s="5">
        <f t="shared" si="38"/>
        <v>2.1951219512195305E-2</v>
      </c>
    </row>
    <row r="2455" spans="1:8" ht="13.5" x14ac:dyDescent="0.25">
      <c r="A2455" s="1"/>
      <c r="B2455" s="3">
        <v>45877</v>
      </c>
      <c r="C2455" s="4">
        <v>8.39</v>
      </c>
      <c r="D2455" s="4">
        <v>8.39</v>
      </c>
      <c r="E2455" s="4">
        <v>437</v>
      </c>
      <c r="F2455" s="4">
        <v>8.4269999999999996</v>
      </c>
      <c r="G2455" s="4">
        <v>3682.5990000000002</v>
      </c>
      <c r="H2455" s="5">
        <f t="shared" si="38"/>
        <v>1.193317422434342E-3</v>
      </c>
    </row>
    <row r="2456" spans="1:8" ht="13.5" x14ac:dyDescent="0.25">
      <c r="A2456" s="1"/>
      <c r="B2456" s="3">
        <v>45880</v>
      </c>
      <c r="C2456" s="4">
        <v>8.1999999999999993</v>
      </c>
      <c r="D2456" s="4">
        <v>8.1999999999999993</v>
      </c>
      <c r="E2456" s="4">
        <v>1471</v>
      </c>
      <c r="F2456" s="4">
        <v>8.3219999999999992</v>
      </c>
      <c r="G2456" s="4">
        <v>12241.662</v>
      </c>
      <c r="H2456" s="5">
        <f t="shared" si="38"/>
        <v>-2.2646007151370832E-2</v>
      </c>
    </row>
    <row r="2457" spans="1:8" ht="13.5" x14ac:dyDescent="0.25">
      <c r="A2457" s="1"/>
      <c r="B2457" s="3">
        <v>45881</v>
      </c>
      <c r="C2457" s="4">
        <v>8.4</v>
      </c>
      <c r="D2457" s="4">
        <v>8.4</v>
      </c>
      <c r="E2457" s="4">
        <v>108</v>
      </c>
      <c r="F2457" s="4">
        <v>8.2409999999999997</v>
      </c>
      <c r="G2457" s="4">
        <v>890.02800000000002</v>
      </c>
      <c r="H2457" s="5">
        <f t="shared" si="38"/>
        <v>2.4390243902439157E-2</v>
      </c>
    </row>
    <row r="2458" spans="1:8" ht="13.5" x14ac:dyDescent="0.25">
      <c r="A2458" s="1"/>
      <c r="B2458" s="3">
        <v>45883</v>
      </c>
      <c r="C2458" s="4">
        <v>8.4</v>
      </c>
      <c r="D2458" s="4">
        <v>8.4</v>
      </c>
      <c r="E2458" s="4">
        <v>513</v>
      </c>
      <c r="F2458" s="4">
        <v>8.4</v>
      </c>
      <c r="G2458" s="4">
        <v>4309.2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8.3000000000000007</v>
      </c>
      <c r="D2459" s="4">
        <v>8.3000000000000007</v>
      </c>
      <c r="E2459" s="4">
        <v>5368</v>
      </c>
      <c r="F2459" s="4">
        <v>8.2769999999999992</v>
      </c>
      <c r="G2459" s="4">
        <v>44430.936000000002</v>
      </c>
      <c r="H2459" s="5">
        <f t="shared" si="38"/>
        <v>-1.1904761904761862E-2</v>
      </c>
    </row>
    <row r="2460" spans="1:8" ht="13.5" x14ac:dyDescent="0.25">
      <c r="A2460" s="1"/>
      <c r="B2460" s="3">
        <v>45887</v>
      </c>
      <c r="C2460" s="4">
        <v>8.25</v>
      </c>
      <c r="D2460" s="4">
        <v>8.25</v>
      </c>
      <c r="E2460" s="4">
        <v>112034</v>
      </c>
      <c r="F2460" s="4">
        <v>8.3989999999999991</v>
      </c>
      <c r="G2460" s="4">
        <v>940973.56599999999</v>
      </c>
      <c r="H2460" s="5">
        <f t="shared" si="38"/>
        <v>-6.024096385542254E-3</v>
      </c>
    </row>
    <row r="2461" spans="1:8" ht="13.5" x14ac:dyDescent="0.25">
      <c r="A2461" s="1"/>
      <c r="B2461" s="3">
        <v>45888</v>
      </c>
      <c r="C2461" s="4">
        <v>8.25</v>
      </c>
      <c r="D2461" s="4">
        <v>8.25</v>
      </c>
      <c r="E2461" s="4">
        <v>788</v>
      </c>
      <c r="F2461" s="4">
        <v>8.25</v>
      </c>
      <c r="G2461" s="4">
        <v>6501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8.3000000000000007</v>
      </c>
      <c r="D2462" s="4">
        <v>8.3000000000000007</v>
      </c>
      <c r="E2462" s="4">
        <v>132</v>
      </c>
      <c r="F2462" s="4">
        <v>8.3000000000000007</v>
      </c>
      <c r="G2462" s="4">
        <v>1095.5999999999999</v>
      </c>
      <c r="H2462" s="5">
        <f t="shared" si="38"/>
        <v>6.0606060606061465E-3</v>
      </c>
    </row>
    <row r="2463" spans="1:8" ht="13.5" x14ac:dyDescent="0.25">
      <c r="A2463" s="1"/>
      <c r="B2463" s="3">
        <v>45890</v>
      </c>
      <c r="C2463" s="4">
        <v>8.3000000000000007</v>
      </c>
      <c r="D2463" s="4">
        <v>8.3000000000000007</v>
      </c>
      <c r="E2463" s="4">
        <v>768</v>
      </c>
      <c r="F2463" s="4">
        <v>8.25</v>
      </c>
      <c r="G2463" s="4">
        <v>6336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8.31</v>
      </c>
      <c r="D2464" s="4">
        <v>8.31</v>
      </c>
      <c r="E2464" s="4">
        <v>909</v>
      </c>
      <c r="F2464" s="4">
        <v>8.3140000000000001</v>
      </c>
      <c r="G2464" s="4">
        <v>7557.4260000000004</v>
      </c>
      <c r="H2464" s="5">
        <f t="shared" si="38"/>
        <v>1.204819277108408E-3</v>
      </c>
    </row>
    <row r="2465" spans="1:8" ht="13.5" x14ac:dyDescent="0.25">
      <c r="A2465" s="1"/>
      <c r="B2465" s="3">
        <v>45894</v>
      </c>
      <c r="C2465" s="4">
        <v>8.3000000000000007</v>
      </c>
      <c r="D2465" s="4">
        <v>8.3000000000000007</v>
      </c>
      <c r="E2465" s="4">
        <v>310</v>
      </c>
      <c r="F2465" s="4">
        <v>8.2910000000000004</v>
      </c>
      <c r="G2465" s="4">
        <v>2570.21</v>
      </c>
      <c r="H2465" s="5">
        <f t="shared" si="38"/>
        <v>-1.2033694344163401E-3</v>
      </c>
    </row>
    <row r="2466" spans="1:8" ht="13.5" x14ac:dyDescent="0.25">
      <c r="A2466" s="1"/>
      <c r="B2466" s="3">
        <v>45895</v>
      </c>
      <c r="C2466" s="4">
        <v>8.4499999999999993</v>
      </c>
      <c r="D2466" s="4">
        <v>8.4499999999999993</v>
      </c>
      <c r="E2466" s="4">
        <v>326</v>
      </c>
      <c r="F2466" s="4">
        <v>8.3369999999999997</v>
      </c>
      <c r="G2466" s="4">
        <v>2717.8620000000001</v>
      </c>
      <c r="H2466" s="5">
        <f t="shared" si="38"/>
        <v>1.8072289156626332E-2</v>
      </c>
    </row>
    <row r="2467" spans="1:8" ht="13.5" x14ac:dyDescent="0.25">
      <c r="A2467" s="1"/>
      <c r="B2467" s="3">
        <v>45896</v>
      </c>
      <c r="C2467" s="4">
        <v>8.3000000000000007</v>
      </c>
      <c r="D2467" s="4">
        <v>8.3000000000000007</v>
      </c>
      <c r="E2467" s="4">
        <v>1006</v>
      </c>
      <c r="F2467" s="4">
        <v>8.3870000000000005</v>
      </c>
      <c r="G2467" s="4">
        <v>8437.3220000000001</v>
      </c>
      <c r="H2467" s="5">
        <f t="shared" si="38"/>
        <v>-1.7751479289940662E-2</v>
      </c>
    </row>
    <row r="2468" spans="1:8" ht="13.5" x14ac:dyDescent="0.25">
      <c r="A2468" s="1"/>
      <c r="B2468" s="3">
        <v>45897</v>
      </c>
      <c r="C2468" s="4">
        <v>8.43</v>
      </c>
      <c r="D2468" s="4">
        <v>8.43</v>
      </c>
      <c r="E2468" s="4">
        <v>23</v>
      </c>
      <c r="F2468" s="4">
        <v>8.43</v>
      </c>
      <c r="G2468" s="4">
        <v>193.89</v>
      </c>
      <c r="H2468" s="5">
        <f t="shared" si="38"/>
        <v>1.5662650602409518E-2</v>
      </c>
    </row>
    <row r="2469" spans="1:8" ht="13.5" x14ac:dyDescent="0.25">
      <c r="A2469" s="1"/>
      <c r="B2469" s="3">
        <v>45898</v>
      </c>
      <c r="C2469" s="4">
        <v>8.43</v>
      </c>
      <c r="D2469" s="4">
        <v>8.43</v>
      </c>
      <c r="E2469" s="4">
        <v>639</v>
      </c>
      <c r="F2469" s="4">
        <v>8.4109999999999996</v>
      </c>
      <c r="G2469" s="4">
        <v>5374.6289999999999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8</v>
      </c>
      <c r="D2470" s="4">
        <v>8</v>
      </c>
      <c r="E2470" s="4">
        <v>435</v>
      </c>
      <c r="F2470" s="4">
        <v>8.3360000000000003</v>
      </c>
      <c r="G2470" s="4">
        <v>3626.16</v>
      </c>
      <c r="H2470" s="5">
        <f t="shared" si="38"/>
        <v>-5.1008303677342791E-2</v>
      </c>
    </row>
    <row r="2471" spans="1:8" ht="13.5" x14ac:dyDescent="0.25">
      <c r="A2471" s="1"/>
      <c r="B2471" s="3">
        <v>45902</v>
      </c>
      <c r="C2471" s="4">
        <v>8.2799999999999994</v>
      </c>
      <c r="D2471" s="4">
        <v>8.2799999999999994</v>
      </c>
      <c r="E2471" s="4">
        <v>1838</v>
      </c>
      <c r="F2471" s="4">
        <v>8.3789999999999996</v>
      </c>
      <c r="G2471" s="4">
        <v>15400.602000000001</v>
      </c>
      <c r="H2471" s="5">
        <f t="shared" si="38"/>
        <v>3.499999999999992E-2</v>
      </c>
    </row>
    <row r="2472" spans="1:8" ht="13.5" x14ac:dyDescent="0.25">
      <c r="A2472" s="1"/>
      <c r="B2472" s="3">
        <v>45903</v>
      </c>
      <c r="C2472" s="4">
        <v>8.35</v>
      </c>
      <c r="D2472" s="4">
        <v>8.35</v>
      </c>
      <c r="E2472" s="4">
        <v>1230</v>
      </c>
      <c r="F2472" s="4">
        <v>8.2810000000000006</v>
      </c>
      <c r="G2472" s="4">
        <v>10185.629999999999</v>
      </c>
      <c r="H2472" s="5">
        <f t="shared" si="38"/>
        <v>8.4541062801932725E-3</v>
      </c>
    </row>
    <row r="2473" spans="1:8" ht="13.5" x14ac:dyDescent="0.25">
      <c r="A2473" s="1"/>
      <c r="B2473" s="3">
        <v>45905</v>
      </c>
      <c r="C2473" s="4">
        <v>8.35</v>
      </c>
      <c r="D2473" s="4">
        <v>8.35</v>
      </c>
      <c r="E2473" s="4">
        <v>3437</v>
      </c>
      <c r="F2473" s="4">
        <v>8.2929999999999993</v>
      </c>
      <c r="G2473" s="4">
        <v>28503.041000000001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8.35</v>
      </c>
      <c r="D2474" s="4">
        <v>8.35</v>
      </c>
      <c r="E2474" s="4">
        <v>700</v>
      </c>
      <c r="F2474" s="4">
        <v>8.3859999999999992</v>
      </c>
      <c r="G2474" s="4">
        <v>5870.2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8.34</v>
      </c>
      <c r="D2475" s="4">
        <v>8.34</v>
      </c>
      <c r="E2475" s="4">
        <v>2584</v>
      </c>
      <c r="F2475" s="4">
        <v>8.2530000000000001</v>
      </c>
      <c r="G2475" s="4">
        <v>21325.752</v>
      </c>
      <c r="H2475" s="5">
        <f t="shared" si="38"/>
        <v>-1.1976047904191363E-3</v>
      </c>
    </row>
    <row r="2476" spans="1:8" ht="13.5" x14ac:dyDescent="0.25">
      <c r="A2476" s="1"/>
      <c r="B2476" s="3">
        <v>45910</v>
      </c>
      <c r="C2476" s="4">
        <v>8.57</v>
      </c>
      <c r="D2476" s="4">
        <v>8.57</v>
      </c>
      <c r="E2476" s="4">
        <v>3268</v>
      </c>
      <c r="F2476" s="4">
        <v>8.5790000000000006</v>
      </c>
      <c r="G2476" s="4">
        <v>28036.171999999999</v>
      </c>
      <c r="H2476" s="5">
        <f t="shared" si="38"/>
        <v>2.7577937649880147E-2</v>
      </c>
    </row>
    <row r="2477" spans="1:8" ht="13.5" x14ac:dyDescent="0.25">
      <c r="A2477" s="1"/>
      <c r="B2477" s="3">
        <v>45911</v>
      </c>
      <c r="C2477" s="4">
        <v>8.65</v>
      </c>
      <c r="D2477" s="4">
        <v>8.65</v>
      </c>
      <c r="E2477" s="4">
        <v>486</v>
      </c>
      <c r="F2477" s="4">
        <v>8.5269999999999992</v>
      </c>
      <c r="G2477" s="4">
        <v>4144.1220000000003</v>
      </c>
      <c r="H2477" s="5">
        <f t="shared" si="38"/>
        <v>9.3348891481913731E-3</v>
      </c>
    </row>
    <row r="2478" spans="1:8" ht="13.5" x14ac:dyDescent="0.25">
      <c r="A2478" s="1"/>
      <c r="B2478" s="3">
        <v>45912</v>
      </c>
      <c r="C2478" s="4">
        <v>8.6999999999999993</v>
      </c>
      <c r="D2478" s="4">
        <v>8.6999999999999993</v>
      </c>
      <c r="E2478" s="4">
        <v>536</v>
      </c>
      <c r="F2478" s="4">
        <v>8.6950000000000003</v>
      </c>
      <c r="G2478" s="4">
        <v>4660.5200000000004</v>
      </c>
      <c r="H2478" s="5">
        <f t="shared" si="38"/>
        <v>5.7803468208091251E-3</v>
      </c>
    </row>
    <row r="2479" spans="1:8" ht="13.5" x14ac:dyDescent="0.25">
      <c r="A2479" s="1"/>
      <c r="B2479" s="3">
        <v>45915</v>
      </c>
      <c r="C2479" s="4">
        <v>8.6999999999999993</v>
      </c>
      <c r="D2479" s="4">
        <v>8.6999999999999993</v>
      </c>
      <c r="E2479" s="4">
        <v>870</v>
      </c>
      <c r="F2479" s="4">
        <v>8.7260000000000009</v>
      </c>
      <c r="G2479" s="4">
        <v>7591.62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8.6</v>
      </c>
      <c r="D2480" s="4">
        <v>8.6</v>
      </c>
      <c r="E2480" s="4">
        <v>4177</v>
      </c>
      <c r="F2480" s="4">
        <v>8.5389999999999997</v>
      </c>
      <c r="G2480" s="4">
        <v>35667.402999999998</v>
      </c>
      <c r="H2480" s="5">
        <f t="shared" si="38"/>
        <v>-1.1494252873563178E-2</v>
      </c>
    </row>
    <row r="2481" spans="1:8" ht="13.5" x14ac:dyDescent="0.25">
      <c r="A2481" s="1"/>
      <c r="B2481" s="3">
        <v>45917</v>
      </c>
      <c r="C2481" s="4">
        <v>8.6</v>
      </c>
      <c r="D2481" s="4">
        <v>8.6</v>
      </c>
      <c r="E2481" s="4">
        <v>3031</v>
      </c>
      <c r="F2481" s="4">
        <v>8.5630000000000006</v>
      </c>
      <c r="G2481" s="4">
        <v>25954.453000000001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8.5</v>
      </c>
      <c r="D2482" s="4">
        <v>8.5</v>
      </c>
      <c r="E2482" s="4">
        <v>2451</v>
      </c>
      <c r="F2482" s="4">
        <v>8.5229999999999997</v>
      </c>
      <c r="G2482" s="4">
        <v>20889.873</v>
      </c>
      <c r="H2482" s="5">
        <f t="shared" si="38"/>
        <v>-1.1627906976744146E-2</v>
      </c>
    </row>
    <row r="2483" spans="1:8" ht="13.5" x14ac:dyDescent="0.25">
      <c r="A2483" s="1"/>
      <c r="B2483" s="3">
        <v>45919</v>
      </c>
      <c r="C2483" s="4">
        <v>8.49</v>
      </c>
      <c r="D2483" s="4">
        <v>8.49</v>
      </c>
      <c r="E2483" s="4">
        <v>680</v>
      </c>
      <c r="F2483" s="4">
        <v>8.4730000000000008</v>
      </c>
      <c r="G2483" s="4">
        <v>5761.64</v>
      </c>
      <c r="H2483" s="5">
        <f t="shared" si="38"/>
        <v>-1.1764705882352691E-3</v>
      </c>
    </row>
    <row r="2484" spans="1:8" ht="13.5" x14ac:dyDescent="0.25">
      <c r="A2484" s="1"/>
      <c r="B2484" s="3">
        <v>45922</v>
      </c>
      <c r="C2484" s="4">
        <v>8.49</v>
      </c>
      <c r="D2484" s="4">
        <v>8.49</v>
      </c>
      <c r="E2484" s="4">
        <v>201</v>
      </c>
      <c r="F2484" s="4">
        <v>8.3510000000000009</v>
      </c>
      <c r="G2484" s="4">
        <v>1678.5509999999999</v>
      </c>
      <c r="H2484" s="5">
        <f t="shared" si="38"/>
        <v>0</v>
      </c>
    </row>
    <row r="2485" spans="1:8" ht="13.5" x14ac:dyDescent="0.25">
      <c r="A2485" s="1"/>
      <c r="B2485" s="3">
        <v>45923</v>
      </c>
      <c r="C2485" s="4">
        <v>8.49</v>
      </c>
      <c r="D2485" s="4">
        <v>8.49</v>
      </c>
      <c r="E2485" s="4">
        <v>6</v>
      </c>
      <c r="F2485" s="4">
        <v>8.49</v>
      </c>
      <c r="G2485" s="4">
        <v>50.94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8.34</v>
      </c>
      <c r="D2486" s="4">
        <v>8.34</v>
      </c>
      <c r="E2486" s="4">
        <v>4057</v>
      </c>
      <c r="F2486" s="4">
        <v>8.2210000000000001</v>
      </c>
      <c r="G2486" s="4">
        <v>33352.597000000002</v>
      </c>
      <c r="H2486" s="5">
        <f t="shared" si="38"/>
        <v>-1.766784452296824E-2</v>
      </c>
    </row>
    <row r="2487" spans="1:8" ht="13.5" x14ac:dyDescent="0.25">
      <c r="A2487" s="1"/>
      <c r="B2487" s="3">
        <v>45925</v>
      </c>
      <c r="C2487" s="4">
        <v>8.27</v>
      </c>
      <c r="D2487" s="4">
        <v>8.27</v>
      </c>
      <c r="E2487" s="4">
        <v>506</v>
      </c>
      <c r="F2487" s="4">
        <v>8.23</v>
      </c>
      <c r="G2487" s="4">
        <v>4164.38</v>
      </c>
      <c r="H2487" s="5">
        <f t="shared" si="38"/>
        <v>-8.3932853717026724E-3</v>
      </c>
    </row>
    <row r="2488" spans="1:8" ht="13.5" x14ac:dyDescent="0.25">
      <c r="A2488" s="1"/>
      <c r="B2488" s="3">
        <v>45926</v>
      </c>
      <c r="C2488" s="4">
        <v>8.27</v>
      </c>
      <c r="D2488" s="4">
        <v>8.27</v>
      </c>
      <c r="E2488" s="4">
        <v>3031</v>
      </c>
      <c r="F2488" s="4">
        <v>8.2799999999999994</v>
      </c>
      <c r="G2488" s="4">
        <v>25096.68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8.1999999999999993</v>
      </c>
      <c r="D2489" s="4">
        <v>8.1999999999999993</v>
      </c>
      <c r="E2489" s="4">
        <v>5144</v>
      </c>
      <c r="F2489" s="4">
        <v>8.19</v>
      </c>
      <c r="G2489" s="4">
        <v>42129.36</v>
      </c>
      <c r="H2489" s="5">
        <f t="shared" si="38"/>
        <v>-8.464328899637278E-3</v>
      </c>
    </row>
    <row r="2490" spans="1:8" ht="13.5" x14ac:dyDescent="0.25">
      <c r="A2490" s="1"/>
      <c r="B2490" s="3">
        <v>45930</v>
      </c>
      <c r="C2490" s="4">
        <v>8.19</v>
      </c>
      <c r="D2490" s="4">
        <v>8.19</v>
      </c>
      <c r="E2490" s="4">
        <v>910</v>
      </c>
      <c r="F2490" s="4">
        <v>8.1669999999999998</v>
      </c>
      <c r="G2490" s="4">
        <v>7431.97</v>
      </c>
      <c r="H2490" s="5">
        <f t="shared" si="38"/>
        <v>-1.2195121951219254E-3</v>
      </c>
    </row>
    <row r="2491" spans="1:8" ht="13.5" x14ac:dyDescent="0.25">
      <c r="A2491" s="1"/>
      <c r="B2491" s="3">
        <v>45931</v>
      </c>
      <c r="C2491" s="4">
        <v>8.19</v>
      </c>
      <c r="D2491" s="4">
        <v>8.19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8.18</v>
      </c>
      <c r="D2492" s="4">
        <v>8.18</v>
      </c>
      <c r="E2492" s="4">
        <v>5623</v>
      </c>
      <c r="F2492" s="4">
        <v>8.0180000000000007</v>
      </c>
      <c r="G2492" s="4">
        <v>45085.214</v>
      </c>
      <c r="H2492" s="5">
        <f t="shared" si="38"/>
        <v>-1.221001221001195E-3</v>
      </c>
    </row>
    <row r="2493" spans="1:8" ht="13.5" x14ac:dyDescent="0.25">
      <c r="A2493" s="1"/>
      <c r="B2493" s="3">
        <v>45933</v>
      </c>
      <c r="C2493" s="4">
        <v>8.17</v>
      </c>
      <c r="D2493" s="4">
        <v>8.17</v>
      </c>
      <c r="E2493" s="4">
        <v>6027</v>
      </c>
      <c r="F2493" s="4">
        <v>8.0679999999999996</v>
      </c>
      <c r="G2493" s="4">
        <v>48625.836000000003</v>
      </c>
      <c r="H2493" s="5">
        <f t="shared" si="38"/>
        <v>-1.2224938875305363E-3</v>
      </c>
    </row>
    <row r="2494" spans="1:8" ht="13.5" x14ac:dyDescent="0.25">
      <c r="A2494" s="1"/>
      <c r="B2494" s="3">
        <v>45936</v>
      </c>
      <c r="C2494" s="4">
        <v>8.18</v>
      </c>
      <c r="D2494" s="4">
        <v>8.18</v>
      </c>
      <c r="E2494" s="4">
        <v>202</v>
      </c>
      <c r="F2494" s="4">
        <v>8.0020000000000007</v>
      </c>
      <c r="G2494" s="4">
        <v>1616.404</v>
      </c>
      <c r="H2494" s="5">
        <f t="shared" si="38"/>
        <v>1.2239902080783092E-3</v>
      </c>
    </row>
    <row r="2495" spans="1:8" ht="13.5" x14ac:dyDescent="0.25">
      <c r="A2495" s="1"/>
      <c r="B2495" s="3">
        <v>45937</v>
      </c>
      <c r="C2495" s="4">
        <v>8.01</v>
      </c>
      <c r="D2495" s="4">
        <v>8.01</v>
      </c>
      <c r="E2495" s="4">
        <v>330</v>
      </c>
      <c r="F2495" s="4">
        <v>8.0730000000000004</v>
      </c>
      <c r="G2495" s="4">
        <v>2664.09</v>
      </c>
      <c r="H2495" s="5">
        <f t="shared" si="38"/>
        <v>-2.0782396088019552E-2</v>
      </c>
    </row>
    <row r="2496" spans="1:8" ht="13.5" x14ac:dyDescent="0.25">
      <c r="A2496" s="1"/>
      <c r="B2496" s="3">
        <v>45938</v>
      </c>
      <c r="C2496" s="4">
        <v>8.1</v>
      </c>
      <c r="D2496" s="4">
        <v>8.1</v>
      </c>
      <c r="E2496" s="4">
        <v>29</v>
      </c>
      <c r="F2496" s="4">
        <v>8.0440000000000005</v>
      </c>
      <c r="G2496" s="4">
        <v>233.27600000000001</v>
      </c>
      <c r="H2496" s="5">
        <f t="shared" si="38"/>
        <v>1.1235955056179758E-2</v>
      </c>
    </row>
    <row r="2497" spans="1:11" ht="13.5" x14ac:dyDescent="0.25">
      <c r="A2497" s="1"/>
      <c r="B2497" s="3">
        <v>45939</v>
      </c>
      <c r="C2497" s="4">
        <v>8.1</v>
      </c>
      <c r="D2497" s="4">
        <v>8.1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8.1</v>
      </c>
      <c r="D2498" s="4">
        <v>8.1</v>
      </c>
      <c r="E2498" s="4">
        <v>1124</v>
      </c>
      <c r="F2498" s="4">
        <v>7.8360000000000003</v>
      </c>
      <c r="G2498" s="4">
        <v>8807.6640000000007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8</v>
      </c>
      <c r="D2499" s="4">
        <v>8</v>
      </c>
      <c r="E2499" s="4">
        <v>32782</v>
      </c>
      <c r="F2499" s="4">
        <v>8</v>
      </c>
      <c r="G2499" s="4">
        <v>262256</v>
      </c>
      <c r="H2499" s="5">
        <f t="shared" si="38"/>
        <v>-1.2345679012345635E-2</v>
      </c>
    </row>
    <row r="2500" spans="1:11" ht="13.5" x14ac:dyDescent="0.25">
      <c r="A2500" s="1"/>
      <c r="B2500" s="3">
        <v>45944</v>
      </c>
      <c r="C2500" s="4">
        <v>8</v>
      </c>
      <c r="D2500" s="4">
        <v>8</v>
      </c>
      <c r="E2500" s="4">
        <v>141</v>
      </c>
      <c r="F2500" s="4">
        <v>8.0549999999999997</v>
      </c>
      <c r="G2500" s="4">
        <v>1135.7550000000001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8</v>
      </c>
      <c r="D2501" s="4">
        <v>8</v>
      </c>
      <c r="E2501" s="4">
        <v>1290</v>
      </c>
      <c r="F2501" s="4">
        <v>7.8609999999999998</v>
      </c>
      <c r="G2501" s="4">
        <v>10140.69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8</v>
      </c>
      <c r="D2502" s="4">
        <v>8</v>
      </c>
      <c r="E2502" s="4">
        <v>701</v>
      </c>
      <c r="F2502" s="4">
        <v>7.9</v>
      </c>
      <c r="G2502" s="4">
        <v>5537.9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8</v>
      </c>
      <c r="D2503" s="4">
        <v>8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8</v>
      </c>
      <c r="D2504" s="4">
        <v>8</v>
      </c>
      <c r="E2504" s="4">
        <v>1813</v>
      </c>
      <c r="F2504" s="4">
        <v>7.9660000000000002</v>
      </c>
      <c r="G2504" s="4">
        <v>14442.358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8</v>
      </c>
      <c r="D2505" s="4">
        <v>8</v>
      </c>
      <c r="E2505" s="4">
        <v>5832</v>
      </c>
      <c r="F2505" s="4">
        <v>7.9690000000000003</v>
      </c>
      <c r="G2505" s="4">
        <v>46475.207999999999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7.84</v>
      </c>
      <c r="D2506" s="4">
        <v>7.84</v>
      </c>
      <c r="E2506" s="4">
        <v>66296</v>
      </c>
      <c r="F2506" s="4">
        <v>7.7060000000000004</v>
      </c>
      <c r="G2506" s="4">
        <v>510876.97600000002</v>
      </c>
      <c r="H2506" s="5">
        <f t="shared" si="39"/>
        <v>-2.0000000000000018E-2</v>
      </c>
    </row>
    <row r="2507" spans="1:11" ht="13.5" x14ac:dyDescent="0.25">
      <c r="A2507" s="1"/>
      <c r="B2507" s="3">
        <v>45954</v>
      </c>
      <c r="C2507" s="4">
        <v>7.8</v>
      </c>
      <c r="D2507" s="4">
        <v>7.8</v>
      </c>
      <c r="E2507" s="4">
        <v>1673</v>
      </c>
      <c r="F2507" s="4">
        <v>7.8</v>
      </c>
      <c r="G2507" s="4">
        <v>13049.4</v>
      </c>
      <c r="H2507" s="5">
        <f t="shared" si="39"/>
        <v>-5.1020408163265354E-3</v>
      </c>
    </row>
    <row r="2508" spans="1:11" ht="13.5" x14ac:dyDescent="0.25">
      <c r="A2508" s="1"/>
      <c r="B2508" s="3">
        <v>45957</v>
      </c>
      <c r="C2508" s="4">
        <v>7.8</v>
      </c>
      <c r="D2508" s="4">
        <v>7.8</v>
      </c>
      <c r="E2508" s="4">
        <v>171</v>
      </c>
      <c r="F2508" s="4">
        <v>7.8010000000000002</v>
      </c>
      <c r="G2508" s="4">
        <v>1333.971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7.79</v>
      </c>
      <c r="D2509" s="4">
        <v>7.79</v>
      </c>
      <c r="E2509" s="4">
        <v>695</v>
      </c>
      <c r="F2509" s="4">
        <v>7.6150000000000002</v>
      </c>
      <c r="G2509" s="4">
        <v>5292.4250000000002</v>
      </c>
      <c r="H2509" s="5">
        <f t="shared" si="39"/>
        <v>-1.2820512820512547E-3</v>
      </c>
    </row>
    <row r="2510" spans="1:11" ht="13.5" x14ac:dyDescent="0.25">
      <c r="A2510" s="1"/>
      <c r="B2510" s="3">
        <v>45959</v>
      </c>
      <c r="C2510" s="4">
        <v>7.66</v>
      </c>
      <c r="D2510" s="4">
        <v>7.66</v>
      </c>
      <c r="E2510" s="4">
        <v>610</v>
      </c>
      <c r="F2510" s="4">
        <v>7.9530000000000003</v>
      </c>
      <c r="G2510" s="4">
        <v>4851.33</v>
      </c>
      <c r="H2510" s="5">
        <f t="shared" si="39"/>
        <v>-1.6688061617458266E-2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7.9</v>
      </c>
      <c r="D2511" s="4">
        <v>7.9</v>
      </c>
      <c r="E2511" s="4">
        <v>2400</v>
      </c>
      <c r="F2511" s="4">
        <v>7.843</v>
      </c>
      <c r="G2511" s="4">
        <v>18823.2</v>
      </c>
      <c r="H2511" s="5">
        <f t="shared" si="39"/>
        <v>3.1331592689295064E-2</v>
      </c>
      <c r="I2511" s="8">
        <v>10334430</v>
      </c>
      <c r="J2511" s="9">
        <f>I2511*D2511</f>
        <v>81641997</v>
      </c>
      <c r="K2511" s="10">
        <f>SUM(E2307:E2511)/205</f>
        <v>8969.2000000000007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F0B245-2615-4D53-985A-69D3683FB6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013014-2223-44C9-84A1-7BD47293D4A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825c0b43-6af9-4148-8ec1-c95941059438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7F6BA21-E5E5-4266-81A4-2D91B38079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2025-11-04T19:43:46Z</dcterms:created>
  <dcterms:modified xsi:type="dcterms:W3CDTF">2025-11-05T05:38:08Z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