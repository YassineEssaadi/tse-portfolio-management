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32593B28-246E-4471-A3F6-25D83C4CEFF7}" xr6:coauthVersionLast="47" xr6:coauthVersionMax="47" xr10:uidLastSave="{00000000-0000-0000-0000-000000000000}"/>
  <bookViews>
    <workbookView xWindow="28680" yWindow="-120" windowWidth="24240" windowHeight="13020" xr2:uid="{D185B482-5E24-47CA-934E-412C84B8460B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<sst xmlns="http://schemas.openxmlformats.org/spreadsheetml/2006/main" count="16" uniqueCount="16">
  <si>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BNA ASSURANCES,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</si>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</sst>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0D7A-EC20-4C5D-9793-E33B8D85DCF1}">
  <dimension ref="A1:K2511"/>
  <sheetViews>
    <sheetView showGridLines="0" tabSelected="1" topLeftCell="A2491" workbookViewId="0">
      <selection activeCell="K2505" sqref="K2505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0" t="s">
        <v>0</v>
      </c>
      <c r="C2" s="11"/>
      <c r="D2" s="11"/>
      <c r="E2" s="11"/>
      <c r="F2" s="11"/>
      <c r="G2" s="11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16.3</v>
      </c>
      <c r="D5" s="4">
        <v>5.9006999999999996</v>
      </c>
      <c r="E5" s="4">
        <v>14194</v>
      </c>
      <c r="F5" s="4"/>
      <c r="G5" s="4"/>
      <c r="H5" s="1"/>
    </row>
    <row r="6" spans="1:11" ht="13.5" x14ac:dyDescent="0.25">
      <c r="A6" s="1"/>
      <c r="B6" s="3">
        <v>42311</v>
      </c>
      <c r="C6" s="4">
        <v>16.399999999999999</v>
      </c>
      <c r="D6" s="4">
        <v>5.9368999999999996</v>
      </c>
      <c r="E6" s="4">
        <v>27778</v>
      </c>
      <c r="F6" s="4"/>
      <c r="G6" s="4"/>
      <c r="H6" s="5">
        <f>(D6-D5)/D5</f>
        <v>6.1348653549578884E-3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17.39</v>
      </c>
      <c r="D7" s="4">
        <v>6.2953000000000001</v>
      </c>
      <c r="E7" s="4">
        <v>30036</v>
      </c>
      <c r="F7" s="4"/>
      <c r="G7" s="4"/>
      <c r="H7" s="5">
        <f t="shared" ref="H7:H70" si="0">(D7-D6)/D6</f>
        <v>6.0368205629200512E-2</v>
      </c>
    </row>
    <row r="8" spans="1:11" ht="13.5" x14ac:dyDescent="0.25">
      <c r="A8" s="1"/>
      <c r="B8" s="3">
        <v>42313</v>
      </c>
      <c r="C8" s="4">
        <v>18.440000000000001</v>
      </c>
      <c r="D8" s="4">
        <v>6.6753999999999998</v>
      </c>
      <c r="E8" s="4">
        <v>33238</v>
      </c>
      <c r="F8" s="4"/>
      <c r="G8" s="4"/>
      <c r="H8" s="5">
        <f t="shared" si="0"/>
        <v>6.0378377519736889E-2</v>
      </c>
      <c r="J8" t="s">
        <v>9</v>
      </c>
      <c r="K8" s="6">
        <f>AVERAGE(H6:H2511)</f>
        <v>1.1228876394499658E-4</v>
      </c>
    </row>
    <row r="9" spans="1:11" ht="13.5" x14ac:dyDescent="0.25">
      <c r="A9" s="1"/>
      <c r="B9" s="3">
        <v>42314</v>
      </c>
      <c r="C9" s="4">
        <v>19.260000000000002</v>
      </c>
      <c r="D9" s="4">
        <v>6.9722</v>
      </c>
      <c r="E9" s="4">
        <v>66151</v>
      </c>
      <c r="F9" s="4"/>
      <c r="G9" s="4"/>
      <c r="H9" s="5">
        <f t="shared" si="0"/>
        <v>4.4461755100817957E-2</v>
      </c>
      <c r="J9" t="s">
        <v>10</v>
      </c>
      <c r="K9" s="6">
        <f>K8*K6</f>
        <v>2.8296768514139137E-2</v>
      </c>
    </row>
    <row r="10" spans="1:11" ht="13.5" x14ac:dyDescent="0.25">
      <c r="A10" s="1"/>
      <c r="B10" s="3">
        <v>42317</v>
      </c>
      <c r="C10" s="4">
        <v>18.399999999999999</v>
      </c>
      <c r="D10" s="4">
        <v>6.6608999999999998</v>
      </c>
      <c r="E10" s="4">
        <v>0</v>
      </c>
      <c r="F10" s="4"/>
      <c r="G10" s="4"/>
      <c r="H10" s="5">
        <f t="shared" si="0"/>
        <v>-4.4648747884455428E-2</v>
      </c>
      <c r="J10" t="s">
        <v>11</v>
      </c>
      <c r="K10" s="6">
        <f>STDEV(H6:H2511)</f>
        <v>2.8055998619002376E-2</v>
      </c>
    </row>
    <row r="11" spans="1:11" ht="13.5" x14ac:dyDescent="0.25">
      <c r="A11" s="1"/>
      <c r="B11" s="3">
        <v>42318</v>
      </c>
      <c r="C11" s="4">
        <v>17.579999999999998</v>
      </c>
      <c r="D11" s="4">
        <v>6.3639999999999999</v>
      </c>
      <c r="E11" s="4">
        <v>0</v>
      </c>
      <c r="F11" s="4"/>
      <c r="G11" s="4"/>
      <c r="H11" s="5">
        <f t="shared" si="0"/>
        <v>-4.4573556126049026E-2</v>
      </c>
      <c r="J11" t="s">
        <v>12</v>
      </c>
      <c r="K11" s="6">
        <f>K10*SQRT(K6)</f>
        <v>0.44537517077671129</v>
      </c>
    </row>
    <row r="12" spans="1:11" ht="13.5" x14ac:dyDescent="0.25">
      <c r="A12" s="1"/>
      <c r="B12" s="3">
        <v>42319</v>
      </c>
      <c r="C12" s="4">
        <v>17.350000000000001</v>
      </c>
      <c r="D12" s="4">
        <v>6.2808000000000002</v>
      </c>
      <c r="E12" s="4">
        <v>23710</v>
      </c>
      <c r="F12" s="4"/>
      <c r="G12" s="4"/>
      <c r="H12" s="5">
        <f t="shared" si="0"/>
        <v>-1.307353865493396E-2</v>
      </c>
    </row>
    <row r="13" spans="1:11" ht="13.5" x14ac:dyDescent="0.25">
      <c r="A13" s="1"/>
      <c r="B13" s="3">
        <v>42320</v>
      </c>
      <c r="C13" s="4">
        <v>16.91</v>
      </c>
      <c r="D13" s="4">
        <v>6.1215000000000002</v>
      </c>
      <c r="E13" s="4">
        <v>8908</v>
      </c>
      <c r="F13" s="4"/>
      <c r="G13" s="4"/>
      <c r="H13" s="5">
        <f t="shared" si="0"/>
        <v>-2.5363011081390906E-2</v>
      </c>
    </row>
    <row r="14" spans="1:11" ht="13.5" x14ac:dyDescent="0.25">
      <c r="A14" s="1"/>
      <c r="B14" s="3">
        <v>42321</v>
      </c>
      <c r="C14" s="4">
        <v>16.62</v>
      </c>
      <c r="D14" s="4">
        <v>6.0164999999999997</v>
      </c>
      <c r="E14" s="4">
        <v>8937</v>
      </c>
      <c r="F14" s="4"/>
      <c r="G14" s="4"/>
      <c r="H14" s="5">
        <f t="shared" si="0"/>
        <v>-1.7152658662092694E-2</v>
      </c>
    </row>
    <row r="15" spans="1:11" ht="13.5" x14ac:dyDescent="0.25">
      <c r="A15" s="1"/>
      <c r="B15" s="3">
        <v>42324</v>
      </c>
      <c r="C15" s="4">
        <v>17.03</v>
      </c>
      <c r="D15" s="4">
        <v>6.1649000000000003</v>
      </c>
      <c r="E15" s="4">
        <v>6730</v>
      </c>
      <c r="F15" s="4"/>
      <c r="G15" s="4"/>
      <c r="H15" s="5">
        <f t="shared" si="0"/>
        <v>2.4665503199534703E-2</v>
      </c>
    </row>
    <row r="16" spans="1:11" ht="13.5" x14ac:dyDescent="0.25">
      <c r="A16" s="1"/>
      <c r="B16" s="3">
        <v>42325</v>
      </c>
      <c r="C16" s="4">
        <v>16.489999999999998</v>
      </c>
      <c r="D16" s="4">
        <v>5.9695</v>
      </c>
      <c r="E16" s="4">
        <v>10349</v>
      </c>
      <c r="F16" s="4"/>
      <c r="G16" s="4"/>
      <c r="H16" s="5">
        <f t="shared" si="0"/>
        <v>-3.1695566838067159E-2</v>
      </c>
    </row>
    <row r="17" spans="1:8" ht="13.5" x14ac:dyDescent="0.25">
      <c r="A17" s="1"/>
      <c r="B17" s="3">
        <v>42326</v>
      </c>
      <c r="C17" s="4">
        <v>16.489999999999998</v>
      </c>
      <c r="D17" s="4">
        <v>5.9695</v>
      </c>
      <c r="E17" s="4">
        <v>7015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16.45</v>
      </c>
      <c r="D18" s="4">
        <v>5.9550000000000001</v>
      </c>
      <c r="E18" s="4">
        <v>6048</v>
      </c>
      <c r="F18" s="4"/>
      <c r="G18" s="4"/>
      <c r="H18" s="5">
        <f t="shared" si="0"/>
        <v>-2.4290141552893805E-3</v>
      </c>
    </row>
    <row r="19" spans="1:8" ht="13.5" x14ac:dyDescent="0.25">
      <c r="A19" s="1"/>
      <c r="B19" s="3">
        <v>42328</v>
      </c>
      <c r="C19" s="4">
        <v>16.45</v>
      </c>
      <c r="D19" s="4">
        <v>5.9550000000000001</v>
      </c>
      <c r="E19" s="4">
        <v>7930</v>
      </c>
      <c r="F19" s="4"/>
      <c r="G19" s="4"/>
      <c r="H19" s="5">
        <f t="shared" si="0"/>
        <v>0</v>
      </c>
    </row>
    <row r="20" spans="1:8" ht="13.5" x14ac:dyDescent="0.25">
      <c r="A20" s="1"/>
      <c r="B20" s="3">
        <v>42331</v>
      </c>
      <c r="C20" s="4">
        <v>16.399999999999999</v>
      </c>
      <c r="D20" s="4">
        <v>5.9368999999999996</v>
      </c>
      <c r="E20" s="4">
        <v>5247</v>
      </c>
      <c r="F20" s="4"/>
      <c r="G20" s="4"/>
      <c r="H20" s="5">
        <f t="shared" si="0"/>
        <v>-3.0394626364400419E-3</v>
      </c>
    </row>
    <row r="21" spans="1:8" ht="13.5" x14ac:dyDescent="0.25">
      <c r="A21" s="1"/>
      <c r="B21" s="3">
        <v>42332</v>
      </c>
      <c r="C21" s="4">
        <v>16.5</v>
      </c>
      <c r="D21" s="4">
        <v>5.9730999999999996</v>
      </c>
      <c r="E21" s="4">
        <v>16454</v>
      </c>
      <c r="F21" s="4"/>
      <c r="G21" s="4"/>
      <c r="H21" s="5">
        <f t="shared" si="0"/>
        <v>6.0974582694672324E-3</v>
      </c>
    </row>
    <row r="22" spans="1:8" ht="13.5" x14ac:dyDescent="0.25">
      <c r="A22" s="1"/>
      <c r="B22" s="3">
        <v>42333</v>
      </c>
      <c r="C22" s="4">
        <v>16.600000000000001</v>
      </c>
      <c r="D22" s="4">
        <v>6.0092999999999996</v>
      </c>
      <c r="E22" s="4">
        <v>10282</v>
      </c>
      <c r="F22" s="4"/>
      <c r="G22" s="4"/>
      <c r="H22" s="5">
        <f t="shared" si="0"/>
        <v>6.060504595603625E-3</v>
      </c>
    </row>
    <row r="23" spans="1:8" ht="13.5" x14ac:dyDescent="0.25">
      <c r="A23" s="1"/>
      <c r="B23" s="3">
        <v>42334</v>
      </c>
      <c r="C23" s="4">
        <v>17</v>
      </c>
      <c r="D23" s="4">
        <v>6.1540999999999997</v>
      </c>
      <c r="E23" s="4">
        <v>3595</v>
      </c>
      <c r="F23" s="4"/>
      <c r="G23" s="4"/>
      <c r="H23" s="5">
        <f t="shared" si="0"/>
        <v>2.4095984557269575E-2</v>
      </c>
    </row>
    <row r="24" spans="1:8" ht="13.5" x14ac:dyDescent="0.25">
      <c r="A24" s="1"/>
      <c r="B24" s="3">
        <v>42335</v>
      </c>
      <c r="C24" s="4">
        <v>16.809999999999999</v>
      </c>
      <c r="D24" s="4">
        <v>6.0853000000000002</v>
      </c>
      <c r="E24" s="4">
        <v>4870</v>
      </c>
      <c r="F24" s="4"/>
      <c r="G24" s="4"/>
      <c r="H24" s="5">
        <f t="shared" si="0"/>
        <v>-1.1179538844022608E-2</v>
      </c>
    </row>
    <row r="25" spans="1:8" ht="13.5" x14ac:dyDescent="0.25">
      <c r="A25" s="1"/>
      <c r="B25" s="3">
        <v>42338</v>
      </c>
      <c r="C25" s="4">
        <v>16.649999999999999</v>
      </c>
      <c r="D25" s="4">
        <v>6.0274000000000001</v>
      </c>
      <c r="E25" s="4">
        <v>6795</v>
      </c>
      <c r="F25" s="4"/>
      <c r="G25" s="4"/>
      <c r="H25" s="5">
        <f t="shared" si="0"/>
        <v>-9.5147322235551342E-3</v>
      </c>
    </row>
    <row r="26" spans="1:8" ht="13.5" x14ac:dyDescent="0.25">
      <c r="A26" s="1"/>
      <c r="B26" s="3">
        <v>42339</v>
      </c>
      <c r="C26" s="4">
        <v>16.649999999999999</v>
      </c>
      <c r="D26" s="4">
        <v>6.0274000000000001</v>
      </c>
      <c r="E26" s="4">
        <v>7523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16.649999999999999</v>
      </c>
      <c r="D27" s="4">
        <v>6.0274000000000001</v>
      </c>
      <c r="E27" s="4">
        <v>6804</v>
      </c>
      <c r="F27" s="4"/>
      <c r="G27" s="4"/>
      <c r="H27" s="5">
        <f t="shared" si="0"/>
        <v>0</v>
      </c>
    </row>
    <row r="28" spans="1:8" ht="13.5" x14ac:dyDescent="0.25">
      <c r="A28" s="1"/>
      <c r="B28" s="3">
        <v>42341</v>
      </c>
      <c r="C28" s="4">
        <v>16.5</v>
      </c>
      <c r="D28" s="4">
        <v>5.9730999999999996</v>
      </c>
      <c r="E28" s="4">
        <v>19738</v>
      </c>
      <c r="F28" s="4"/>
      <c r="G28" s="4"/>
      <c r="H28" s="5">
        <f t="shared" si="0"/>
        <v>-9.0088595414275566E-3</v>
      </c>
    </row>
    <row r="29" spans="1:8" ht="13.5" x14ac:dyDescent="0.25">
      <c r="A29" s="1"/>
      <c r="B29" s="3">
        <v>42342</v>
      </c>
      <c r="C29" s="4">
        <v>16.489999999999998</v>
      </c>
      <c r="D29" s="4">
        <v>5.9695</v>
      </c>
      <c r="E29" s="4">
        <v>17545</v>
      </c>
      <c r="F29" s="4"/>
      <c r="G29" s="4"/>
      <c r="H29" s="5">
        <f t="shared" si="0"/>
        <v>-6.0270211447985191E-4</v>
      </c>
    </row>
    <row r="30" spans="1:8" ht="13.5" x14ac:dyDescent="0.25">
      <c r="A30" s="1"/>
      <c r="B30" s="3">
        <v>42345</v>
      </c>
      <c r="C30" s="4">
        <v>16.5</v>
      </c>
      <c r="D30" s="4">
        <v>5.9730999999999996</v>
      </c>
      <c r="E30" s="4">
        <v>23114</v>
      </c>
      <c r="F30" s="4"/>
      <c r="G30" s="4"/>
      <c r="H30" s="5">
        <f t="shared" si="0"/>
        <v>6.0306558338212642E-4</v>
      </c>
    </row>
    <row r="31" spans="1:8" ht="13.5" x14ac:dyDescent="0.25">
      <c r="A31" s="1"/>
      <c r="B31" s="3">
        <v>42346</v>
      </c>
      <c r="C31" s="4">
        <v>16.5</v>
      </c>
      <c r="D31" s="4">
        <v>5.9730999999999996</v>
      </c>
      <c r="E31" s="4">
        <v>17903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16.010000000000002</v>
      </c>
      <c r="D32" s="4">
        <v>5.7957000000000001</v>
      </c>
      <c r="E32" s="4">
        <v>19344</v>
      </c>
      <c r="F32" s="4"/>
      <c r="G32" s="4"/>
      <c r="H32" s="5">
        <f t="shared" si="0"/>
        <v>-2.9699820863538125E-2</v>
      </c>
    </row>
    <row r="33" spans="1:8" ht="13.5" x14ac:dyDescent="0.25">
      <c r="A33" s="1"/>
      <c r="B33" s="3">
        <v>42348</v>
      </c>
      <c r="C33" s="4">
        <v>15.6</v>
      </c>
      <c r="D33" s="4">
        <v>5.6473000000000004</v>
      </c>
      <c r="E33" s="4">
        <v>50672</v>
      </c>
      <c r="F33" s="4"/>
      <c r="G33" s="4"/>
      <c r="H33" s="5">
        <f t="shared" si="0"/>
        <v>-2.5605190054695661E-2</v>
      </c>
    </row>
    <row r="34" spans="1:8" ht="13.5" x14ac:dyDescent="0.25">
      <c r="A34" s="1"/>
      <c r="B34" s="3">
        <v>42349</v>
      </c>
      <c r="C34" s="4">
        <v>12.18</v>
      </c>
      <c r="D34" s="4">
        <v>5.2957000000000001</v>
      </c>
      <c r="E34" s="4">
        <v>12079</v>
      </c>
      <c r="F34" s="4"/>
      <c r="G34" s="4"/>
      <c r="H34" s="5">
        <f t="shared" si="0"/>
        <v>-6.2259840985957951E-2</v>
      </c>
    </row>
    <row r="35" spans="1:8" ht="13.5" x14ac:dyDescent="0.25">
      <c r="A35" s="1"/>
      <c r="B35" s="3">
        <v>42352</v>
      </c>
      <c r="C35" s="4">
        <v>12.36</v>
      </c>
      <c r="D35" s="4">
        <v>5.3739999999999997</v>
      </c>
      <c r="E35" s="4">
        <v>11802</v>
      </c>
      <c r="F35" s="4"/>
      <c r="G35" s="4"/>
      <c r="H35" s="5">
        <f t="shared" si="0"/>
        <v>1.4785580754196724E-2</v>
      </c>
    </row>
    <row r="36" spans="1:8" ht="13.5" x14ac:dyDescent="0.25">
      <c r="A36" s="1"/>
      <c r="B36" s="3">
        <v>42353</v>
      </c>
      <c r="C36" s="4">
        <v>12.54</v>
      </c>
      <c r="D36" s="4">
        <v>5.4522000000000004</v>
      </c>
      <c r="E36" s="4">
        <v>12112</v>
      </c>
      <c r="F36" s="4"/>
      <c r="G36" s="4"/>
      <c r="H36" s="5">
        <f t="shared" si="0"/>
        <v>1.4551544473390531E-2</v>
      </c>
    </row>
    <row r="37" spans="1:8" ht="13.5" x14ac:dyDescent="0.25">
      <c r="A37" s="1"/>
      <c r="B37" s="3">
        <v>42354</v>
      </c>
      <c r="C37" s="4">
        <v>12.7</v>
      </c>
      <c r="D37" s="4">
        <v>5.5217999999999998</v>
      </c>
      <c r="E37" s="4">
        <v>4296</v>
      </c>
      <c r="F37" s="4"/>
      <c r="G37" s="4"/>
      <c r="H37" s="5">
        <f t="shared" si="0"/>
        <v>1.2765489160338843E-2</v>
      </c>
    </row>
    <row r="38" spans="1:8" ht="13.5" x14ac:dyDescent="0.25">
      <c r="A38" s="1"/>
      <c r="B38" s="3">
        <v>42355</v>
      </c>
      <c r="C38" s="4">
        <v>13</v>
      </c>
      <c r="D38" s="4">
        <v>5.6521999999999997</v>
      </c>
      <c r="E38" s="4">
        <v>18750</v>
      </c>
      <c r="F38" s="4"/>
      <c r="G38" s="4"/>
      <c r="H38" s="5">
        <f t="shared" si="0"/>
        <v>2.3615487703285132E-2</v>
      </c>
    </row>
    <row r="39" spans="1:8" ht="13.5" x14ac:dyDescent="0.25">
      <c r="A39" s="1"/>
      <c r="B39" s="3">
        <v>42356</v>
      </c>
      <c r="C39" s="4">
        <v>13</v>
      </c>
      <c r="D39" s="4">
        <v>5.6521999999999997</v>
      </c>
      <c r="E39" s="4">
        <v>20687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13</v>
      </c>
      <c r="D40" s="4">
        <v>5.6521999999999997</v>
      </c>
      <c r="E40" s="4">
        <v>19105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12.99</v>
      </c>
      <c r="D41" s="4">
        <v>5.6478999999999999</v>
      </c>
      <c r="E41" s="4">
        <v>13294</v>
      </c>
      <c r="F41" s="4"/>
      <c r="G41" s="4"/>
      <c r="H41" s="5">
        <f t="shared" si="0"/>
        <v>-7.6076571954278847E-4</v>
      </c>
    </row>
    <row r="42" spans="1:8" ht="13.5" x14ac:dyDescent="0.25">
      <c r="A42" s="1"/>
      <c r="B42" s="3">
        <v>42361</v>
      </c>
      <c r="C42" s="4">
        <v>12.7</v>
      </c>
      <c r="D42" s="4">
        <v>5.5217999999999998</v>
      </c>
      <c r="E42" s="4">
        <v>7283</v>
      </c>
      <c r="F42" s="4"/>
      <c r="G42" s="4"/>
      <c r="H42" s="5">
        <f t="shared" si="0"/>
        <v>-2.2326882558118964E-2</v>
      </c>
    </row>
    <row r="43" spans="1:8" ht="13.5" x14ac:dyDescent="0.25">
      <c r="A43" s="1"/>
      <c r="B43" s="3">
        <v>42363</v>
      </c>
      <c r="C43" s="4">
        <v>13.27</v>
      </c>
      <c r="D43" s="4">
        <v>5.7695999999999996</v>
      </c>
      <c r="E43" s="4">
        <v>0</v>
      </c>
      <c r="F43" s="4"/>
      <c r="G43" s="4"/>
      <c r="H43" s="5">
        <f t="shared" si="0"/>
        <v>4.4876670650874681E-2</v>
      </c>
    </row>
    <row r="44" spans="1:8" ht="13.5" x14ac:dyDescent="0.25">
      <c r="A44" s="1"/>
      <c r="B44" s="3">
        <v>42366</v>
      </c>
      <c r="C44" s="4">
        <v>13.86</v>
      </c>
      <c r="D44" s="4">
        <v>6.0262000000000002</v>
      </c>
      <c r="E44" s="4">
        <v>0</v>
      </c>
      <c r="F44" s="4"/>
      <c r="G44" s="4"/>
      <c r="H44" s="5">
        <f t="shared" si="0"/>
        <v>4.4474486966167605E-2</v>
      </c>
    </row>
    <row r="45" spans="1:8" ht="13.5" x14ac:dyDescent="0.25">
      <c r="A45" s="1"/>
      <c r="B45" s="3">
        <v>42367</v>
      </c>
      <c r="C45" s="4">
        <v>14.48</v>
      </c>
      <c r="D45" s="4">
        <v>6.2957000000000001</v>
      </c>
      <c r="E45" s="4">
        <v>0</v>
      </c>
      <c r="F45" s="4"/>
      <c r="G45" s="4"/>
      <c r="H45" s="5">
        <f t="shared" si="0"/>
        <v>4.4721383292954074E-2</v>
      </c>
    </row>
    <row r="46" spans="1:8" ht="13.5" x14ac:dyDescent="0.25">
      <c r="A46" s="1"/>
      <c r="B46" s="3">
        <v>42368</v>
      </c>
      <c r="C46" s="4">
        <v>15.13</v>
      </c>
      <c r="D46" s="4">
        <v>6.5782999999999996</v>
      </c>
      <c r="E46" s="4">
        <v>0</v>
      </c>
      <c r="F46" s="4"/>
      <c r="G46" s="4"/>
      <c r="H46" s="5">
        <f t="shared" si="0"/>
        <v>4.4887780548628353E-2</v>
      </c>
    </row>
    <row r="47" spans="1:8" ht="13.5" x14ac:dyDescent="0.25">
      <c r="A47" s="1"/>
      <c r="B47" s="3">
        <v>42369</v>
      </c>
      <c r="C47" s="4">
        <v>15.81</v>
      </c>
      <c r="D47" s="4">
        <v>6.8739999999999997</v>
      </c>
      <c r="E47" s="4">
        <v>96814</v>
      </c>
      <c r="F47" s="4"/>
      <c r="G47" s="4"/>
      <c r="H47" s="5">
        <f t="shared" si="0"/>
        <v>4.4950823160999055E-2</v>
      </c>
    </row>
    <row r="48" spans="1:8" ht="13.5" x14ac:dyDescent="0.25">
      <c r="A48" s="1"/>
      <c r="B48" s="3">
        <v>42373</v>
      </c>
      <c r="C48" s="4">
        <v>16.77</v>
      </c>
      <c r="D48" s="4">
        <v>7.2914000000000003</v>
      </c>
      <c r="E48" s="4">
        <v>3541</v>
      </c>
      <c r="F48" s="4"/>
      <c r="G48" s="4"/>
      <c r="H48" s="5">
        <f t="shared" si="0"/>
        <v>6.072155949956367E-2</v>
      </c>
    </row>
    <row r="49" spans="1:8" ht="13.5" x14ac:dyDescent="0.25">
      <c r="A49" s="1"/>
      <c r="B49" s="3">
        <v>42374</v>
      </c>
      <c r="C49" s="4">
        <v>16.7</v>
      </c>
      <c r="D49" s="4">
        <v>7.2610000000000001</v>
      </c>
      <c r="E49" s="4">
        <v>75273</v>
      </c>
      <c r="F49" s="4"/>
      <c r="G49" s="4"/>
      <c r="H49" s="5">
        <f t="shared" si="0"/>
        <v>-4.1692953342293941E-3</v>
      </c>
    </row>
    <row r="50" spans="1:8" ht="13.5" x14ac:dyDescent="0.25">
      <c r="A50" s="1"/>
      <c r="B50" s="3">
        <v>42375</v>
      </c>
      <c r="C50" s="4">
        <v>17.45</v>
      </c>
      <c r="D50" s="4">
        <v>7.5871000000000004</v>
      </c>
      <c r="E50" s="4">
        <v>0</v>
      </c>
      <c r="F50" s="4"/>
      <c r="G50" s="4"/>
      <c r="H50" s="5">
        <f t="shared" si="0"/>
        <v>4.4911169260432482E-2</v>
      </c>
    </row>
    <row r="51" spans="1:8" ht="13.5" x14ac:dyDescent="0.25">
      <c r="A51" s="1"/>
      <c r="B51" s="3">
        <v>42376</v>
      </c>
      <c r="C51" s="4">
        <v>17.97</v>
      </c>
      <c r="D51" s="4">
        <v>7.8131000000000004</v>
      </c>
      <c r="E51" s="4">
        <v>110278</v>
      </c>
      <c r="F51" s="4"/>
      <c r="G51" s="4"/>
      <c r="H51" s="5">
        <f t="shared" si="0"/>
        <v>2.9787402301274527E-2</v>
      </c>
    </row>
    <row r="52" spans="1:8" ht="13.5" x14ac:dyDescent="0.25">
      <c r="A52" s="1"/>
      <c r="B52" s="3">
        <v>42377</v>
      </c>
      <c r="C52" s="4">
        <v>18</v>
      </c>
      <c r="D52" s="4">
        <v>7.8262</v>
      </c>
      <c r="E52" s="4">
        <v>231148</v>
      </c>
      <c r="F52" s="4"/>
      <c r="G52" s="4"/>
      <c r="H52" s="5">
        <f t="shared" si="0"/>
        <v>1.6766712316493666E-3</v>
      </c>
    </row>
    <row r="53" spans="1:8" ht="13.5" x14ac:dyDescent="0.25">
      <c r="A53" s="1"/>
      <c r="B53" s="3">
        <v>42380</v>
      </c>
      <c r="C53" s="4">
        <v>17.8</v>
      </c>
      <c r="D53" s="4">
        <v>7.7392000000000003</v>
      </c>
      <c r="E53" s="4">
        <v>88420</v>
      </c>
      <c r="F53" s="4"/>
      <c r="G53" s="4"/>
      <c r="H53" s="5">
        <f t="shared" si="0"/>
        <v>-1.1116506094911929E-2</v>
      </c>
    </row>
    <row r="54" spans="1:8" ht="13.5" x14ac:dyDescent="0.25">
      <c r="A54" s="1"/>
      <c r="B54" s="3">
        <v>42381</v>
      </c>
      <c r="C54" s="4">
        <v>17.8</v>
      </c>
      <c r="D54" s="4">
        <v>7.7392000000000003</v>
      </c>
      <c r="E54" s="4">
        <v>120646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17.809999999999999</v>
      </c>
      <c r="D55" s="4">
        <v>7.7435999999999998</v>
      </c>
      <c r="E55" s="4">
        <v>228253</v>
      </c>
      <c r="F55" s="4"/>
      <c r="G55" s="4"/>
      <c r="H55" s="5">
        <f t="shared" si="0"/>
        <v>5.6853421542272012E-4</v>
      </c>
    </row>
    <row r="56" spans="1:8" ht="13.5" x14ac:dyDescent="0.25">
      <c r="A56" s="1"/>
      <c r="B56" s="3">
        <v>42384</v>
      </c>
      <c r="C56" s="4">
        <v>17.3</v>
      </c>
      <c r="D56" s="4">
        <v>7.5217999999999998</v>
      </c>
      <c r="E56" s="4">
        <v>198847</v>
      </c>
      <c r="F56" s="4"/>
      <c r="G56" s="4"/>
      <c r="H56" s="5">
        <f t="shared" si="0"/>
        <v>-2.8643008419856397E-2</v>
      </c>
    </row>
    <row r="57" spans="1:8" ht="13.5" x14ac:dyDescent="0.25">
      <c r="A57" s="1"/>
      <c r="B57" s="3">
        <v>42387</v>
      </c>
      <c r="C57" s="4">
        <v>16.53</v>
      </c>
      <c r="D57" s="4">
        <v>7.1870000000000003</v>
      </c>
      <c r="E57" s="4">
        <v>0</v>
      </c>
      <c r="F57" s="4"/>
      <c r="G57" s="4"/>
      <c r="H57" s="5">
        <f t="shared" si="0"/>
        <v>-4.4510622457390459E-2</v>
      </c>
    </row>
    <row r="58" spans="1:8" ht="13.5" x14ac:dyDescent="0.25">
      <c r="A58" s="1"/>
      <c r="B58" s="3">
        <v>42388</v>
      </c>
      <c r="C58" s="4">
        <v>15.79</v>
      </c>
      <c r="D58" s="4">
        <v>6.8653000000000004</v>
      </c>
      <c r="E58" s="4">
        <v>0</v>
      </c>
      <c r="F58" s="4"/>
      <c r="G58" s="4"/>
      <c r="H58" s="5">
        <f t="shared" si="0"/>
        <v>-4.4761374704327235E-2</v>
      </c>
    </row>
    <row r="59" spans="1:8" ht="13.5" x14ac:dyDescent="0.25">
      <c r="A59" s="1"/>
      <c r="B59" s="3">
        <v>42389</v>
      </c>
      <c r="C59" s="4">
        <v>16.5</v>
      </c>
      <c r="D59" s="4">
        <v>7.1740000000000004</v>
      </c>
      <c r="E59" s="4">
        <v>0</v>
      </c>
      <c r="F59" s="4"/>
      <c r="G59" s="4"/>
      <c r="H59" s="5">
        <f t="shared" si="0"/>
        <v>4.4965260076034547E-2</v>
      </c>
    </row>
    <row r="60" spans="1:8" ht="13.5" x14ac:dyDescent="0.25">
      <c r="A60" s="1"/>
      <c r="B60" s="3">
        <v>42390</v>
      </c>
      <c r="C60" s="4">
        <v>16.600000000000001</v>
      </c>
      <c r="D60" s="4">
        <v>7.2175000000000002</v>
      </c>
      <c r="E60" s="4">
        <v>41071</v>
      </c>
      <c r="F60" s="4"/>
      <c r="G60" s="4"/>
      <c r="H60" s="5">
        <f t="shared" si="0"/>
        <v>6.0635628659046377E-3</v>
      </c>
    </row>
    <row r="61" spans="1:8" ht="13.5" x14ac:dyDescent="0.25">
      <c r="A61" s="1"/>
      <c r="B61" s="3">
        <v>42391</v>
      </c>
      <c r="C61" s="4">
        <v>16.100000000000001</v>
      </c>
      <c r="D61" s="4">
        <v>7.0000999999999998</v>
      </c>
      <c r="E61" s="4">
        <v>17167</v>
      </c>
      <c r="F61" s="4"/>
      <c r="G61" s="4"/>
      <c r="H61" s="5">
        <f t="shared" si="0"/>
        <v>-3.0121233113959194E-2</v>
      </c>
    </row>
    <row r="62" spans="1:8" ht="13.5" x14ac:dyDescent="0.25">
      <c r="A62" s="1"/>
      <c r="B62" s="3">
        <v>42394</v>
      </c>
      <c r="C62" s="4">
        <v>16.989999999999998</v>
      </c>
      <c r="D62" s="4">
        <v>7.3871000000000002</v>
      </c>
      <c r="E62" s="4">
        <v>25138</v>
      </c>
      <c r="F62" s="4"/>
      <c r="G62" s="4"/>
      <c r="H62" s="5">
        <f t="shared" si="0"/>
        <v>5.5284924501078622E-2</v>
      </c>
    </row>
    <row r="63" spans="1:8" ht="13.5" x14ac:dyDescent="0.25">
      <c r="A63" s="1"/>
      <c r="B63" s="3">
        <v>42395</v>
      </c>
      <c r="C63" s="4">
        <v>16.899999999999999</v>
      </c>
      <c r="D63" s="4">
        <v>7.3479000000000001</v>
      </c>
      <c r="E63" s="4">
        <v>16900</v>
      </c>
      <c r="F63" s="4"/>
      <c r="G63" s="4"/>
      <c r="H63" s="5">
        <f t="shared" si="0"/>
        <v>-5.3065479010708022E-3</v>
      </c>
    </row>
    <row r="64" spans="1:8" ht="13.5" x14ac:dyDescent="0.25">
      <c r="A64" s="1"/>
      <c r="B64" s="3">
        <v>42396</v>
      </c>
      <c r="C64" s="4">
        <v>17</v>
      </c>
      <c r="D64" s="4">
        <v>7.3914</v>
      </c>
      <c r="E64" s="4">
        <v>26032</v>
      </c>
      <c r="F64" s="4"/>
      <c r="G64" s="4"/>
      <c r="H64" s="5">
        <f t="shared" si="0"/>
        <v>5.9200587923079889E-3</v>
      </c>
    </row>
    <row r="65" spans="1:8" ht="13.5" x14ac:dyDescent="0.25">
      <c r="A65" s="1"/>
      <c r="B65" s="3">
        <v>42397</v>
      </c>
      <c r="C65" s="4">
        <v>17.3</v>
      </c>
      <c r="D65" s="4">
        <v>7.5217999999999998</v>
      </c>
      <c r="E65" s="4">
        <v>11400</v>
      </c>
      <c r="F65" s="4"/>
      <c r="G65" s="4"/>
      <c r="H65" s="5">
        <f t="shared" si="0"/>
        <v>1.764212463132828E-2</v>
      </c>
    </row>
    <row r="66" spans="1:8" ht="13.5" x14ac:dyDescent="0.25">
      <c r="A66" s="1"/>
      <c r="B66" s="3">
        <v>42398</v>
      </c>
      <c r="C66" s="4">
        <v>16.8</v>
      </c>
      <c r="D66" s="4">
        <v>7.3044000000000002</v>
      </c>
      <c r="E66" s="4">
        <v>31532</v>
      </c>
      <c r="F66" s="4"/>
      <c r="G66" s="4"/>
      <c r="H66" s="5">
        <f t="shared" si="0"/>
        <v>-2.8902656279082083E-2</v>
      </c>
    </row>
    <row r="67" spans="1:8" ht="13.5" x14ac:dyDescent="0.25">
      <c r="A67" s="1"/>
      <c r="B67" s="3">
        <v>42401</v>
      </c>
      <c r="C67" s="4">
        <v>16.3</v>
      </c>
      <c r="D67" s="4">
        <v>7.0869999999999997</v>
      </c>
      <c r="E67" s="4">
        <v>9589</v>
      </c>
      <c r="F67" s="4"/>
      <c r="G67" s="4"/>
      <c r="H67" s="5">
        <f t="shared" si="0"/>
        <v>-2.9762882646076402E-2</v>
      </c>
    </row>
    <row r="68" spans="1:8" ht="13.5" x14ac:dyDescent="0.25">
      <c r="A68" s="1"/>
      <c r="B68" s="3">
        <v>42402</v>
      </c>
      <c r="C68" s="4">
        <v>16.649999999999999</v>
      </c>
      <c r="D68" s="4">
        <v>7.2392000000000003</v>
      </c>
      <c r="E68" s="4">
        <v>7224</v>
      </c>
      <c r="F68" s="4"/>
      <c r="G68" s="4"/>
      <c r="H68" s="5">
        <f t="shared" si="0"/>
        <v>2.1475941865387409E-2</v>
      </c>
    </row>
    <row r="69" spans="1:8" ht="13.5" x14ac:dyDescent="0.25">
      <c r="A69" s="1"/>
      <c r="B69" s="3">
        <v>42403</v>
      </c>
      <c r="C69" s="4">
        <v>16.7</v>
      </c>
      <c r="D69" s="4">
        <v>7.2610000000000001</v>
      </c>
      <c r="E69" s="4">
        <v>11442</v>
      </c>
      <c r="F69" s="4"/>
      <c r="G69" s="4"/>
      <c r="H69" s="5">
        <f t="shared" si="0"/>
        <v>3.0113824732014337E-3</v>
      </c>
    </row>
    <row r="70" spans="1:8" ht="13.5" x14ac:dyDescent="0.25">
      <c r="A70" s="1"/>
      <c r="B70" s="3">
        <v>42404</v>
      </c>
      <c r="C70" s="4">
        <v>16.649999999999999</v>
      </c>
      <c r="D70" s="4">
        <v>7.2392000000000003</v>
      </c>
      <c r="E70" s="4">
        <v>5067</v>
      </c>
      <c r="F70" s="4"/>
      <c r="G70" s="4"/>
      <c r="H70" s="5">
        <f t="shared" si="0"/>
        <v>-3.0023412753064065E-3</v>
      </c>
    </row>
    <row r="71" spans="1:8" ht="13.5" x14ac:dyDescent="0.25">
      <c r="A71" s="1"/>
      <c r="B71" s="3">
        <v>42405</v>
      </c>
      <c r="C71" s="4">
        <v>16.02</v>
      </c>
      <c r="D71" s="4">
        <v>6.9653</v>
      </c>
      <c r="E71" s="4">
        <v>12751</v>
      </c>
      <c r="F71" s="4"/>
      <c r="G71" s="4"/>
      <c r="H71" s="5">
        <f t="shared" ref="H71:H134" si="1">(D71-D70)/D70</f>
        <v>-3.7835672449994508E-2</v>
      </c>
    </row>
    <row r="72" spans="1:8" ht="13.5" x14ac:dyDescent="0.25">
      <c r="A72" s="1"/>
      <c r="B72" s="3">
        <v>42408</v>
      </c>
      <c r="C72" s="4">
        <v>16.149999999999999</v>
      </c>
      <c r="D72" s="4">
        <v>7.0217999999999998</v>
      </c>
      <c r="E72" s="4">
        <v>4885</v>
      </c>
      <c r="F72" s="4"/>
      <c r="G72" s="4"/>
      <c r="H72" s="5">
        <f t="shared" si="1"/>
        <v>8.1116391253786297E-3</v>
      </c>
    </row>
    <row r="73" spans="1:8" ht="13.5" x14ac:dyDescent="0.25">
      <c r="A73" s="1"/>
      <c r="B73" s="3">
        <v>42409</v>
      </c>
      <c r="C73" s="4">
        <v>15.86</v>
      </c>
      <c r="D73" s="4">
        <v>6.8956999999999997</v>
      </c>
      <c r="E73" s="4">
        <v>5886</v>
      </c>
      <c r="F73" s="4"/>
      <c r="G73" s="4"/>
      <c r="H73" s="5">
        <f t="shared" si="1"/>
        <v>-1.7958358255717923E-2</v>
      </c>
    </row>
    <row r="74" spans="1:8" ht="13.5" x14ac:dyDescent="0.25">
      <c r="A74" s="1"/>
      <c r="B74" s="3">
        <v>42410</v>
      </c>
      <c r="C74" s="4">
        <v>14.96</v>
      </c>
      <c r="D74" s="4">
        <v>6.5044000000000004</v>
      </c>
      <c r="E74" s="4">
        <v>8854</v>
      </c>
      <c r="F74" s="4"/>
      <c r="G74" s="4"/>
      <c r="H74" s="5">
        <f t="shared" si="1"/>
        <v>-5.6745508070246579E-2</v>
      </c>
    </row>
    <row r="75" spans="1:8" ht="13.5" x14ac:dyDescent="0.25">
      <c r="A75" s="1"/>
      <c r="B75" s="3">
        <v>42411</v>
      </c>
      <c r="C75" s="4">
        <v>14.96</v>
      </c>
      <c r="D75" s="4">
        <v>6.5044000000000004</v>
      </c>
      <c r="E75" s="4">
        <v>6717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14.6</v>
      </c>
      <c r="D76" s="4">
        <v>6.3479000000000001</v>
      </c>
      <c r="E76" s="4">
        <v>5470</v>
      </c>
      <c r="F76" s="4"/>
      <c r="G76" s="4"/>
      <c r="H76" s="5">
        <f t="shared" si="1"/>
        <v>-2.4060635877252368E-2</v>
      </c>
    </row>
    <row r="77" spans="1:8" ht="13.5" x14ac:dyDescent="0.25">
      <c r="A77" s="1"/>
      <c r="B77" s="3">
        <v>42415</v>
      </c>
      <c r="C77" s="4">
        <v>15.15</v>
      </c>
      <c r="D77" s="4">
        <v>6.5869999999999997</v>
      </c>
      <c r="E77" s="4">
        <v>1134</v>
      </c>
      <c r="F77" s="4"/>
      <c r="G77" s="4"/>
      <c r="H77" s="5">
        <f t="shared" si="1"/>
        <v>3.7665999779454569E-2</v>
      </c>
    </row>
    <row r="78" spans="1:8" ht="13.5" x14ac:dyDescent="0.25">
      <c r="A78" s="1"/>
      <c r="B78" s="3">
        <v>42416</v>
      </c>
      <c r="C78" s="4">
        <v>15.6</v>
      </c>
      <c r="D78" s="4">
        <v>6.7827000000000002</v>
      </c>
      <c r="E78" s="4">
        <v>17330</v>
      </c>
      <c r="F78" s="4"/>
      <c r="G78" s="4"/>
      <c r="H78" s="5">
        <f t="shared" si="1"/>
        <v>2.971003491726134E-2</v>
      </c>
    </row>
    <row r="79" spans="1:8" ht="13.5" x14ac:dyDescent="0.25">
      <c r="A79" s="1"/>
      <c r="B79" s="3">
        <v>42417</v>
      </c>
      <c r="C79" s="4">
        <v>15.61</v>
      </c>
      <c r="D79" s="4">
        <v>6.7869999999999999</v>
      </c>
      <c r="E79" s="4">
        <v>4469</v>
      </c>
      <c r="F79" s="4"/>
      <c r="G79" s="4"/>
      <c r="H79" s="5">
        <f t="shared" si="1"/>
        <v>6.3396582481898775E-4</v>
      </c>
    </row>
    <row r="80" spans="1:8" ht="13.5" x14ac:dyDescent="0.25">
      <c r="A80" s="1"/>
      <c r="B80" s="3">
        <v>42418</v>
      </c>
      <c r="C80" s="4">
        <v>15.11</v>
      </c>
      <c r="D80" s="4">
        <v>6.5696000000000003</v>
      </c>
      <c r="E80" s="4">
        <v>5656</v>
      </c>
      <c r="F80" s="4"/>
      <c r="G80" s="4"/>
      <c r="H80" s="5">
        <f t="shared" si="1"/>
        <v>-3.2031825548843318E-2</v>
      </c>
    </row>
    <row r="81" spans="1:8" ht="13.5" x14ac:dyDescent="0.25">
      <c r="A81" s="1"/>
      <c r="B81" s="3">
        <v>42419</v>
      </c>
      <c r="C81" s="4">
        <v>15.13</v>
      </c>
      <c r="D81" s="4">
        <v>6.5782999999999996</v>
      </c>
      <c r="E81" s="4">
        <v>4495</v>
      </c>
      <c r="F81" s="4"/>
      <c r="G81" s="4"/>
      <c r="H81" s="5">
        <f t="shared" si="1"/>
        <v>1.3242815392107987E-3</v>
      </c>
    </row>
    <row r="82" spans="1:8" ht="13.5" x14ac:dyDescent="0.25">
      <c r="A82" s="1"/>
      <c r="B82" s="3">
        <v>42422</v>
      </c>
      <c r="C82" s="4">
        <v>15.45</v>
      </c>
      <c r="D82" s="4">
        <v>6.7175000000000002</v>
      </c>
      <c r="E82" s="4">
        <v>2838</v>
      </c>
      <c r="F82" s="4"/>
      <c r="G82" s="4"/>
      <c r="H82" s="5">
        <f t="shared" si="1"/>
        <v>2.1160482191447741E-2</v>
      </c>
    </row>
    <row r="83" spans="1:8" ht="13.5" x14ac:dyDescent="0.25">
      <c r="A83" s="1"/>
      <c r="B83" s="3">
        <v>42423</v>
      </c>
      <c r="C83" s="4">
        <v>15.06</v>
      </c>
      <c r="D83" s="4">
        <v>6.5479000000000003</v>
      </c>
      <c r="E83" s="4">
        <v>8326</v>
      </c>
      <c r="F83" s="4"/>
      <c r="G83" s="4"/>
      <c r="H83" s="5">
        <f t="shared" si="1"/>
        <v>-2.5247487904726456E-2</v>
      </c>
    </row>
    <row r="84" spans="1:8" ht="13.5" x14ac:dyDescent="0.25">
      <c r="A84" s="1"/>
      <c r="B84" s="3">
        <v>42424</v>
      </c>
      <c r="C84" s="4">
        <v>15</v>
      </c>
      <c r="D84" s="4">
        <v>6.5217999999999998</v>
      </c>
      <c r="E84" s="4">
        <v>2089</v>
      </c>
      <c r="F84" s="4"/>
      <c r="G84" s="4"/>
      <c r="H84" s="5">
        <f t="shared" si="1"/>
        <v>-3.9860107820828749E-3</v>
      </c>
    </row>
    <row r="85" spans="1:8" ht="13.5" x14ac:dyDescent="0.25">
      <c r="A85" s="1"/>
      <c r="B85" s="3">
        <v>42425</v>
      </c>
      <c r="C85" s="4">
        <v>15</v>
      </c>
      <c r="D85" s="4">
        <v>6.5217999999999998</v>
      </c>
      <c r="E85" s="4">
        <v>8309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15</v>
      </c>
      <c r="D86" s="4">
        <v>6.5217999999999998</v>
      </c>
      <c r="E86" s="4">
        <v>4077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14.8</v>
      </c>
      <c r="D87" s="4">
        <v>6.4348999999999998</v>
      </c>
      <c r="E87" s="4">
        <v>4184</v>
      </c>
      <c r="F87" s="4"/>
      <c r="G87" s="4"/>
      <c r="H87" s="5">
        <f t="shared" si="1"/>
        <v>-1.3324542304271823E-2</v>
      </c>
    </row>
    <row r="88" spans="1:8" ht="13.5" x14ac:dyDescent="0.25">
      <c r="A88" s="1"/>
      <c r="B88" s="3">
        <v>42430</v>
      </c>
      <c r="C88" s="4">
        <v>14.92</v>
      </c>
      <c r="D88" s="4">
        <v>6.4870000000000001</v>
      </c>
      <c r="E88" s="4">
        <v>8537</v>
      </c>
      <c r="F88" s="4"/>
      <c r="G88" s="4"/>
      <c r="H88" s="5">
        <f t="shared" si="1"/>
        <v>8.0964739156786057E-3</v>
      </c>
    </row>
    <row r="89" spans="1:8" ht="13.5" x14ac:dyDescent="0.25">
      <c r="A89" s="1"/>
      <c r="B89" s="3">
        <v>42431</v>
      </c>
      <c r="C89" s="4">
        <v>15.29</v>
      </c>
      <c r="D89" s="4">
        <v>6.6478999999999999</v>
      </c>
      <c r="E89" s="4">
        <v>3668</v>
      </c>
      <c r="F89" s="4"/>
      <c r="G89" s="4"/>
      <c r="H89" s="5">
        <f t="shared" si="1"/>
        <v>2.480345305996606E-2</v>
      </c>
    </row>
    <row r="90" spans="1:8" ht="13.5" x14ac:dyDescent="0.25">
      <c r="A90" s="1"/>
      <c r="B90" s="3">
        <v>42432</v>
      </c>
      <c r="C90" s="4">
        <v>15.97</v>
      </c>
      <c r="D90" s="4">
        <v>6.9436</v>
      </c>
      <c r="E90" s="4">
        <v>0</v>
      </c>
      <c r="F90" s="4"/>
      <c r="G90" s="4"/>
      <c r="H90" s="5">
        <f t="shared" si="1"/>
        <v>4.4480211796206336E-2</v>
      </c>
    </row>
    <row r="91" spans="1:8" ht="13.5" x14ac:dyDescent="0.25">
      <c r="A91" s="1"/>
      <c r="B91" s="3">
        <v>42433</v>
      </c>
      <c r="C91" s="4">
        <v>16.68</v>
      </c>
      <c r="D91" s="4">
        <v>7.2523</v>
      </c>
      <c r="E91" s="4">
        <v>0</v>
      </c>
      <c r="F91" s="4"/>
      <c r="G91" s="4"/>
      <c r="H91" s="5">
        <f t="shared" si="1"/>
        <v>4.4458206117863927E-2</v>
      </c>
    </row>
    <row r="92" spans="1:8" ht="13.5" x14ac:dyDescent="0.25">
      <c r="A92" s="1"/>
      <c r="B92" s="3">
        <v>42436</v>
      </c>
      <c r="C92" s="4">
        <v>16.2</v>
      </c>
      <c r="D92" s="4">
        <v>7.0435999999999996</v>
      </c>
      <c r="E92" s="4">
        <v>69039</v>
      </c>
      <c r="F92" s="4"/>
      <c r="G92" s="4"/>
      <c r="H92" s="5">
        <f t="shared" si="1"/>
        <v>-2.877707761675611E-2</v>
      </c>
    </row>
    <row r="93" spans="1:8" ht="13.5" x14ac:dyDescent="0.25">
      <c r="A93" s="1"/>
      <c r="B93" s="3">
        <v>42437</v>
      </c>
      <c r="C93" s="4">
        <v>16.5</v>
      </c>
      <c r="D93" s="4">
        <v>7.1740000000000004</v>
      </c>
      <c r="E93" s="4">
        <v>6664</v>
      </c>
      <c r="F93" s="4"/>
      <c r="G93" s="4"/>
      <c r="H93" s="5">
        <f t="shared" si="1"/>
        <v>1.8513260264637506E-2</v>
      </c>
    </row>
    <row r="94" spans="1:8" ht="13.5" x14ac:dyDescent="0.25">
      <c r="A94" s="1"/>
      <c r="B94" s="3">
        <v>42438</v>
      </c>
      <c r="C94" s="4">
        <v>16.5</v>
      </c>
      <c r="D94" s="4">
        <v>7.1740000000000004</v>
      </c>
      <c r="E94" s="4">
        <v>10996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16.5</v>
      </c>
      <c r="D95" s="4">
        <v>7.1740000000000004</v>
      </c>
      <c r="E95" s="4">
        <v>28364</v>
      </c>
      <c r="F95" s="4"/>
      <c r="G95" s="4"/>
      <c r="H95" s="5">
        <f t="shared" si="1"/>
        <v>0</v>
      </c>
    </row>
    <row r="96" spans="1:8" ht="13.5" x14ac:dyDescent="0.25">
      <c r="A96" s="1"/>
      <c r="B96" s="3">
        <v>42440</v>
      </c>
      <c r="C96" s="4">
        <v>16.38</v>
      </c>
      <c r="D96" s="4">
        <v>7.1218000000000004</v>
      </c>
      <c r="E96" s="4">
        <v>4630</v>
      </c>
      <c r="F96" s="4"/>
      <c r="G96" s="4"/>
      <c r="H96" s="5">
        <f t="shared" si="1"/>
        <v>-7.2762754390855895E-3</v>
      </c>
    </row>
    <row r="97" spans="1:8" ht="13.5" x14ac:dyDescent="0.25">
      <c r="A97" s="1"/>
      <c r="B97" s="3">
        <v>42443</v>
      </c>
      <c r="C97" s="4">
        <v>16.2</v>
      </c>
      <c r="D97" s="4">
        <v>7.0435999999999996</v>
      </c>
      <c r="E97" s="4">
        <v>8510</v>
      </c>
      <c r="F97" s="4"/>
      <c r="G97" s="4"/>
      <c r="H97" s="5">
        <f t="shared" si="1"/>
        <v>-1.098037013114672E-2</v>
      </c>
    </row>
    <row r="98" spans="1:8" ht="13.5" x14ac:dyDescent="0.25">
      <c r="A98" s="1"/>
      <c r="B98" s="3">
        <v>42444</v>
      </c>
      <c r="C98" s="4">
        <v>16.25</v>
      </c>
      <c r="D98" s="4">
        <v>7.0652999999999997</v>
      </c>
      <c r="E98" s="4">
        <v>10602</v>
      </c>
      <c r="F98" s="4"/>
      <c r="G98" s="4"/>
      <c r="H98" s="5">
        <f t="shared" si="1"/>
        <v>3.0808109489465691E-3</v>
      </c>
    </row>
    <row r="99" spans="1:8" ht="13.5" x14ac:dyDescent="0.25">
      <c r="A99" s="1"/>
      <c r="B99" s="3">
        <v>42445</v>
      </c>
      <c r="C99" s="4">
        <v>16.5</v>
      </c>
      <c r="D99" s="4">
        <v>7.1740000000000004</v>
      </c>
      <c r="E99" s="4">
        <v>10211</v>
      </c>
      <c r="F99" s="4"/>
      <c r="G99" s="4"/>
      <c r="H99" s="5">
        <f t="shared" si="1"/>
        <v>1.5385050882482086E-2</v>
      </c>
    </row>
    <row r="100" spans="1:8" ht="13.5" x14ac:dyDescent="0.25">
      <c r="A100" s="1"/>
      <c r="B100" s="3">
        <v>42446</v>
      </c>
      <c r="C100" s="4">
        <v>17.34</v>
      </c>
      <c r="D100" s="4">
        <v>7.5392000000000001</v>
      </c>
      <c r="E100" s="4">
        <v>22558</v>
      </c>
      <c r="F100" s="4"/>
      <c r="G100" s="4"/>
      <c r="H100" s="5">
        <f t="shared" si="1"/>
        <v>5.0906049623640891E-2</v>
      </c>
    </row>
    <row r="101" spans="1:8" ht="13.5" x14ac:dyDescent="0.25">
      <c r="A101" s="1"/>
      <c r="B101" s="3">
        <v>42447</v>
      </c>
      <c r="C101" s="4">
        <v>17.8</v>
      </c>
      <c r="D101" s="4">
        <v>7.7392000000000003</v>
      </c>
      <c r="E101" s="4">
        <v>35324</v>
      </c>
      <c r="F101" s="4"/>
      <c r="G101" s="4"/>
      <c r="H101" s="5">
        <f t="shared" si="1"/>
        <v>2.6528013582342979E-2</v>
      </c>
    </row>
    <row r="102" spans="1:8" ht="13.5" x14ac:dyDescent="0.25">
      <c r="A102" s="1"/>
      <c r="B102" s="3">
        <v>42450</v>
      </c>
      <c r="C102" s="4">
        <v>17.399999999999999</v>
      </c>
      <c r="D102" s="4">
        <v>7.5652999999999997</v>
      </c>
      <c r="E102" s="4">
        <v>34610</v>
      </c>
      <c r="F102" s="4"/>
      <c r="G102" s="4"/>
      <c r="H102" s="5">
        <f t="shared" si="1"/>
        <v>-2.2470022741368695E-2</v>
      </c>
    </row>
    <row r="103" spans="1:8" ht="13.5" x14ac:dyDescent="0.25">
      <c r="A103" s="1"/>
      <c r="B103" s="3">
        <v>42451</v>
      </c>
      <c r="C103" s="4">
        <v>16.64</v>
      </c>
      <c r="D103" s="4">
        <v>7.2348999999999997</v>
      </c>
      <c r="E103" s="4">
        <v>11835</v>
      </c>
      <c r="F103" s="4"/>
      <c r="G103" s="4"/>
      <c r="H103" s="5">
        <f t="shared" si="1"/>
        <v>-4.3673086328367687E-2</v>
      </c>
    </row>
    <row r="104" spans="1:8" ht="13.5" x14ac:dyDescent="0.25">
      <c r="A104" s="1"/>
      <c r="B104" s="3">
        <v>42452</v>
      </c>
      <c r="C104" s="4">
        <v>16.72</v>
      </c>
      <c r="D104" s="4">
        <v>7.2697000000000003</v>
      </c>
      <c r="E104" s="4">
        <v>5595</v>
      </c>
      <c r="F104" s="4"/>
      <c r="G104" s="4"/>
      <c r="H104" s="5">
        <f t="shared" si="1"/>
        <v>4.8100181066774396E-3</v>
      </c>
    </row>
    <row r="105" spans="1:8" ht="13.5" x14ac:dyDescent="0.25">
      <c r="A105" s="1"/>
      <c r="B105" s="3">
        <v>42453</v>
      </c>
      <c r="C105" s="4">
        <v>16.989999999999998</v>
      </c>
      <c r="D105" s="4">
        <v>7.3871000000000002</v>
      </c>
      <c r="E105" s="4">
        <v>5117</v>
      </c>
      <c r="F105" s="4"/>
      <c r="G105" s="4"/>
      <c r="H105" s="5">
        <f t="shared" si="1"/>
        <v>1.6149222113704821E-2</v>
      </c>
    </row>
    <row r="106" spans="1:8" ht="13.5" x14ac:dyDescent="0.25">
      <c r="A106" s="1"/>
      <c r="B106" s="3">
        <v>42454</v>
      </c>
      <c r="C106" s="4">
        <v>17.5</v>
      </c>
      <c r="D106" s="4">
        <v>7.6087999999999996</v>
      </c>
      <c r="E106" s="4">
        <v>11045</v>
      </c>
      <c r="F106" s="4"/>
      <c r="G106" s="4"/>
      <c r="H106" s="5">
        <f t="shared" si="1"/>
        <v>3.001177728743341E-2</v>
      </c>
    </row>
    <row r="107" spans="1:8" ht="13.5" x14ac:dyDescent="0.25">
      <c r="A107" s="1"/>
      <c r="B107" s="3">
        <v>42457</v>
      </c>
      <c r="C107" s="4">
        <v>17.11</v>
      </c>
      <c r="D107" s="4">
        <v>7.4391999999999996</v>
      </c>
      <c r="E107" s="4">
        <v>7534</v>
      </c>
      <c r="F107" s="4"/>
      <c r="G107" s="4"/>
      <c r="H107" s="5">
        <f t="shared" si="1"/>
        <v>-2.2289980023131109E-2</v>
      </c>
    </row>
    <row r="108" spans="1:8" ht="13.5" x14ac:dyDescent="0.25">
      <c r="A108" s="1"/>
      <c r="B108" s="3">
        <v>42458</v>
      </c>
      <c r="C108" s="4">
        <v>17.100000000000001</v>
      </c>
      <c r="D108" s="4">
        <v>7.4348999999999998</v>
      </c>
      <c r="E108" s="4">
        <v>7937</v>
      </c>
      <c r="F108" s="4"/>
      <c r="G108" s="4"/>
      <c r="H108" s="5">
        <f t="shared" si="1"/>
        <v>-5.7801914184317515E-4</v>
      </c>
    </row>
    <row r="109" spans="1:8" ht="13.5" x14ac:dyDescent="0.25">
      <c r="A109" s="1"/>
      <c r="B109" s="3">
        <v>42459</v>
      </c>
      <c r="C109" s="4">
        <v>17</v>
      </c>
      <c r="D109" s="4">
        <v>7.3914</v>
      </c>
      <c r="E109" s="4">
        <v>17771</v>
      </c>
      <c r="F109" s="4"/>
      <c r="G109" s="4"/>
      <c r="H109" s="5">
        <f t="shared" si="1"/>
        <v>-5.8507848121696149E-3</v>
      </c>
    </row>
    <row r="110" spans="1:8" ht="13.5" x14ac:dyDescent="0.25">
      <c r="A110" s="1"/>
      <c r="B110" s="3">
        <v>42460</v>
      </c>
      <c r="C110" s="4">
        <v>16.71</v>
      </c>
      <c r="D110" s="4">
        <v>7.2652999999999999</v>
      </c>
      <c r="E110" s="4">
        <v>6386</v>
      </c>
      <c r="F110" s="4"/>
      <c r="G110" s="4"/>
      <c r="H110" s="5">
        <f t="shared" si="1"/>
        <v>-1.7060367454068255E-2</v>
      </c>
    </row>
    <row r="111" spans="1:8" ht="13.5" x14ac:dyDescent="0.25">
      <c r="A111" s="1"/>
      <c r="B111" s="3">
        <v>42461</v>
      </c>
      <c r="C111" s="4">
        <v>16.77</v>
      </c>
      <c r="D111" s="4">
        <v>7.2914000000000003</v>
      </c>
      <c r="E111" s="4">
        <v>2582</v>
      </c>
      <c r="F111" s="4"/>
      <c r="G111" s="4"/>
      <c r="H111" s="5">
        <f t="shared" si="1"/>
        <v>3.5924187576563192E-3</v>
      </c>
    </row>
    <row r="112" spans="1:8" ht="13.5" x14ac:dyDescent="0.25">
      <c r="A112" s="1"/>
      <c r="B112" s="3">
        <v>42464</v>
      </c>
      <c r="C112" s="4">
        <v>16.8</v>
      </c>
      <c r="D112" s="4">
        <v>7.3044000000000002</v>
      </c>
      <c r="E112" s="4">
        <v>6835</v>
      </c>
      <c r="F112" s="4"/>
      <c r="G112" s="4"/>
      <c r="H112" s="5">
        <f t="shared" si="1"/>
        <v>1.7829223468743864E-3</v>
      </c>
    </row>
    <row r="113" spans="1:8" ht="13.5" x14ac:dyDescent="0.25">
      <c r="A113" s="1"/>
      <c r="B113" s="3">
        <v>42465</v>
      </c>
      <c r="C113" s="4">
        <v>17.3</v>
      </c>
      <c r="D113" s="4">
        <v>7.5217999999999998</v>
      </c>
      <c r="E113" s="4">
        <v>16629</v>
      </c>
      <c r="F113" s="4"/>
      <c r="G113" s="4"/>
      <c r="H113" s="5">
        <f t="shared" si="1"/>
        <v>2.976288264607628E-2</v>
      </c>
    </row>
    <row r="114" spans="1:8" ht="13.5" x14ac:dyDescent="0.25">
      <c r="A114" s="1"/>
      <c r="B114" s="3">
        <v>42466</v>
      </c>
      <c r="C114" s="4">
        <v>17.100000000000001</v>
      </c>
      <c r="D114" s="4">
        <v>7.4348999999999998</v>
      </c>
      <c r="E114" s="4">
        <v>9365</v>
      </c>
      <c r="F114" s="4"/>
      <c r="G114" s="4"/>
      <c r="H114" s="5">
        <f t="shared" si="1"/>
        <v>-1.1553085697572386E-2</v>
      </c>
    </row>
    <row r="115" spans="1:8" ht="13.5" x14ac:dyDescent="0.25">
      <c r="A115" s="1"/>
      <c r="B115" s="3">
        <v>42467</v>
      </c>
      <c r="C115" s="4">
        <v>17.2</v>
      </c>
      <c r="D115" s="4">
        <v>7.4783999999999997</v>
      </c>
      <c r="E115" s="4">
        <v>9417</v>
      </c>
      <c r="F115" s="4"/>
      <c r="G115" s="4"/>
      <c r="H115" s="5">
        <f t="shared" si="1"/>
        <v>5.8507848121696149E-3</v>
      </c>
    </row>
    <row r="116" spans="1:8" ht="13.5" x14ac:dyDescent="0.25">
      <c r="A116" s="1"/>
      <c r="B116" s="3">
        <v>42468</v>
      </c>
      <c r="C116" s="4">
        <v>17.2</v>
      </c>
      <c r="D116" s="4">
        <v>7.4783999999999997</v>
      </c>
      <c r="E116" s="4">
        <v>17205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17.399999999999999</v>
      </c>
      <c r="D117" s="4">
        <v>7.5652999999999997</v>
      </c>
      <c r="E117" s="4">
        <v>5442</v>
      </c>
      <c r="F117" s="4"/>
      <c r="G117" s="4"/>
      <c r="H117" s="5">
        <f t="shared" si="1"/>
        <v>1.1620132648694905E-2</v>
      </c>
    </row>
    <row r="118" spans="1:8" ht="13.5" x14ac:dyDescent="0.25">
      <c r="A118" s="1"/>
      <c r="B118" s="3">
        <v>42472</v>
      </c>
      <c r="C118" s="4">
        <v>17.2</v>
      </c>
      <c r="D118" s="4">
        <v>7.4783999999999997</v>
      </c>
      <c r="E118" s="4">
        <v>5105</v>
      </c>
      <c r="F118" s="4"/>
      <c r="G118" s="4"/>
      <c r="H118" s="5">
        <f t="shared" si="1"/>
        <v>-1.1486656180191132E-2</v>
      </c>
    </row>
    <row r="119" spans="1:8" ht="13.5" x14ac:dyDescent="0.25">
      <c r="A119" s="1"/>
      <c r="B119" s="3">
        <v>42473</v>
      </c>
      <c r="C119" s="4">
        <v>17</v>
      </c>
      <c r="D119" s="4">
        <v>7.3914</v>
      </c>
      <c r="E119" s="4">
        <v>5588</v>
      </c>
      <c r="F119" s="4"/>
      <c r="G119" s="4"/>
      <c r="H119" s="5">
        <f t="shared" si="1"/>
        <v>-1.1633504492939633E-2</v>
      </c>
    </row>
    <row r="120" spans="1:8" ht="13.5" x14ac:dyDescent="0.25">
      <c r="A120" s="1"/>
      <c r="B120" s="3">
        <v>42474</v>
      </c>
      <c r="C120" s="4">
        <v>17</v>
      </c>
      <c r="D120" s="4">
        <v>7.3914</v>
      </c>
      <c r="E120" s="4">
        <v>3753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42475</v>
      </c>
      <c r="C121" s="4">
        <v>16.98</v>
      </c>
      <c r="D121" s="4">
        <v>7.3826999999999998</v>
      </c>
      <c r="E121" s="4">
        <v>3735</v>
      </c>
      <c r="F121" s="4"/>
      <c r="G121" s="4"/>
      <c r="H121" s="5">
        <f t="shared" si="1"/>
        <v>-1.177043591200605E-3</v>
      </c>
    </row>
    <row r="122" spans="1:8" ht="13.5" x14ac:dyDescent="0.25">
      <c r="A122" s="1"/>
      <c r="B122" s="3">
        <v>42478</v>
      </c>
      <c r="C122" s="4">
        <v>16.8</v>
      </c>
      <c r="D122" s="4">
        <v>7.3044000000000002</v>
      </c>
      <c r="E122" s="4">
        <v>4456</v>
      </c>
      <c r="F122" s="4"/>
      <c r="G122" s="4"/>
      <c r="H122" s="5">
        <f t="shared" si="1"/>
        <v>-1.0605875899061264E-2</v>
      </c>
    </row>
    <row r="123" spans="1:8" ht="13.5" x14ac:dyDescent="0.25">
      <c r="A123" s="1"/>
      <c r="B123" s="3">
        <v>42479</v>
      </c>
      <c r="C123" s="4">
        <v>16.8</v>
      </c>
      <c r="D123" s="4">
        <v>7.3044000000000002</v>
      </c>
      <c r="E123" s="4">
        <v>4203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16.510000000000002</v>
      </c>
      <c r="D124" s="4">
        <v>7.1783999999999999</v>
      </c>
      <c r="E124" s="4">
        <v>22030</v>
      </c>
      <c r="F124" s="4"/>
      <c r="G124" s="4"/>
      <c r="H124" s="5">
        <f t="shared" si="1"/>
        <v>-1.7249876786594426E-2</v>
      </c>
    </row>
    <row r="125" spans="1:8" ht="13.5" x14ac:dyDescent="0.25">
      <c r="A125" s="1"/>
      <c r="B125" s="3">
        <v>42481</v>
      </c>
      <c r="C125" s="4">
        <v>16.98</v>
      </c>
      <c r="D125" s="4">
        <v>7.3826999999999998</v>
      </c>
      <c r="E125" s="4">
        <v>8942</v>
      </c>
      <c r="F125" s="4"/>
      <c r="G125" s="4"/>
      <c r="H125" s="5">
        <f t="shared" si="1"/>
        <v>2.8460381143430281E-2</v>
      </c>
    </row>
    <row r="126" spans="1:8" ht="13.5" x14ac:dyDescent="0.25">
      <c r="A126" s="1"/>
      <c r="B126" s="3">
        <v>42482</v>
      </c>
      <c r="C126" s="4">
        <v>16.600000000000001</v>
      </c>
      <c r="D126" s="4">
        <v>7.2175000000000002</v>
      </c>
      <c r="E126" s="4">
        <v>4564</v>
      </c>
      <c r="F126" s="4"/>
      <c r="G126" s="4"/>
      <c r="H126" s="5">
        <f t="shared" si="1"/>
        <v>-2.2376637273626123E-2</v>
      </c>
    </row>
    <row r="127" spans="1:8" ht="13.5" x14ac:dyDescent="0.25">
      <c r="A127" s="1"/>
      <c r="B127" s="3">
        <v>42485</v>
      </c>
      <c r="C127" s="4">
        <v>16.809999999999999</v>
      </c>
      <c r="D127" s="4">
        <v>7.3087999999999997</v>
      </c>
      <c r="E127" s="4">
        <v>4486</v>
      </c>
      <c r="F127" s="4"/>
      <c r="G127" s="4"/>
      <c r="H127" s="5">
        <f t="shared" si="1"/>
        <v>1.2649809490820851E-2</v>
      </c>
    </row>
    <row r="128" spans="1:8" ht="13.5" x14ac:dyDescent="0.25">
      <c r="A128" s="1"/>
      <c r="B128" s="3">
        <v>42486</v>
      </c>
      <c r="C128" s="4">
        <v>16.7</v>
      </c>
      <c r="D128" s="4">
        <v>7.2610000000000001</v>
      </c>
      <c r="E128" s="4">
        <v>6265</v>
      </c>
      <c r="F128" s="4"/>
      <c r="G128" s="4"/>
      <c r="H128" s="5">
        <f t="shared" si="1"/>
        <v>-6.5400612959719273E-3</v>
      </c>
    </row>
    <row r="129" spans="1:8" ht="13.5" x14ac:dyDescent="0.25">
      <c r="A129" s="1"/>
      <c r="B129" s="3">
        <v>42487</v>
      </c>
      <c r="C129" s="4">
        <v>16.8</v>
      </c>
      <c r="D129" s="4">
        <v>7.3044000000000002</v>
      </c>
      <c r="E129" s="4">
        <v>4161</v>
      </c>
      <c r="F129" s="4"/>
      <c r="G129" s="4"/>
      <c r="H129" s="5">
        <f t="shared" si="1"/>
        <v>5.9771381352430935E-3</v>
      </c>
    </row>
    <row r="130" spans="1:8" ht="13.5" x14ac:dyDescent="0.25">
      <c r="A130" s="1"/>
      <c r="B130" s="3">
        <v>42488</v>
      </c>
      <c r="C130" s="4">
        <v>16.510000000000002</v>
      </c>
      <c r="D130" s="4">
        <v>7.1783999999999999</v>
      </c>
      <c r="E130" s="4">
        <v>3770</v>
      </c>
      <c r="F130" s="4"/>
      <c r="G130" s="4"/>
      <c r="H130" s="5">
        <f t="shared" si="1"/>
        <v>-1.7249876786594426E-2</v>
      </c>
    </row>
    <row r="131" spans="1:8" ht="13.5" x14ac:dyDescent="0.25">
      <c r="A131" s="1"/>
      <c r="B131" s="3">
        <v>42489</v>
      </c>
      <c r="C131" s="4">
        <v>16.41</v>
      </c>
      <c r="D131" s="4">
        <v>7.1349</v>
      </c>
      <c r="E131" s="4">
        <v>10781</v>
      </c>
      <c r="F131" s="4"/>
      <c r="G131" s="4"/>
      <c r="H131" s="5">
        <f t="shared" si="1"/>
        <v>-6.0598462052824965E-3</v>
      </c>
    </row>
    <row r="132" spans="1:8" ht="13.5" x14ac:dyDescent="0.25">
      <c r="A132" s="1"/>
      <c r="B132" s="3">
        <v>42492</v>
      </c>
      <c r="C132" s="4">
        <v>16.420000000000002</v>
      </c>
      <c r="D132" s="4">
        <v>7.1391999999999998</v>
      </c>
      <c r="E132" s="4">
        <v>9389</v>
      </c>
      <c r="F132" s="4"/>
      <c r="G132" s="4"/>
      <c r="H132" s="5">
        <f t="shared" si="1"/>
        <v>6.0267137591273154E-4</v>
      </c>
    </row>
    <row r="133" spans="1:8" ht="13.5" x14ac:dyDescent="0.25">
      <c r="A133" s="1"/>
      <c r="B133" s="3">
        <v>42493</v>
      </c>
      <c r="C133" s="4">
        <v>16.579999999999998</v>
      </c>
      <c r="D133" s="4">
        <v>7.2088000000000001</v>
      </c>
      <c r="E133" s="4">
        <v>3423</v>
      </c>
      <c r="F133" s="4"/>
      <c r="G133" s="4"/>
      <c r="H133" s="5">
        <f t="shared" si="1"/>
        <v>9.7489914836396702E-3</v>
      </c>
    </row>
    <row r="134" spans="1:8" ht="13.5" x14ac:dyDescent="0.25">
      <c r="A134" s="1"/>
      <c r="B134" s="3">
        <v>42494</v>
      </c>
      <c r="C134" s="4">
        <v>16.579999999999998</v>
      </c>
      <c r="D134" s="4">
        <v>7.2088000000000001</v>
      </c>
      <c r="E134" s="4">
        <v>13202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16.600000000000001</v>
      </c>
      <c r="D135" s="4">
        <v>7.2175000000000002</v>
      </c>
      <c r="E135" s="4">
        <v>15165</v>
      </c>
      <c r="F135" s="4"/>
      <c r="G135" s="4"/>
      <c r="H135" s="5">
        <f t="shared" ref="H135:H198" si="2">(D135-D134)/D134</f>
        <v>1.2068582843191866E-3</v>
      </c>
    </row>
    <row r="136" spans="1:8" ht="13.5" x14ac:dyDescent="0.25">
      <c r="A136" s="1"/>
      <c r="B136" s="3">
        <v>42496</v>
      </c>
      <c r="C136" s="4">
        <v>16.75</v>
      </c>
      <c r="D136" s="4">
        <v>7.2827000000000002</v>
      </c>
      <c r="E136" s="4">
        <v>6483</v>
      </c>
      <c r="F136" s="4"/>
      <c r="G136" s="4"/>
      <c r="H136" s="5">
        <f t="shared" si="2"/>
        <v>9.0335988915829467E-3</v>
      </c>
    </row>
    <row r="137" spans="1:8" ht="13.5" x14ac:dyDescent="0.25">
      <c r="A137" s="1"/>
      <c r="B137" s="3">
        <v>42499</v>
      </c>
      <c r="C137" s="4">
        <v>16.63</v>
      </c>
      <c r="D137" s="4">
        <v>7.2305000000000001</v>
      </c>
      <c r="E137" s="4">
        <v>10203</v>
      </c>
      <c r="F137" s="4"/>
      <c r="G137" s="4"/>
      <c r="H137" s="5">
        <f t="shared" si="2"/>
        <v>-7.1676713306877979E-3</v>
      </c>
    </row>
    <row r="138" spans="1:8" ht="13.5" x14ac:dyDescent="0.25">
      <c r="A138" s="1"/>
      <c r="B138" s="3">
        <v>42500</v>
      </c>
      <c r="C138" s="4">
        <v>17.510000000000002</v>
      </c>
      <c r="D138" s="4">
        <v>7.6131000000000002</v>
      </c>
      <c r="E138" s="4">
        <v>25420</v>
      </c>
      <c r="F138" s="4"/>
      <c r="G138" s="4"/>
      <c r="H138" s="5">
        <f t="shared" si="2"/>
        <v>5.2914736186985695E-2</v>
      </c>
    </row>
    <row r="139" spans="1:8" ht="13.5" x14ac:dyDescent="0.25">
      <c r="A139" s="1"/>
      <c r="B139" s="3">
        <v>42501</v>
      </c>
      <c r="C139" s="4">
        <v>17.8</v>
      </c>
      <c r="D139" s="4">
        <v>7.7392000000000003</v>
      </c>
      <c r="E139" s="4">
        <v>52973</v>
      </c>
      <c r="F139" s="4"/>
      <c r="G139" s="4"/>
      <c r="H139" s="5">
        <f t="shared" si="2"/>
        <v>1.6563554925063392E-2</v>
      </c>
    </row>
    <row r="140" spans="1:8" ht="13.5" x14ac:dyDescent="0.25">
      <c r="A140" s="1"/>
      <c r="B140" s="3">
        <v>42502</v>
      </c>
      <c r="C140" s="4">
        <v>16.98</v>
      </c>
      <c r="D140" s="4">
        <v>7.3826999999999998</v>
      </c>
      <c r="E140" s="4">
        <v>9203</v>
      </c>
      <c r="F140" s="4"/>
      <c r="G140" s="4"/>
      <c r="H140" s="5">
        <f t="shared" si="2"/>
        <v>-4.6064192681414158E-2</v>
      </c>
    </row>
    <row r="141" spans="1:8" ht="13.5" x14ac:dyDescent="0.25">
      <c r="A141" s="1"/>
      <c r="B141" s="3">
        <v>42503</v>
      </c>
      <c r="C141" s="4">
        <v>16.95</v>
      </c>
      <c r="D141" s="4">
        <v>7.3696999999999999</v>
      </c>
      <c r="E141" s="4">
        <v>11550</v>
      </c>
      <c r="F141" s="4"/>
      <c r="G141" s="4"/>
      <c r="H141" s="5">
        <f t="shared" si="2"/>
        <v>-1.7608733932030153E-3</v>
      </c>
    </row>
    <row r="142" spans="1:8" ht="13.5" x14ac:dyDescent="0.25">
      <c r="A142" s="1"/>
      <c r="B142" s="3">
        <v>42506</v>
      </c>
      <c r="C142" s="4">
        <v>16.7</v>
      </c>
      <c r="D142" s="4">
        <v>7.2610000000000001</v>
      </c>
      <c r="E142" s="4">
        <v>9684</v>
      </c>
      <c r="F142" s="4"/>
      <c r="G142" s="4"/>
      <c r="H142" s="5">
        <f t="shared" si="2"/>
        <v>-1.4749582750993907E-2</v>
      </c>
    </row>
    <row r="143" spans="1:8" ht="13.5" x14ac:dyDescent="0.25">
      <c r="A143" s="1"/>
      <c r="B143" s="3">
        <v>42507</v>
      </c>
      <c r="C143" s="4">
        <v>16.399999999999999</v>
      </c>
      <c r="D143" s="4">
        <v>7.1304999999999996</v>
      </c>
      <c r="E143" s="4">
        <v>5520</v>
      </c>
      <c r="F143" s="4"/>
      <c r="G143" s="4"/>
      <c r="H143" s="5">
        <f t="shared" si="2"/>
        <v>-1.7972731028783984E-2</v>
      </c>
    </row>
    <row r="144" spans="1:8" ht="13.5" x14ac:dyDescent="0.25">
      <c r="A144" s="1"/>
      <c r="B144" s="3">
        <v>42508</v>
      </c>
      <c r="C144" s="4">
        <v>16.5</v>
      </c>
      <c r="D144" s="4">
        <v>7.1740000000000004</v>
      </c>
      <c r="E144" s="4">
        <v>7368</v>
      </c>
      <c r="F144" s="4"/>
      <c r="G144" s="4"/>
      <c r="H144" s="5">
        <f t="shared" si="2"/>
        <v>6.1005539583480492E-3</v>
      </c>
    </row>
    <row r="145" spans="1:8" ht="13.5" x14ac:dyDescent="0.25">
      <c r="A145" s="1"/>
      <c r="B145" s="3">
        <v>42509</v>
      </c>
      <c r="C145" s="4">
        <v>16.2</v>
      </c>
      <c r="D145" s="4">
        <v>7.0435999999999996</v>
      </c>
      <c r="E145" s="4">
        <v>5952</v>
      </c>
      <c r="F145" s="4"/>
      <c r="G145" s="4"/>
      <c r="H145" s="5">
        <f t="shared" si="2"/>
        <v>-1.8176749372734977E-2</v>
      </c>
    </row>
    <row r="146" spans="1:8" ht="13.5" x14ac:dyDescent="0.25">
      <c r="A146" s="1"/>
      <c r="B146" s="3">
        <v>42510</v>
      </c>
      <c r="C146" s="4">
        <v>16.190000000000001</v>
      </c>
      <c r="D146" s="4">
        <v>7.0392000000000001</v>
      </c>
      <c r="E146" s="4">
        <v>5722</v>
      </c>
      <c r="F146" s="4"/>
      <c r="G146" s="4"/>
      <c r="H146" s="5">
        <f t="shared" si="2"/>
        <v>-6.2468056107665342E-4</v>
      </c>
    </row>
    <row r="147" spans="1:8" ht="13.5" x14ac:dyDescent="0.25">
      <c r="A147" s="1"/>
      <c r="B147" s="3">
        <v>42513</v>
      </c>
      <c r="C147" s="4">
        <v>16.5</v>
      </c>
      <c r="D147" s="4">
        <v>7.1740000000000004</v>
      </c>
      <c r="E147" s="4">
        <v>5277</v>
      </c>
      <c r="F147" s="4"/>
      <c r="G147" s="4"/>
      <c r="H147" s="5">
        <f t="shared" si="2"/>
        <v>1.9149903398113458E-2</v>
      </c>
    </row>
    <row r="148" spans="1:8" ht="13.5" x14ac:dyDescent="0.25">
      <c r="A148" s="1"/>
      <c r="B148" s="3">
        <v>42514</v>
      </c>
      <c r="C148" s="4">
        <v>16.21</v>
      </c>
      <c r="D148" s="4">
        <v>7.0479000000000003</v>
      </c>
      <c r="E148" s="4">
        <v>11373</v>
      </c>
      <c r="F148" s="4"/>
      <c r="G148" s="4"/>
      <c r="H148" s="5">
        <f t="shared" si="2"/>
        <v>-1.7577362698633969E-2</v>
      </c>
    </row>
    <row r="149" spans="1:8" ht="13.5" x14ac:dyDescent="0.25">
      <c r="A149" s="1"/>
      <c r="B149" s="3">
        <v>42515</v>
      </c>
      <c r="C149" s="4">
        <v>16.3</v>
      </c>
      <c r="D149" s="4">
        <v>7.0869999999999997</v>
      </c>
      <c r="E149" s="4">
        <v>8451</v>
      </c>
      <c r="F149" s="4"/>
      <c r="G149" s="4"/>
      <c r="H149" s="5">
        <f t="shared" si="2"/>
        <v>5.5477518125965847E-3</v>
      </c>
    </row>
    <row r="150" spans="1:8" ht="13.5" x14ac:dyDescent="0.25">
      <c r="A150" s="1"/>
      <c r="B150" s="3">
        <v>42516</v>
      </c>
      <c r="C150" s="4">
        <v>16.010000000000002</v>
      </c>
      <c r="D150" s="4">
        <v>6.9610000000000003</v>
      </c>
      <c r="E150" s="4">
        <v>4841</v>
      </c>
      <c r="F150" s="4"/>
      <c r="G150" s="4"/>
      <c r="H150" s="5">
        <f t="shared" si="2"/>
        <v>-1.7779032030478262E-2</v>
      </c>
    </row>
    <row r="151" spans="1:8" ht="13.5" x14ac:dyDescent="0.25">
      <c r="A151" s="1"/>
      <c r="B151" s="3">
        <v>42517</v>
      </c>
      <c r="C151" s="4">
        <v>16</v>
      </c>
      <c r="D151" s="4">
        <v>6.9565999999999999</v>
      </c>
      <c r="E151" s="4">
        <v>8330</v>
      </c>
      <c r="F151" s="4"/>
      <c r="G151" s="4"/>
      <c r="H151" s="5">
        <f t="shared" si="2"/>
        <v>-6.3209309007332328E-4</v>
      </c>
    </row>
    <row r="152" spans="1:8" ht="13.5" x14ac:dyDescent="0.25">
      <c r="A152" s="1"/>
      <c r="B152" s="3">
        <v>42520</v>
      </c>
      <c r="C152" s="4">
        <v>16</v>
      </c>
      <c r="D152" s="4">
        <v>6.9565999999999999</v>
      </c>
      <c r="E152" s="4">
        <v>4661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15.8</v>
      </c>
      <c r="D153" s="4">
        <v>6.8696999999999999</v>
      </c>
      <c r="E153" s="4">
        <v>7228</v>
      </c>
      <c r="F153" s="4"/>
      <c r="G153" s="4"/>
      <c r="H153" s="5">
        <f t="shared" si="2"/>
        <v>-1.2491734467987231E-2</v>
      </c>
    </row>
    <row r="154" spans="1:8" ht="13.5" x14ac:dyDescent="0.25">
      <c r="A154" s="1"/>
      <c r="B154" s="3">
        <v>42522</v>
      </c>
      <c r="C154" s="4">
        <v>14.9</v>
      </c>
      <c r="D154" s="4">
        <v>6.4782999999999999</v>
      </c>
      <c r="E154" s="4">
        <v>14290</v>
      </c>
      <c r="F154" s="4"/>
      <c r="G154" s="4"/>
      <c r="H154" s="5">
        <f t="shared" si="2"/>
        <v>-5.6974831506470439E-2</v>
      </c>
    </row>
    <row r="155" spans="1:8" ht="13.5" x14ac:dyDescent="0.25">
      <c r="A155" s="1"/>
      <c r="B155" s="3">
        <v>42523</v>
      </c>
      <c r="C155" s="4">
        <v>15.2</v>
      </c>
      <c r="D155" s="4">
        <v>6.6087999999999996</v>
      </c>
      <c r="E155" s="4">
        <v>20320</v>
      </c>
      <c r="F155" s="4"/>
      <c r="G155" s="4"/>
      <c r="H155" s="5">
        <f t="shared" si="2"/>
        <v>2.0144173625796832E-2</v>
      </c>
    </row>
    <row r="156" spans="1:8" ht="13.5" x14ac:dyDescent="0.25">
      <c r="A156" s="1"/>
      <c r="B156" s="3">
        <v>42524</v>
      </c>
      <c r="C156" s="4">
        <v>14.6</v>
      </c>
      <c r="D156" s="4">
        <v>6.3479000000000001</v>
      </c>
      <c r="E156" s="4">
        <v>19698</v>
      </c>
      <c r="F156" s="4"/>
      <c r="G156" s="4"/>
      <c r="H156" s="5">
        <f t="shared" si="2"/>
        <v>-3.9477666142113468E-2</v>
      </c>
    </row>
    <row r="157" spans="1:8" ht="13.5" x14ac:dyDescent="0.25">
      <c r="A157" s="1"/>
      <c r="B157" s="3">
        <v>42527</v>
      </c>
      <c r="C157" s="4">
        <v>14.5</v>
      </c>
      <c r="D157" s="4">
        <v>6.3044000000000002</v>
      </c>
      <c r="E157" s="4">
        <v>13759</v>
      </c>
      <c r="F157" s="4"/>
      <c r="G157" s="4"/>
      <c r="H157" s="5">
        <f t="shared" si="2"/>
        <v>-6.8526599347815608E-3</v>
      </c>
    </row>
    <row r="158" spans="1:8" ht="13.5" x14ac:dyDescent="0.25">
      <c r="A158" s="1"/>
      <c r="B158" s="3">
        <v>42528</v>
      </c>
      <c r="C158" s="4">
        <v>15</v>
      </c>
      <c r="D158" s="4">
        <v>6.5217999999999998</v>
      </c>
      <c r="E158" s="4">
        <v>6238</v>
      </c>
      <c r="F158" s="4"/>
      <c r="G158" s="4"/>
      <c r="H158" s="5">
        <f t="shared" si="2"/>
        <v>3.4483852547427127E-2</v>
      </c>
    </row>
    <row r="159" spans="1:8" ht="13.5" x14ac:dyDescent="0.25">
      <c r="A159" s="1"/>
      <c r="B159" s="3">
        <v>42529</v>
      </c>
      <c r="C159" s="4">
        <v>15.45</v>
      </c>
      <c r="D159" s="4">
        <v>6.7175000000000002</v>
      </c>
      <c r="E159" s="4">
        <v>12285</v>
      </c>
      <c r="F159" s="4"/>
      <c r="G159" s="4"/>
      <c r="H159" s="5">
        <f t="shared" si="2"/>
        <v>3.0007053267502904E-2</v>
      </c>
    </row>
    <row r="160" spans="1:8" ht="13.5" x14ac:dyDescent="0.25">
      <c r="A160" s="1"/>
      <c r="B160" s="3">
        <v>42530</v>
      </c>
      <c r="C160" s="4">
        <v>15.92</v>
      </c>
      <c r="D160" s="4">
        <v>6.9218000000000002</v>
      </c>
      <c r="E160" s="4">
        <v>3188</v>
      </c>
      <c r="F160" s="4"/>
      <c r="G160" s="4"/>
      <c r="H160" s="5">
        <f t="shared" si="2"/>
        <v>3.0413100111648668E-2</v>
      </c>
    </row>
    <row r="161" spans="1:8" ht="13.5" x14ac:dyDescent="0.25">
      <c r="A161" s="1"/>
      <c r="B161" s="3">
        <v>42531</v>
      </c>
      <c r="C161" s="4">
        <v>15.95</v>
      </c>
      <c r="D161" s="4">
        <v>6.9348999999999998</v>
      </c>
      <c r="E161" s="4">
        <v>4010</v>
      </c>
      <c r="F161" s="4"/>
      <c r="G161" s="4"/>
      <c r="H161" s="5">
        <f t="shared" si="2"/>
        <v>1.8925712964835255E-3</v>
      </c>
    </row>
    <row r="162" spans="1:8" ht="13.5" x14ac:dyDescent="0.25">
      <c r="A162" s="1"/>
      <c r="B162" s="3">
        <v>42534</v>
      </c>
      <c r="C162" s="4">
        <v>16</v>
      </c>
      <c r="D162" s="4">
        <v>6.9565999999999999</v>
      </c>
      <c r="E162" s="4">
        <v>5919</v>
      </c>
      <c r="F162" s="4"/>
      <c r="G162" s="4"/>
      <c r="H162" s="5">
        <f t="shared" si="2"/>
        <v>3.1291006359140078E-3</v>
      </c>
    </row>
    <row r="163" spans="1:8" ht="13.5" x14ac:dyDescent="0.25">
      <c r="A163" s="1"/>
      <c r="B163" s="3">
        <v>42535</v>
      </c>
      <c r="C163" s="4">
        <v>15.7</v>
      </c>
      <c r="D163" s="4">
        <v>6.8262</v>
      </c>
      <c r="E163" s="4">
        <v>6633</v>
      </c>
      <c r="F163" s="4"/>
      <c r="G163" s="4"/>
      <c r="H163" s="5">
        <f t="shared" si="2"/>
        <v>-1.8744789121122367E-2</v>
      </c>
    </row>
    <row r="164" spans="1:8" ht="13.5" x14ac:dyDescent="0.25">
      <c r="A164" s="1"/>
      <c r="B164" s="3">
        <v>42536</v>
      </c>
      <c r="C164" s="4">
        <v>15.9</v>
      </c>
      <c r="D164" s="4">
        <v>6.9131</v>
      </c>
      <c r="E164" s="4">
        <v>5838</v>
      </c>
      <c r="F164" s="4"/>
      <c r="G164" s="4"/>
      <c r="H164" s="5">
        <f t="shared" si="2"/>
        <v>1.2730362427119038E-2</v>
      </c>
    </row>
    <row r="165" spans="1:8" ht="13.5" x14ac:dyDescent="0.25">
      <c r="A165" s="1"/>
      <c r="B165" s="3">
        <v>42537</v>
      </c>
      <c r="C165" s="4">
        <v>16.350000000000001</v>
      </c>
      <c r="D165" s="4">
        <v>7.1087999999999996</v>
      </c>
      <c r="E165" s="4">
        <v>2035</v>
      </c>
      <c r="F165" s="4"/>
      <c r="G165" s="4"/>
      <c r="H165" s="5">
        <f t="shared" si="2"/>
        <v>2.8308573577700242E-2</v>
      </c>
    </row>
    <row r="166" spans="1:8" ht="13.5" x14ac:dyDescent="0.25">
      <c r="A166" s="1"/>
      <c r="B166" s="3">
        <v>42538</v>
      </c>
      <c r="C166" s="4">
        <v>16.34</v>
      </c>
      <c r="D166" s="4">
        <v>7.1044</v>
      </c>
      <c r="E166" s="4">
        <v>2312</v>
      </c>
      <c r="F166" s="4"/>
      <c r="G166" s="4"/>
      <c r="H166" s="5">
        <f t="shared" si="2"/>
        <v>-6.1895115912664802E-4</v>
      </c>
    </row>
    <row r="167" spans="1:8" ht="13.5" x14ac:dyDescent="0.25">
      <c r="A167" s="1"/>
      <c r="B167" s="3">
        <v>42541</v>
      </c>
      <c r="C167" s="4">
        <v>16.5</v>
      </c>
      <c r="D167" s="4">
        <v>7.1740000000000004</v>
      </c>
      <c r="E167" s="4">
        <v>10405</v>
      </c>
      <c r="F167" s="4"/>
      <c r="G167" s="4"/>
      <c r="H167" s="5">
        <f t="shared" si="2"/>
        <v>9.7967456787343525E-3</v>
      </c>
    </row>
    <row r="168" spans="1:8" ht="13.5" x14ac:dyDescent="0.25">
      <c r="A168" s="1"/>
      <c r="B168" s="3">
        <v>42542</v>
      </c>
      <c r="C168" s="4">
        <v>16.5</v>
      </c>
      <c r="D168" s="4">
        <v>7.1740000000000004</v>
      </c>
      <c r="E168" s="4">
        <v>6566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16.5</v>
      </c>
      <c r="D169" s="4">
        <v>7.1740000000000004</v>
      </c>
      <c r="E169" s="4">
        <v>9753</v>
      </c>
      <c r="F169" s="4"/>
      <c r="G169" s="4"/>
      <c r="H169" s="5">
        <f t="shared" si="2"/>
        <v>0</v>
      </c>
    </row>
    <row r="170" spans="1:8" ht="13.5" x14ac:dyDescent="0.25">
      <c r="A170" s="1"/>
      <c r="B170" s="3">
        <v>42544</v>
      </c>
      <c r="C170" s="4">
        <v>16.059999999999999</v>
      </c>
      <c r="D170" s="4">
        <v>6.9827000000000004</v>
      </c>
      <c r="E170" s="4">
        <v>5802</v>
      </c>
      <c r="F170" s="4"/>
      <c r="G170" s="4"/>
      <c r="H170" s="5">
        <f t="shared" si="2"/>
        <v>-2.6665737385001397E-2</v>
      </c>
    </row>
    <row r="171" spans="1:8" ht="13.5" x14ac:dyDescent="0.25">
      <c r="A171" s="1"/>
      <c r="B171" s="3">
        <v>42545</v>
      </c>
      <c r="C171" s="4">
        <v>15.5</v>
      </c>
      <c r="D171" s="4">
        <v>6.7392000000000003</v>
      </c>
      <c r="E171" s="4">
        <v>5772</v>
      </c>
      <c r="F171" s="4"/>
      <c r="G171" s="4"/>
      <c r="H171" s="5">
        <f t="shared" si="2"/>
        <v>-3.4871897690005302E-2</v>
      </c>
    </row>
    <row r="172" spans="1:8" ht="13.5" x14ac:dyDescent="0.25">
      <c r="A172" s="1"/>
      <c r="B172" s="3">
        <v>42548</v>
      </c>
      <c r="C172" s="4">
        <v>15.33</v>
      </c>
      <c r="D172" s="4">
        <v>6.6653000000000002</v>
      </c>
      <c r="E172" s="4">
        <v>9458</v>
      </c>
      <c r="F172" s="4"/>
      <c r="G172" s="4"/>
      <c r="H172" s="5">
        <f t="shared" si="2"/>
        <v>-1.0965693257359936E-2</v>
      </c>
    </row>
    <row r="173" spans="1:8" ht="13.5" x14ac:dyDescent="0.25">
      <c r="A173" s="1"/>
      <c r="B173" s="3">
        <v>42549</v>
      </c>
      <c r="C173" s="4">
        <v>15.35</v>
      </c>
      <c r="D173" s="4">
        <v>6.6740000000000004</v>
      </c>
      <c r="E173" s="4">
        <v>6714</v>
      </c>
      <c r="F173" s="4"/>
      <c r="G173" s="4"/>
      <c r="H173" s="5">
        <f t="shared" si="2"/>
        <v>1.3052675798538929E-3</v>
      </c>
    </row>
    <row r="174" spans="1:8" ht="13.5" x14ac:dyDescent="0.25">
      <c r="A174" s="1"/>
      <c r="B174" s="3">
        <v>42550</v>
      </c>
      <c r="C174" s="4">
        <v>15.5</v>
      </c>
      <c r="D174" s="4">
        <v>6.7392000000000003</v>
      </c>
      <c r="E174" s="4">
        <v>6092</v>
      </c>
      <c r="F174" s="4"/>
      <c r="G174" s="4"/>
      <c r="H174" s="5">
        <f t="shared" si="2"/>
        <v>9.7692538207971111E-3</v>
      </c>
    </row>
    <row r="175" spans="1:8" ht="13.5" x14ac:dyDescent="0.25">
      <c r="A175" s="1"/>
      <c r="B175" s="3">
        <v>42551</v>
      </c>
      <c r="C175" s="4">
        <v>15.1</v>
      </c>
      <c r="D175" s="4">
        <v>6.6966000000000001</v>
      </c>
      <c r="E175" s="4">
        <v>5206</v>
      </c>
      <c r="F175" s="4"/>
      <c r="G175" s="4"/>
      <c r="H175" s="5">
        <f t="shared" si="2"/>
        <v>-6.3212250712250994E-3</v>
      </c>
    </row>
    <row r="176" spans="1:8" ht="13.5" x14ac:dyDescent="0.25">
      <c r="A176" s="1"/>
      <c r="B176" s="3">
        <v>42552</v>
      </c>
      <c r="C176" s="4">
        <v>15.5</v>
      </c>
      <c r="D176" s="4">
        <v>6.8738999999999999</v>
      </c>
      <c r="E176" s="4">
        <v>13631</v>
      </c>
      <c r="F176" s="4"/>
      <c r="G176" s="4"/>
      <c r="H176" s="5">
        <f t="shared" si="2"/>
        <v>2.6476122211271359E-2</v>
      </c>
    </row>
    <row r="177" spans="1:8" ht="13.5" x14ac:dyDescent="0.25">
      <c r="A177" s="1"/>
      <c r="B177" s="3">
        <v>42555</v>
      </c>
      <c r="C177" s="4">
        <v>15.41</v>
      </c>
      <c r="D177" s="4">
        <v>6.8339999999999996</v>
      </c>
      <c r="E177" s="4">
        <v>1892</v>
      </c>
      <c r="F177" s="4"/>
      <c r="G177" s="4"/>
      <c r="H177" s="5">
        <f t="shared" si="2"/>
        <v>-5.8045650940514509E-3</v>
      </c>
    </row>
    <row r="178" spans="1:8" ht="13.5" x14ac:dyDescent="0.25">
      <c r="A178" s="1"/>
      <c r="B178" s="3">
        <v>42559</v>
      </c>
      <c r="C178" s="4">
        <v>15.62</v>
      </c>
      <c r="D178" s="4">
        <v>6.9272</v>
      </c>
      <c r="E178" s="4">
        <v>2717</v>
      </c>
      <c r="F178" s="4"/>
      <c r="G178" s="4"/>
      <c r="H178" s="5">
        <f t="shared" si="2"/>
        <v>1.3637693883523616E-2</v>
      </c>
    </row>
    <row r="179" spans="1:8" ht="13.5" x14ac:dyDescent="0.25">
      <c r="A179" s="1"/>
      <c r="B179" s="3">
        <v>42562</v>
      </c>
      <c r="C179" s="4">
        <v>15.4</v>
      </c>
      <c r="D179" s="4">
        <v>6.8296000000000001</v>
      </c>
      <c r="E179" s="4">
        <v>2421</v>
      </c>
      <c r="F179" s="4"/>
      <c r="G179" s="4"/>
      <c r="H179" s="5">
        <f t="shared" si="2"/>
        <v>-1.4089386765215369E-2</v>
      </c>
    </row>
    <row r="180" spans="1:8" ht="13.5" x14ac:dyDescent="0.25">
      <c r="A180" s="1"/>
      <c r="B180" s="3">
        <v>42563</v>
      </c>
      <c r="C180" s="4">
        <v>15.6</v>
      </c>
      <c r="D180" s="4">
        <v>6.9183000000000003</v>
      </c>
      <c r="E180" s="4">
        <v>1735</v>
      </c>
      <c r="F180" s="4"/>
      <c r="G180" s="4"/>
      <c r="H180" s="5">
        <f t="shared" si="2"/>
        <v>1.2987583460231964E-2</v>
      </c>
    </row>
    <row r="181" spans="1:8" ht="13.5" x14ac:dyDescent="0.25">
      <c r="A181" s="1"/>
      <c r="B181" s="3">
        <v>42564</v>
      </c>
      <c r="C181" s="4">
        <v>15.8</v>
      </c>
      <c r="D181" s="4">
        <v>7.0069999999999997</v>
      </c>
      <c r="E181" s="4">
        <v>3884</v>
      </c>
      <c r="F181" s="4"/>
      <c r="G181" s="4"/>
      <c r="H181" s="5">
        <f t="shared" si="2"/>
        <v>1.2821068759666295E-2</v>
      </c>
    </row>
    <row r="182" spans="1:8" ht="13.5" x14ac:dyDescent="0.25">
      <c r="A182" s="1"/>
      <c r="B182" s="3">
        <v>42565</v>
      </c>
      <c r="C182" s="4">
        <v>15.86</v>
      </c>
      <c r="D182" s="4">
        <v>7.0335999999999999</v>
      </c>
      <c r="E182" s="4">
        <v>2746</v>
      </c>
      <c r="F182" s="4"/>
      <c r="G182" s="4"/>
      <c r="H182" s="5">
        <f t="shared" si="2"/>
        <v>3.7962037962038218E-3</v>
      </c>
    </row>
    <row r="183" spans="1:8" ht="13.5" x14ac:dyDescent="0.25">
      <c r="A183" s="1"/>
      <c r="B183" s="3">
        <v>42566</v>
      </c>
      <c r="C183" s="4">
        <v>15.86</v>
      </c>
      <c r="D183" s="4">
        <v>7.0335999999999999</v>
      </c>
      <c r="E183" s="4">
        <v>5407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15.6</v>
      </c>
      <c r="D184" s="4">
        <v>6.9183000000000003</v>
      </c>
      <c r="E184" s="4">
        <v>5756</v>
      </c>
      <c r="F184" s="4"/>
      <c r="G184" s="4"/>
      <c r="H184" s="5">
        <f t="shared" si="2"/>
        <v>-1.6392743403093653E-2</v>
      </c>
    </row>
    <row r="185" spans="1:8" ht="13.5" x14ac:dyDescent="0.25">
      <c r="A185" s="1"/>
      <c r="B185" s="3">
        <v>42570</v>
      </c>
      <c r="C185" s="4">
        <v>15.86</v>
      </c>
      <c r="D185" s="4">
        <v>7.0335999999999999</v>
      </c>
      <c r="E185" s="4">
        <v>2506</v>
      </c>
      <c r="F185" s="4"/>
      <c r="G185" s="4"/>
      <c r="H185" s="5">
        <f t="shared" si="2"/>
        <v>1.6665943945766953E-2</v>
      </c>
    </row>
    <row r="186" spans="1:8" ht="13.5" x14ac:dyDescent="0.25">
      <c r="A186" s="1"/>
      <c r="B186" s="3">
        <v>42571</v>
      </c>
      <c r="C186" s="4">
        <v>15.86</v>
      </c>
      <c r="D186" s="4">
        <v>7.0335999999999999</v>
      </c>
      <c r="E186" s="4">
        <v>4117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15.75</v>
      </c>
      <c r="D187" s="4">
        <v>6.9847999999999999</v>
      </c>
      <c r="E187" s="4">
        <v>2355</v>
      </c>
      <c r="F187" s="4"/>
      <c r="G187" s="4"/>
      <c r="H187" s="5">
        <f t="shared" si="2"/>
        <v>-6.938125568698811E-3</v>
      </c>
    </row>
    <row r="188" spans="1:8" ht="13.5" x14ac:dyDescent="0.25">
      <c r="A188" s="1"/>
      <c r="B188" s="3">
        <v>42573</v>
      </c>
      <c r="C188" s="4">
        <v>15.6</v>
      </c>
      <c r="D188" s="4">
        <v>6.9183000000000003</v>
      </c>
      <c r="E188" s="4">
        <v>1406</v>
      </c>
      <c r="F188" s="4"/>
      <c r="G188" s="4"/>
      <c r="H188" s="5">
        <f t="shared" si="2"/>
        <v>-9.5206734623753814E-3</v>
      </c>
    </row>
    <row r="189" spans="1:8" ht="13.5" x14ac:dyDescent="0.25">
      <c r="A189" s="1"/>
      <c r="B189" s="3">
        <v>42577</v>
      </c>
      <c r="C189" s="4">
        <v>15.61</v>
      </c>
      <c r="D189" s="4">
        <v>6.9226999999999999</v>
      </c>
      <c r="E189" s="4">
        <v>3360</v>
      </c>
      <c r="F189" s="4"/>
      <c r="G189" s="4"/>
      <c r="H189" s="5">
        <f t="shared" si="2"/>
        <v>6.3599439168574869E-4</v>
      </c>
    </row>
    <row r="190" spans="1:8" ht="13.5" x14ac:dyDescent="0.25">
      <c r="A190" s="1"/>
      <c r="B190" s="3">
        <v>42578</v>
      </c>
      <c r="C190" s="4">
        <v>15.61</v>
      </c>
      <c r="D190" s="4">
        <v>6.9226999999999999</v>
      </c>
      <c r="E190" s="4">
        <v>4060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15.62</v>
      </c>
      <c r="D191" s="4">
        <v>6.9272</v>
      </c>
      <c r="E191" s="4">
        <v>1762</v>
      </c>
      <c r="F191" s="4"/>
      <c r="G191" s="4"/>
      <c r="H191" s="5">
        <f t="shared" si="2"/>
        <v>6.5003539081574682E-4</v>
      </c>
    </row>
    <row r="192" spans="1:8" ht="13.5" x14ac:dyDescent="0.25">
      <c r="A192" s="1"/>
      <c r="B192" s="3">
        <v>42580</v>
      </c>
      <c r="C192" s="4">
        <v>15.2</v>
      </c>
      <c r="D192" s="4">
        <v>6.7408999999999999</v>
      </c>
      <c r="E192" s="4">
        <v>2806</v>
      </c>
      <c r="F192" s="4"/>
      <c r="G192" s="4"/>
      <c r="H192" s="5">
        <f t="shared" si="2"/>
        <v>-2.689398313893061E-2</v>
      </c>
    </row>
    <row r="193" spans="1:8" ht="13.5" x14ac:dyDescent="0.25">
      <c r="A193" s="1"/>
      <c r="B193" s="3">
        <v>42583</v>
      </c>
      <c r="C193" s="4">
        <v>15.6</v>
      </c>
      <c r="D193" s="4">
        <v>6.9183000000000003</v>
      </c>
      <c r="E193" s="4">
        <v>3415</v>
      </c>
      <c r="F193" s="4"/>
      <c r="G193" s="4"/>
      <c r="H193" s="5">
        <f t="shared" si="2"/>
        <v>2.6316960643237616E-2</v>
      </c>
    </row>
    <row r="194" spans="1:8" ht="13.5" x14ac:dyDescent="0.25">
      <c r="A194" s="1"/>
      <c r="B194" s="3">
        <v>42584</v>
      </c>
      <c r="C194" s="4">
        <v>15.61</v>
      </c>
      <c r="D194" s="4">
        <v>6.9226999999999999</v>
      </c>
      <c r="E194" s="4">
        <v>4164</v>
      </c>
      <c r="F194" s="4"/>
      <c r="G194" s="4"/>
      <c r="H194" s="5">
        <f t="shared" si="2"/>
        <v>6.3599439168574869E-4</v>
      </c>
    </row>
    <row r="195" spans="1:8" ht="13.5" x14ac:dyDescent="0.25">
      <c r="A195" s="1"/>
      <c r="B195" s="3">
        <v>42585</v>
      </c>
      <c r="C195" s="4">
        <v>15.66</v>
      </c>
      <c r="D195" s="4">
        <v>6.9448999999999996</v>
      </c>
      <c r="E195" s="4">
        <v>3018</v>
      </c>
      <c r="F195" s="4"/>
      <c r="G195" s="4"/>
      <c r="H195" s="5">
        <f t="shared" si="2"/>
        <v>3.2068412613575304E-3</v>
      </c>
    </row>
    <row r="196" spans="1:8" ht="13.5" x14ac:dyDescent="0.25">
      <c r="A196" s="1"/>
      <c r="B196" s="3">
        <v>42586</v>
      </c>
      <c r="C196" s="4">
        <v>15.67</v>
      </c>
      <c r="D196" s="4">
        <v>6.9493</v>
      </c>
      <c r="E196" s="4">
        <v>1875</v>
      </c>
      <c r="F196" s="4"/>
      <c r="G196" s="4"/>
      <c r="H196" s="5">
        <f t="shared" si="2"/>
        <v>6.3355843856648824E-4</v>
      </c>
    </row>
    <row r="197" spans="1:8" ht="13.5" x14ac:dyDescent="0.25">
      <c r="A197" s="1"/>
      <c r="B197" s="3">
        <v>42587</v>
      </c>
      <c r="C197" s="4">
        <v>15.51</v>
      </c>
      <c r="D197" s="4">
        <v>6.8784000000000001</v>
      </c>
      <c r="E197" s="4">
        <v>2176</v>
      </c>
      <c r="F197" s="4"/>
      <c r="G197" s="4"/>
      <c r="H197" s="5">
        <f t="shared" si="2"/>
        <v>-1.0202466435468314E-2</v>
      </c>
    </row>
    <row r="198" spans="1:8" ht="13.5" x14ac:dyDescent="0.25">
      <c r="A198" s="1"/>
      <c r="B198" s="3">
        <v>42590</v>
      </c>
      <c r="C198" s="4">
        <v>15.52</v>
      </c>
      <c r="D198" s="4">
        <v>6.8827999999999996</v>
      </c>
      <c r="E198" s="4">
        <v>1598</v>
      </c>
      <c r="F198" s="4"/>
      <c r="G198" s="4"/>
      <c r="H198" s="5">
        <f t="shared" si="2"/>
        <v>6.3968364735978063E-4</v>
      </c>
    </row>
    <row r="199" spans="1:8" ht="13.5" x14ac:dyDescent="0.25">
      <c r="A199" s="1"/>
      <c r="B199" s="3">
        <v>42591</v>
      </c>
      <c r="C199" s="4">
        <v>15.3</v>
      </c>
      <c r="D199" s="4">
        <v>6.7853000000000003</v>
      </c>
      <c r="E199" s="4">
        <v>965</v>
      </c>
      <c r="F199" s="4"/>
      <c r="G199" s="4"/>
      <c r="H199" s="5">
        <f t="shared" ref="H199:H262" si="3">(D199-D198)/D198</f>
        <v>-1.4165746498517937E-2</v>
      </c>
    </row>
    <row r="200" spans="1:8" ht="13.5" x14ac:dyDescent="0.25">
      <c r="A200" s="1"/>
      <c r="B200" s="3">
        <v>42592</v>
      </c>
      <c r="C200" s="4">
        <v>15.5</v>
      </c>
      <c r="D200" s="4">
        <v>6.8738999999999999</v>
      </c>
      <c r="E200" s="4">
        <v>1927</v>
      </c>
      <c r="F200" s="4"/>
      <c r="G200" s="4"/>
      <c r="H200" s="5">
        <f t="shared" si="3"/>
        <v>1.3057639308505087E-2</v>
      </c>
    </row>
    <row r="201" spans="1:8" ht="13.5" x14ac:dyDescent="0.25">
      <c r="A201" s="1"/>
      <c r="B201" s="3">
        <v>42593</v>
      </c>
      <c r="C201" s="4">
        <v>15.37</v>
      </c>
      <c r="D201" s="4">
        <v>6.8163</v>
      </c>
      <c r="E201" s="4">
        <v>2367</v>
      </c>
      <c r="F201" s="4"/>
      <c r="G201" s="4"/>
      <c r="H201" s="5">
        <f t="shared" si="3"/>
        <v>-8.379522541788486E-3</v>
      </c>
    </row>
    <row r="202" spans="1:8" ht="13.5" x14ac:dyDescent="0.25">
      <c r="A202" s="1"/>
      <c r="B202" s="3">
        <v>42594</v>
      </c>
      <c r="C202" s="4">
        <v>15.32</v>
      </c>
      <c r="D202" s="4">
        <v>6.7941000000000003</v>
      </c>
      <c r="E202" s="4">
        <v>3070</v>
      </c>
      <c r="F202" s="4"/>
      <c r="G202" s="4"/>
      <c r="H202" s="5">
        <f t="shared" si="3"/>
        <v>-3.2568989040974981E-3</v>
      </c>
    </row>
    <row r="203" spans="1:8" ht="13.5" x14ac:dyDescent="0.25">
      <c r="A203" s="1"/>
      <c r="B203" s="3">
        <v>42597</v>
      </c>
      <c r="C203" s="4">
        <v>15.38</v>
      </c>
      <c r="D203" s="4">
        <v>6.8207000000000004</v>
      </c>
      <c r="E203" s="4">
        <v>2434</v>
      </c>
      <c r="F203" s="4"/>
      <c r="G203" s="4"/>
      <c r="H203" s="5">
        <f t="shared" si="3"/>
        <v>3.9151616844026694E-3</v>
      </c>
    </row>
    <row r="204" spans="1:8" ht="13.5" x14ac:dyDescent="0.25">
      <c r="A204" s="1"/>
      <c r="B204" s="3">
        <v>42598</v>
      </c>
      <c r="C204" s="4">
        <v>15.6</v>
      </c>
      <c r="D204" s="4">
        <v>6.9183000000000003</v>
      </c>
      <c r="E204" s="4">
        <v>6303</v>
      </c>
      <c r="F204" s="4"/>
      <c r="G204" s="4"/>
      <c r="H204" s="5">
        <f t="shared" si="3"/>
        <v>1.4309381735012521E-2</v>
      </c>
    </row>
    <row r="205" spans="1:8" ht="13.5" x14ac:dyDescent="0.25">
      <c r="A205" s="1"/>
      <c r="B205" s="3">
        <v>42599</v>
      </c>
      <c r="C205" s="4">
        <v>15.33</v>
      </c>
      <c r="D205" s="4">
        <v>6.7986000000000004</v>
      </c>
      <c r="E205" s="4">
        <v>6665</v>
      </c>
      <c r="F205" s="4"/>
      <c r="G205" s="4"/>
      <c r="H205" s="5">
        <f t="shared" si="3"/>
        <v>-1.7301938337452829E-2</v>
      </c>
    </row>
    <row r="206" spans="1:8" ht="13.5" x14ac:dyDescent="0.25">
      <c r="A206" s="1"/>
      <c r="B206" s="3">
        <v>42600</v>
      </c>
      <c r="C206" s="4">
        <v>15.01</v>
      </c>
      <c r="D206" s="4">
        <v>6.6566000000000001</v>
      </c>
      <c r="E206" s="4">
        <v>4023</v>
      </c>
      <c r="F206" s="4"/>
      <c r="G206" s="4"/>
      <c r="H206" s="5">
        <f t="shared" si="3"/>
        <v>-2.088665313446891E-2</v>
      </c>
    </row>
    <row r="207" spans="1:8" ht="13.5" x14ac:dyDescent="0.25">
      <c r="A207" s="1"/>
      <c r="B207" s="3">
        <v>42601</v>
      </c>
      <c r="C207" s="4">
        <v>14.82</v>
      </c>
      <c r="D207" s="4">
        <v>6.5724</v>
      </c>
      <c r="E207" s="4">
        <v>4597</v>
      </c>
      <c r="F207" s="4"/>
      <c r="G207" s="4"/>
      <c r="H207" s="5">
        <f t="shared" si="3"/>
        <v>-1.2649100141213239E-2</v>
      </c>
    </row>
    <row r="208" spans="1:8" ht="13.5" x14ac:dyDescent="0.25">
      <c r="A208" s="1"/>
      <c r="B208" s="3">
        <v>42604</v>
      </c>
      <c r="C208" s="4">
        <v>14.85</v>
      </c>
      <c r="D208" s="4">
        <v>6.5857000000000001</v>
      </c>
      <c r="E208" s="4">
        <v>1522</v>
      </c>
      <c r="F208" s="4"/>
      <c r="G208" s="4"/>
      <c r="H208" s="5">
        <f t="shared" si="3"/>
        <v>2.0236139005538447E-3</v>
      </c>
    </row>
    <row r="209" spans="1:8" ht="13.5" x14ac:dyDescent="0.25">
      <c r="A209" s="1"/>
      <c r="B209" s="3">
        <v>42605</v>
      </c>
      <c r="C209" s="4">
        <v>14.99</v>
      </c>
      <c r="D209" s="4">
        <v>6.6478000000000002</v>
      </c>
      <c r="E209" s="4">
        <v>4525</v>
      </c>
      <c r="F209" s="4"/>
      <c r="G209" s="4"/>
      <c r="H209" s="5">
        <f t="shared" si="3"/>
        <v>9.4295215390922827E-3</v>
      </c>
    </row>
    <row r="210" spans="1:8" ht="13.5" x14ac:dyDescent="0.25">
      <c r="A210" s="1"/>
      <c r="B210" s="3">
        <v>42606</v>
      </c>
      <c r="C210" s="4">
        <v>14.9</v>
      </c>
      <c r="D210" s="4">
        <v>6.6078999999999999</v>
      </c>
      <c r="E210" s="4">
        <v>1890</v>
      </c>
      <c r="F210" s="4"/>
      <c r="G210" s="4"/>
      <c r="H210" s="5">
        <f t="shared" si="3"/>
        <v>-6.0019856193026669E-3</v>
      </c>
    </row>
    <row r="211" spans="1:8" ht="13.5" x14ac:dyDescent="0.25">
      <c r="A211" s="1"/>
      <c r="B211" s="3">
        <v>42607</v>
      </c>
      <c r="C211" s="4">
        <v>14.61</v>
      </c>
      <c r="D211" s="4">
        <v>6.4791999999999996</v>
      </c>
      <c r="E211" s="4">
        <v>2456</v>
      </c>
      <c r="F211" s="4"/>
      <c r="G211" s="4"/>
      <c r="H211" s="5">
        <f t="shared" si="3"/>
        <v>-1.947668699586862E-2</v>
      </c>
    </row>
    <row r="212" spans="1:8" ht="13.5" x14ac:dyDescent="0.25">
      <c r="A212" s="1"/>
      <c r="B212" s="3">
        <v>42608</v>
      </c>
      <c r="C212" s="4">
        <v>14.71</v>
      </c>
      <c r="D212" s="4">
        <v>6.5236000000000001</v>
      </c>
      <c r="E212" s="4">
        <v>2778</v>
      </c>
      <c r="F212" s="4"/>
      <c r="G212" s="4"/>
      <c r="H212" s="5">
        <f t="shared" si="3"/>
        <v>6.8526978639338876E-3</v>
      </c>
    </row>
    <row r="213" spans="1:8" ht="13.5" x14ac:dyDescent="0.25">
      <c r="A213" s="1"/>
      <c r="B213" s="3">
        <v>42611</v>
      </c>
      <c r="C213" s="4">
        <v>14.93</v>
      </c>
      <c r="D213" s="4">
        <v>6.6212</v>
      </c>
      <c r="E213" s="4">
        <v>1344</v>
      </c>
      <c r="F213" s="4"/>
      <c r="G213" s="4"/>
      <c r="H213" s="5">
        <f t="shared" si="3"/>
        <v>1.4961064442945598E-2</v>
      </c>
    </row>
    <row r="214" spans="1:8" ht="13.5" x14ac:dyDescent="0.25">
      <c r="A214" s="1"/>
      <c r="B214" s="3">
        <v>42612</v>
      </c>
      <c r="C214" s="4">
        <v>14.99</v>
      </c>
      <c r="D214" s="4">
        <v>6.6478000000000002</v>
      </c>
      <c r="E214" s="4">
        <v>6344</v>
      </c>
      <c r="F214" s="4"/>
      <c r="G214" s="4"/>
      <c r="H214" s="5">
        <f t="shared" si="3"/>
        <v>4.0173986588534069E-3</v>
      </c>
    </row>
    <row r="215" spans="1:8" ht="13.5" x14ac:dyDescent="0.25">
      <c r="A215" s="1"/>
      <c r="B215" s="3">
        <v>42613</v>
      </c>
      <c r="C215" s="4">
        <v>14.95</v>
      </c>
      <c r="D215" s="4">
        <v>6.63</v>
      </c>
      <c r="E215" s="4">
        <v>3005</v>
      </c>
      <c r="F215" s="4"/>
      <c r="G215" s="4"/>
      <c r="H215" s="5">
        <f t="shared" si="3"/>
        <v>-2.6775775444508347E-3</v>
      </c>
    </row>
    <row r="216" spans="1:8" ht="13.5" x14ac:dyDescent="0.25">
      <c r="A216" s="1"/>
      <c r="B216" s="3">
        <v>42614</v>
      </c>
      <c r="C216" s="4">
        <v>14.7</v>
      </c>
      <c r="D216" s="4">
        <v>6.5191999999999997</v>
      </c>
      <c r="E216" s="4">
        <v>2180</v>
      </c>
      <c r="F216" s="4"/>
      <c r="G216" s="4"/>
      <c r="H216" s="5">
        <f t="shared" si="3"/>
        <v>-1.6711915535444981E-2</v>
      </c>
    </row>
    <row r="217" spans="1:8" ht="13.5" x14ac:dyDescent="0.25">
      <c r="A217" s="1"/>
      <c r="B217" s="3">
        <v>42615</v>
      </c>
      <c r="C217" s="4">
        <v>14.7</v>
      </c>
      <c r="D217" s="4">
        <v>6.5191999999999997</v>
      </c>
      <c r="E217" s="4">
        <v>2320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14.9</v>
      </c>
      <c r="D218" s="4">
        <v>6.6078999999999999</v>
      </c>
      <c r="E218" s="4">
        <v>3541</v>
      </c>
      <c r="F218" s="4"/>
      <c r="G218" s="4"/>
      <c r="H218" s="5">
        <f t="shared" si="3"/>
        <v>1.3605963921953649E-2</v>
      </c>
    </row>
    <row r="219" spans="1:8" ht="13.5" x14ac:dyDescent="0.25">
      <c r="A219" s="1"/>
      <c r="B219" s="3">
        <v>42619</v>
      </c>
      <c r="C219" s="4">
        <v>15.4</v>
      </c>
      <c r="D219" s="4">
        <v>6.8296000000000001</v>
      </c>
      <c r="E219" s="4">
        <v>4057</v>
      </c>
      <c r="F219" s="4"/>
      <c r="G219" s="4"/>
      <c r="H219" s="5">
        <f t="shared" si="3"/>
        <v>3.3550749860016077E-2</v>
      </c>
    </row>
    <row r="220" spans="1:8" ht="13.5" x14ac:dyDescent="0.25">
      <c r="A220" s="1"/>
      <c r="B220" s="3">
        <v>42620</v>
      </c>
      <c r="C220" s="4">
        <v>15.41</v>
      </c>
      <c r="D220" s="4">
        <v>6.8339999999999996</v>
      </c>
      <c r="E220" s="4">
        <v>1345</v>
      </c>
      <c r="F220" s="4"/>
      <c r="G220" s="4"/>
      <c r="H220" s="5">
        <f t="shared" si="3"/>
        <v>6.4425442192800678E-4</v>
      </c>
    </row>
    <row r="221" spans="1:8" ht="13.5" x14ac:dyDescent="0.25">
      <c r="A221" s="1"/>
      <c r="B221" s="3">
        <v>42621</v>
      </c>
      <c r="C221" s="4">
        <v>15</v>
      </c>
      <c r="D221" s="4">
        <v>6.6521999999999997</v>
      </c>
      <c r="E221" s="4">
        <v>2202</v>
      </c>
      <c r="F221" s="4"/>
      <c r="G221" s="4"/>
      <c r="H221" s="5">
        <f t="shared" si="3"/>
        <v>-2.6602282704126422E-2</v>
      </c>
    </row>
    <row r="222" spans="1:8" ht="13.5" x14ac:dyDescent="0.25">
      <c r="A222" s="1"/>
      <c r="B222" s="3">
        <v>42622</v>
      </c>
      <c r="C222" s="4">
        <v>15</v>
      </c>
      <c r="D222" s="4">
        <v>6.6521999999999997</v>
      </c>
      <c r="E222" s="4">
        <v>910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14.9</v>
      </c>
      <c r="D223" s="4">
        <v>6.6078999999999999</v>
      </c>
      <c r="E223" s="4">
        <v>240</v>
      </c>
      <c r="F223" s="4"/>
      <c r="G223" s="4"/>
      <c r="H223" s="5">
        <f t="shared" si="3"/>
        <v>-6.6594510086888225E-3</v>
      </c>
    </row>
    <row r="224" spans="1:8" ht="13.5" x14ac:dyDescent="0.25">
      <c r="A224" s="1"/>
      <c r="B224" s="3">
        <v>42628</v>
      </c>
      <c r="C224" s="4">
        <v>15.3</v>
      </c>
      <c r="D224" s="4">
        <v>6.7853000000000003</v>
      </c>
      <c r="E224" s="4">
        <v>2841</v>
      </c>
      <c r="F224" s="4"/>
      <c r="G224" s="4"/>
      <c r="H224" s="5">
        <f t="shared" si="3"/>
        <v>2.6846653248384578E-2</v>
      </c>
    </row>
    <row r="225" spans="1:8" ht="13.5" x14ac:dyDescent="0.25">
      <c r="A225" s="1"/>
      <c r="B225" s="3">
        <v>42629</v>
      </c>
      <c r="C225" s="4">
        <v>14.99</v>
      </c>
      <c r="D225" s="4">
        <v>6.6478000000000002</v>
      </c>
      <c r="E225" s="4">
        <v>3282</v>
      </c>
      <c r="F225" s="4"/>
      <c r="G225" s="4"/>
      <c r="H225" s="5">
        <f t="shared" si="3"/>
        <v>-2.0264395089384431E-2</v>
      </c>
    </row>
    <row r="226" spans="1:8" ht="13.5" x14ac:dyDescent="0.25">
      <c r="A226" s="1"/>
      <c r="B226" s="3">
        <v>42632</v>
      </c>
      <c r="C226" s="4">
        <v>14.9</v>
      </c>
      <c r="D226" s="4">
        <v>6.6078999999999999</v>
      </c>
      <c r="E226" s="4">
        <v>1826</v>
      </c>
      <c r="F226" s="4"/>
      <c r="G226" s="4"/>
      <c r="H226" s="5">
        <f t="shared" si="3"/>
        <v>-6.0019856193026669E-3</v>
      </c>
    </row>
    <row r="227" spans="1:8" ht="13.5" x14ac:dyDescent="0.25">
      <c r="A227" s="1"/>
      <c r="B227" s="3">
        <v>42633</v>
      </c>
      <c r="C227" s="4">
        <v>14.6</v>
      </c>
      <c r="D227" s="4">
        <v>6.4748000000000001</v>
      </c>
      <c r="E227" s="4">
        <v>3542</v>
      </c>
      <c r="F227" s="4"/>
      <c r="G227" s="4"/>
      <c r="H227" s="5">
        <f t="shared" si="3"/>
        <v>-2.0142556636752944E-2</v>
      </c>
    </row>
    <row r="228" spans="1:8" ht="13.5" x14ac:dyDescent="0.25">
      <c r="A228" s="1"/>
      <c r="B228" s="3">
        <v>42634</v>
      </c>
      <c r="C228" s="4">
        <v>14.7</v>
      </c>
      <c r="D228" s="4">
        <v>6.5191999999999997</v>
      </c>
      <c r="E228" s="4">
        <v>3050</v>
      </c>
      <c r="F228" s="4"/>
      <c r="G228" s="4"/>
      <c r="H228" s="5">
        <f t="shared" si="3"/>
        <v>6.8573546673255624E-3</v>
      </c>
    </row>
    <row r="229" spans="1:8" ht="13.5" x14ac:dyDescent="0.25">
      <c r="A229" s="1"/>
      <c r="B229" s="3">
        <v>42635</v>
      </c>
      <c r="C229" s="4">
        <v>14.7</v>
      </c>
      <c r="D229" s="4">
        <v>6.5191999999999997</v>
      </c>
      <c r="E229" s="4">
        <v>2184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14.68</v>
      </c>
      <c r="D230" s="4">
        <v>6.5103</v>
      </c>
      <c r="E230" s="4">
        <v>2625</v>
      </c>
      <c r="F230" s="4"/>
      <c r="G230" s="4"/>
      <c r="H230" s="5">
        <f t="shared" si="3"/>
        <v>-1.3651981838261882E-3</v>
      </c>
    </row>
    <row r="231" spans="1:8" ht="13.5" x14ac:dyDescent="0.25">
      <c r="A231" s="1"/>
      <c r="B231" s="3">
        <v>42639</v>
      </c>
      <c r="C231" s="4">
        <v>14.8</v>
      </c>
      <c r="D231" s="4">
        <v>6.5635000000000003</v>
      </c>
      <c r="E231" s="4">
        <v>3640</v>
      </c>
      <c r="F231" s="4"/>
      <c r="G231" s="4"/>
      <c r="H231" s="5">
        <f t="shared" si="3"/>
        <v>8.1716664362625931E-3</v>
      </c>
    </row>
    <row r="232" spans="1:8" ht="13.5" x14ac:dyDescent="0.25">
      <c r="A232" s="1"/>
      <c r="B232" s="3">
        <v>42640</v>
      </c>
      <c r="C232" s="4">
        <v>14.85</v>
      </c>
      <c r="D232" s="4">
        <v>6.5857000000000001</v>
      </c>
      <c r="E232" s="4">
        <v>3398</v>
      </c>
      <c r="F232" s="4"/>
      <c r="G232" s="4"/>
      <c r="H232" s="5">
        <f t="shared" si="3"/>
        <v>3.3823417384017331E-3</v>
      </c>
    </row>
    <row r="233" spans="1:8" ht="13.5" x14ac:dyDescent="0.25">
      <c r="A233" s="1"/>
      <c r="B233" s="3">
        <v>42641</v>
      </c>
      <c r="C233" s="4">
        <v>14.86</v>
      </c>
      <c r="D233" s="4">
        <v>6.5900999999999996</v>
      </c>
      <c r="E233" s="4">
        <v>4643</v>
      </c>
      <c r="F233" s="4"/>
      <c r="G233" s="4"/>
      <c r="H233" s="5">
        <f t="shared" si="3"/>
        <v>6.6811424753625509E-4</v>
      </c>
    </row>
    <row r="234" spans="1:8" ht="13.5" x14ac:dyDescent="0.25">
      <c r="A234" s="1"/>
      <c r="B234" s="3">
        <v>42642</v>
      </c>
      <c r="C234" s="4">
        <v>14.75</v>
      </c>
      <c r="D234" s="4">
        <v>6.5412999999999997</v>
      </c>
      <c r="E234" s="4">
        <v>2163</v>
      </c>
      <c r="F234" s="4"/>
      <c r="G234" s="4"/>
      <c r="H234" s="5">
        <f t="shared" si="3"/>
        <v>-7.4050469643859662E-3</v>
      </c>
    </row>
    <row r="235" spans="1:8" ht="13.5" x14ac:dyDescent="0.25">
      <c r="A235" s="1"/>
      <c r="B235" s="3">
        <v>42643</v>
      </c>
      <c r="C235" s="4">
        <v>14.95</v>
      </c>
      <c r="D235" s="4">
        <v>6.63</v>
      </c>
      <c r="E235" s="4">
        <v>3500</v>
      </c>
      <c r="F235" s="4"/>
      <c r="G235" s="4"/>
      <c r="H235" s="5">
        <f t="shared" si="3"/>
        <v>1.3559995719505332E-2</v>
      </c>
    </row>
    <row r="236" spans="1:8" ht="13.5" x14ac:dyDescent="0.25">
      <c r="A236" s="1"/>
      <c r="B236" s="3">
        <v>42647</v>
      </c>
      <c r="C236" s="4">
        <v>14.97</v>
      </c>
      <c r="D236" s="4">
        <v>6.6388999999999996</v>
      </c>
      <c r="E236" s="4">
        <v>4945</v>
      </c>
      <c r="F236" s="4"/>
      <c r="G236" s="4"/>
      <c r="H236" s="5">
        <f t="shared" si="3"/>
        <v>1.342383107088942E-3</v>
      </c>
    </row>
    <row r="237" spans="1:8" ht="13.5" x14ac:dyDescent="0.25">
      <c r="A237" s="1"/>
      <c r="B237" s="3">
        <v>42648</v>
      </c>
      <c r="C237" s="4">
        <v>14.98</v>
      </c>
      <c r="D237" s="4">
        <v>6.6433</v>
      </c>
      <c r="E237" s="4">
        <v>4039</v>
      </c>
      <c r="F237" s="4"/>
      <c r="G237" s="4"/>
      <c r="H237" s="5">
        <f t="shared" si="3"/>
        <v>6.6276039705378956E-4</v>
      </c>
    </row>
    <row r="238" spans="1:8" ht="13.5" x14ac:dyDescent="0.25">
      <c r="A238" s="1"/>
      <c r="B238" s="3">
        <v>42649</v>
      </c>
      <c r="C238" s="4">
        <v>15.1</v>
      </c>
      <c r="D238" s="4">
        <v>6.6966000000000001</v>
      </c>
      <c r="E238" s="4">
        <v>2049</v>
      </c>
      <c r="F238" s="4"/>
      <c r="G238" s="4"/>
      <c r="H238" s="5">
        <f t="shared" si="3"/>
        <v>8.0231210392425634E-3</v>
      </c>
    </row>
    <row r="239" spans="1:8" ht="13.5" x14ac:dyDescent="0.25">
      <c r="A239" s="1"/>
      <c r="B239" s="3">
        <v>42650</v>
      </c>
      <c r="C239" s="4">
        <v>14.82</v>
      </c>
      <c r="D239" s="4">
        <v>6.5724</v>
      </c>
      <c r="E239" s="4">
        <v>1304</v>
      </c>
      <c r="F239" s="4"/>
      <c r="G239" s="4"/>
      <c r="H239" s="5">
        <f t="shared" si="3"/>
        <v>-1.8546725203834796E-2</v>
      </c>
    </row>
    <row r="240" spans="1:8" ht="13.5" x14ac:dyDescent="0.25">
      <c r="A240" s="1"/>
      <c r="B240" s="3">
        <v>42653</v>
      </c>
      <c r="C240" s="4">
        <v>14.67</v>
      </c>
      <c r="D240" s="4">
        <v>6.5058999999999996</v>
      </c>
      <c r="E240" s="4">
        <v>4305</v>
      </c>
      <c r="F240" s="4"/>
      <c r="G240" s="4"/>
      <c r="H240" s="5">
        <f t="shared" si="3"/>
        <v>-1.0118069502769224E-2</v>
      </c>
    </row>
    <row r="241" spans="1:8" ht="13.5" x14ac:dyDescent="0.25">
      <c r="A241" s="1"/>
      <c r="B241" s="3">
        <v>42654</v>
      </c>
      <c r="C241" s="4">
        <v>14.8</v>
      </c>
      <c r="D241" s="4">
        <v>6.5635000000000003</v>
      </c>
      <c r="E241" s="4">
        <v>3153</v>
      </c>
      <c r="F241" s="4"/>
      <c r="G241" s="4"/>
      <c r="H241" s="5">
        <f t="shared" si="3"/>
        <v>8.8535022056903372E-3</v>
      </c>
    </row>
    <row r="242" spans="1:8" ht="13.5" x14ac:dyDescent="0.25">
      <c r="A242" s="1"/>
      <c r="B242" s="3">
        <v>42655</v>
      </c>
      <c r="C242" s="4">
        <v>14.67</v>
      </c>
      <c r="D242" s="4">
        <v>6.5058999999999996</v>
      </c>
      <c r="E242" s="4">
        <v>3324</v>
      </c>
      <c r="F242" s="4"/>
      <c r="G242" s="4"/>
      <c r="H242" s="5">
        <f t="shared" si="3"/>
        <v>-8.7758055915290248E-3</v>
      </c>
    </row>
    <row r="243" spans="1:8" ht="13.5" x14ac:dyDescent="0.25">
      <c r="A243" s="1"/>
      <c r="B243" s="3">
        <v>42656</v>
      </c>
      <c r="C243" s="4">
        <v>14.62</v>
      </c>
      <c r="D243" s="4">
        <v>6.4836999999999998</v>
      </c>
      <c r="E243" s="4">
        <v>6472</v>
      </c>
      <c r="F243" s="4"/>
      <c r="G243" s="4"/>
      <c r="H243" s="5">
        <f t="shared" si="3"/>
        <v>-3.4122873084430714E-3</v>
      </c>
    </row>
    <row r="244" spans="1:8" ht="13.5" x14ac:dyDescent="0.25">
      <c r="A244" s="1"/>
      <c r="B244" s="3">
        <v>42657</v>
      </c>
      <c r="C244" s="4">
        <v>14.65</v>
      </c>
      <c r="D244" s="4">
        <v>6.4969999999999999</v>
      </c>
      <c r="E244" s="4">
        <v>5615</v>
      </c>
      <c r="F244" s="4"/>
      <c r="G244" s="4"/>
      <c r="H244" s="5">
        <f t="shared" si="3"/>
        <v>2.0512978700433534E-3</v>
      </c>
    </row>
    <row r="245" spans="1:8" ht="13.5" x14ac:dyDescent="0.25">
      <c r="A245" s="1"/>
      <c r="B245" s="3">
        <v>42660</v>
      </c>
      <c r="C245" s="4">
        <v>14.67</v>
      </c>
      <c r="D245" s="4">
        <v>6.5058999999999996</v>
      </c>
      <c r="E245" s="4">
        <v>2663</v>
      </c>
      <c r="F245" s="4"/>
      <c r="G245" s="4"/>
      <c r="H245" s="5">
        <f t="shared" si="3"/>
        <v>1.3698630136985818E-3</v>
      </c>
    </row>
    <row r="246" spans="1:8" ht="13.5" x14ac:dyDescent="0.25">
      <c r="A246" s="1"/>
      <c r="B246" s="3">
        <v>42661</v>
      </c>
      <c r="C246" s="4">
        <v>14.57</v>
      </c>
      <c r="D246" s="4">
        <v>6.4615</v>
      </c>
      <c r="E246" s="4">
        <v>5486</v>
      </c>
      <c r="F246" s="4"/>
      <c r="G246" s="4"/>
      <c r="H246" s="5">
        <f t="shared" si="3"/>
        <v>-6.8245746168861428E-3</v>
      </c>
    </row>
    <row r="247" spans="1:8" ht="13.5" x14ac:dyDescent="0.25">
      <c r="A247" s="1"/>
      <c r="B247" s="3">
        <v>42662</v>
      </c>
      <c r="C247" s="4">
        <v>14.55</v>
      </c>
      <c r="D247" s="4">
        <v>6.4526000000000003</v>
      </c>
      <c r="E247" s="4">
        <v>5616</v>
      </c>
      <c r="F247" s="4"/>
      <c r="G247" s="4"/>
      <c r="H247" s="5">
        <f t="shared" si="3"/>
        <v>-1.3773891511258509E-3</v>
      </c>
    </row>
    <row r="248" spans="1:8" ht="13.5" x14ac:dyDescent="0.25">
      <c r="A248" s="1"/>
      <c r="B248" s="3">
        <v>42663</v>
      </c>
      <c r="C248" s="4">
        <v>14.55</v>
      </c>
      <c r="D248" s="4">
        <v>6.4526000000000003</v>
      </c>
      <c r="E248" s="4">
        <v>3922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14.55</v>
      </c>
      <c r="D249" s="4">
        <v>6.4526000000000003</v>
      </c>
      <c r="E249" s="4">
        <v>6995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14.8</v>
      </c>
      <c r="D250" s="4">
        <v>6.5635000000000003</v>
      </c>
      <c r="E250" s="4">
        <v>4556</v>
      </c>
      <c r="F250" s="4"/>
      <c r="G250" s="4"/>
      <c r="H250" s="5">
        <f t="shared" si="3"/>
        <v>1.7186870408827448E-2</v>
      </c>
    </row>
    <row r="251" spans="1:8" ht="13.5" x14ac:dyDescent="0.25">
      <c r="A251" s="1"/>
      <c r="B251" s="3">
        <v>42668</v>
      </c>
      <c r="C251" s="4">
        <v>14.8</v>
      </c>
      <c r="D251" s="4">
        <v>6.5635000000000003</v>
      </c>
      <c r="E251" s="4">
        <v>5709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15.24</v>
      </c>
      <c r="D252" s="4">
        <v>6.7586000000000004</v>
      </c>
      <c r="E252" s="4">
        <v>17679</v>
      </c>
      <c r="F252" s="4"/>
      <c r="G252" s="4"/>
      <c r="H252" s="5">
        <f t="shared" si="3"/>
        <v>2.9724994286584906E-2</v>
      </c>
    </row>
    <row r="253" spans="1:8" ht="13.5" x14ac:dyDescent="0.25">
      <c r="A253" s="1"/>
      <c r="B253" s="3">
        <v>42670</v>
      </c>
      <c r="C253" s="4">
        <v>15.92</v>
      </c>
      <c r="D253" s="4">
        <v>7.0602</v>
      </c>
      <c r="E253" s="4">
        <v>0</v>
      </c>
      <c r="F253" s="4"/>
      <c r="G253" s="4"/>
      <c r="H253" s="5">
        <f t="shared" si="3"/>
        <v>4.46246264019175E-2</v>
      </c>
    </row>
    <row r="254" spans="1:8" ht="13.5" x14ac:dyDescent="0.25">
      <c r="A254" s="1"/>
      <c r="B254" s="3">
        <v>42671</v>
      </c>
      <c r="C254" s="4">
        <v>15.3</v>
      </c>
      <c r="D254" s="4">
        <v>6.7853000000000003</v>
      </c>
      <c r="E254" s="4">
        <v>42578</v>
      </c>
      <c r="F254" s="4"/>
      <c r="G254" s="4"/>
      <c r="H254" s="5">
        <f t="shared" si="3"/>
        <v>-3.8936574034729853E-2</v>
      </c>
    </row>
    <row r="255" spans="1:8" ht="13.5" x14ac:dyDescent="0.25">
      <c r="A255" s="1"/>
      <c r="B255" s="3">
        <v>42674</v>
      </c>
      <c r="C255" s="4">
        <v>15.46</v>
      </c>
      <c r="D255" s="4">
        <v>6.8562000000000003</v>
      </c>
      <c r="E255" s="4">
        <v>11107</v>
      </c>
      <c r="F255" s="4"/>
      <c r="G255" s="4"/>
      <c r="H255" s="5">
        <f t="shared" si="3"/>
        <v>1.0449058995180753E-2</v>
      </c>
    </row>
    <row r="256" spans="1:8" ht="13.5" x14ac:dyDescent="0.25">
      <c r="A256" s="1"/>
      <c r="B256" s="3">
        <v>42675</v>
      </c>
      <c r="C256" s="4">
        <v>15.1</v>
      </c>
      <c r="D256" s="4">
        <v>6.6966000000000001</v>
      </c>
      <c r="E256" s="4">
        <v>10229</v>
      </c>
      <c r="F256" s="4"/>
      <c r="G256" s="4"/>
      <c r="H256" s="5">
        <f t="shared" si="3"/>
        <v>-2.327820075260351E-2</v>
      </c>
    </row>
    <row r="257" spans="1:8" ht="13.5" x14ac:dyDescent="0.25">
      <c r="A257" s="1"/>
      <c r="B257" s="3">
        <v>42676</v>
      </c>
      <c r="C257" s="4">
        <v>14.7</v>
      </c>
      <c r="D257" s="4">
        <v>6.5191999999999997</v>
      </c>
      <c r="E257" s="4">
        <v>10219</v>
      </c>
      <c r="F257" s="4"/>
      <c r="G257" s="4"/>
      <c r="H257" s="5">
        <f t="shared" si="3"/>
        <v>-2.6491055162321243E-2</v>
      </c>
    </row>
    <row r="258" spans="1:8" ht="13.5" x14ac:dyDescent="0.25">
      <c r="A258" s="1"/>
      <c r="B258" s="3">
        <v>42677</v>
      </c>
      <c r="C258" s="4">
        <v>14.99</v>
      </c>
      <c r="D258" s="4">
        <v>6.6478000000000002</v>
      </c>
      <c r="E258" s="4">
        <v>2801</v>
      </c>
      <c r="F258" s="4"/>
      <c r="G258" s="4"/>
      <c r="H258" s="5">
        <f t="shared" si="3"/>
        <v>1.9726346791017379E-2</v>
      </c>
    </row>
    <row r="259" spans="1:8" ht="13.5" x14ac:dyDescent="0.25">
      <c r="A259" s="1"/>
      <c r="B259" s="3">
        <v>42678</v>
      </c>
      <c r="C259" s="4">
        <v>14.75</v>
      </c>
      <c r="D259" s="4">
        <v>6.5412999999999997</v>
      </c>
      <c r="E259" s="4">
        <v>5605</v>
      </c>
      <c r="F259" s="4"/>
      <c r="G259" s="4"/>
      <c r="H259" s="5">
        <f t="shared" si="3"/>
        <v>-1.6020337555281518E-2</v>
      </c>
    </row>
    <row r="260" spans="1:8" ht="13.5" x14ac:dyDescent="0.25">
      <c r="A260" s="1"/>
      <c r="B260" s="3">
        <v>42681</v>
      </c>
      <c r="C260" s="4">
        <v>14.99</v>
      </c>
      <c r="D260" s="4">
        <v>6.6478000000000002</v>
      </c>
      <c r="E260" s="4">
        <v>2554</v>
      </c>
      <c r="F260" s="4"/>
      <c r="G260" s="4"/>
      <c r="H260" s="5">
        <f t="shared" si="3"/>
        <v>1.6281167352055478E-2</v>
      </c>
    </row>
    <row r="261" spans="1:8" ht="13.5" x14ac:dyDescent="0.25">
      <c r="A261" s="1"/>
      <c r="B261" s="3">
        <v>42682</v>
      </c>
      <c r="C261" s="4">
        <v>14.8</v>
      </c>
      <c r="D261" s="4">
        <v>6.5635000000000003</v>
      </c>
      <c r="E261" s="4">
        <v>4429</v>
      </c>
      <c r="F261" s="4"/>
      <c r="G261" s="4"/>
      <c r="H261" s="5">
        <f t="shared" si="3"/>
        <v>-1.2680886909955147E-2</v>
      </c>
    </row>
    <row r="262" spans="1:8" ht="13.5" x14ac:dyDescent="0.25">
      <c r="A262" s="1"/>
      <c r="B262" s="3">
        <v>42683</v>
      </c>
      <c r="C262" s="4">
        <v>14.8</v>
      </c>
      <c r="D262" s="4">
        <v>6.5635000000000003</v>
      </c>
      <c r="E262" s="4">
        <v>5558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14.82</v>
      </c>
      <c r="D263" s="4">
        <v>6.5724</v>
      </c>
      <c r="E263" s="4">
        <v>6349</v>
      </c>
      <c r="F263" s="4"/>
      <c r="G263" s="4"/>
      <c r="H263" s="5">
        <f t="shared" ref="H263:H326" si="4">(D263-D262)/D262</f>
        <v>1.3559838500799399E-3</v>
      </c>
    </row>
    <row r="264" spans="1:8" ht="13.5" x14ac:dyDescent="0.25">
      <c r="A264" s="1"/>
      <c r="B264" s="3">
        <v>42685</v>
      </c>
      <c r="C264" s="4">
        <v>15.29</v>
      </c>
      <c r="D264" s="4">
        <v>6.7808000000000002</v>
      </c>
      <c r="E264" s="4">
        <v>9012</v>
      </c>
      <c r="F264" s="4"/>
      <c r="G264" s="4"/>
      <c r="H264" s="5">
        <f t="shared" si="4"/>
        <v>3.1708356156046516E-2</v>
      </c>
    </row>
    <row r="265" spans="1:8" ht="13.5" x14ac:dyDescent="0.25">
      <c r="A265" s="1"/>
      <c r="B265" s="3">
        <v>42688</v>
      </c>
      <c r="C265" s="4">
        <v>15.7</v>
      </c>
      <c r="D265" s="4">
        <v>6.9626000000000001</v>
      </c>
      <c r="E265" s="4">
        <v>4416</v>
      </c>
      <c r="F265" s="4"/>
      <c r="G265" s="4"/>
      <c r="H265" s="5">
        <f t="shared" si="4"/>
        <v>2.6810995752713538E-2</v>
      </c>
    </row>
    <row r="266" spans="1:8" ht="13.5" x14ac:dyDescent="0.25">
      <c r="A266" s="1"/>
      <c r="B266" s="3">
        <v>42689</v>
      </c>
      <c r="C266" s="4">
        <v>15.7</v>
      </c>
      <c r="D266" s="4">
        <v>6.9626000000000001</v>
      </c>
      <c r="E266" s="4">
        <v>5524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15.3</v>
      </c>
      <c r="D267" s="4">
        <v>6.7853000000000003</v>
      </c>
      <c r="E267" s="4">
        <v>2021</v>
      </c>
      <c r="F267" s="4"/>
      <c r="G267" s="4"/>
      <c r="H267" s="5">
        <f t="shared" si="4"/>
        <v>-2.5464625283658372E-2</v>
      </c>
    </row>
    <row r="268" spans="1:8" ht="13.5" x14ac:dyDescent="0.25">
      <c r="A268" s="1"/>
      <c r="B268" s="3">
        <v>42691</v>
      </c>
      <c r="C268" s="4">
        <v>15.29</v>
      </c>
      <c r="D268" s="4">
        <v>6.7808000000000002</v>
      </c>
      <c r="E268" s="4">
        <v>4863</v>
      </c>
      <c r="F268" s="4"/>
      <c r="G268" s="4"/>
      <c r="H268" s="5">
        <f t="shared" si="4"/>
        <v>-6.6319838474351465E-4</v>
      </c>
    </row>
    <row r="269" spans="1:8" ht="13.5" x14ac:dyDescent="0.25">
      <c r="A269" s="1"/>
      <c r="B269" s="3">
        <v>42692</v>
      </c>
      <c r="C269" s="4">
        <v>15.2</v>
      </c>
      <c r="D269" s="4">
        <v>6.7408999999999999</v>
      </c>
      <c r="E269" s="4">
        <v>4968</v>
      </c>
      <c r="F269" s="4"/>
      <c r="G269" s="4"/>
      <c r="H269" s="5">
        <f t="shared" si="4"/>
        <v>-5.8842614440774346E-3</v>
      </c>
    </row>
    <row r="270" spans="1:8" ht="13.5" x14ac:dyDescent="0.25">
      <c r="A270" s="1"/>
      <c r="B270" s="3">
        <v>42695</v>
      </c>
      <c r="C270" s="4">
        <v>14.9</v>
      </c>
      <c r="D270" s="4">
        <v>6.6078999999999999</v>
      </c>
      <c r="E270" s="4">
        <v>6115</v>
      </c>
      <c r="F270" s="4"/>
      <c r="G270" s="4"/>
      <c r="H270" s="5">
        <f t="shared" si="4"/>
        <v>-1.9730303075257014E-2</v>
      </c>
    </row>
    <row r="271" spans="1:8" ht="13.5" x14ac:dyDescent="0.25">
      <c r="A271" s="1"/>
      <c r="B271" s="3">
        <v>42696</v>
      </c>
      <c r="C271" s="4">
        <v>14.9</v>
      </c>
      <c r="D271" s="4">
        <v>6.6078999999999999</v>
      </c>
      <c r="E271" s="4">
        <v>10600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15</v>
      </c>
      <c r="D272" s="4">
        <v>6.6521999999999997</v>
      </c>
      <c r="E272" s="4">
        <v>3368</v>
      </c>
      <c r="F272" s="4"/>
      <c r="G272" s="4"/>
      <c r="H272" s="5">
        <f t="shared" si="4"/>
        <v>6.7040966116314995E-3</v>
      </c>
    </row>
    <row r="273" spans="1:8" ht="13.5" x14ac:dyDescent="0.25">
      <c r="A273" s="1"/>
      <c r="B273" s="3">
        <v>42698</v>
      </c>
      <c r="C273" s="4">
        <v>15</v>
      </c>
      <c r="D273" s="4">
        <v>6.6521999999999997</v>
      </c>
      <c r="E273" s="4">
        <v>7408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15</v>
      </c>
      <c r="D274" s="4">
        <v>6.6521999999999997</v>
      </c>
      <c r="E274" s="4">
        <v>10896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15.2</v>
      </c>
      <c r="D275" s="4">
        <v>6.7408999999999999</v>
      </c>
      <c r="E275" s="4">
        <v>7081</v>
      </c>
      <c r="F275" s="4"/>
      <c r="G275" s="4"/>
      <c r="H275" s="5">
        <f t="shared" si="4"/>
        <v>1.3333934638164851E-2</v>
      </c>
    </row>
    <row r="276" spans="1:8" ht="13.5" x14ac:dyDescent="0.25">
      <c r="A276" s="1"/>
      <c r="B276" s="3">
        <v>42703</v>
      </c>
      <c r="C276" s="4">
        <v>14.92</v>
      </c>
      <c r="D276" s="4">
        <v>6.6166999999999998</v>
      </c>
      <c r="E276" s="4">
        <v>4009</v>
      </c>
      <c r="F276" s="4"/>
      <c r="G276" s="4"/>
      <c r="H276" s="5">
        <f t="shared" si="4"/>
        <v>-1.8424839413134757E-2</v>
      </c>
    </row>
    <row r="277" spans="1:8" ht="13.5" x14ac:dyDescent="0.25">
      <c r="A277" s="1"/>
      <c r="B277" s="3">
        <v>42704</v>
      </c>
      <c r="C277" s="4">
        <v>15.06</v>
      </c>
      <c r="D277" s="4">
        <v>6.6787999999999998</v>
      </c>
      <c r="E277" s="4">
        <v>4802</v>
      </c>
      <c r="F277" s="4"/>
      <c r="G277" s="4"/>
      <c r="H277" s="5">
        <f t="shared" si="4"/>
        <v>9.3853431468859175E-3</v>
      </c>
    </row>
    <row r="278" spans="1:8" ht="13.5" x14ac:dyDescent="0.25">
      <c r="A278" s="1"/>
      <c r="B278" s="3">
        <v>42705</v>
      </c>
      <c r="C278" s="4">
        <v>14.92</v>
      </c>
      <c r="D278" s="4">
        <v>6.6166999999999998</v>
      </c>
      <c r="E278" s="4">
        <v>4443</v>
      </c>
      <c r="F278" s="4"/>
      <c r="G278" s="4"/>
      <c r="H278" s="5">
        <f t="shared" si="4"/>
        <v>-9.2980774989519146E-3</v>
      </c>
    </row>
    <row r="279" spans="1:8" ht="13.5" x14ac:dyDescent="0.25">
      <c r="A279" s="1"/>
      <c r="B279" s="3">
        <v>42706</v>
      </c>
      <c r="C279" s="4">
        <v>14.82</v>
      </c>
      <c r="D279" s="4">
        <v>6.5724</v>
      </c>
      <c r="E279" s="4">
        <v>5048</v>
      </c>
      <c r="F279" s="4"/>
      <c r="G279" s="4"/>
      <c r="H279" s="5">
        <f t="shared" si="4"/>
        <v>-6.6951803769250209E-3</v>
      </c>
    </row>
    <row r="280" spans="1:8" ht="13.5" x14ac:dyDescent="0.25">
      <c r="A280" s="1"/>
      <c r="B280" s="3">
        <v>42709</v>
      </c>
      <c r="C280" s="4">
        <v>14.71</v>
      </c>
      <c r="D280" s="4">
        <v>6.5236000000000001</v>
      </c>
      <c r="E280" s="4">
        <v>4832</v>
      </c>
      <c r="F280" s="4"/>
      <c r="G280" s="4"/>
      <c r="H280" s="5">
        <f t="shared" si="4"/>
        <v>-7.4249893494005162E-3</v>
      </c>
    </row>
    <row r="281" spans="1:8" ht="13.5" x14ac:dyDescent="0.25">
      <c r="A281" s="1"/>
      <c r="B281" s="3">
        <v>42710</v>
      </c>
      <c r="C281" s="4">
        <v>14.89</v>
      </c>
      <c r="D281" s="4">
        <v>6.6033999999999997</v>
      </c>
      <c r="E281" s="4">
        <v>12454</v>
      </c>
      <c r="F281" s="4"/>
      <c r="G281" s="4"/>
      <c r="H281" s="5">
        <f t="shared" si="4"/>
        <v>1.2232509657244412E-2</v>
      </c>
    </row>
    <row r="282" spans="1:8" ht="13.5" x14ac:dyDescent="0.25">
      <c r="A282" s="1"/>
      <c r="B282" s="3">
        <v>42711</v>
      </c>
      <c r="C282" s="4">
        <v>14.58</v>
      </c>
      <c r="D282" s="4">
        <v>6.4659000000000004</v>
      </c>
      <c r="E282" s="4">
        <v>16204</v>
      </c>
      <c r="F282" s="4"/>
      <c r="G282" s="4"/>
      <c r="H282" s="5">
        <f t="shared" si="4"/>
        <v>-2.0822606536026789E-2</v>
      </c>
    </row>
    <row r="283" spans="1:8" ht="13.5" x14ac:dyDescent="0.25">
      <c r="A283" s="1"/>
      <c r="B283" s="3">
        <v>42712</v>
      </c>
      <c r="C283" s="4">
        <v>14.45</v>
      </c>
      <c r="D283" s="4">
        <v>6.4082999999999997</v>
      </c>
      <c r="E283" s="4">
        <v>7649</v>
      </c>
      <c r="F283" s="4"/>
      <c r="G283" s="4"/>
      <c r="H283" s="5">
        <f t="shared" si="4"/>
        <v>-8.9082726302604064E-3</v>
      </c>
    </row>
    <row r="284" spans="1:8" ht="13.5" x14ac:dyDescent="0.25">
      <c r="A284" s="1"/>
      <c r="B284" s="3">
        <v>42713</v>
      </c>
      <c r="C284" s="4">
        <v>14.46</v>
      </c>
      <c r="D284" s="4">
        <v>6.4127000000000001</v>
      </c>
      <c r="E284" s="4">
        <v>6370</v>
      </c>
      <c r="F284" s="4"/>
      <c r="G284" s="4"/>
      <c r="H284" s="5">
        <f t="shared" si="4"/>
        <v>6.8660955323571052E-4</v>
      </c>
    </row>
    <row r="285" spans="1:8" ht="13.5" x14ac:dyDescent="0.25">
      <c r="A285" s="1"/>
      <c r="B285" s="3">
        <v>42717</v>
      </c>
      <c r="C285" s="4">
        <v>14.23</v>
      </c>
      <c r="D285" s="4">
        <v>6.3106999999999998</v>
      </c>
      <c r="E285" s="4">
        <v>4445</v>
      </c>
      <c r="F285" s="4"/>
      <c r="G285" s="4"/>
      <c r="H285" s="5">
        <f t="shared" si="4"/>
        <v>-1.590593665694642E-2</v>
      </c>
    </row>
    <row r="286" spans="1:8" ht="13.5" x14ac:dyDescent="0.25">
      <c r="A286" s="1"/>
      <c r="B286" s="3">
        <v>42718</v>
      </c>
      <c r="C286" s="4">
        <v>14.52</v>
      </c>
      <c r="D286" s="4">
        <v>6.4393000000000002</v>
      </c>
      <c r="E286" s="4">
        <v>3859</v>
      </c>
      <c r="F286" s="4"/>
      <c r="G286" s="4"/>
      <c r="H286" s="5">
        <f t="shared" si="4"/>
        <v>2.0378088009254204E-2</v>
      </c>
    </row>
    <row r="287" spans="1:8" ht="13.5" x14ac:dyDescent="0.25">
      <c r="A287" s="1"/>
      <c r="B287" s="3">
        <v>42719</v>
      </c>
      <c r="C287" s="4">
        <v>14.4</v>
      </c>
      <c r="D287" s="4">
        <v>6.3860999999999999</v>
      </c>
      <c r="E287" s="4">
        <v>3267</v>
      </c>
      <c r="F287" s="4"/>
      <c r="G287" s="4"/>
      <c r="H287" s="5">
        <f t="shared" si="4"/>
        <v>-8.2617675834330377E-3</v>
      </c>
    </row>
    <row r="288" spans="1:8" ht="13.5" x14ac:dyDescent="0.25">
      <c r="A288" s="1"/>
      <c r="B288" s="3">
        <v>42720</v>
      </c>
      <c r="C288" s="4">
        <v>14.6</v>
      </c>
      <c r="D288" s="4">
        <v>6.4748000000000001</v>
      </c>
      <c r="E288" s="4">
        <v>5737</v>
      </c>
      <c r="F288" s="4"/>
      <c r="G288" s="4"/>
      <c r="H288" s="5">
        <f t="shared" si="4"/>
        <v>1.3889541347614385E-2</v>
      </c>
    </row>
    <row r="289" spans="1:8" ht="13.5" x14ac:dyDescent="0.25">
      <c r="A289" s="1"/>
      <c r="B289" s="3">
        <v>42723</v>
      </c>
      <c r="C289" s="4">
        <v>14.4</v>
      </c>
      <c r="D289" s="4">
        <v>6.3860999999999999</v>
      </c>
      <c r="E289" s="4">
        <v>4352</v>
      </c>
      <c r="F289" s="4"/>
      <c r="G289" s="4"/>
      <c r="H289" s="5">
        <f t="shared" si="4"/>
        <v>-1.3699264842157321E-2</v>
      </c>
    </row>
    <row r="290" spans="1:8" ht="13.5" x14ac:dyDescent="0.25">
      <c r="A290" s="1"/>
      <c r="B290" s="3">
        <v>42724</v>
      </c>
      <c r="C290" s="4">
        <v>14.18</v>
      </c>
      <c r="D290" s="4">
        <v>6.2885999999999997</v>
      </c>
      <c r="E290" s="4">
        <v>4402</v>
      </c>
      <c r="F290" s="4"/>
      <c r="G290" s="4"/>
      <c r="H290" s="5">
        <f t="shared" si="4"/>
        <v>-1.5267534175788062E-2</v>
      </c>
    </row>
    <row r="291" spans="1:8" ht="13.5" x14ac:dyDescent="0.25">
      <c r="A291" s="1"/>
      <c r="B291" s="3">
        <v>42725</v>
      </c>
      <c r="C291" s="4">
        <v>13.46</v>
      </c>
      <c r="D291" s="4">
        <v>5.9691999999999998</v>
      </c>
      <c r="E291" s="4">
        <v>11472</v>
      </c>
      <c r="F291" s="4"/>
      <c r="G291" s="4"/>
      <c r="H291" s="5">
        <f t="shared" si="4"/>
        <v>-5.0790318989918253E-2</v>
      </c>
    </row>
    <row r="292" spans="1:8" ht="13.5" x14ac:dyDescent="0.25">
      <c r="A292" s="1"/>
      <c r="B292" s="3">
        <v>42726</v>
      </c>
      <c r="C292" s="4">
        <v>12.86</v>
      </c>
      <c r="D292" s="4">
        <v>5.7031999999999998</v>
      </c>
      <c r="E292" s="4">
        <v>0</v>
      </c>
      <c r="F292" s="4"/>
      <c r="G292" s="4"/>
      <c r="H292" s="5">
        <f t="shared" si="4"/>
        <v>-4.4562085371574085E-2</v>
      </c>
    </row>
    <row r="293" spans="1:8" ht="13.5" x14ac:dyDescent="0.25">
      <c r="A293" s="1"/>
      <c r="B293" s="3">
        <v>42727</v>
      </c>
      <c r="C293" s="4">
        <v>12.29</v>
      </c>
      <c r="D293" s="4">
        <v>5.4504000000000001</v>
      </c>
      <c r="E293" s="4">
        <v>0</v>
      </c>
      <c r="F293" s="4"/>
      <c r="G293" s="4"/>
      <c r="H293" s="5">
        <f t="shared" si="4"/>
        <v>-4.4325992425305036E-2</v>
      </c>
    </row>
    <row r="294" spans="1:8" ht="13.5" x14ac:dyDescent="0.25">
      <c r="A294" s="1"/>
      <c r="B294" s="3">
        <v>42730</v>
      </c>
      <c r="C294" s="4">
        <v>11.74</v>
      </c>
      <c r="D294" s="4">
        <v>5.2065000000000001</v>
      </c>
      <c r="E294" s="4">
        <v>0</v>
      </c>
      <c r="F294" s="4"/>
      <c r="G294" s="4"/>
      <c r="H294" s="5">
        <f t="shared" si="4"/>
        <v>-4.4749009247027738E-2</v>
      </c>
    </row>
    <row r="295" spans="1:8" ht="13.5" x14ac:dyDescent="0.25">
      <c r="A295" s="1"/>
      <c r="B295" s="3">
        <v>42731</v>
      </c>
      <c r="C295" s="4">
        <v>11.82</v>
      </c>
      <c r="D295" s="4">
        <v>5.2419000000000002</v>
      </c>
      <c r="E295" s="4">
        <v>32984</v>
      </c>
      <c r="F295" s="4"/>
      <c r="G295" s="4"/>
      <c r="H295" s="5">
        <f t="shared" si="4"/>
        <v>6.7991933160472676E-3</v>
      </c>
    </row>
    <row r="296" spans="1:8" ht="13.5" x14ac:dyDescent="0.25">
      <c r="A296" s="1"/>
      <c r="B296" s="3">
        <v>42732</v>
      </c>
      <c r="C296" s="4">
        <v>11.43</v>
      </c>
      <c r="D296" s="4">
        <v>5.069</v>
      </c>
      <c r="E296" s="4">
        <v>10426</v>
      </c>
      <c r="F296" s="4"/>
      <c r="G296" s="4"/>
      <c r="H296" s="5">
        <f t="shared" si="4"/>
        <v>-3.2984223277819164E-2</v>
      </c>
    </row>
    <row r="297" spans="1:8" ht="13.5" x14ac:dyDescent="0.25">
      <c r="A297" s="1"/>
      <c r="B297" s="3">
        <v>42733</v>
      </c>
      <c r="C297" s="4">
        <v>11.83</v>
      </c>
      <c r="D297" s="4">
        <v>5.2464000000000004</v>
      </c>
      <c r="E297" s="4">
        <v>12775</v>
      </c>
      <c r="F297" s="4"/>
      <c r="G297" s="4"/>
      <c r="H297" s="5">
        <f t="shared" si="4"/>
        <v>3.499704083645698E-2</v>
      </c>
    </row>
    <row r="298" spans="1:8" ht="13.5" x14ac:dyDescent="0.25">
      <c r="A298" s="1"/>
      <c r="B298" s="3">
        <v>42734</v>
      </c>
      <c r="C298" s="4">
        <v>12.3</v>
      </c>
      <c r="D298" s="4">
        <v>5.4547999999999996</v>
      </c>
      <c r="E298" s="4">
        <v>33796</v>
      </c>
      <c r="F298" s="4"/>
      <c r="G298" s="4"/>
      <c r="H298" s="5">
        <f t="shared" si="4"/>
        <v>3.9722476364745206E-2</v>
      </c>
    </row>
    <row r="299" spans="1:8" ht="13.5" x14ac:dyDescent="0.25">
      <c r="A299" s="1"/>
      <c r="B299" s="3">
        <v>42737</v>
      </c>
      <c r="C299" s="4">
        <v>12.85</v>
      </c>
      <c r="D299" s="4">
        <v>5.6986999999999997</v>
      </c>
      <c r="E299" s="4">
        <v>133</v>
      </c>
      <c r="F299" s="4"/>
      <c r="G299" s="4"/>
      <c r="H299" s="5">
        <f t="shared" si="4"/>
        <v>4.4712913397374793E-2</v>
      </c>
    </row>
    <row r="300" spans="1:8" ht="13.5" x14ac:dyDescent="0.25">
      <c r="A300" s="1"/>
      <c r="B300" s="3">
        <v>42738</v>
      </c>
      <c r="C300" s="4">
        <v>13.06</v>
      </c>
      <c r="D300" s="4">
        <v>5.7919</v>
      </c>
      <c r="E300" s="4">
        <v>720</v>
      </c>
      <c r="F300" s="4"/>
      <c r="G300" s="4"/>
      <c r="H300" s="5">
        <f t="shared" si="4"/>
        <v>1.6354607191113833E-2</v>
      </c>
    </row>
    <row r="301" spans="1:8" ht="13.5" x14ac:dyDescent="0.25">
      <c r="A301" s="1"/>
      <c r="B301" s="3">
        <v>42739</v>
      </c>
      <c r="C301" s="4">
        <v>13.1</v>
      </c>
      <c r="D301" s="4">
        <v>5.8095999999999997</v>
      </c>
      <c r="E301" s="4">
        <v>3768</v>
      </c>
      <c r="F301" s="4"/>
      <c r="G301" s="4"/>
      <c r="H301" s="5">
        <f t="shared" si="4"/>
        <v>3.0559919888118931E-3</v>
      </c>
    </row>
    <row r="302" spans="1:8" ht="13.5" x14ac:dyDescent="0.25">
      <c r="A302" s="1"/>
      <c r="B302" s="3">
        <v>42740</v>
      </c>
      <c r="C302" s="4">
        <v>13.48</v>
      </c>
      <c r="D302" s="4">
        <v>5.9781000000000004</v>
      </c>
      <c r="E302" s="4">
        <v>1244</v>
      </c>
      <c r="F302" s="4"/>
      <c r="G302" s="4"/>
      <c r="H302" s="5">
        <f t="shared" si="4"/>
        <v>2.900371798402657E-2</v>
      </c>
    </row>
    <row r="303" spans="1:8" ht="13.5" x14ac:dyDescent="0.25">
      <c r="A303" s="1"/>
      <c r="B303" s="3">
        <v>42741</v>
      </c>
      <c r="C303" s="4">
        <v>12.82</v>
      </c>
      <c r="D303" s="4">
        <v>5.6853999999999996</v>
      </c>
      <c r="E303" s="4">
        <v>1026</v>
      </c>
      <c r="F303" s="4"/>
      <c r="G303" s="4"/>
      <c r="H303" s="5">
        <f t="shared" si="4"/>
        <v>-4.8962044796841943E-2</v>
      </c>
    </row>
    <row r="304" spans="1:8" ht="13.5" x14ac:dyDescent="0.25">
      <c r="A304" s="1"/>
      <c r="B304" s="3">
        <v>42744</v>
      </c>
      <c r="C304" s="4">
        <v>12.1</v>
      </c>
      <c r="D304" s="4">
        <v>5.3661000000000003</v>
      </c>
      <c r="E304" s="4">
        <v>1489</v>
      </c>
      <c r="F304" s="4"/>
      <c r="G304" s="4"/>
      <c r="H304" s="5">
        <f t="shared" si="4"/>
        <v>-5.6161395856052218E-2</v>
      </c>
    </row>
    <row r="305" spans="1:8" ht="13.5" x14ac:dyDescent="0.25">
      <c r="A305" s="1"/>
      <c r="B305" s="3">
        <v>42745</v>
      </c>
      <c r="C305" s="4">
        <v>12.04</v>
      </c>
      <c r="D305" s="4">
        <v>5.3395000000000001</v>
      </c>
      <c r="E305" s="4">
        <v>1442</v>
      </c>
      <c r="F305" s="4"/>
      <c r="G305" s="4"/>
      <c r="H305" s="5">
        <f t="shared" si="4"/>
        <v>-4.9570451538361524E-3</v>
      </c>
    </row>
    <row r="306" spans="1:8" ht="13.5" x14ac:dyDescent="0.25">
      <c r="A306" s="1"/>
      <c r="B306" s="3">
        <v>42746</v>
      </c>
      <c r="C306" s="4">
        <v>12</v>
      </c>
      <c r="D306" s="4">
        <v>5.3217999999999996</v>
      </c>
      <c r="E306" s="4">
        <v>1075</v>
      </c>
      <c r="F306" s="4"/>
      <c r="G306" s="4"/>
      <c r="H306" s="5">
        <f t="shared" si="4"/>
        <v>-3.3149171270719156E-3</v>
      </c>
    </row>
    <row r="307" spans="1:8" ht="13.5" x14ac:dyDescent="0.25">
      <c r="A307" s="1"/>
      <c r="B307" s="3">
        <v>42747</v>
      </c>
      <c r="C307" s="4">
        <v>11.8</v>
      </c>
      <c r="D307" s="4">
        <v>5.2331000000000003</v>
      </c>
      <c r="E307" s="4">
        <v>3227</v>
      </c>
      <c r="F307" s="4"/>
      <c r="G307" s="4"/>
      <c r="H307" s="5">
        <f t="shared" si="4"/>
        <v>-1.666729302115813E-2</v>
      </c>
    </row>
    <row r="308" spans="1:8" ht="13.5" x14ac:dyDescent="0.25">
      <c r="A308" s="1"/>
      <c r="B308" s="3">
        <v>42748</v>
      </c>
      <c r="C308" s="4">
        <v>12</v>
      </c>
      <c r="D308" s="4">
        <v>5.3217999999999996</v>
      </c>
      <c r="E308" s="4">
        <v>2887</v>
      </c>
      <c r="F308" s="4"/>
      <c r="G308" s="4"/>
      <c r="H308" s="5">
        <f t="shared" si="4"/>
        <v>1.6949800309567813E-2</v>
      </c>
    </row>
    <row r="309" spans="1:8" ht="13.5" x14ac:dyDescent="0.25">
      <c r="A309" s="1"/>
      <c r="B309" s="3">
        <v>42751</v>
      </c>
      <c r="C309" s="4">
        <v>11.95</v>
      </c>
      <c r="D309" s="4">
        <v>5.2995999999999999</v>
      </c>
      <c r="E309" s="4">
        <v>1585</v>
      </c>
      <c r="F309" s="4"/>
      <c r="G309" s="4"/>
      <c r="H309" s="5">
        <f t="shared" si="4"/>
        <v>-4.1715209139764325E-3</v>
      </c>
    </row>
    <row r="310" spans="1:8" ht="13.5" x14ac:dyDescent="0.25">
      <c r="A310" s="1"/>
      <c r="B310" s="3">
        <v>42752</v>
      </c>
      <c r="C310" s="4">
        <v>11.9</v>
      </c>
      <c r="D310" s="4">
        <v>5.2774000000000001</v>
      </c>
      <c r="E310" s="4">
        <v>546</v>
      </c>
      <c r="F310" s="4"/>
      <c r="G310" s="4"/>
      <c r="H310" s="5">
        <f t="shared" si="4"/>
        <v>-4.1889953958788922E-3</v>
      </c>
    </row>
    <row r="311" spans="1:8" ht="13.5" x14ac:dyDescent="0.25">
      <c r="A311" s="1"/>
      <c r="B311" s="3">
        <v>42753</v>
      </c>
      <c r="C311" s="4">
        <v>11.76</v>
      </c>
      <c r="D311" s="4">
        <v>5.2153</v>
      </c>
      <c r="E311" s="4">
        <v>1100</v>
      </c>
      <c r="F311" s="4"/>
      <c r="G311" s="4"/>
      <c r="H311" s="5">
        <f t="shared" si="4"/>
        <v>-1.1767158070261879E-2</v>
      </c>
    </row>
    <row r="312" spans="1:8" ht="13.5" x14ac:dyDescent="0.25">
      <c r="A312" s="1"/>
      <c r="B312" s="3">
        <v>42754</v>
      </c>
      <c r="C312" s="4">
        <v>11.67</v>
      </c>
      <c r="D312" s="4">
        <v>5.1753999999999998</v>
      </c>
      <c r="E312" s="4">
        <v>1878</v>
      </c>
      <c r="F312" s="4"/>
      <c r="G312" s="4"/>
      <c r="H312" s="5">
        <f t="shared" si="4"/>
        <v>-7.6505666021130653E-3</v>
      </c>
    </row>
    <row r="313" spans="1:8" ht="13.5" x14ac:dyDescent="0.25">
      <c r="A313" s="1"/>
      <c r="B313" s="3">
        <v>42755</v>
      </c>
      <c r="C313" s="4">
        <v>11.6</v>
      </c>
      <c r="D313" s="4">
        <v>5.1444000000000001</v>
      </c>
      <c r="E313" s="4">
        <v>1825</v>
      </c>
      <c r="F313" s="4"/>
      <c r="G313" s="4"/>
      <c r="H313" s="5">
        <f t="shared" si="4"/>
        <v>-5.9898751787300876E-3</v>
      </c>
    </row>
    <row r="314" spans="1:8" ht="13.5" x14ac:dyDescent="0.25">
      <c r="A314" s="1"/>
      <c r="B314" s="3">
        <v>42758</v>
      </c>
      <c r="C314" s="4">
        <v>11.26</v>
      </c>
      <c r="D314" s="4">
        <v>4.9935999999999998</v>
      </c>
      <c r="E314" s="4">
        <v>1070</v>
      </c>
      <c r="F314" s="4"/>
      <c r="G314" s="4"/>
      <c r="H314" s="5">
        <f t="shared" si="4"/>
        <v>-2.9313428193764146E-2</v>
      </c>
    </row>
    <row r="315" spans="1:8" ht="13.5" x14ac:dyDescent="0.25">
      <c r="A315" s="1"/>
      <c r="B315" s="3">
        <v>42759</v>
      </c>
      <c r="C315" s="4">
        <v>10.92</v>
      </c>
      <c r="D315" s="4">
        <v>4.8428000000000004</v>
      </c>
      <c r="E315" s="4">
        <v>3405</v>
      </c>
      <c r="F315" s="4"/>
      <c r="G315" s="4"/>
      <c r="H315" s="5">
        <f t="shared" si="4"/>
        <v>-3.0198654277475045E-2</v>
      </c>
    </row>
    <row r="316" spans="1:8" ht="13.5" x14ac:dyDescent="0.25">
      <c r="A316" s="1"/>
      <c r="B316" s="3">
        <v>42760</v>
      </c>
      <c r="C316" s="4">
        <v>10.59</v>
      </c>
      <c r="D316" s="4">
        <v>4.6965000000000003</v>
      </c>
      <c r="E316" s="4">
        <v>4452</v>
      </c>
      <c r="F316" s="4"/>
      <c r="G316" s="4"/>
      <c r="H316" s="5">
        <f t="shared" si="4"/>
        <v>-3.0209795985793361E-2</v>
      </c>
    </row>
    <row r="317" spans="1:8" ht="13.5" x14ac:dyDescent="0.25">
      <c r="A317" s="1"/>
      <c r="B317" s="3">
        <v>42761</v>
      </c>
      <c r="C317" s="4">
        <v>10.01</v>
      </c>
      <c r="D317" s="4">
        <v>4.4391999999999996</v>
      </c>
      <c r="E317" s="4">
        <v>3559</v>
      </c>
      <c r="F317" s="4"/>
      <c r="G317" s="4"/>
      <c r="H317" s="5">
        <f t="shared" si="4"/>
        <v>-5.4785478547854941E-2</v>
      </c>
    </row>
    <row r="318" spans="1:8" ht="13.5" x14ac:dyDescent="0.25">
      <c r="A318" s="1"/>
      <c r="B318" s="3">
        <v>42762</v>
      </c>
      <c r="C318" s="4">
        <v>10.199999999999999</v>
      </c>
      <c r="D318" s="4">
        <v>4.5235000000000003</v>
      </c>
      <c r="E318" s="4">
        <v>7476</v>
      </c>
      <c r="F318" s="4"/>
      <c r="G318" s="4"/>
      <c r="H318" s="5">
        <f t="shared" si="4"/>
        <v>1.8989908091548189E-2</v>
      </c>
    </row>
    <row r="319" spans="1:8" ht="13.5" x14ac:dyDescent="0.25">
      <c r="A319" s="1"/>
      <c r="B319" s="3">
        <v>42765</v>
      </c>
      <c r="C319" s="4">
        <v>10.65</v>
      </c>
      <c r="D319" s="4">
        <v>4.7230999999999996</v>
      </c>
      <c r="E319" s="4">
        <v>0</v>
      </c>
      <c r="F319" s="4"/>
      <c r="G319" s="4"/>
      <c r="H319" s="5">
        <f t="shared" si="4"/>
        <v>4.4125124350613311E-2</v>
      </c>
    </row>
    <row r="320" spans="1:8" ht="13.5" x14ac:dyDescent="0.25">
      <c r="A320" s="1"/>
      <c r="B320" s="3">
        <v>42766</v>
      </c>
      <c r="C320" s="4">
        <v>10.96</v>
      </c>
      <c r="D320" s="4">
        <v>4.8605</v>
      </c>
      <c r="E320" s="4">
        <v>4187</v>
      </c>
      <c r="F320" s="4"/>
      <c r="G320" s="4"/>
      <c r="H320" s="5">
        <f t="shared" si="4"/>
        <v>2.9091063072981819E-2</v>
      </c>
    </row>
    <row r="321" spans="1:8" ht="13.5" x14ac:dyDescent="0.25">
      <c r="A321" s="1"/>
      <c r="B321" s="3">
        <v>42767</v>
      </c>
      <c r="C321" s="4">
        <v>10.38</v>
      </c>
      <c r="D321" s="4">
        <v>4.6032999999999999</v>
      </c>
      <c r="E321" s="4">
        <v>2400</v>
      </c>
      <c r="F321" s="4"/>
      <c r="G321" s="4"/>
      <c r="H321" s="5">
        <f t="shared" si="4"/>
        <v>-5.2916366628947657E-2</v>
      </c>
    </row>
    <row r="322" spans="1:8" ht="13.5" x14ac:dyDescent="0.25">
      <c r="A322" s="1"/>
      <c r="B322" s="3">
        <v>42768</v>
      </c>
      <c r="C322" s="4">
        <v>10.8</v>
      </c>
      <c r="D322" s="4">
        <v>4.7896000000000001</v>
      </c>
      <c r="E322" s="4">
        <v>1495</v>
      </c>
      <c r="F322" s="4"/>
      <c r="G322" s="4"/>
      <c r="H322" s="5">
        <f t="shared" si="4"/>
        <v>4.0470966480568318E-2</v>
      </c>
    </row>
    <row r="323" spans="1:8" ht="13.5" x14ac:dyDescent="0.25">
      <c r="A323" s="1"/>
      <c r="B323" s="3">
        <v>42769</v>
      </c>
      <c r="C323" s="4">
        <v>10.99</v>
      </c>
      <c r="D323" s="4">
        <v>4.8738000000000001</v>
      </c>
      <c r="E323" s="4">
        <v>2631</v>
      </c>
      <c r="F323" s="4"/>
      <c r="G323" s="4"/>
      <c r="H323" s="5">
        <f t="shared" si="4"/>
        <v>1.7579756138299658E-2</v>
      </c>
    </row>
    <row r="324" spans="1:8" ht="13.5" x14ac:dyDescent="0.25">
      <c r="A324" s="1"/>
      <c r="B324" s="3">
        <v>42772</v>
      </c>
      <c r="C324" s="4">
        <v>11.12</v>
      </c>
      <c r="D324" s="4">
        <v>4.9314999999999998</v>
      </c>
      <c r="E324" s="4">
        <v>968</v>
      </c>
      <c r="F324" s="4"/>
      <c r="G324" s="4"/>
      <c r="H324" s="5">
        <f t="shared" si="4"/>
        <v>1.18388116049078E-2</v>
      </c>
    </row>
    <row r="325" spans="1:8" ht="13.5" x14ac:dyDescent="0.25">
      <c r="A325" s="1"/>
      <c r="B325" s="3">
        <v>42773</v>
      </c>
      <c r="C325" s="4">
        <v>11.12</v>
      </c>
      <c r="D325" s="4">
        <v>4.9314999999999998</v>
      </c>
      <c r="E325" s="4">
        <v>1444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10.8</v>
      </c>
      <c r="D326" s="4">
        <v>4.7896000000000001</v>
      </c>
      <c r="E326" s="4">
        <v>39224</v>
      </c>
      <c r="F326" s="4"/>
      <c r="G326" s="4"/>
      <c r="H326" s="5">
        <f t="shared" si="4"/>
        <v>-2.8774206630842483E-2</v>
      </c>
    </row>
    <row r="327" spans="1:8" ht="13.5" x14ac:dyDescent="0.25">
      <c r="A327" s="1"/>
      <c r="B327" s="3">
        <v>42775</v>
      </c>
      <c r="C327" s="4">
        <v>11</v>
      </c>
      <c r="D327" s="4">
        <v>4.8783000000000003</v>
      </c>
      <c r="E327" s="4">
        <v>672</v>
      </c>
      <c r="F327" s="4"/>
      <c r="G327" s="4"/>
      <c r="H327" s="5">
        <f t="shared" ref="H327:H390" si="5">(D327-D326)/D326</f>
        <v>1.8519291798897657E-2</v>
      </c>
    </row>
    <row r="328" spans="1:8" ht="13.5" x14ac:dyDescent="0.25">
      <c r="A328" s="1"/>
      <c r="B328" s="3">
        <v>42776</v>
      </c>
      <c r="C328" s="4">
        <v>10.39</v>
      </c>
      <c r="D328" s="4">
        <v>4.6078000000000001</v>
      </c>
      <c r="E328" s="4">
        <v>2689</v>
      </c>
      <c r="F328" s="4"/>
      <c r="G328" s="4"/>
      <c r="H328" s="5">
        <f t="shared" si="5"/>
        <v>-5.5449644343316354E-2</v>
      </c>
    </row>
    <row r="329" spans="1:8" ht="13.5" x14ac:dyDescent="0.25">
      <c r="A329" s="1"/>
      <c r="B329" s="3">
        <v>42779</v>
      </c>
      <c r="C329" s="4">
        <v>10.89</v>
      </c>
      <c r="D329" s="4">
        <v>4.8295000000000003</v>
      </c>
      <c r="E329" s="4">
        <v>1080</v>
      </c>
      <c r="F329" s="4"/>
      <c r="G329" s="4"/>
      <c r="H329" s="5">
        <f t="shared" si="5"/>
        <v>4.8114067450844268E-2</v>
      </c>
    </row>
    <row r="330" spans="1:8" ht="13.5" x14ac:dyDescent="0.25">
      <c r="A330" s="1"/>
      <c r="B330" s="3">
        <v>42780</v>
      </c>
      <c r="C330" s="4">
        <v>10.4</v>
      </c>
      <c r="D330" s="4">
        <v>4.6121999999999996</v>
      </c>
      <c r="E330" s="4">
        <v>456</v>
      </c>
      <c r="F330" s="4"/>
      <c r="G330" s="4"/>
      <c r="H330" s="5">
        <f t="shared" si="5"/>
        <v>-4.4994305828760885E-2</v>
      </c>
    </row>
    <row r="331" spans="1:8" ht="13.5" x14ac:dyDescent="0.25">
      <c r="A331" s="1"/>
      <c r="B331" s="3">
        <v>42781</v>
      </c>
      <c r="C331" s="4">
        <v>10.8</v>
      </c>
      <c r="D331" s="4">
        <v>4.7896000000000001</v>
      </c>
      <c r="E331" s="4">
        <v>814</v>
      </c>
      <c r="F331" s="4"/>
      <c r="G331" s="4"/>
      <c r="H331" s="5">
        <f t="shared" si="5"/>
        <v>3.8463206278999275E-2</v>
      </c>
    </row>
    <row r="332" spans="1:8" ht="13.5" x14ac:dyDescent="0.25">
      <c r="A332" s="1"/>
      <c r="B332" s="3">
        <v>42782</v>
      </c>
      <c r="C332" s="4">
        <v>10.32</v>
      </c>
      <c r="D332" s="4">
        <v>4.5766999999999998</v>
      </c>
      <c r="E332" s="4">
        <v>80</v>
      </c>
      <c r="F332" s="4"/>
      <c r="G332" s="4"/>
      <c r="H332" s="5">
        <f t="shared" si="5"/>
        <v>-4.4450476031401433E-2</v>
      </c>
    </row>
    <row r="333" spans="1:8" ht="13.5" x14ac:dyDescent="0.25">
      <c r="A333" s="1"/>
      <c r="B333" s="3">
        <v>42783</v>
      </c>
      <c r="C333" s="4">
        <v>10</v>
      </c>
      <c r="D333" s="4">
        <v>4.4348000000000001</v>
      </c>
      <c r="E333" s="4">
        <v>7757</v>
      </c>
      <c r="F333" s="4"/>
      <c r="G333" s="4"/>
      <c r="H333" s="5">
        <f t="shared" si="5"/>
        <v>-3.1004872506391001E-2</v>
      </c>
    </row>
    <row r="334" spans="1:8" ht="13.5" x14ac:dyDescent="0.25">
      <c r="A334" s="1"/>
      <c r="B334" s="3">
        <v>42786</v>
      </c>
      <c r="C334" s="4">
        <v>9.69</v>
      </c>
      <c r="D334" s="4">
        <v>4.2972999999999999</v>
      </c>
      <c r="E334" s="4">
        <v>3352</v>
      </c>
      <c r="F334" s="4"/>
      <c r="G334" s="4"/>
      <c r="H334" s="5">
        <f t="shared" si="5"/>
        <v>-3.100478037341034E-2</v>
      </c>
    </row>
    <row r="335" spans="1:8" ht="13.5" x14ac:dyDescent="0.25">
      <c r="A335" s="1"/>
      <c r="B335" s="3">
        <v>42787</v>
      </c>
      <c r="C335" s="4">
        <v>9.26</v>
      </c>
      <c r="D335" s="4">
        <v>4.1066000000000003</v>
      </c>
      <c r="E335" s="4">
        <v>1898</v>
      </c>
      <c r="F335" s="4"/>
      <c r="G335" s="4"/>
      <c r="H335" s="5">
        <f t="shared" si="5"/>
        <v>-4.4376701649873097E-2</v>
      </c>
    </row>
    <row r="336" spans="1:8" ht="13.5" x14ac:dyDescent="0.25">
      <c r="A336" s="1"/>
      <c r="B336" s="3">
        <v>42788</v>
      </c>
      <c r="C336" s="4">
        <v>9.1999999999999993</v>
      </c>
      <c r="D336" s="4">
        <v>4.08</v>
      </c>
      <c r="E336" s="4">
        <v>3447</v>
      </c>
      <c r="F336" s="4"/>
      <c r="G336" s="4"/>
      <c r="H336" s="5">
        <f t="shared" si="5"/>
        <v>-6.4773778795110745E-3</v>
      </c>
    </row>
    <row r="337" spans="1:8" ht="13.5" x14ac:dyDescent="0.25">
      <c r="A337" s="1"/>
      <c r="B337" s="3">
        <v>42789</v>
      </c>
      <c r="C337" s="4">
        <v>9</v>
      </c>
      <c r="D337" s="4">
        <v>3.9912999999999998</v>
      </c>
      <c r="E337" s="4">
        <v>11818</v>
      </c>
      <c r="F337" s="4"/>
      <c r="G337" s="4"/>
      <c r="H337" s="5">
        <f t="shared" si="5"/>
        <v>-2.1740196078431428E-2</v>
      </c>
    </row>
    <row r="338" spans="1:8" ht="13.5" x14ac:dyDescent="0.25">
      <c r="A338" s="1"/>
      <c r="B338" s="3">
        <v>42790</v>
      </c>
      <c r="C338" s="4">
        <v>9</v>
      </c>
      <c r="D338" s="4">
        <v>3.9912999999999998</v>
      </c>
      <c r="E338" s="4">
        <v>5629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8.73</v>
      </c>
      <c r="D339" s="4">
        <v>3.8715999999999999</v>
      </c>
      <c r="E339" s="4">
        <v>4895</v>
      </c>
      <c r="F339" s="4"/>
      <c r="G339" s="4"/>
      <c r="H339" s="5">
        <f t="shared" si="5"/>
        <v>-2.9990228747525851E-2</v>
      </c>
    </row>
    <row r="340" spans="1:8" ht="13.5" x14ac:dyDescent="0.25">
      <c r="A340" s="1"/>
      <c r="B340" s="3">
        <v>42794</v>
      </c>
      <c r="C340" s="4">
        <v>8.73</v>
      </c>
      <c r="D340" s="4">
        <v>3.8715999999999999</v>
      </c>
      <c r="E340" s="4">
        <v>1708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8.58</v>
      </c>
      <c r="D341" s="4">
        <v>3.8050999999999999</v>
      </c>
      <c r="E341" s="4">
        <v>1450</v>
      </c>
      <c r="F341" s="4"/>
      <c r="G341" s="4"/>
      <c r="H341" s="5">
        <f t="shared" si="5"/>
        <v>-1.7176361194338258E-2</v>
      </c>
    </row>
    <row r="342" spans="1:8" ht="13.5" x14ac:dyDescent="0.25">
      <c r="A342" s="1"/>
      <c r="B342" s="3">
        <v>42796</v>
      </c>
      <c r="C342" s="4">
        <v>8.57</v>
      </c>
      <c r="D342" s="4">
        <v>3.8006000000000002</v>
      </c>
      <c r="E342" s="4">
        <v>9694</v>
      </c>
      <c r="F342" s="4"/>
      <c r="G342" s="4"/>
      <c r="H342" s="5">
        <f t="shared" si="5"/>
        <v>-1.1826233213318247E-3</v>
      </c>
    </row>
    <row r="343" spans="1:8" ht="13.5" x14ac:dyDescent="0.25">
      <c r="A343" s="1"/>
      <c r="B343" s="3">
        <v>42797</v>
      </c>
      <c r="C343" s="4">
        <v>8.58</v>
      </c>
      <c r="D343" s="4">
        <v>3.8050999999999999</v>
      </c>
      <c r="E343" s="4">
        <v>6202</v>
      </c>
      <c r="F343" s="4"/>
      <c r="G343" s="4"/>
      <c r="H343" s="5">
        <f t="shared" si="5"/>
        <v>1.1840235752248924E-3</v>
      </c>
    </row>
    <row r="344" spans="1:8" ht="13.5" x14ac:dyDescent="0.25">
      <c r="A344" s="1"/>
      <c r="B344" s="3">
        <v>42800</v>
      </c>
      <c r="C344" s="4">
        <v>8.82</v>
      </c>
      <c r="D344" s="4">
        <v>3.9115000000000002</v>
      </c>
      <c r="E344" s="4">
        <v>2708</v>
      </c>
      <c r="F344" s="4"/>
      <c r="G344" s="4"/>
      <c r="H344" s="5">
        <f t="shared" si="5"/>
        <v>2.7962471419936474E-2</v>
      </c>
    </row>
    <row r="345" spans="1:8" ht="13.5" x14ac:dyDescent="0.25">
      <c r="A345" s="1"/>
      <c r="B345" s="3">
        <v>42801</v>
      </c>
      <c r="C345" s="4">
        <v>8.82</v>
      </c>
      <c r="D345" s="4">
        <v>3.9115000000000002</v>
      </c>
      <c r="E345" s="4">
        <v>2220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9.08</v>
      </c>
      <c r="D346" s="4">
        <v>4.0267999999999997</v>
      </c>
      <c r="E346" s="4">
        <v>4106</v>
      </c>
      <c r="F346" s="4"/>
      <c r="G346" s="4"/>
      <c r="H346" s="5">
        <f t="shared" si="5"/>
        <v>2.9477182666496102E-2</v>
      </c>
    </row>
    <row r="347" spans="1:8" ht="13.5" x14ac:dyDescent="0.25">
      <c r="A347" s="1"/>
      <c r="B347" s="3">
        <v>42803</v>
      </c>
      <c r="C347" s="4">
        <v>9.48</v>
      </c>
      <c r="D347" s="4">
        <v>4.2042000000000002</v>
      </c>
      <c r="E347" s="4">
        <v>0</v>
      </c>
      <c r="F347" s="4"/>
      <c r="G347" s="4"/>
      <c r="H347" s="5">
        <f t="shared" si="5"/>
        <v>4.4054832621436488E-2</v>
      </c>
    </row>
    <row r="348" spans="1:8" ht="13.5" x14ac:dyDescent="0.25">
      <c r="A348" s="1"/>
      <c r="B348" s="3">
        <v>42804</v>
      </c>
      <c r="C348" s="4">
        <v>10.039999999999999</v>
      </c>
      <c r="D348" s="4">
        <v>4.4524999999999997</v>
      </c>
      <c r="E348" s="4">
        <v>4655</v>
      </c>
      <c r="F348" s="4"/>
      <c r="G348" s="4"/>
      <c r="H348" s="5">
        <f t="shared" si="5"/>
        <v>5.9059987631416087E-2</v>
      </c>
    </row>
    <row r="349" spans="1:8" ht="13.5" x14ac:dyDescent="0.25">
      <c r="A349" s="1"/>
      <c r="B349" s="3">
        <v>42807</v>
      </c>
      <c r="C349" s="4">
        <v>10.029999999999999</v>
      </c>
      <c r="D349" s="4">
        <v>4.4481000000000002</v>
      </c>
      <c r="E349" s="4">
        <v>2701</v>
      </c>
      <c r="F349" s="4"/>
      <c r="G349" s="4"/>
      <c r="H349" s="5">
        <f t="shared" si="5"/>
        <v>-9.8820887142044142E-4</v>
      </c>
    </row>
    <row r="350" spans="1:8" ht="13.5" x14ac:dyDescent="0.25">
      <c r="A350" s="1"/>
      <c r="B350" s="3">
        <v>42808</v>
      </c>
      <c r="C350" s="4">
        <v>10.18</v>
      </c>
      <c r="D350" s="4">
        <v>4.5145999999999997</v>
      </c>
      <c r="E350" s="4">
        <v>2995</v>
      </c>
      <c r="F350" s="4"/>
      <c r="G350" s="4"/>
      <c r="H350" s="5">
        <f t="shared" si="5"/>
        <v>1.4950203457655978E-2</v>
      </c>
    </row>
    <row r="351" spans="1:8" ht="13.5" x14ac:dyDescent="0.25">
      <c r="A351" s="1"/>
      <c r="B351" s="3">
        <v>42809</v>
      </c>
      <c r="C351" s="4">
        <v>10.29</v>
      </c>
      <c r="D351" s="4">
        <v>4.5633999999999997</v>
      </c>
      <c r="E351" s="4">
        <v>3464</v>
      </c>
      <c r="F351" s="4"/>
      <c r="G351" s="4"/>
      <c r="H351" s="5">
        <f t="shared" si="5"/>
        <v>1.0809374030921888E-2</v>
      </c>
    </row>
    <row r="352" spans="1:8" ht="13.5" x14ac:dyDescent="0.25">
      <c r="A352" s="1"/>
      <c r="B352" s="3">
        <v>42810</v>
      </c>
      <c r="C352" s="4">
        <v>9.99</v>
      </c>
      <c r="D352" s="4">
        <v>4.4303999999999997</v>
      </c>
      <c r="E352" s="4">
        <v>3467</v>
      </c>
      <c r="F352" s="4"/>
      <c r="G352" s="4"/>
      <c r="H352" s="5">
        <f t="shared" si="5"/>
        <v>-2.9144935793487314E-2</v>
      </c>
    </row>
    <row r="353" spans="1:8" ht="13.5" x14ac:dyDescent="0.25">
      <c r="A353" s="1"/>
      <c r="B353" s="3">
        <v>42811</v>
      </c>
      <c r="C353" s="4">
        <v>9.99</v>
      </c>
      <c r="D353" s="4">
        <v>4.4303999999999997</v>
      </c>
      <c r="E353" s="4">
        <v>2970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9.73</v>
      </c>
      <c r="D354" s="4">
        <v>4.3151000000000002</v>
      </c>
      <c r="E354" s="4">
        <v>1345</v>
      </c>
      <c r="F354" s="4"/>
      <c r="G354" s="4"/>
      <c r="H354" s="5">
        <f t="shared" si="5"/>
        <v>-2.6024738172625388E-2</v>
      </c>
    </row>
    <row r="355" spans="1:8" ht="13.5" x14ac:dyDescent="0.25">
      <c r="A355" s="1"/>
      <c r="B355" s="3">
        <v>42816</v>
      </c>
      <c r="C355" s="4">
        <v>9.7200000000000006</v>
      </c>
      <c r="D355" s="4">
        <v>4.3106</v>
      </c>
      <c r="E355" s="4">
        <v>1090</v>
      </c>
      <c r="F355" s="4"/>
      <c r="G355" s="4"/>
      <c r="H355" s="5">
        <f t="shared" si="5"/>
        <v>-1.0428495284003083E-3</v>
      </c>
    </row>
    <row r="356" spans="1:8" ht="13.5" x14ac:dyDescent="0.25">
      <c r="A356" s="1"/>
      <c r="B356" s="3">
        <v>42817</v>
      </c>
      <c r="C356" s="4">
        <v>9.61</v>
      </c>
      <c r="D356" s="4">
        <v>4.2618</v>
      </c>
      <c r="E356" s="4">
        <v>2520</v>
      </c>
      <c r="F356" s="4"/>
      <c r="G356" s="4"/>
      <c r="H356" s="5">
        <f t="shared" si="5"/>
        <v>-1.1320929800955773E-2</v>
      </c>
    </row>
    <row r="357" spans="1:8" ht="13.5" x14ac:dyDescent="0.25">
      <c r="A357" s="1"/>
      <c r="B357" s="3">
        <v>42818</v>
      </c>
      <c r="C357" s="4">
        <v>9.4499999999999993</v>
      </c>
      <c r="D357" s="4">
        <v>4.1909000000000001</v>
      </c>
      <c r="E357" s="4">
        <v>3519</v>
      </c>
      <c r="F357" s="4"/>
      <c r="G357" s="4"/>
      <c r="H357" s="5">
        <f t="shared" si="5"/>
        <v>-1.6636163123562805E-2</v>
      </c>
    </row>
    <row r="358" spans="1:8" ht="13.5" x14ac:dyDescent="0.25">
      <c r="A358" s="1"/>
      <c r="B358" s="3">
        <v>42821</v>
      </c>
      <c r="C358" s="4">
        <v>9.1999999999999993</v>
      </c>
      <c r="D358" s="4">
        <v>4.08</v>
      </c>
      <c r="E358" s="4">
        <v>2532</v>
      </c>
      <c r="F358" s="4"/>
      <c r="G358" s="4"/>
      <c r="H358" s="5">
        <f t="shared" si="5"/>
        <v>-2.6462096447063876E-2</v>
      </c>
    </row>
    <row r="359" spans="1:8" ht="13.5" x14ac:dyDescent="0.25">
      <c r="A359" s="1"/>
      <c r="B359" s="3">
        <v>42822</v>
      </c>
      <c r="C359" s="4">
        <v>9.1999999999999993</v>
      </c>
      <c r="D359" s="4">
        <v>4.08</v>
      </c>
      <c r="E359" s="4">
        <v>747</v>
      </c>
      <c r="F359" s="4"/>
      <c r="G359" s="4"/>
      <c r="H359" s="5">
        <f t="shared" si="5"/>
        <v>0</v>
      </c>
    </row>
    <row r="360" spans="1:8" ht="13.5" x14ac:dyDescent="0.25">
      <c r="A360" s="1"/>
      <c r="B360" s="3">
        <v>42823</v>
      </c>
      <c r="C360" s="4">
        <v>9.1999999999999993</v>
      </c>
      <c r="D360" s="4">
        <v>4.08</v>
      </c>
      <c r="E360" s="4">
        <v>820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9.39</v>
      </c>
      <c r="D361" s="4">
        <v>4.1642999999999999</v>
      </c>
      <c r="E361" s="4">
        <v>2410</v>
      </c>
      <c r="F361" s="4"/>
      <c r="G361" s="4"/>
      <c r="H361" s="5">
        <f t="shared" si="5"/>
        <v>2.066176470588231E-2</v>
      </c>
    </row>
    <row r="362" spans="1:8" ht="13.5" x14ac:dyDescent="0.25">
      <c r="A362" s="1"/>
      <c r="B362" s="3">
        <v>42825</v>
      </c>
      <c r="C362" s="4">
        <v>9.1999999999999993</v>
      </c>
      <c r="D362" s="4">
        <v>4.08</v>
      </c>
      <c r="E362" s="4">
        <v>505</v>
      </c>
      <c r="F362" s="4"/>
      <c r="G362" s="4"/>
      <c r="H362" s="5">
        <f t="shared" si="5"/>
        <v>-2.0243498307038355E-2</v>
      </c>
    </row>
    <row r="363" spans="1:8" ht="13.5" x14ac:dyDescent="0.25">
      <c r="A363" s="1"/>
      <c r="B363" s="3">
        <v>42828</v>
      </c>
      <c r="C363" s="4">
        <v>9.0500000000000007</v>
      </c>
      <c r="D363" s="4">
        <v>4.0134999999999996</v>
      </c>
      <c r="E363" s="4">
        <v>2325</v>
      </c>
      <c r="F363" s="4"/>
      <c r="G363" s="4"/>
      <c r="H363" s="5">
        <f t="shared" si="5"/>
        <v>-1.6299019607843246E-2</v>
      </c>
    </row>
    <row r="364" spans="1:8" ht="13.5" x14ac:dyDescent="0.25">
      <c r="A364" s="1"/>
      <c r="B364" s="3">
        <v>42829</v>
      </c>
      <c r="C364" s="4">
        <v>9.39</v>
      </c>
      <c r="D364" s="4">
        <v>4.1642999999999999</v>
      </c>
      <c r="E364" s="4">
        <v>532</v>
      </c>
      <c r="F364" s="4"/>
      <c r="G364" s="4"/>
      <c r="H364" s="5">
        <f t="shared" si="5"/>
        <v>3.7573190482122903E-2</v>
      </c>
    </row>
    <row r="365" spans="1:8" ht="13.5" x14ac:dyDescent="0.25">
      <c r="A365" s="1"/>
      <c r="B365" s="3">
        <v>42830</v>
      </c>
      <c r="C365" s="4">
        <v>9.3699999999999992</v>
      </c>
      <c r="D365" s="4">
        <v>4.1554000000000002</v>
      </c>
      <c r="E365" s="4">
        <v>1310</v>
      </c>
      <c r="F365" s="4"/>
      <c r="G365" s="4"/>
      <c r="H365" s="5">
        <f t="shared" si="5"/>
        <v>-2.1372139375164341E-3</v>
      </c>
    </row>
    <row r="366" spans="1:8" ht="13.5" x14ac:dyDescent="0.25">
      <c r="A366" s="1"/>
      <c r="B366" s="3">
        <v>42831</v>
      </c>
      <c r="C366" s="4">
        <v>9.4</v>
      </c>
      <c r="D366" s="4">
        <v>4.1687000000000003</v>
      </c>
      <c r="E366" s="4">
        <v>2868</v>
      </c>
      <c r="F366" s="4"/>
      <c r="G366" s="4"/>
      <c r="H366" s="5">
        <f t="shared" si="5"/>
        <v>3.2006545699571854E-3</v>
      </c>
    </row>
    <row r="367" spans="1:8" ht="13.5" x14ac:dyDescent="0.25">
      <c r="A367" s="1"/>
      <c r="B367" s="3">
        <v>42832</v>
      </c>
      <c r="C367" s="4">
        <v>9.52</v>
      </c>
      <c r="D367" s="4">
        <v>4.2218999999999998</v>
      </c>
      <c r="E367" s="4">
        <v>1046</v>
      </c>
      <c r="F367" s="4"/>
      <c r="G367" s="4"/>
      <c r="H367" s="5">
        <f t="shared" si="5"/>
        <v>1.2761772255139364E-2</v>
      </c>
    </row>
    <row r="368" spans="1:8" ht="13.5" x14ac:dyDescent="0.25">
      <c r="A368" s="1"/>
      <c r="B368" s="3">
        <v>42835</v>
      </c>
      <c r="C368" s="4">
        <v>9.94</v>
      </c>
      <c r="D368" s="4">
        <v>4.4081999999999999</v>
      </c>
      <c r="E368" s="4">
        <v>1505</v>
      </c>
      <c r="F368" s="4"/>
      <c r="G368" s="4"/>
      <c r="H368" s="5">
        <f t="shared" si="5"/>
        <v>4.4127051801321711E-2</v>
      </c>
    </row>
    <row r="369" spans="1:8" ht="13.5" x14ac:dyDescent="0.25">
      <c r="A369" s="1"/>
      <c r="B369" s="3">
        <v>42836</v>
      </c>
      <c r="C369" s="4">
        <v>10.199999999999999</v>
      </c>
      <c r="D369" s="4">
        <v>4.5235000000000003</v>
      </c>
      <c r="E369" s="4">
        <v>4377</v>
      </c>
      <c r="F369" s="4"/>
      <c r="G369" s="4"/>
      <c r="H369" s="5">
        <f t="shared" si="5"/>
        <v>2.6155800553513998E-2</v>
      </c>
    </row>
    <row r="370" spans="1:8" ht="13.5" x14ac:dyDescent="0.25">
      <c r="A370" s="1"/>
      <c r="B370" s="3">
        <v>42837</v>
      </c>
      <c r="C370" s="4">
        <v>10.08</v>
      </c>
      <c r="D370" s="4">
        <v>4.4702999999999999</v>
      </c>
      <c r="E370" s="4">
        <v>1655</v>
      </c>
      <c r="F370" s="4"/>
      <c r="G370" s="4"/>
      <c r="H370" s="5">
        <f t="shared" si="5"/>
        <v>-1.1760804686636532E-2</v>
      </c>
    </row>
    <row r="371" spans="1:8" ht="13.5" x14ac:dyDescent="0.25">
      <c r="A371" s="1"/>
      <c r="B371" s="3">
        <v>42838</v>
      </c>
      <c r="C371" s="4">
        <v>9.8000000000000007</v>
      </c>
      <c r="D371" s="4">
        <v>4.3460999999999999</v>
      </c>
      <c r="E371" s="4">
        <v>1308</v>
      </c>
      <c r="F371" s="4"/>
      <c r="G371" s="4"/>
      <c r="H371" s="5">
        <f t="shared" si="5"/>
        <v>-2.778337024360783E-2</v>
      </c>
    </row>
    <row r="372" spans="1:8" ht="13.5" x14ac:dyDescent="0.25">
      <c r="A372" s="1"/>
      <c r="B372" s="3">
        <v>42839</v>
      </c>
      <c r="C372" s="4">
        <v>9.7899999999999991</v>
      </c>
      <c r="D372" s="4">
        <v>4.3417000000000003</v>
      </c>
      <c r="E372" s="4">
        <v>1118</v>
      </c>
      <c r="F372" s="4"/>
      <c r="G372" s="4"/>
      <c r="H372" s="5">
        <f t="shared" si="5"/>
        <v>-1.0124019235635434E-3</v>
      </c>
    </row>
    <row r="373" spans="1:8" ht="13.5" x14ac:dyDescent="0.25">
      <c r="A373" s="1"/>
      <c r="B373" s="3">
        <v>42842</v>
      </c>
      <c r="C373" s="4">
        <v>9.51</v>
      </c>
      <c r="D373" s="4">
        <v>4.2175000000000002</v>
      </c>
      <c r="E373" s="4">
        <v>2659</v>
      </c>
      <c r="F373" s="4"/>
      <c r="G373" s="4"/>
      <c r="H373" s="5">
        <f t="shared" si="5"/>
        <v>-2.8606306285556368E-2</v>
      </c>
    </row>
    <row r="374" spans="1:8" ht="13.5" x14ac:dyDescent="0.25">
      <c r="A374" s="1"/>
      <c r="B374" s="3">
        <v>42843</v>
      </c>
      <c r="C374" s="4">
        <v>9.5</v>
      </c>
      <c r="D374" s="4">
        <v>4.2130999999999998</v>
      </c>
      <c r="E374" s="4">
        <v>3147</v>
      </c>
      <c r="F374" s="4"/>
      <c r="G374" s="4"/>
      <c r="H374" s="5">
        <f t="shared" si="5"/>
        <v>-1.0432720806165746E-3</v>
      </c>
    </row>
    <row r="375" spans="1:8" ht="13.5" x14ac:dyDescent="0.25">
      <c r="A375" s="1"/>
      <c r="B375" s="3">
        <v>42844</v>
      </c>
      <c r="C375" s="4">
        <v>9.58</v>
      </c>
      <c r="D375" s="4">
        <v>4.2484999999999999</v>
      </c>
      <c r="E375" s="4">
        <v>980</v>
      </c>
      <c r="F375" s="4"/>
      <c r="G375" s="4"/>
      <c r="H375" s="5">
        <f t="shared" si="5"/>
        <v>8.4023640549714222E-3</v>
      </c>
    </row>
    <row r="376" spans="1:8" ht="13.5" x14ac:dyDescent="0.25">
      <c r="A376" s="1"/>
      <c r="B376" s="3">
        <v>42845</v>
      </c>
      <c r="C376" s="4">
        <v>9.6199999999999992</v>
      </c>
      <c r="D376" s="4">
        <v>4.2663000000000002</v>
      </c>
      <c r="E376" s="4">
        <v>790</v>
      </c>
      <c r="F376" s="4"/>
      <c r="G376" s="4"/>
      <c r="H376" s="5">
        <f t="shared" si="5"/>
        <v>4.1897140167118417E-3</v>
      </c>
    </row>
    <row r="377" spans="1:8" ht="13.5" x14ac:dyDescent="0.25">
      <c r="A377" s="1"/>
      <c r="B377" s="3">
        <v>42846</v>
      </c>
      <c r="C377" s="4">
        <v>9.5</v>
      </c>
      <c r="D377" s="4">
        <v>4.2130999999999998</v>
      </c>
      <c r="E377" s="4">
        <v>3427</v>
      </c>
      <c r="F377" s="4"/>
      <c r="G377" s="4"/>
      <c r="H377" s="5">
        <f t="shared" si="5"/>
        <v>-1.2469821625296007E-2</v>
      </c>
    </row>
    <row r="378" spans="1:8" ht="13.5" x14ac:dyDescent="0.25">
      <c r="A378" s="1"/>
      <c r="B378" s="3">
        <v>42849</v>
      </c>
      <c r="C378" s="4">
        <v>9.6</v>
      </c>
      <c r="D378" s="4">
        <v>4.2573999999999996</v>
      </c>
      <c r="E378" s="4">
        <v>3063</v>
      </c>
      <c r="F378" s="4"/>
      <c r="G378" s="4"/>
      <c r="H378" s="5">
        <f t="shared" si="5"/>
        <v>1.0514822814554552E-2</v>
      </c>
    </row>
    <row r="379" spans="1:8" ht="13.5" x14ac:dyDescent="0.25">
      <c r="A379" s="1"/>
      <c r="B379" s="3">
        <v>42850</v>
      </c>
      <c r="C379" s="4">
        <v>9.6</v>
      </c>
      <c r="D379" s="4">
        <v>4.2573999999999996</v>
      </c>
      <c r="E379" s="4">
        <v>215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9.6</v>
      </c>
      <c r="D380" s="4">
        <v>4.2573999999999996</v>
      </c>
      <c r="E380" s="4">
        <v>1587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9.5</v>
      </c>
      <c r="D381" s="4">
        <v>4.2130999999999998</v>
      </c>
      <c r="E381" s="4">
        <v>870</v>
      </c>
      <c r="F381" s="4"/>
      <c r="G381" s="4"/>
      <c r="H381" s="5">
        <f t="shared" si="5"/>
        <v>-1.0405411753652415E-2</v>
      </c>
    </row>
    <row r="382" spans="1:8" ht="13.5" x14ac:dyDescent="0.25">
      <c r="A382" s="1"/>
      <c r="B382" s="3">
        <v>42853</v>
      </c>
      <c r="C382" s="4">
        <v>9.5</v>
      </c>
      <c r="D382" s="4">
        <v>4.2130999999999998</v>
      </c>
      <c r="E382" s="4">
        <v>5844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9.49</v>
      </c>
      <c r="D383" s="4">
        <v>4.2085999999999997</v>
      </c>
      <c r="E383" s="4">
        <v>555</v>
      </c>
      <c r="F383" s="4"/>
      <c r="G383" s="4"/>
      <c r="H383" s="5">
        <f t="shared" si="5"/>
        <v>-1.0680971256319979E-3</v>
      </c>
    </row>
    <row r="384" spans="1:8" ht="13.5" x14ac:dyDescent="0.25">
      <c r="A384" s="1"/>
      <c r="B384" s="3">
        <v>42858</v>
      </c>
      <c r="C384" s="4">
        <v>9.33</v>
      </c>
      <c r="D384" s="4">
        <v>4.1376999999999997</v>
      </c>
      <c r="E384" s="4">
        <v>1447</v>
      </c>
      <c r="F384" s="4"/>
      <c r="G384" s="4"/>
      <c r="H384" s="5">
        <f t="shared" si="5"/>
        <v>-1.6846457254193786E-2</v>
      </c>
    </row>
    <row r="385" spans="1:8" ht="13.5" x14ac:dyDescent="0.25">
      <c r="A385" s="1"/>
      <c r="B385" s="3">
        <v>42859</v>
      </c>
      <c r="C385" s="4">
        <v>9.3000000000000007</v>
      </c>
      <c r="D385" s="4">
        <v>4.1243999999999996</v>
      </c>
      <c r="E385" s="4">
        <v>4710</v>
      </c>
      <c r="F385" s="4"/>
      <c r="G385" s="4"/>
      <c r="H385" s="5">
        <f t="shared" si="5"/>
        <v>-3.214346134325855E-3</v>
      </c>
    </row>
    <row r="386" spans="1:8" ht="13.5" x14ac:dyDescent="0.25">
      <c r="A386" s="1"/>
      <c r="B386" s="3">
        <v>42860</v>
      </c>
      <c r="C386" s="4">
        <v>9.3000000000000007</v>
      </c>
      <c r="D386" s="4">
        <v>4.1243999999999996</v>
      </c>
      <c r="E386" s="4">
        <v>820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9.0299999999999994</v>
      </c>
      <c r="D387" s="4">
        <v>4.0045999999999999</v>
      </c>
      <c r="E387" s="4">
        <v>1517</v>
      </c>
      <c r="F387" s="4"/>
      <c r="G387" s="4"/>
      <c r="H387" s="5">
        <f t="shared" si="5"/>
        <v>-2.9046649209581926E-2</v>
      </c>
    </row>
    <row r="388" spans="1:8" ht="13.5" x14ac:dyDescent="0.25">
      <c r="A388" s="1"/>
      <c r="B388" s="3">
        <v>42864</v>
      </c>
      <c r="C388" s="4">
        <v>9.43</v>
      </c>
      <c r="D388" s="4">
        <v>4.1820000000000004</v>
      </c>
      <c r="E388" s="4">
        <v>1244</v>
      </c>
      <c r="F388" s="4"/>
      <c r="G388" s="4"/>
      <c r="H388" s="5">
        <f t="shared" si="5"/>
        <v>4.4299056085501783E-2</v>
      </c>
    </row>
    <row r="389" spans="1:8" ht="13.5" x14ac:dyDescent="0.25">
      <c r="A389" s="1"/>
      <c r="B389" s="3">
        <v>42865</v>
      </c>
      <c r="C389" s="4">
        <v>9</v>
      </c>
      <c r="D389" s="4">
        <v>3.9912999999999998</v>
      </c>
      <c r="E389" s="4">
        <v>3636</v>
      </c>
      <c r="F389" s="4"/>
      <c r="G389" s="4"/>
      <c r="H389" s="5">
        <f t="shared" si="5"/>
        <v>-4.5600191296030733E-2</v>
      </c>
    </row>
    <row r="390" spans="1:8" ht="13.5" x14ac:dyDescent="0.25">
      <c r="A390" s="1"/>
      <c r="B390" s="3">
        <v>42866</v>
      </c>
      <c r="C390" s="4">
        <v>9.1199999999999992</v>
      </c>
      <c r="D390" s="4">
        <v>4.0445000000000002</v>
      </c>
      <c r="E390" s="4">
        <v>532</v>
      </c>
      <c r="F390" s="4"/>
      <c r="G390" s="4"/>
      <c r="H390" s="5">
        <f t="shared" si="5"/>
        <v>1.3328990554456032E-2</v>
      </c>
    </row>
    <row r="391" spans="1:8" ht="13.5" x14ac:dyDescent="0.25">
      <c r="A391" s="1"/>
      <c r="B391" s="3">
        <v>42867</v>
      </c>
      <c r="C391" s="4">
        <v>9</v>
      </c>
      <c r="D391" s="4">
        <v>3.9912999999999998</v>
      </c>
      <c r="E391" s="4">
        <v>1732</v>
      </c>
      <c r="F391" s="4"/>
      <c r="G391" s="4"/>
      <c r="H391" s="5">
        <f t="shared" ref="H391:H454" si="6">(D391-D390)/D390</f>
        <v>-1.3153665471628224E-2</v>
      </c>
    </row>
    <row r="392" spans="1:8" ht="13.5" x14ac:dyDescent="0.25">
      <c r="A392" s="1"/>
      <c r="B392" s="3">
        <v>42870</v>
      </c>
      <c r="C392" s="4">
        <v>8.91</v>
      </c>
      <c r="D392" s="4">
        <v>3.9514</v>
      </c>
      <c r="E392" s="4">
        <v>605</v>
      </c>
      <c r="F392" s="4"/>
      <c r="G392" s="4"/>
      <c r="H392" s="5">
        <f t="shared" si="6"/>
        <v>-9.9967429158419122E-3</v>
      </c>
    </row>
    <row r="393" spans="1:8" ht="13.5" x14ac:dyDescent="0.25">
      <c r="A393" s="1"/>
      <c r="B393" s="3">
        <v>42871</v>
      </c>
      <c r="C393" s="4">
        <v>9</v>
      </c>
      <c r="D393" s="4">
        <v>3.9912999999999998</v>
      </c>
      <c r="E393" s="4">
        <v>1134</v>
      </c>
      <c r="F393" s="4"/>
      <c r="G393" s="4"/>
      <c r="H393" s="5">
        <f t="shared" si="6"/>
        <v>1.0097686895783728E-2</v>
      </c>
    </row>
    <row r="394" spans="1:8" ht="13.5" x14ac:dyDescent="0.25">
      <c r="A394" s="1"/>
      <c r="B394" s="3">
        <v>42872</v>
      </c>
      <c r="C394" s="4">
        <v>8.9</v>
      </c>
      <c r="D394" s="4">
        <v>3.9470000000000001</v>
      </c>
      <c r="E394" s="4">
        <v>945</v>
      </c>
      <c r="F394" s="4"/>
      <c r="G394" s="4"/>
      <c r="H394" s="5">
        <f t="shared" si="6"/>
        <v>-1.1099140630872093E-2</v>
      </c>
    </row>
    <row r="395" spans="1:8" ht="13.5" x14ac:dyDescent="0.25">
      <c r="A395" s="1"/>
      <c r="B395" s="3">
        <v>42873</v>
      </c>
      <c r="C395" s="4">
        <v>8.73</v>
      </c>
      <c r="D395" s="4">
        <v>3.8715999999999999</v>
      </c>
      <c r="E395" s="4">
        <v>2034</v>
      </c>
      <c r="F395" s="4"/>
      <c r="G395" s="4"/>
      <c r="H395" s="5">
        <f t="shared" si="6"/>
        <v>-1.9103116290853848E-2</v>
      </c>
    </row>
    <row r="396" spans="1:8" ht="13.5" x14ac:dyDescent="0.25">
      <c r="A396" s="1"/>
      <c r="B396" s="3">
        <v>42874</v>
      </c>
      <c r="C396" s="4">
        <v>8.84</v>
      </c>
      <c r="D396" s="4">
        <v>3.9203999999999999</v>
      </c>
      <c r="E396" s="4">
        <v>586</v>
      </c>
      <c r="F396" s="4"/>
      <c r="G396" s="4"/>
      <c r="H396" s="5">
        <f t="shared" si="6"/>
        <v>1.2604607914040696E-2</v>
      </c>
    </row>
    <row r="397" spans="1:8" ht="13.5" x14ac:dyDescent="0.25">
      <c r="A397" s="1"/>
      <c r="B397" s="3">
        <v>42877</v>
      </c>
      <c r="C397" s="4">
        <v>8.6300000000000008</v>
      </c>
      <c r="D397" s="4">
        <v>3.8271999999999999</v>
      </c>
      <c r="E397" s="4">
        <v>1610</v>
      </c>
      <c r="F397" s="4"/>
      <c r="G397" s="4"/>
      <c r="H397" s="5">
        <f t="shared" si="6"/>
        <v>-2.3773084379144972E-2</v>
      </c>
    </row>
    <row r="398" spans="1:8" ht="13.5" x14ac:dyDescent="0.25">
      <c r="A398" s="1"/>
      <c r="B398" s="3">
        <v>42878</v>
      </c>
      <c r="C398" s="4">
        <v>8.77</v>
      </c>
      <c r="D398" s="4">
        <v>3.8893</v>
      </c>
      <c r="E398" s="4">
        <v>1680</v>
      </c>
      <c r="F398" s="4"/>
      <c r="G398" s="4"/>
      <c r="H398" s="5">
        <f t="shared" si="6"/>
        <v>1.622596153846155E-2</v>
      </c>
    </row>
    <row r="399" spans="1:8" ht="13.5" x14ac:dyDescent="0.25">
      <c r="A399" s="1"/>
      <c r="B399" s="3">
        <v>42879</v>
      </c>
      <c r="C399" s="4">
        <v>8.74</v>
      </c>
      <c r="D399" s="4">
        <v>3.8759999999999999</v>
      </c>
      <c r="E399" s="4">
        <v>1775</v>
      </c>
      <c r="F399" s="4"/>
      <c r="G399" s="4"/>
      <c r="H399" s="5">
        <f t="shared" si="6"/>
        <v>-3.4196384953590849E-3</v>
      </c>
    </row>
    <row r="400" spans="1:8" ht="13.5" x14ac:dyDescent="0.25">
      <c r="A400" s="1"/>
      <c r="B400" s="3">
        <v>42880</v>
      </c>
      <c r="C400" s="4">
        <v>8.65</v>
      </c>
      <c r="D400" s="4">
        <v>3.8361000000000001</v>
      </c>
      <c r="E400" s="4">
        <v>785</v>
      </c>
      <c r="F400" s="4"/>
      <c r="G400" s="4"/>
      <c r="H400" s="5">
        <f t="shared" si="6"/>
        <v>-1.0294117647058778E-2</v>
      </c>
    </row>
    <row r="401" spans="1:8" ht="13.5" x14ac:dyDescent="0.25">
      <c r="A401" s="1"/>
      <c r="B401" s="3">
        <v>42881</v>
      </c>
      <c r="C401" s="4">
        <v>8.36</v>
      </c>
      <c r="D401" s="4">
        <v>3.7075</v>
      </c>
      <c r="E401" s="4">
        <v>3250</v>
      </c>
      <c r="F401" s="4"/>
      <c r="G401" s="4"/>
      <c r="H401" s="5">
        <f t="shared" si="6"/>
        <v>-3.3523630770834978E-2</v>
      </c>
    </row>
    <row r="402" spans="1:8" ht="13.5" x14ac:dyDescent="0.25">
      <c r="A402" s="1"/>
      <c r="B402" s="3">
        <v>42884</v>
      </c>
      <c r="C402" s="4">
        <v>8.3699999999999992</v>
      </c>
      <c r="D402" s="4">
        <v>3.7119</v>
      </c>
      <c r="E402" s="4">
        <v>320</v>
      </c>
      <c r="F402" s="4"/>
      <c r="G402" s="4"/>
      <c r="H402" s="5">
        <f t="shared" si="6"/>
        <v>1.1867835468644531E-3</v>
      </c>
    </row>
    <row r="403" spans="1:8" ht="13.5" x14ac:dyDescent="0.25">
      <c r="A403" s="1"/>
      <c r="B403" s="3">
        <v>42885</v>
      </c>
      <c r="C403" s="4">
        <v>8.3800000000000008</v>
      </c>
      <c r="D403" s="4">
        <v>3.7164000000000001</v>
      </c>
      <c r="E403" s="4">
        <v>1705</v>
      </c>
      <c r="F403" s="4"/>
      <c r="G403" s="4"/>
      <c r="H403" s="5">
        <f t="shared" si="6"/>
        <v>1.2123171421644361E-3</v>
      </c>
    </row>
    <row r="404" spans="1:8" ht="13.5" x14ac:dyDescent="0.25">
      <c r="A404" s="1"/>
      <c r="B404" s="3">
        <v>42886</v>
      </c>
      <c r="C404" s="4">
        <v>8.64</v>
      </c>
      <c r="D404" s="4">
        <v>3.8317000000000001</v>
      </c>
      <c r="E404" s="4">
        <v>315</v>
      </c>
      <c r="F404" s="4"/>
      <c r="G404" s="4"/>
      <c r="H404" s="5">
        <f t="shared" si="6"/>
        <v>3.1024647508341392E-2</v>
      </c>
    </row>
    <row r="405" spans="1:8" ht="13.5" x14ac:dyDescent="0.25">
      <c r="A405" s="1"/>
      <c r="B405" s="3">
        <v>42887</v>
      </c>
      <c r="C405" s="4">
        <v>8.6199999999999992</v>
      </c>
      <c r="D405" s="4">
        <v>3.8228</v>
      </c>
      <c r="E405" s="4">
        <v>974</v>
      </c>
      <c r="F405" s="4"/>
      <c r="G405" s="4"/>
      <c r="H405" s="5">
        <f t="shared" si="6"/>
        <v>-2.3227288148863767E-3</v>
      </c>
    </row>
    <row r="406" spans="1:8" ht="13.5" x14ac:dyDescent="0.25">
      <c r="A406" s="1"/>
      <c r="B406" s="3">
        <v>42888</v>
      </c>
      <c r="C406" s="4">
        <v>8.59</v>
      </c>
      <c r="D406" s="4">
        <v>3.8094999999999999</v>
      </c>
      <c r="E406" s="4">
        <v>802</v>
      </c>
      <c r="F406" s="4"/>
      <c r="G406" s="4"/>
      <c r="H406" s="5">
        <f t="shared" si="6"/>
        <v>-3.4791252485089699E-3</v>
      </c>
    </row>
    <row r="407" spans="1:8" ht="13.5" x14ac:dyDescent="0.25">
      <c r="A407" s="1"/>
      <c r="B407" s="3">
        <v>42891</v>
      </c>
      <c r="C407" s="4">
        <v>8.7899999999999991</v>
      </c>
      <c r="D407" s="4">
        <v>3.8982000000000001</v>
      </c>
      <c r="E407" s="4">
        <v>1220</v>
      </c>
      <c r="F407" s="4"/>
      <c r="G407" s="4"/>
      <c r="H407" s="5">
        <f t="shared" si="6"/>
        <v>2.3283895524347085E-2</v>
      </c>
    </row>
    <row r="408" spans="1:8" ht="13.5" x14ac:dyDescent="0.25">
      <c r="A408" s="1"/>
      <c r="B408" s="3">
        <v>42892</v>
      </c>
      <c r="C408" s="4">
        <v>9.2200000000000006</v>
      </c>
      <c r="D408" s="4">
        <v>4.0888999999999998</v>
      </c>
      <c r="E408" s="4">
        <v>1631</v>
      </c>
      <c r="F408" s="4"/>
      <c r="G408" s="4"/>
      <c r="H408" s="5">
        <f t="shared" si="6"/>
        <v>4.8920014365604544E-2</v>
      </c>
    </row>
    <row r="409" spans="1:8" ht="13.5" x14ac:dyDescent="0.25">
      <c r="A409" s="1"/>
      <c r="B409" s="3">
        <v>42893</v>
      </c>
      <c r="C409" s="4">
        <v>9.6300000000000008</v>
      </c>
      <c r="D409" s="4">
        <v>4.2706999999999997</v>
      </c>
      <c r="E409" s="4">
        <v>0</v>
      </c>
      <c r="F409" s="4"/>
      <c r="G409" s="4"/>
      <c r="H409" s="5">
        <f t="shared" si="6"/>
        <v>4.4461835701533413E-2</v>
      </c>
    </row>
    <row r="410" spans="1:8" ht="13.5" x14ac:dyDescent="0.25">
      <c r="A410" s="1"/>
      <c r="B410" s="3">
        <v>42894</v>
      </c>
      <c r="C410" s="4">
        <v>9.32</v>
      </c>
      <c r="D410" s="4">
        <v>4.1332000000000004</v>
      </c>
      <c r="E410" s="4">
        <v>986</v>
      </c>
      <c r="F410" s="4"/>
      <c r="G410" s="4"/>
      <c r="H410" s="5">
        <f t="shared" si="6"/>
        <v>-3.2196127098601937E-2</v>
      </c>
    </row>
    <row r="411" spans="1:8" ht="13.5" x14ac:dyDescent="0.25">
      <c r="A411" s="1"/>
      <c r="B411" s="3">
        <v>42895</v>
      </c>
      <c r="C411" s="4">
        <v>9.3000000000000007</v>
      </c>
      <c r="D411" s="4">
        <v>4.1243999999999996</v>
      </c>
      <c r="E411" s="4">
        <v>4737</v>
      </c>
      <c r="F411" s="4"/>
      <c r="G411" s="4"/>
      <c r="H411" s="5">
        <f t="shared" si="6"/>
        <v>-2.1291009387401543E-3</v>
      </c>
    </row>
    <row r="412" spans="1:8" ht="13.5" x14ac:dyDescent="0.25">
      <c r="A412" s="1"/>
      <c r="B412" s="3">
        <v>42898</v>
      </c>
      <c r="C412" s="4">
        <v>9.56</v>
      </c>
      <c r="D412" s="4">
        <v>4.2397</v>
      </c>
      <c r="E412" s="4">
        <v>1221</v>
      </c>
      <c r="F412" s="4"/>
      <c r="G412" s="4"/>
      <c r="H412" s="5">
        <f t="shared" si="6"/>
        <v>2.7955581417903309E-2</v>
      </c>
    </row>
    <row r="413" spans="1:8" ht="13.5" x14ac:dyDescent="0.25">
      <c r="A413" s="1"/>
      <c r="B413" s="3">
        <v>42899</v>
      </c>
      <c r="C413" s="4">
        <v>9.31</v>
      </c>
      <c r="D413" s="4">
        <v>4.1288</v>
      </c>
      <c r="E413" s="4">
        <v>1149</v>
      </c>
      <c r="F413" s="4"/>
      <c r="G413" s="4"/>
      <c r="H413" s="5">
        <f t="shared" si="6"/>
        <v>-2.6157511144656462E-2</v>
      </c>
    </row>
    <row r="414" spans="1:8" ht="13.5" x14ac:dyDescent="0.25">
      <c r="A414" s="1"/>
      <c r="B414" s="3">
        <v>42900</v>
      </c>
      <c r="C414" s="4">
        <v>9.0500000000000007</v>
      </c>
      <c r="D414" s="4">
        <v>4.0134999999999996</v>
      </c>
      <c r="E414" s="4">
        <v>1853</v>
      </c>
      <c r="F414" s="4"/>
      <c r="G414" s="4"/>
      <c r="H414" s="5">
        <f t="shared" si="6"/>
        <v>-2.7925789575663728E-2</v>
      </c>
    </row>
    <row r="415" spans="1:8" ht="13.5" x14ac:dyDescent="0.25">
      <c r="A415" s="1"/>
      <c r="B415" s="3">
        <v>42901</v>
      </c>
      <c r="C415" s="4">
        <v>8.65</v>
      </c>
      <c r="D415" s="4">
        <v>3.8361000000000001</v>
      </c>
      <c r="E415" s="4">
        <v>0</v>
      </c>
      <c r="F415" s="4"/>
      <c r="G415" s="4"/>
      <c r="H415" s="5">
        <f t="shared" si="6"/>
        <v>-4.4200822224990548E-2</v>
      </c>
    </row>
    <row r="416" spans="1:8" ht="13.5" x14ac:dyDescent="0.25">
      <c r="A416" s="1"/>
      <c r="B416" s="3">
        <v>42902</v>
      </c>
      <c r="C416" s="4">
        <v>8.66</v>
      </c>
      <c r="D416" s="4">
        <v>3.8405</v>
      </c>
      <c r="E416" s="4">
        <v>1651</v>
      </c>
      <c r="F416" s="4"/>
      <c r="G416" s="4"/>
      <c r="H416" s="5">
        <f t="shared" si="6"/>
        <v>1.1469982534344672E-3</v>
      </c>
    </row>
    <row r="417" spans="1:8" ht="13.5" x14ac:dyDescent="0.25">
      <c r="A417" s="1"/>
      <c r="B417" s="3">
        <v>42905</v>
      </c>
      <c r="C417" s="4">
        <v>8.9</v>
      </c>
      <c r="D417" s="4">
        <v>3.9470000000000001</v>
      </c>
      <c r="E417" s="4">
        <v>648</v>
      </c>
      <c r="F417" s="4"/>
      <c r="G417" s="4"/>
      <c r="H417" s="5">
        <f t="shared" si="6"/>
        <v>2.7730764223408422E-2</v>
      </c>
    </row>
    <row r="418" spans="1:8" ht="13.5" x14ac:dyDescent="0.25">
      <c r="A418" s="1"/>
      <c r="B418" s="3">
        <v>42906</v>
      </c>
      <c r="C418" s="4">
        <v>9.16</v>
      </c>
      <c r="D418" s="4">
        <v>4.0622999999999996</v>
      </c>
      <c r="E418" s="4">
        <v>3190</v>
      </c>
      <c r="F418" s="4"/>
      <c r="G418" s="4"/>
      <c r="H418" s="5">
        <f t="shared" si="6"/>
        <v>2.9212059792247152E-2</v>
      </c>
    </row>
    <row r="419" spans="1:8" ht="13.5" x14ac:dyDescent="0.25">
      <c r="A419" s="1"/>
      <c r="B419" s="3">
        <v>42907</v>
      </c>
      <c r="C419" s="4">
        <v>9.3000000000000007</v>
      </c>
      <c r="D419" s="4">
        <v>4.1243999999999996</v>
      </c>
      <c r="E419" s="4">
        <v>6342</v>
      </c>
      <c r="F419" s="4"/>
      <c r="G419" s="4"/>
      <c r="H419" s="5">
        <f t="shared" si="6"/>
        <v>1.528690643231668E-2</v>
      </c>
    </row>
    <row r="420" spans="1:8" ht="13.5" x14ac:dyDescent="0.25">
      <c r="A420" s="1"/>
      <c r="B420" s="3">
        <v>42908</v>
      </c>
      <c r="C420" s="4">
        <v>9</v>
      </c>
      <c r="D420" s="4">
        <v>3.9912999999999998</v>
      </c>
      <c r="E420" s="4">
        <v>272</v>
      </c>
      <c r="F420" s="4"/>
      <c r="G420" s="4"/>
      <c r="H420" s="5">
        <f t="shared" si="6"/>
        <v>-3.2271360682765926E-2</v>
      </c>
    </row>
    <row r="421" spans="1:8" ht="13.5" x14ac:dyDescent="0.25">
      <c r="A421" s="1"/>
      <c r="B421" s="3">
        <v>42909</v>
      </c>
      <c r="C421" s="4">
        <v>9.01</v>
      </c>
      <c r="D421" s="4">
        <v>3.9958</v>
      </c>
      <c r="E421" s="4">
        <v>4570</v>
      </c>
      <c r="F421" s="4"/>
      <c r="G421" s="4"/>
      <c r="H421" s="5">
        <f t="shared" si="6"/>
        <v>1.1274522085536469E-3</v>
      </c>
    </row>
    <row r="422" spans="1:8" ht="13.5" x14ac:dyDescent="0.25">
      <c r="A422" s="1"/>
      <c r="B422" s="3">
        <v>42914</v>
      </c>
      <c r="C422" s="4">
        <v>8.9</v>
      </c>
      <c r="D422" s="4">
        <v>3.9470000000000001</v>
      </c>
      <c r="E422" s="4">
        <v>451</v>
      </c>
      <c r="F422" s="4"/>
      <c r="G422" s="4"/>
      <c r="H422" s="5">
        <f t="shared" si="6"/>
        <v>-1.2212823464637859E-2</v>
      </c>
    </row>
    <row r="423" spans="1:8" ht="13.5" x14ac:dyDescent="0.25">
      <c r="A423" s="1"/>
      <c r="B423" s="3">
        <v>42915</v>
      </c>
      <c r="C423" s="4">
        <v>8.5</v>
      </c>
      <c r="D423" s="4">
        <v>3.7696000000000001</v>
      </c>
      <c r="E423" s="4">
        <v>4398</v>
      </c>
      <c r="F423" s="4"/>
      <c r="G423" s="4"/>
      <c r="H423" s="5">
        <f t="shared" si="6"/>
        <v>-4.4945528249303271E-2</v>
      </c>
    </row>
    <row r="424" spans="1:8" ht="13.5" x14ac:dyDescent="0.25">
      <c r="A424" s="1"/>
      <c r="B424" s="3">
        <v>42916</v>
      </c>
      <c r="C424" s="4">
        <v>9</v>
      </c>
      <c r="D424" s="4">
        <v>3.9912999999999998</v>
      </c>
      <c r="E424" s="4">
        <v>2693</v>
      </c>
      <c r="F424" s="4"/>
      <c r="G424" s="4"/>
      <c r="H424" s="5">
        <f t="shared" si="6"/>
        <v>5.8812606112054272E-2</v>
      </c>
    </row>
    <row r="425" spans="1:8" ht="13.5" x14ac:dyDescent="0.25">
      <c r="A425" s="1"/>
      <c r="B425" s="3">
        <v>42919</v>
      </c>
      <c r="C425" s="4">
        <v>8.9499999999999993</v>
      </c>
      <c r="D425" s="4">
        <v>3.9691000000000001</v>
      </c>
      <c r="E425" s="4">
        <v>570</v>
      </c>
      <c r="F425" s="4"/>
      <c r="G425" s="4"/>
      <c r="H425" s="5">
        <f t="shared" si="6"/>
        <v>-5.5620975621977244E-3</v>
      </c>
    </row>
    <row r="426" spans="1:8" ht="13.5" x14ac:dyDescent="0.25">
      <c r="A426" s="1"/>
      <c r="B426" s="3">
        <v>42920</v>
      </c>
      <c r="C426" s="4">
        <v>8.86</v>
      </c>
      <c r="D426" s="4">
        <v>3.9291999999999998</v>
      </c>
      <c r="E426" s="4">
        <v>115</v>
      </c>
      <c r="F426" s="4"/>
      <c r="G426" s="4"/>
      <c r="H426" s="5">
        <f t="shared" si="6"/>
        <v>-1.0052656773575941E-2</v>
      </c>
    </row>
    <row r="427" spans="1:8" ht="13.5" x14ac:dyDescent="0.25">
      <c r="A427" s="1"/>
      <c r="B427" s="3">
        <v>42921</v>
      </c>
      <c r="C427" s="4">
        <v>8.6</v>
      </c>
      <c r="D427" s="4">
        <v>3.8138999999999998</v>
      </c>
      <c r="E427" s="4">
        <v>441</v>
      </c>
      <c r="F427" s="4"/>
      <c r="G427" s="4"/>
      <c r="H427" s="5">
        <f t="shared" si="6"/>
        <v>-2.9344395805761977E-2</v>
      </c>
    </row>
    <row r="428" spans="1:8" ht="13.5" x14ac:dyDescent="0.25">
      <c r="A428" s="1"/>
      <c r="B428" s="3">
        <v>42922</v>
      </c>
      <c r="C428" s="4">
        <v>8.3000000000000007</v>
      </c>
      <c r="D428" s="4">
        <v>3.6808999999999998</v>
      </c>
      <c r="E428" s="4">
        <v>2287</v>
      </c>
      <c r="F428" s="4"/>
      <c r="G428" s="4"/>
      <c r="H428" s="5">
        <f t="shared" si="6"/>
        <v>-3.4872440284223503E-2</v>
      </c>
    </row>
    <row r="429" spans="1:8" ht="13.5" x14ac:dyDescent="0.25">
      <c r="A429" s="1"/>
      <c r="B429" s="3">
        <v>42923</v>
      </c>
      <c r="C429" s="4">
        <v>8.49</v>
      </c>
      <c r="D429" s="4">
        <v>3.7650999999999999</v>
      </c>
      <c r="E429" s="4">
        <v>611</v>
      </c>
      <c r="F429" s="4"/>
      <c r="G429" s="4"/>
      <c r="H429" s="5">
        <f t="shared" si="6"/>
        <v>2.2874840392295377E-2</v>
      </c>
    </row>
    <row r="430" spans="1:8" ht="13.5" x14ac:dyDescent="0.25">
      <c r="A430" s="1"/>
      <c r="B430" s="3">
        <v>42926</v>
      </c>
      <c r="C430" s="4">
        <v>8.35</v>
      </c>
      <c r="D430" s="4">
        <v>3.7031000000000001</v>
      </c>
      <c r="E430" s="4">
        <v>598</v>
      </c>
      <c r="F430" s="4"/>
      <c r="G430" s="4"/>
      <c r="H430" s="5">
        <f t="shared" si="6"/>
        <v>-1.6467026108204254E-2</v>
      </c>
    </row>
    <row r="431" spans="1:8" ht="13.5" x14ac:dyDescent="0.25">
      <c r="A431" s="1"/>
      <c r="B431" s="3">
        <v>42927</v>
      </c>
      <c r="C431" s="4">
        <v>8.32</v>
      </c>
      <c r="D431" s="4">
        <v>3.6898</v>
      </c>
      <c r="E431" s="4">
        <v>5504</v>
      </c>
      <c r="F431" s="4"/>
      <c r="G431" s="4"/>
      <c r="H431" s="5">
        <f t="shared" si="6"/>
        <v>-3.5915854284248572E-3</v>
      </c>
    </row>
    <row r="432" spans="1:8" ht="13.5" x14ac:dyDescent="0.25">
      <c r="A432" s="1"/>
      <c r="B432" s="3">
        <v>42928</v>
      </c>
      <c r="C432" s="4">
        <v>8.69</v>
      </c>
      <c r="D432" s="4">
        <v>3.8538000000000001</v>
      </c>
      <c r="E432" s="4">
        <v>1709</v>
      </c>
      <c r="F432" s="4"/>
      <c r="G432" s="4"/>
      <c r="H432" s="5">
        <f t="shared" si="6"/>
        <v>4.4446853487993966E-2</v>
      </c>
    </row>
    <row r="433" spans="1:8" ht="13.5" x14ac:dyDescent="0.25">
      <c r="A433" s="1"/>
      <c r="B433" s="3">
        <v>42929</v>
      </c>
      <c r="C433" s="4">
        <v>8.98</v>
      </c>
      <c r="D433" s="4">
        <v>3.9824999999999999</v>
      </c>
      <c r="E433" s="4">
        <v>910</v>
      </c>
      <c r="F433" s="4"/>
      <c r="G433" s="4"/>
      <c r="H433" s="5">
        <f t="shared" si="6"/>
        <v>3.3395609528257778E-2</v>
      </c>
    </row>
    <row r="434" spans="1:8" ht="13.5" x14ac:dyDescent="0.25">
      <c r="A434" s="1"/>
      <c r="B434" s="3">
        <v>42930</v>
      </c>
      <c r="C434" s="4">
        <v>9.01</v>
      </c>
      <c r="D434" s="4">
        <v>3.9958</v>
      </c>
      <c r="E434" s="4">
        <v>3080</v>
      </c>
      <c r="F434" s="4"/>
      <c r="G434" s="4"/>
      <c r="H434" s="5">
        <f t="shared" si="6"/>
        <v>3.3396107972379382E-3</v>
      </c>
    </row>
    <row r="435" spans="1:8" ht="13.5" x14ac:dyDescent="0.25">
      <c r="A435" s="1"/>
      <c r="B435" s="3">
        <v>42933</v>
      </c>
      <c r="C435" s="4">
        <v>8.81</v>
      </c>
      <c r="D435" s="4">
        <v>3.9070999999999998</v>
      </c>
      <c r="E435" s="4">
        <v>934</v>
      </c>
      <c r="F435" s="4"/>
      <c r="G435" s="4"/>
      <c r="H435" s="5">
        <f t="shared" si="6"/>
        <v>-2.2198308223634871E-2</v>
      </c>
    </row>
    <row r="436" spans="1:8" ht="13.5" x14ac:dyDescent="0.25">
      <c r="A436" s="1"/>
      <c r="B436" s="3">
        <v>42934</v>
      </c>
      <c r="C436" s="4">
        <v>8.6</v>
      </c>
      <c r="D436" s="4">
        <v>3.8138999999999998</v>
      </c>
      <c r="E436" s="4">
        <v>1226</v>
      </c>
      <c r="F436" s="4"/>
      <c r="G436" s="4"/>
      <c r="H436" s="5">
        <f t="shared" si="6"/>
        <v>-2.3854009367561609E-2</v>
      </c>
    </row>
    <row r="437" spans="1:8" ht="13.5" x14ac:dyDescent="0.25">
      <c r="A437" s="1"/>
      <c r="B437" s="3">
        <v>42935</v>
      </c>
      <c r="C437" s="4">
        <v>8.67</v>
      </c>
      <c r="D437" s="4">
        <v>3.8450000000000002</v>
      </c>
      <c r="E437" s="4">
        <v>480</v>
      </c>
      <c r="F437" s="4"/>
      <c r="G437" s="4"/>
      <c r="H437" s="5">
        <f t="shared" si="6"/>
        <v>8.1543826529275418E-3</v>
      </c>
    </row>
    <row r="438" spans="1:8" ht="13.5" x14ac:dyDescent="0.25">
      <c r="A438" s="1"/>
      <c r="B438" s="3">
        <v>42936</v>
      </c>
      <c r="C438" s="4">
        <v>8.7200000000000006</v>
      </c>
      <c r="D438" s="4">
        <v>3.8671000000000002</v>
      </c>
      <c r="E438" s="4">
        <v>622</v>
      </c>
      <c r="F438" s="4"/>
      <c r="G438" s="4"/>
      <c r="H438" s="5">
        <f t="shared" si="6"/>
        <v>5.7477243172951902E-3</v>
      </c>
    </row>
    <row r="439" spans="1:8" ht="13.5" x14ac:dyDescent="0.25">
      <c r="A439" s="1"/>
      <c r="B439" s="3">
        <v>42937</v>
      </c>
      <c r="C439" s="4">
        <v>8.98</v>
      </c>
      <c r="D439" s="4">
        <v>3.9824999999999999</v>
      </c>
      <c r="E439" s="4">
        <v>1055</v>
      </c>
      <c r="F439" s="4"/>
      <c r="G439" s="4"/>
      <c r="H439" s="5">
        <f t="shared" si="6"/>
        <v>2.9841483282045906E-2</v>
      </c>
    </row>
    <row r="440" spans="1:8" ht="13.5" x14ac:dyDescent="0.25">
      <c r="A440" s="1"/>
      <c r="B440" s="3">
        <v>42940</v>
      </c>
      <c r="C440" s="4">
        <v>8.8000000000000007</v>
      </c>
      <c r="D440" s="4">
        <v>3.9026000000000001</v>
      </c>
      <c r="E440" s="4">
        <v>460</v>
      </c>
      <c r="F440" s="4"/>
      <c r="G440" s="4"/>
      <c r="H440" s="5">
        <f t="shared" si="6"/>
        <v>-2.006277463904579E-2</v>
      </c>
    </row>
    <row r="441" spans="1:8" ht="13.5" x14ac:dyDescent="0.25">
      <c r="A441" s="1"/>
      <c r="B441" s="3">
        <v>42942</v>
      </c>
      <c r="C441" s="4">
        <v>8.99</v>
      </c>
      <c r="D441" s="4">
        <v>3.9868999999999999</v>
      </c>
      <c r="E441" s="4">
        <v>260</v>
      </c>
      <c r="F441" s="4"/>
      <c r="G441" s="4"/>
      <c r="H441" s="5">
        <f t="shared" si="6"/>
        <v>2.1600983959411627E-2</v>
      </c>
    </row>
    <row r="442" spans="1:8" ht="13.5" x14ac:dyDescent="0.25">
      <c r="A442" s="1"/>
      <c r="B442" s="3">
        <v>42943</v>
      </c>
      <c r="C442" s="4">
        <v>8.9700000000000006</v>
      </c>
      <c r="D442" s="4">
        <v>3.9780000000000002</v>
      </c>
      <c r="E442" s="4">
        <v>161</v>
      </c>
      <c r="F442" s="4"/>
      <c r="G442" s="4"/>
      <c r="H442" s="5">
        <f t="shared" si="6"/>
        <v>-2.232310817928638E-3</v>
      </c>
    </row>
    <row r="443" spans="1:8" ht="13.5" x14ac:dyDescent="0.25">
      <c r="A443" s="1"/>
      <c r="B443" s="3">
        <v>42944</v>
      </c>
      <c r="C443" s="4">
        <v>8.75</v>
      </c>
      <c r="D443" s="4">
        <v>3.8805000000000001</v>
      </c>
      <c r="E443" s="4">
        <v>710</v>
      </c>
      <c r="F443" s="4"/>
      <c r="G443" s="4"/>
      <c r="H443" s="5">
        <f t="shared" si="6"/>
        <v>-2.4509803921568662E-2</v>
      </c>
    </row>
    <row r="444" spans="1:8" ht="13.5" x14ac:dyDescent="0.25">
      <c r="A444" s="1"/>
      <c r="B444" s="3">
        <v>42947</v>
      </c>
      <c r="C444" s="4">
        <v>8.73</v>
      </c>
      <c r="D444" s="4">
        <v>3.8715999999999999</v>
      </c>
      <c r="E444" s="4">
        <v>656</v>
      </c>
      <c r="F444" s="4"/>
      <c r="G444" s="4"/>
      <c r="H444" s="5">
        <f t="shared" si="6"/>
        <v>-2.2935188764334827E-3</v>
      </c>
    </row>
    <row r="445" spans="1:8" ht="13.5" x14ac:dyDescent="0.25">
      <c r="A445" s="1"/>
      <c r="B445" s="3">
        <v>42948</v>
      </c>
      <c r="C445" s="4">
        <v>8.7100000000000009</v>
      </c>
      <c r="D445" s="4">
        <v>3.8626999999999998</v>
      </c>
      <c r="E445" s="4">
        <v>1650</v>
      </c>
      <c r="F445" s="4"/>
      <c r="G445" s="4"/>
      <c r="H445" s="5">
        <f t="shared" si="6"/>
        <v>-2.2987911974377854E-3</v>
      </c>
    </row>
    <row r="446" spans="1:8" ht="13.5" x14ac:dyDescent="0.25">
      <c r="A446" s="1"/>
      <c r="B446" s="3">
        <v>42949</v>
      </c>
      <c r="C446" s="4">
        <v>8.6999999999999993</v>
      </c>
      <c r="D446" s="4">
        <v>3.8582999999999998</v>
      </c>
      <c r="E446" s="4">
        <v>205</v>
      </c>
      <c r="F446" s="4"/>
      <c r="G446" s="4"/>
      <c r="H446" s="5">
        <f t="shared" si="6"/>
        <v>-1.1390995935485436E-3</v>
      </c>
    </row>
    <row r="447" spans="1:8" ht="13.5" x14ac:dyDescent="0.25">
      <c r="A447" s="1"/>
      <c r="B447" s="3">
        <v>42950</v>
      </c>
      <c r="C447" s="4">
        <v>8.7100000000000009</v>
      </c>
      <c r="D447" s="4">
        <v>3.8626999999999998</v>
      </c>
      <c r="E447" s="4">
        <v>1417</v>
      </c>
      <c r="F447" s="4"/>
      <c r="G447" s="4"/>
      <c r="H447" s="5">
        <f t="shared" si="6"/>
        <v>1.1403986211543839E-3</v>
      </c>
    </row>
    <row r="448" spans="1:8" ht="13.5" x14ac:dyDescent="0.25">
      <c r="A448" s="1"/>
      <c r="B448" s="3">
        <v>42951</v>
      </c>
      <c r="C448" s="4">
        <v>8.75</v>
      </c>
      <c r="D448" s="4">
        <v>3.8805000000000001</v>
      </c>
      <c r="E448" s="4">
        <v>802</v>
      </c>
      <c r="F448" s="4"/>
      <c r="G448" s="4"/>
      <c r="H448" s="5">
        <f t="shared" si="6"/>
        <v>4.608175628446491E-3</v>
      </c>
    </row>
    <row r="449" spans="1:8" ht="13.5" x14ac:dyDescent="0.25">
      <c r="A449" s="1"/>
      <c r="B449" s="3">
        <v>42954</v>
      </c>
      <c r="C449" s="4">
        <v>8.77</v>
      </c>
      <c r="D449" s="4">
        <v>3.8893</v>
      </c>
      <c r="E449" s="4">
        <v>4322</v>
      </c>
      <c r="F449" s="4"/>
      <c r="G449" s="4"/>
      <c r="H449" s="5">
        <f t="shared" si="6"/>
        <v>2.2677490014173223E-3</v>
      </c>
    </row>
    <row r="450" spans="1:8" ht="13.5" x14ac:dyDescent="0.25">
      <c r="A450" s="1"/>
      <c r="B450" s="3">
        <v>42955</v>
      </c>
      <c r="C450" s="4">
        <v>8.9</v>
      </c>
      <c r="D450" s="4">
        <v>3.9470000000000001</v>
      </c>
      <c r="E450" s="4">
        <v>3557</v>
      </c>
      <c r="F450" s="4"/>
      <c r="G450" s="4"/>
      <c r="H450" s="5">
        <f t="shared" si="6"/>
        <v>1.4835574524978809E-2</v>
      </c>
    </row>
    <row r="451" spans="1:8" ht="13.5" x14ac:dyDescent="0.25">
      <c r="A451" s="1"/>
      <c r="B451" s="3">
        <v>42956</v>
      </c>
      <c r="C451" s="4">
        <v>8.9600000000000009</v>
      </c>
      <c r="D451" s="4">
        <v>3.9735999999999998</v>
      </c>
      <c r="E451" s="4">
        <v>3046</v>
      </c>
      <c r="F451" s="4"/>
      <c r="G451" s="4"/>
      <c r="H451" s="5">
        <f t="shared" si="6"/>
        <v>6.7392956675955754E-3</v>
      </c>
    </row>
    <row r="452" spans="1:8" ht="13.5" x14ac:dyDescent="0.25">
      <c r="A452" s="1"/>
      <c r="B452" s="3">
        <v>42957</v>
      </c>
      <c r="C452" s="4">
        <v>9.23</v>
      </c>
      <c r="D452" s="4">
        <v>4.0933000000000002</v>
      </c>
      <c r="E452" s="4">
        <v>8991</v>
      </c>
      <c r="F452" s="4"/>
      <c r="G452" s="4"/>
      <c r="H452" s="5">
        <f t="shared" si="6"/>
        <v>3.0123817193477041E-2</v>
      </c>
    </row>
    <row r="453" spans="1:8" ht="13.5" x14ac:dyDescent="0.25">
      <c r="A453" s="1"/>
      <c r="B453" s="3">
        <v>42958</v>
      </c>
      <c r="C453" s="4">
        <v>7.71</v>
      </c>
      <c r="D453" s="4">
        <v>4.3090999999999999</v>
      </c>
      <c r="E453" s="4">
        <v>7035</v>
      </c>
      <c r="F453" s="4"/>
      <c r="G453" s="4"/>
      <c r="H453" s="5">
        <f t="shared" si="6"/>
        <v>5.2720299025236304E-2</v>
      </c>
    </row>
    <row r="454" spans="1:8" ht="13.5" x14ac:dyDescent="0.25">
      <c r="A454" s="1"/>
      <c r="B454" s="3">
        <v>42961</v>
      </c>
      <c r="C454" s="4">
        <v>7.71</v>
      </c>
      <c r="D454" s="4">
        <v>4.3090999999999999</v>
      </c>
      <c r="E454" s="4">
        <v>3145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7.48</v>
      </c>
      <c r="D455" s="4">
        <v>4.1805000000000003</v>
      </c>
      <c r="E455" s="4">
        <v>3324</v>
      </c>
      <c r="F455" s="4"/>
      <c r="G455" s="4"/>
      <c r="H455" s="5">
        <f t="shared" ref="H455:H518" si="7">(D455-D454)/D454</f>
        <v>-2.9843818894896755E-2</v>
      </c>
    </row>
    <row r="456" spans="1:8" ht="13.5" x14ac:dyDescent="0.25">
      <c r="A456" s="1"/>
      <c r="B456" s="3">
        <v>42963</v>
      </c>
      <c r="C456" s="4">
        <v>7.3</v>
      </c>
      <c r="D456" s="4">
        <v>4.0799000000000003</v>
      </c>
      <c r="E456" s="4">
        <v>925</v>
      </c>
      <c r="F456" s="4"/>
      <c r="G456" s="4"/>
      <c r="H456" s="5">
        <f t="shared" si="7"/>
        <v>-2.406410716421481E-2</v>
      </c>
    </row>
    <row r="457" spans="1:8" ht="13.5" x14ac:dyDescent="0.25">
      <c r="A457" s="1"/>
      <c r="B457" s="3">
        <v>42964</v>
      </c>
      <c r="C457" s="4">
        <v>7.35</v>
      </c>
      <c r="D457" s="4">
        <v>4.1078999999999999</v>
      </c>
      <c r="E457" s="4">
        <v>2832</v>
      </c>
      <c r="F457" s="4"/>
      <c r="G457" s="4"/>
      <c r="H457" s="5">
        <f t="shared" si="7"/>
        <v>6.8629133066985901E-3</v>
      </c>
    </row>
    <row r="458" spans="1:8" ht="13.5" x14ac:dyDescent="0.25">
      <c r="A458" s="1"/>
      <c r="B458" s="3">
        <v>42965</v>
      </c>
      <c r="C458" s="4">
        <v>7.16</v>
      </c>
      <c r="D458" s="4">
        <v>4.0016999999999996</v>
      </c>
      <c r="E458" s="4">
        <v>600</v>
      </c>
      <c r="F458" s="4"/>
      <c r="G458" s="4"/>
      <c r="H458" s="5">
        <f t="shared" si="7"/>
        <v>-2.5852625429051413E-2</v>
      </c>
    </row>
    <row r="459" spans="1:8" ht="13.5" x14ac:dyDescent="0.25">
      <c r="A459" s="1"/>
      <c r="B459" s="3">
        <v>42968</v>
      </c>
      <c r="C459" s="4">
        <v>7.18</v>
      </c>
      <c r="D459" s="4">
        <v>4.0128000000000004</v>
      </c>
      <c r="E459" s="4">
        <v>1545</v>
      </c>
      <c r="F459" s="4"/>
      <c r="G459" s="4"/>
      <c r="H459" s="5">
        <f t="shared" si="7"/>
        <v>2.7738211260216351E-3</v>
      </c>
    </row>
    <row r="460" spans="1:8" ht="13.5" x14ac:dyDescent="0.25">
      <c r="A460" s="1"/>
      <c r="B460" s="3">
        <v>42969</v>
      </c>
      <c r="C460" s="4">
        <v>7.18</v>
      </c>
      <c r="D460" s="4">
        <v>4.0128000000000004</v>
      </c>
      <c r="E460" s="4">
        <v>715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7.35</v>
      </c>
      <c r="D461" s="4">
        <v>4.1078999999999999</v>
      </c>
      <c r="E461" s="4">
        <v>286</v>
      </c>
      <c r="F461" s="4"/>
      <c r="G461" s="4"/>
      <c r="H461" s="5">
        <f t="shared" si="7"/>
        <v>2.3699162679425716E-2</v>
      </c>
    </row>
    <row r="462" spans="1:8" ht="13.5" x14ac:dyDescent="0.25">
      <c r="A462" s="1"/>
      <c r="B462" s="3">
        <v>42971</v>
      </c>
      <c r="C462" s="4">
        <v>7.13</v>
      </c>
      <c r="D462" s="4">
        <v>3.9849000000000001</v>
      </c>
      <c r="E462" s="4">
        <v>921</v>
      </c>
      <c r="F462" s="4"/>
      <c r="G462" s="4"/>
      <c r="H462" s="5">
        <f t="shared" si="7"/>
        <v>-2.9942306287884267E-2</v>
      </c>
    </row>
    <row r="463" spans="1:8" ht="13.5" x14ac:dyDescent="0.25">
      <c r="A463" s="1"/>
      <c r="B463" s="3">
        <v>42972</v>
      </c>
      <c r="C463" s="4">
        <v>7</v>
      </c>
      <c r="D463" s="4">
        <v>3.9121999999999999</v>
      </c>
      <c r="E463" s="4">
        <v>1828</v>
      </c>
      <c r="F463" s="4"/>
      <c r="G463" s="4"/>
      <c r="H463" s="5">
        <f t="shared" si="7"/>
        <v>-1.8243870611558684E-2</v>
      </c>
    </row>
    <row r="464" spans="1:8" ht="13.5" x14ac:dyDescent="0.25">
      <c r="A464" s="1"/>
      <c r="B464" s="3">
        <v>42975</v>
      </c>
      <c r="C464" s="4">
        <v>7.31</v>
      </c>
      <c r="D464" s="4">
        <v>4.0854999999999997</v>
      </c>
      <c r="E464" s="4">
        <v>0</v>
      </c>
      <c r="F464" s="4"/>
      <c r="G464" s="4"/>
      <c r="H464" s="5">
        <f t="shared" si="7"/>
        <v>4.4297326312560656E-2</v>
      </c>
    </row>
    <row r="465" spans="1:8" ht="13.5" x14ac:dyDescent="0.25">
      <c r="A465" s="1"/>
      <c r="B465" s="3">
        <v>42976</v>
      </c>
      <c r="C465" s="4">
        <v>7.5</v>
      </c>
      <c r="D465" s="4">
        <v>4.1917</v>
      </c>
      <c r="E465" s="4">
        <v>5500</v>
      </c>
      <c r="F465" s="4"/>
      <c r="G465" s="4"/>
      <c r="H465" s="5">
        <f t="shared" si="7"/>
        <v>2.5994370334108508E-2</v>
      </c>
    </row>
    <row r="466" spans="1:8" ht="13.5" x14ac:dyDescent="0.25">
      <c r="A466" s="1"/>
      <c r="B466" s="3">
        <v>42977</v>
      </c>
      <c r="C466" s="4">
        <v>7.5</v>
      </c>
      <c r="D466" s="4">
        <v>4.1917</v>
      </c>
      <c r="E466" s="4">
        <v>364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7.5</v>
      </c>
      <c r="D467" s="4">
        <v>4.1917</v>
      </c>
      <c r="E467" s="4">
        <v>0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7.3</v>
      </c>
      <c r="D468" s="4">
        <v>4.0799000000000003</v>
      </c>
      <c r="E468" s="4">
        <v>1165</v>
      </c>
      <c r="F468" s="4"/>
      <c r="G468" s="4"/>
      <c r="H468" s="5">
        <f t="shared" si="7"/>
        <v>-2.667175608941472E-2</v>
      </c>
    </row>
    <row r="469" spans="1:8" ht="13.5" x14ac:dyDescent="0.25">
      <c r="A469" s="1"/>
      <c r="B469" s="3">
        <v>42983</v>
      </c>
      <c r="C469" s="4">
        <v>7.11</v>
      </c>
      <c r="D469" s="4">
        <v>3.9737</v>
      </c>
      <c r="E469" s="4">
        <v>2220</v>
      </c>
      <c r="F469" s="4"/>
      <c r="G469" s="4"/>
      <c r="H469" s="5">
        <f t="shared" si="7"/>
        <v>-2.6030049756121543E-2</v>
      </c>
    </row>
    <row r="470" spans="1:8" ht="13.5" x14ac:dyDescent="0.25">
      <c r="A470" s="1"/>
      <c r="B470" s="3">
        <v>42984</v>
      </c>
      <c r="C470" s="4">
        <v>7</v>
      </c>
      <c r="D470" s="4">
        <v>3.9121999999999999</v>
      </c>
      <c r="E470" s="4">
        <v>6881</v>
      </c>
      <c r="F470" s="4"/>
      <c r="G470" s="4"/>
      <c r="H470" s="5">
        <f t="shared" si="7"/>
        <v>-1.5476759694994617E-2</v>
      </c>
    </row>
    <row r="471" spans="1:8" ht="13.5" x14ac:dyDescent="0.25">
      <c r="A471" s="1"/>
      <c r="B471" s="3">
        <v>42985</v>
      </c>
      <c r="C471" s="4">
        <v>7</v>
      </c>
      <c r="D471" s="4">
        <v>3.9121999999999999</v>
      </c>
      <c r="E471" s="4">
        <v>10120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6.91</v>
      </c>
      <c r="D472" s="4">
        <v>3.8618999999999999</v>
      </c>
      <c r="E472" s="4">
        <v>3062</v>
      </c>
      <c r="F472" s="4"/>
      <c r="G472" s="4"/>
      <c r="H472" s="5">
        <f t="shared" si="7"/>
        <v>-1.2857215888758248E-2</v>
      </c>
    </row>
    <row r="473" spans="1:8" ht="13.5" x14ac:dyDescent="0.25">
      <c r="A473" s="1"/>
      <c r="B473" s="3">
        <v>42989</v>
      </c>
      <c r="C473" s="4">
        <v>6.72</v>
      </c>
      <c r="D473" s="4">
        <v>3.7557999999999998</v>
      </c>
      <c r="E473" s="4">
        <v>5109</v>
      </c>
      <c r="F473" s="4"/>
      <c r="G473" s="4"/>
      <c r="H473" s="5">
        <f t="shared" si="7"/>
        <v>-2.7473523395219992E-2</v>
      </c>
    </row>
    <row r="474" spans="1:8" ht="13.5" x14ac:dyDescent="0.25">
      <c r="A474" s="1"/>
      <c r="B474" s="3">
        <v>42990</v>
      </c>
      <c r="C474" s="4">
        <v>6.51</v>
      </c>
      <c r="D474" s="4">
        <v>3.6383999999999999</v>
      </c>
      <c r="E474" s="4">
        <v>1508</v>
      </c>
      <c r="F474" s="4"/>
      <c r="G474" s="4"/>
      <c r="H474" s="5">
        <f t="shared" si="7"/>
        <v>-3.1258320464348462E-2</v>
      </c>
    </row>
    <row r="475" spans="1:8" ht="13.5" x14ac:dyDescent="0.25">
      <c r="A475" s="1"/>
      <c r="B475" s="3">
        <v>42991</v>
      </c>
      <c r="C475" s="4">
        <v>6.8</v>
      </c>
      <c r="D475" s="4">
        <v>3.8005</v>
      </c>
      <c r="E475" s="4">
        <v>5050</v>
      </c>
      <c r="F475" s="4"/>
      <c r="G475" s="4"/>
      <c r="H475" s="5">
        <f t="shared" si="7"/>
        <v>4.4552550571679894E-2</v>
      </c>
    </row>
    <row r="476" spans="1:8" ht="13.5" x14ac:dyDescent="0.25">
      <c r="A476" s="1"/>
      <c r="B476" s="3">
        <v>42992</v>
      </c>
      <c r="C476" s="4">
        <v>6.66</v>
      </c>
      <c r="D476" s="4">
        <v>3.7222</v>
      </c>
      <c r="E476" s="4">
        <v>722</v>
      </c>
      <c r="F476" s="4"/>
      <c r="G476" s="4"/>
      <c r="H476" s="5">
        <f t="shared" si="7"/>
        <v>-2.060255229575057E-2</v>
      </c>
    </row>
    <row r="477" spans="1:8" ht="13.5" x14ac:dyDescent="0.25">
      <c r="A477" s="1"/>
      <c r="B477" s="3">
        <v>42993</v>
      </c>
      <c r="C477" s="4">
        <v>6.66</v>
      </c>
      <c r="D477" s="4">
        <v>3.7222</v>
      </c>
      <c r="E477" s="4">
        <v>1005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6.85</v>
      </c>
      <c r="D478" s="4">
        <v>3.8283999999999998</v>
      </c>
      <c r="E478" s="4">
        <v>3964</v>
      </c>
      <c r="F478" s="4"/>
      <c r="G478" s="4"/>
      <c r="H478" s="5">
        <f t="shared" si="7"/>
        <v>2.8531513620976803E-2</v>
      </c>
    </row>
    <row r="479" spans="1:8" ht="13.5" x14ac:dyDescent="0.25">
      <c r="A479" s="1"/>
      <c r="B479" s="3">
        <v>42997</v>
      </c>
      <c r="C479" s="4">
        <v>6.85</v>
      </c>
      <c r="D479" s="4">
        <v>3.8283999999999998</v>
      </c>
      <c r="E479" s="4">
        <v>2940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6.9</v>
      </c>
      <c r="D480" s="4">
        <v>3.8563999999999998</v>
      </c>
      <c r="E480" s="4">
        <v>1168</v>
      </c>
      <c r="F480" s="4"/>
      <c r="G480" s="4"/>
      <c r="H480" s="5">
        <f t="shared" si="7"/>
        <v>7.3137603176261692E-3</v>
      </c>
    </row>
    <row r="481" spans="1:8" ht="13.5" x14ac:dyDescent="0.25">
      <c r="A481" s="1"/>
      <c r="B481" s="3">
        <v>43000</v>
      </c>
      <c r="C481" s="4">
        <v>6.7</v>
      </c>
      <c r="D481" s="4">
        <v>3.7446000000000002</v>
      </c>
      <c r="E481" s="4">
        <v>453</v>
      </c>
      <c r="F481" s="4"/>
      <c r="G481" s="4"/>
      <c r="H481" s="5">
        <f t="shared" si="7"/>
        <v>-2.8990768592469577E-2</v>
      </c>
    </row>
    <row r="482" spans="1:8" ht="13.5" x14ac:dyDescent="0.25">
      <c r="A482" s="1"/>
      <c r="B482" s="3">
        <v>43003</v>
      </c>
      <c r="C482" s="4">
        <v>6.51</v>
      </c>
      <c r="D482" s="4">
        <v>3.6383999999999999</v>
      </c>
      <c r="E482" s="4">
        <v>1591</v>
      </c>
      <c r="F482" s="4"/>
      <c r="G482" s="4"/>
      <c r="H482" s="5">
        <f t="shared" si="7"/>
        <v>-2.836083960903709E-2</v>
      </c>
    </row>
    <row r="483" spans="1:8" ht="13.5" x14ac:dyDescent="0.25">
      <c r="A483" s="1"/>
      <c r="B483" s="3">
        <v>43004</v>
      </c>
      <c r="C483" s="4">
        <v>6.5</v>
      </c>
      <c r="D483" s="4">
        <v>3.6328</v>
      </c>
      <c r="E483" s="4">
        <v>4575</v>
      </c>
      <c r="F483" s="4"/>
      <c r="G483" s="4"/>
      <c r="H483" s="5">
        <f t="shared" si="7"/>
        <v>-1.5391380826736553E-3</v>
      </c>
    </row>
    <row r="484" spans="1:8" ht="13.5" x14ac:dyDescent="0.25">
      <c r="A484" s="1"/>
      <c r="B484" s="3">
        <v>43005</v>
      </c>
      <c r="C484" s="4">
        <v>6.49</v>
      </c>
      <c r="D484" s="4">
        <v>3.6272000000000002</v>
      </c>
      <c r="E484" s="4">
        <v>895</v>
      </c>
      <c r="F484" s="4"/>
      <c r="G484" s="4"/>
      <c r="H484" s="5">
        <f t="shared" si="7"/>
        <v>-1.5415106804668099E-3</v>
      </c>
    </row>
    <row r="485" spans="1:8" ht="13.5" x14ac:dyDescent="0.25">
      <c r="A485" s="1"/>
      <c r="B485" s="3">
        <v>43006</v>
      </c>
      <c r="C485" s="4">
        <v>6.51</v>
      </c>
      <c r="D485" s="4">
        <v>3.6383999999999999</v>
      </c>
      <c r="E485" s="4">
        <v>3910</v>
      </c>
      <c r="F485" s="4"/>
      <c r="G485" s="4"/>
      <c r="H485" s="5">
        <f t="shared" si="7"/>
        <v>3.0877812086456918E-3</v>
      </c>
    </row>
    <row r="486" spans="1:8" ht="13.5" x14ac:dyDescent="0.25">
      <c r="A486" s="1"/>
      <c r="B486" s="3">
        <v>43007</v>
      </c>
      <c r="C486" s="4">
        <v>6.7</v>
      </c>
      <c r="D486" s="4">
        <v>3.7446000000000002</v>
      </c>
      <c r="E486" s="4">
        <v>1488</v>
      </c>
      <c r="F486" s="4"/>
      <c r="G486" s="4"/>
      <c r="H486" s="5">
        <f t="shared" si="7"/>
        <v>2.9188654353562087E-2</v>
      </c>
    </row>
    <row r="487" spans="1:8" ht="13.5" x14ac:dyDescent="0.25">
      <c r="A487" s="1"/>
      <c r="B487" s="3">
        <v>43010</v>
      </c>
      <c r="C487" s="4">
        <v>6.55</v>
      </c>
      <c r="D487" s="4">
        <v>3.6606999999999998</v>
      </c>
      <c r="E487" s="4">
        <v>11</v>
      </c>
      <c r="F487" s="4"/>
      <c r="G487" s="4"/>
      <c r="H487" s="5">
        <f t="shared" si="7"/>
        <v>-2.2405597393580171E-2</v>
      </c>
    </row>
    <row r="488" spans="1:8" ht="13.5" x14ac:dyDescent="0.25">
      <c r="A488" s="1"/>
      <c r="B488" s="3">
        <v>43011</v>
      </c>
      <c r="C488" s="4">
        <v>6.7</v>
      </c>
      <c r="D488" s="4">
        <v>3.7446000000000002</v>
      </c>
      <c r="E488" s="4">
        <v>2101</v>
      </c>
      <c r="F488" s="4"/>
      <c r="G488" s="4"/>
      <c r="H488" s="5">
        <f t="shared" si="7"/>
        <v>2.2919113830688204E-2</v>
      </c>
    </row>
    <row r="489" spans="1:8" ht="13.5" x14ac:dyDescent="0.25">
      <c r="A489" s="1"/>
      <c r="B489" s="3">
        <v>43012</v>
      </c>
      <c r="C489" s="4">
        <v>6.55</v>
      </c>
      <c r="D489" s="4">
        <v>3.6606999999999998</v>
      </c>
      <c r="E489" s="4">
        <v>938</v>
      </c>
      <c r="F489" s="4"/>
      <c r="G489" s="4"/>
      <c r="H489" s="5">
        <f t="shared" si="7"/>
        <v>-2.2405597393580171E-2</v>
      </c>
    </row>
    <row r="490" spans="1:8" ht="13.5" x14ac:dyDescent="0.25">
      <c r="A490" s="1"/>
      <c r="B490" s="3">
        <v>43013</v>
      </c>
      <c r="C490" s="4">
        <v>6.45</v>
      </c>
      <c r="D490" s="4">
        <v>3.6049000000000002</v>
      </c>
      <c r="E490" s="4">
        <v>5530</v>
      </c>
      <c r="F490" s="4"/>
      <c r="G490" s="4"/>
      <c r="H490" s="5">
        <f t="shared" si="7"/>
        <v>-1.5242986314092832E-2</v>
      </c>
    </row>
    <row r="491" spans="1:8" ht="13.5" x14ac:dyDescent="0.25">
      <c r="A491" s="1"/>
      <c r="B491" s="3">
        <v>43014</v>
      </c>
      <c r="C491" s="4">
        <v>6.49</v>
      </c>
      <c r="D491" s="4">
        <v>3.6272000000000002</v>
      </c>
      <c r="E491" s="4">
        <v>5070</v>
      </c>
      <c r="F491" s="4"/>
      <c r="G491" s="4"/>
      <c r="H491" s="5">
        <f t="shared" si="7"/>
        <v>6.1860245776581835E-3</v>
      </c>
    </row>
    <row r="492" spans="1:8" ht="13.5" x14ac:dyDescent="0.25">
      <c r="A492" s="1"/>
      <c r="B492" s="3">
        <v>43017</v>
      </c>
      <c r="C492" s="4">
        <v>6.6</v>
      </c>
      <c r="D492" s="4">
        <v>3.6886999999999999</v>
      </c>
      <c r="E492" s="4">
        <v>10952</v>
      </c>
      <c r="F492" s="4"/>
      <c r="G492" s="4"/>
      <c r="H492" s="5">
        <f t="shared" si="7"/>
        <v>1.6955227172474541E-2</v>
      </c>
    </row>
    <row r="493" spans="1:8" ht="13.5" x14ac:dyDescent="0.25">
      <c r="A493" s="1"/>
      <c r="B493" s="3">
        <v>43018</v>
      </c>
      <c r="C493" s="4">
        <v>6.9</v>
      </c>
      <c r="D493" s="4">
        <v>3.8563999999999998</v>
      </c>
      <c r="E493" s="4">
        <v>7563</v>
      </c>
      <c r="F493" s="4"/>
      <c r="G493" s="4"/>
      <c r="H493" s="5">
        <f t="shared" si="7"/>
        <v>4.5463171306964506E-2</v>
      </c>
    </row>
    <row r="494" spans="1:8" ht="13.5" x14ac:dyDescent="0.25">
      <c r="A494" s="1"/>
      <c r="B494" s="3">
        <v>43019</v>
      </c>
      <c r="C494" s="4">
        <v>7.02</v>
      </c>
      <c r="D494" s="4">
        <v>3.9234</v>
      </c>
      <c r="E494" s="4">
        <v>5264</v>
      </c>
      <c r="F494" s="4"/>
      <c r="G494" s="4"/>
      <c r="H494" s="5">
        <f t="shared" si="7"/>
        <v>1.7373716419458608E-2</v>
      </c>
    </row>
    <row r="495" spans="1:8" ht="13.5" x14ac:dyDescent="0.25">
      <c r="A495" s="1"/>
      <c r="B495" s="3">
        <v>43020</v>
      </c>
      <c r="C495" s="4">
        <v>7.14</v>
      </c>
      <c r="D495" s="4">
        <v>3.9904999999999999</v>
      </c>
      <c r="E495" s="4">
        <v>2792</v>
      </c>
      <c r="F495" s="4"/>
      <c r="G495" s="4"/>
      <c r="H495" s="5">
        <f t="shared" si="7"/>
        <v>1.710251312636997E-2</v>
      </c>
    </row>
    <row r="496" spans="1:8" ht="13.5" x14ac:dyDescent="0.25">
      <c r="A496" s="1"/>
      <c r="B496" s="3">
        <v>43021</v>
      </c>
      <c r="C496" s="4">
        <v>7.38</v>
      </c>
      <c r="D496" s="4">
        <v>4.1246</v>
      </c>
      <c r="E496" s="4">
        <v>3945</v>
      </c>
      <c r="F496" s="4"/>
      <c r="G496" s="4"/>
      <c r="H496" s="5">
        <f t="shared" si="7"/>
        <v>3.3604811427139482E-2</v>
      </c>
    </row>
    <row r="497" spans="1:8" ht="13.5" x14ac:dyDescent="0.25">
      <c r="A497" s="1"/>
      <c r="B497" s="3">
        <v>43024</v>
      </c>
      <c r="C497" s="4">
        <v>7.63</v>
      </c>
      <c r="D497" s="4">
        <v>4.2643000000000004</v>
      </c>
      <c r="E497" s="4">
        <v>14183</v>
      </c>
      <c r="F497" s="4"/>
      <c r="G497" s="4"/>
      <c r="H497" s="5">
        <f t="shared" si="7"/>
        <v>3.3869951025554082E-2</v>
      </c>
    </row>
    <row r="498" spans="1:8" ht="13.5" x14ac:dyDescent="0.25">
      <c r="A498" s="1"/>
      <c r="B498" s="3">
        <v>43025</v>
      </c>
      <c r="C498" s="4">
        <v>7.68</v>
      </c>
      <c r="D498" s="4">
        <v>4.2923</v>
      </c>
      <c r="E498" s="4">
        <v>6182</v>
      </c>
      <c r="F498" s="4"/>
      <c r="G498" s="4"/>
      <c r="H498" s="5">
        <f t="shared" si="7"/>
        <v>6.5661421569775998E-3</v>
      </c>
    </row>
    <row r="499" spans="1:8" ht="13.5" x14ac:dyDescent="0.25">
      <c r="A499" s="1"/>
      <c r="B499" s="3">
        <v>43026</v>
      </c>
      <c r="C499" s="4">
        <v>7.61</v>
      </c>
      <c r="D499" s="4">
        <v>4.2531999999999996</v>
      </c>
      <c r="E499" s="4">
        <v>3615</v>
      </c>
      <c r="F499" s="4"/>
      <c r="G499" s="4"/>
      <c r="H499" s="5">
        <f t="shared" si="7"/>
        <v>-9.1093353213895483E-3</v>
      </c>
    </row>
    <row r="500" spans="1:8" ht="13.5" x14ac:dyDescent="0.25">
      <c r="A500" s="1"/>
      <c r="B500" s="3">
        <v>43027</v>
      </c>
      <c r="C500" s="4">
        <v>7.63</v>
      </c>
      <c r="D500" s="4">
        <v>4.2643000000000004</v>
      </c>
      <c r="E500" s="4">
        <v>1850</v>
      </c>
      <c r="F500" s="4"/>
      <c r="G500" s="4"/>
      <c r="H500" s="5">
        <f t="shared" si="7"/>
        <v>2.6097996802409425E-3</v>
      </c>
    </row>
    <row r="501" spans="1:8" ht="13.5" x14ac:dyDescent="0.25">
      <c r="A501" s="1"/>
      <c r="B501" s="3">
        <v>43028</v>
      </c>
      <c r="C501" s="4">
        <v>7.3</v>
      </c>
      <c r="D501" s="4">
        <v>4.0799000000000003</v>
      </c>
      <c r="E501" s="4">
        <v>1595</v>
      </c>
      <c r="F501" s="4"/>
      <c r="G501" s="4"/>
      <c r="H501" s="5">
        <f t="shared" si="7"/>
        <v>-4.3242736205238864E-2</v>
      </c>
    </row>
    <row r="502" spans="1:8" ht="13.5" x14ac:dyDescent="0.25">
      <c r="A502" s="1"/>
      <c r="B502" s="3">
        <v>43031</v>
      </c>
      <c r="C502" s="4">
        <v>7.18</v>
      </c>
      <c r="D502" s="4">
        <v>4.0128000000000004</v>
      </c>
      <c r="E502" s="4">
        <v>10</v>
      </c>
      <c r="F502" s="4"/>
      <c r="G502" s="4"/>
      <c r="H502" s="5">
        <f t="shared" si="7"/>
        <v>-1.6446481531410068E-2</v>
      </c>
    </row>
    <row r="503" spans="1:8" ht="13.5" x14ac:dyDescent="0.25">
      <c r="A503" s="1"/>
      <c r="B503" s="3">
        <v>43032</v>
      </c>
      <c r="C503" s="4">
        <v>6.78</v>
      </c>
      <c r="D503" s="4">
        <v>3.7892999999999999</v>
      </c>
      <c r="E503" s="4">
        <v>3988</v>
      </c>
      <c r="F503" s="4"/>
      <c r="G503" s="4"/>
      <c r="H503" s="5">
        <f t="shared" si="7"/>
        <v>-5.5696770334928342E-2</v>
      </c>
    </row>
    <row r="504" spans="1:8" ht="13.5" x14ac:dyDescent="0.25">
      <c r="A504" s="1"/>
      <c r="B504" s="3">
        <v>43033</v>
      </c>
      <c r="C504" s="4">
        <v>6.78</v>
      </c>
      <c r="D504" s="4">
        <v>3.7892999999999999</v>
      </c>
      <c r="E504" s="4">
        <v>2878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7.09</v>
      </c>
      <c r="D505" s="4">
        <v>3.9624999999999999</v>
      </c>
      <c r="E505" s="4">
        <v>350</v>
      </c>
      <c r="F505" s="4"/>
      <c r="G505" s="4"/>
      <c r="H505" s="5">
        <f t="shared" si="7"/>
        <v>4.5707650489536331E-2</v>
      </c>
    </row>
    <row r="506" spans="1:8" ht="13.5" x14ac:dyDescent="0.25">
      <c r="A506" s="1"/>
      <c r="B506" s="3">
        <v>43035</v>
      </c>
      <c r="C506" s="4">
        <v>6.89</v>
      </c>
      <c r="D506" s="4">
        <v>3.8508</v>
      </c>
      <c r="E506" s="4">
        <v>176</v>
      </c>
      <c r="F506" s="4"/>
      <c r="G506" s="4"/>
      <c r="H506" s="5">
        <f t="shared" si="7"/>
        <v>-2.8189274447949504E-2</v>
      </c>
    </row>
    <row r="507" spans="1:8" ht="13.5" x14ac:dyDescent="0.25">
      <c r="A507" s="1"/>
      <c r="B507" s="3">
        <v>43038</v>
      </c>
      <c r="C507" s="4">
        <v>6.62</v>
      </c>
      <c r="D507" s="4">
        <v>3.6999</v>
      </c>
      <c r="E507" s="4">
        <v>3344</v>
      </c>
      <c r="F507" s="4"/>
      <c r="G507" s="4"/>
      <c r="H507" s="5">
        <f t="shared" si="7"/>
        <v>-3.9186662511685892E-2</v>
      </c>
    </row>
    <row r="508" spans="1:8" ht="13.5" x14ac:dyDescent="0.25">
      <c r="A508" s="1"/>
      <c r="B508" s="3">
        <v>43039</v>
      </c>
      <c r="C508" s="4">
        <v>6.94</v>
      </c>
      <c r="D508" s="4">
        <v>3.8786999999999998</v>
      </c>
      <c r="E508" s="4">
        <v>803</v>
      </c>
      <c r="F508" s="4"/>
      <c r="G508" s="4"/>
      <c r="H508" s="5">
        <f t="shared" si="7"/>
        <v>4.832563042244381E-2</v>
      </c>
    </row>
    <row r="509" spans="1:8" ht="13.5" x14ac:dyDescent="0.25">
      <c r="A509" s="1"/>
      <c r="B509" s="3">
        <v>43040</v>
      </c>
      <c r="C509" s="4">
        <v>6.94</v>
      </c>
      <c r="D509" s="4">
        <v>3.8786999999999998</v>
      </c>
      <c r="E509" s="4">
        <v>1161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6.78</v>
      </c>
      <c r="D510" s="4">
        <v>3.7892999999999999</v>
      </c>
      <c r="E510" s="4">
        <v>2994</v>
      </c>
      <c r="F510" s="4"/>
      <c r="G510" s="4"/>
      <c r="H510" s="5">
        <f t="shared" si="7"/>
        <v>-2.3048959702993251E-2</v>
      </c>
    </row>
    <row r="511" spans="1:8" ht="13.5" x14ac:dyDescent="0.25">
      <c r="A511" s="1"/>
      <c r="B511" s="3">
        <v>43042</v>
      </c>
      <c r="C511" s="4">
        <v>6.77</v>
      </c>
      <c r="D511" s="4">
        <v>3.7837000000000001</v>
      </c>
      <c r="E511" s="4">
        <v>810731</v>
      </c>
      <c r="F511" s="4"/>
      <c r="G511" s="4"/>
      <c r="H511" s="5">
        <f t="shared" si="7"/>
        <v>-1.4778455123637157E-3</v>
      </c>
    </row>
    <row r="512" spans="1:8" ht="13.5" x14ac:dyDescent="0.25">
      <c r="A512" s="1"/>
      <c r="B512" s="3">
        <v>43045</v>
      </c>
      <c r="C512" s="4">
        <v>6.77</v>
      </c>
      <c r="D512" s="4">
        <v>3.7837000000000001</v>
      </c>
      <c r="E512" s="4">
        <v>3454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6.77</v>
      </c>
      <c r="D513" s="4">
        <v>3.7837000000000001</v>
      </c>
      <c r="E513" s="4">
        <v>2546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6.77</v>
      </c>
      <c r="D514" s="4">
        <v>3.7837000000000001</v>
      </c>
      <c r="E514" s="4">
        <v>4654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6.75</v>
      </c>
      <c r="D515" s="4">
        <v>3.7725</v>
      </c>
      <c r="E515" s="4">
        <v>5050</v>
      </c>
      <c r="F515" s="4"/>
      <c r="G515" s="4"/>
      <c r="H515" s="5">
        <f t="shared" si="7"/>
        <v>-2.9600655443085071E-3</v>
      </c>
    </row>
    <row r="516" spans="1:8" ht="13.5" x14ac:dyDescent="0.25">
      <c r="A516" s="1"/>
      <c r="B516" s="3">
        <v>43049</v>
      </c>
      <c r="C516" s="4">
        <v>6.66</v>
      </c>
      <c r="D516" s="4">
        <v>3.7222</v>
      </c>
      <c r="E516" s="4">
        <v>2021</v>
      </c>
      <c r="F516" s="4"/>
      <c r="G516" s="4"/>
      <c r="H516" s="5">
        <f t="shared" si="7"/>
        <v>-1.3333333333333336E-2</v>
      </c>
    </row>
    <row r="517" spans="1:8" ht="13.5" x14ac:dyDescent="0.25">
      <c r="A517" s="1"/>
      <c r="B517" s="3">
        <v>43052</v>
      </c>
      <c r="C517" s="4">
        <v>6.54</v>
      </c>
      <c r="D517" s="4">
        <v>3.6551999999999998</v>
      </c>
      <c r="E517" s="4">
        <v>1075</v>
      </c>
      <c r="F517" s="4"/>
      <c r="G517" s="4"/>
      <c r="H517" s="5">
        <f t="shared" si="7"/>
        <v>-1.8000107463328186E-2</v>
      </c>
    </row>
    <row r="518" spans="1:8" ht="13.5" x14ac:dyDescent="0.25">
      <c r="A518" s="1"/>
      <c r="B518" s="3">
        <v>43053</v>
      </c>
      <c r="C518" s="4">
        <v>6.55</v>
      </c>
      <c r="D518" s="4">
        <v>3.6606999999999998</v>
      </c>
      <c r="E518" s="4">
        <v>876</v>
      </c>
      <c r="F518" s="4"/>
      <c r="G518" s="4"/>
      <c r="H518" s="5">
        <f t="shared" si="7"/>
        <v>1.5047056248632252E-3</v>
      </c>
    </row>
    <row r="519" spans="1:8" ht="13.5" x14ac:dyDescent="0.25">
      <c r="A519" s="1"/>
      <c r="B519" s="3">
        <v>43054</v>
      </c>
      <c r="C519" s="4">
        <v>6.58</v>
      </c>
      <c r="D519" s="4">
        <v>3.6775000000000002</v>
      </c>
      <c r="E519" s="4">
        <v>8571</v>
      </c>
      <c r="F519" s="4"/>
      <c r="G519" s="4"/>
      <c r="H519" s="5">
        <f t="shared" ref="H519:H582" si="8">(D519-D518)/D518</f>
        <v>4.5892862020925976E-3</v>
      </c>
    </row>
    <row r="520" spans="1:8" ht="13.5" x14ac:dyDescent="0.25">
      <c r="A520" s="1"/>
      <c r="B520" s="3">
        <v>43055</v>
      </c>
      <c r="C520" s="4">
        <v>6.61</v>
      </c>
      <c r="D520" s="4">
        <v>3.6943000000000001</v>
      </c>
      <c r="E520" s="4">
        <v>2360</v>
      </c>
      <c r="F520" s="4"/>
      <c r="G520" s="4"/>
      <c r="H520" s="5">
        <f t="shared" si="8"/>
        <v>4.5683208701563357E-3</v>
      </c>
    </row>
    <row r="521" spans="1:8" ht="13.5" x14ac:dyDescent="0.25">
      <c r="A521" s="1"/>
      <c r="B521" s="3">
        <v>43056</v>
      </c>
      <c r="C521" s="4">
        <v>6.85</v>
      </c>
      <c r="D521" s="4">
        <v>3.8283999999999998</v>
      </c>
      <c r="E521" s="4">
        <v>2813</v>
      </c>
      <c r="F521" s="4"/>
      <c r="G521" s="4"/>
      <c r="H521" s="5">
        <f t="shared" si="8"/>
        <v>3.6299163576320181E-2</v>
      </c>
    </row>
    <row r="522" spans="1:8" ht="13.5" x14ac:dyDescent="0.25">
      <c r="A522" s="1"/>
      <c r="B522" s="3">
        <v>43059</v>
      </c>
      <c r="C522" s="4">
        <v>6.86</v>
      </c>
      <c r="D522" s="4">
        <v>3.8340000000000001</v>
      </c>
      <c r="E522" s="4">
        <v>1974</v>
      </c>
      <c r="F522" s="4"/>
      <c r="G522" s="4"/>
      <c r="H522" s="5">
        <f t="shared" si="8"/>
        <v>1.4627520635253034E-3</v>
      </c>
    </row>
    <row r="523" spans="1:8" ht="13.5" x14ac:dyDescent="0.25">
      <c r="A523" s="1"/>
      <c r="B523" s="3">
        <v>43060</v>
      </c>
      <c r="C523" s="4">
        <v>6.86</v>
      </c>
      <c r="D523" s="4">
        <v>3.8340000000000001</v>
      </c>
      <c r="E523" s="4">
        <v>2535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6.86</v>
      </c>
      <c r="D524" s="4">
        <v>3.8340000000000001</v>
      </c>
      <c r="E524" s="4">
        <v>1904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6.87</v>
      </c>
      <c r="D525" s="4">
        <v>3.8395999999999999</v>
      </c>
      <c r="E525" s="4">
        <v>1835</v>
      </c>
      <c r="F525" s="4"/>
      <c r="G525" s="4"/>
      <c r="H525" s="5">
        <f t="shared" si="8"/>
        <v>1.4606155451225423E-3</v>
      </c>
    </row>
    <row r="526" spans="1:8" ht="13.5" x14ac:dyDescent="0.25">
      <c r="A526" s="1"/>
      <c r="B526" s="3">
        <v>43063</v>
      </c>
      <c r="C526" s="4">
        <v>6.87</v>
      </c>
      <c r="D526" s="4">
        <v>3.8395999999999999</v>
      </c>
      <c r="E526" s="4">
        <v>3176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6.85</v>
      </c>
      <c r="D527" s="4">
        <v>3.8283999999999998</v>
      </c>
      <c r="E527" s="4">
        <v>3932</v>
      </c>
      <c r="F527" s="4"/>
      <c r="G527" s="4"/>
      <c r="H527" s="5">
        <f t="shared" si="8"/>
        <v>-2.9169705177622927E-3</v>
      </c>
    </row>
    <row r="528" spans="1:8" ht="13.5" x14ac:dyDescent="0.25">
      <c r="A528" s="1"/>
      <c r="B528" s="3">
        <v>43067</v>
      </c>
      <c r="C528" s="4">
        <v>6.85</v>
      </c>
      <c r="D528" s="4">
        <v>3.8283999999999998</v>
      </c>
      <c r="E528" s="4">
        <v>2285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6.86</v>
      </c>
      <c r="D529" s="4">
        <v>3.8340000000000001</v>
      </c>
      <c r="E529" s="4">
        <v>2093</v>
      </c>
      <c r="F529" s="4"/>
      <c r="G529" s="4"/>
      <c r="H529" s="5">
        <f t="shared" si="8"/>
        <v>1.4627520635253034E-3</v>
      </c>
    </row>
    <row r="530" spans="1:8" ht="13.5" x14ac:dyDescent="0.25">
      <c r="A530" s="1"/>
      <c r="B530" s="3">
        <v>43069</v>
      </c>
      <c r="C530" s="4">
        <v>6.81</v>
      </c>
      <c r="D530" s="4">
        <v>3.8060999999999998</v>
      </c>
      <c r="E530" s="4">
        <v>1038</v>
      </c>
      <c r="F530" s="4"/>
      <c r="G530" s="4"/>
      <c r="H530" s="5">
        <f t="shared" si="8"/>
        <v>-7.2769953051643865E-3</v>
      </c>
    </row>
    <row r="531" spans="1:8" ht="13.5" x14ac:dyDescent="0.25">
      <c r="A531" s="1"/>
      <c r="B531" s="3">
        <v>43073</v>
      </c>
      <c r="C531" s="4">
        <v>6.82</v>
      </c>
      <c r="D531" s="4">
        <v>3.8115999999999999</v>
      </c>
      <c r="E531" s="4">
        <v>1981</v>
      </c>
      <c r="F531" s="4"/>
      <c r="G531" s="4"/>
      <c r="H531" s="5">
        <f t="shared" si="8"/>
        <v>1.4450487375528916E-3</v>
      </c>
    </row>
    <row r="532" spans="1:8" ht="13.5" x14ac:dyDescent="0.25">
      <c r="A532" s="1"/>
      <c r="B532" s="3">
        <v>43074</v>
      </c>
      <c r="C532" s="4">
        <v>6.83</v>
      </c>
      <c r="D532" s="4">
        <v>3.8172000000000001</v>
      </c>
      <c r="E532" s="4">
        <v>1707</v>
      </c>
      <c r="F532" s="4"/>
      <c r="G532" s="4"/>
      <c r="H532" s="5">
        <f t="shared" si="8"/>
        <v>1.4691992863889894E-3</v>
      </c>
    </row>
    <row r="533" spans="1:8" ht="13.5" x14ac:dyDescent="0.25">
      <c r="A533" s="1"/>
      <c r="B533" s="3">
        <v>43075</v>
      </c>
      <c r="C533" s="4">
        <v>6.84</v>
      </c>
      <c r="D533" s="4">
        <v>3.8228</v>
      </c>
      <c r="E533" s="4">
        <v>6963</v>
      </c>
      <c r="F533" s="4"/>
      <c r="G533" s="4"/>
      <c r="H533" s="5">
        <f t="shared" si="8"/>
        <v>1.4670439065283E-3</v>
      </c>
    </row>
    <row r="534" spans="1:8" ht="13.5" x14ac:dyDescent="0.25">
      <c r="A534" s="1"/>
      <c r="B534" s="3">
        <v>43076</v>
      </c>
      <c r="C534" s="4">
        <v>7.25</v>
      </c>
      <c r="D534" s="4">
        <v>4.0519999999999996</v>
      </c>
      <c r="E534" s="4">
        <v>10024</v>
      </c>
      <c r="F534" s="4"/>
      <c r="G534" s="4"/>
      <c r="H534" s="5">
        <f t="shared" si="8"/>
        <v>5.9956053154755579E-2</v>
      </c>
    </row>
    <row r="535" spans="1:8" ht="13.5" x14ac:dyDescent="0.25">
      <c r="A535" s="1"/>
      <c r="B535" s="3">
        <v>43077</v>
      </c>
      <c r="C535" s="4">
        <v>7.65</v>
      </c>
      <c r="D535" s="4">
        <v>4.2755000000000001</v>
      </c>
      <c r="E535" s="4">
        <v>2207</v>
      </c>
      <c r="F535" s="4"/>
      <c r="G535" s="4"/>
      <c r="H535" s="5">
        <f t="shared" si="8"/>
        <v>5.515794669299124E-2</v>
      </c>
    </row>
    <row r="536" spans="1:8" ht="13.5" x14ac:dyDescent="0.25">
      <c r="A536" s="1"/>
      <c r="B536" s="3">
        <v>43080</v>
      </c>
      <c r="C536" s="4">
        <v>7.31</v>
      </c>
      <c r="D536" s="4">
        <v>4.0854999999999997</v>
      </c>
      <c r="E536" s="4">
        <v>516</v>
      </c>
      <c r="F536" s="4"/>
      <c r="G536" s="4"/>
      <c r="H536" s="5">
        <f t="shared" si="8"/>
        <v>-4.4439246871711004E-2</v>
      </c>
    </row>
    <row r="537" spans="1:8" ht="13.5" x14ac:dyDescent="0.25">
      <c r="A537" s="1"/>
      <c r="B537" s="3">
        <v>43081</v>
      </c>
      <c r="C537" s="4">
        <v>7.32</v>
      </c>
      <c r="D537" s="4">
        <v>4.0911</v>
      </c>
      <c r="E537" s="4">
        <v>3079</v>
      </c>
      <c r="F537" s="4"/>
      <c r="G537" s="4"/>
      <c r="H537" s="5">
        <f t="shared" si="8"/>
        <v>1.3707012605556901E-3</v>
      </c>
    </row>
    <row r="538" spans="1:8" ht="13.5" x14ac:dyDescent="0.25">
      <c r="A538" s="1"/>
      <c r="B538" s="3">
        <v>43082</v>
      </c>
      <c r="C538" s="4">
        <v>7.3</v>
      </c>
      <c r="D538" s="4">
        <v>4.0799000000000003</v>
      </c>
      <c r="E538" s="4">
        <v>5703</v>
      </c>
      <c r="F538" s="4"/>
      <c r="G538" s="4"/>
      <c r="H538" s="5">
        <f t="shared" si="8"/>
        <v>-2.737650020776724E-3</v>
      </c>
    </row>
    <row r="539" spans="1:8" ht="13.5" x14ac:dyDescent="0.25">
      <c r="A539" s="1"/>
      <c r="B539" s="3">
        <v>43083</v>
      </c>
      <c r="C539" s="4">
        <v>7.4</v>
      </c>
      <c r="D539" s="4">
        <v>4.1357999999999997</v>
      </c>
      <c r="E539" s="4">
        <v>7610</v>
      </c>
      <c r="F539" s="4"/>
      <c r="G539" s="4"/>
      <c r="H539" s="5">
        <f t="shared" si="8"/>
        <v>1.3701316208730456E-2</v>
      </c>
    </row>
    <row r="540" spans="1:8" ht="13.5" x14ac:dyDescent="0.25">
      <c r="A540" s="1"/>
      <c r="B540" s="3">
        <v>43084</v>
      </c>
      <c r="C540" s="4">
        <v>7.5</v>
      </c>
      <c r="D540" s="4">
        <v>4.1917</v>
      </c>
      <c r="E540" s="4">
        <v>20068</v>
      </c>
      <c r="F540" s="4"/>
      <c r="G540" s="4"/>
      <c r="H540" s="5">
        <f t="shared" si="8"/>
        <v>1.3516127472314978E-2</v>
      </c>
    </row>
    <row r="541" spans="1:8" ht="13.5" x14ac:dyDescent="0.25">
      <c r="A541" s="1"/>
      <c r="B541" s="3">
        <v>43087</v>
      </c>
      <c r="C541" s="4">
        <v>7.92</v>
      </c>
      <c r="D541" s="4">
        <v>4.4264000000000001</v>
      </c>
      <c r="E541" s="4">
        <v>36626</v>
      </c>
      <c r="F541" s="4"/>
      <c r="G541" s="4"/>
      <c r="H541" s="5">
        <f t="shared" si="8"/>
        <v>5.5991602452465615E-2</v>
      </c>
    </row>
    <row r="542" spans="1:8" ht="13.5" x14ac:dyDescent="0.25">
      <c r="A542" s="1"/>
      <c r="B542" s="3">
        <v>43088</v>
      </c>
      <c r="C542" s="4">
        <v>8.34</v>
      </c>
      <c r="D542" s="4">
        <v>4.6612</v>
      </c>
      <c r="E542" s="4">
        <v>16504</v>
      </c>
      <c r="F542" s="4"/>
      <c r="G542" s="4"/>
      <c r="H542" s="5">
        <f t="shared" si="8"/>
        <v>5.3045364178564952E-2</v>
      </c>
    </row>
    <row r="543" spans="1:8" ht="13.5" x14ac:dyDescent="0.25">
      <c r="A543" s="1"/>
      <c r="B543" s="3">
        <v>43089</v>
      </c>
      <c r="C543" s="4">
        <v>8.83</v>
      </c>
      <c r="D543" s="4">
        <v>4.9349999999999996</v>
      </c>
      <c r="E543" s="4">
        <v>34764</v>
      </c>
      <c r="F543" s="4"/>
      <c r="G543" s="4"/>
      <c r="H543" s="5">
        <f t="shared" si="8"/>
        <v>5.874023856517626E-2</v>
      </c>
    </row>
    <row r="544" spans="1:8" ht="13.5" x14ac:dyDescent="0.25">
      <c r="A544" s="1"/>
      <c r="B544" s="3">
        <v>43090</v>
      </c>
      <c r="C544" s="4">
        <v>9.19</v>
      </c>
      <c r="D544" s="4">
        <v>5.1361999999999997</v>
      </c>
      <c r="E544" s="4">
        <v>21419</v>
      </c>
      <c r="F544" s="4"/>
      <c r="G544" s="4"/>
      <c r="H544" s="5">
        <f t="shared" si="8"/>
        <v>4.0770010131712268E-2</v>
      </c>
    </row>
    <row r="545" spans="1:8" ht="13.5" x14ac:dyDescent="0.25">
      <c r="A545" s="1"/>
      <c r="B545" s="3">
        <v>43091</v>
      </c>
      <c r="C545" s="4">
        <v>9</v>
      </c>
      <c r="D545" s="4">
        <v>5.03</v>
      </c>
      <c r="E545" s="4">
        <v>33298</v>
      </c>
      <c r="F545" s="4"/>
      <c r="G545" s="4"/>
      <c r="H545" s="5">
        <f t="shared" si="8"/>
        <v>-2.0676764923484175E-2</v>
      </c>
    </row>
    <row r="546" spans="1:8" ht="13.5" x14ac:dyDescent="0.25">
      <c r="A546" s="1"/>
      <c r="B546" s="3">
        <v>43094</v>
      </c>
      <c r="C546" s="4">
        <v>8.7200000000000006</v>
      </c>
      <c r="D546" s="4">
        <v>4.8734999999999999</v>
      </c>
      <c r="E546" s="4">
        <v>27752</v>
      </c>
      <c r="F546" s="4"/>
      <c r="G546" s="4"/>
      <c r="H546" s="5">
        <f t="shared" si="8"/>
        <v>-3.1113320079522923E-2</v>
      </c>
    </row>
    <row r="547" spans="1:8" ht="13.5" x14ac:dyDescent="0.25">
      <c r="A547" s="1"/>
      <c r="B547" s="3">
        <v>43095</v>
      </c>
      <c r="C547" s="4">
        <v>8.69</v>
      </c>
      <c r="D547" s="4">
        <v>4.8567999999999998</v>
      </c>
      <c r="E547" s="4">
        <v>9993</v>
      </c>
      <c r="F547" s="4"/>
      <c r="G547" s="4"/>
      <c r="H547" s="5">
        <f t="shared" si="8"/>
        <v>-3.4266953934544288E-3</v>
      </c>
    </row>
    <row r="548" spans="1:8" ht="13.5" x14ac:dyDescent="0.25">
      <c r="A548" s="1"/>
      <c r="B548" s="3">
        <v>43096</v>
      </c>
      <c r="C548" s="4">
        <v>8.7100000000000009</v>
      </c>
      <c r="D548" s="4">
        <v>4.8678999999999997</v>
      </c>
      <c r="E548" s="4">
        <v>20236</v>
      </c>
      <c r="F548" s="4"/>
      <c r="G548" s="4"/>
      <c r="H548" s="5">
        <f t="shared" si="8"/>
        <v>2.285455443913665E-3</v>
      </c>
    </row>
    <row r="549" spans="1:8" ht="13.5" x14ac:dyDescent="0.25">
      <c r="A549" s="1"/>
      <c r="B549" s="3">
        <v>43097</v>
      </c>
      <c r="C549" s="4">
        <v>8.6999999999999993</v>
      </c>
      <c r="D549" s="4">
        <v>4.8624000000000001</v>
      </c>
      <c r="E549" s="4">
        <v>29164</v>
      </c>
      <c r="F549" s="4"/>
      <c r="G549" s="4"/>
      <c r="H549" s="5">
        <f t="shared" si="8"/>
        <v>-1.1298506542861638E-3</v>
      </c>
    </row>
    <row r="550" spans="1:8" ht="13.5" x14ac:dyDescent="0.25">
      <c r="A550" s="1"/>
      <c r="B550" s="3">
        <v>43098</v>
      </c>
      <c r="C550" s="4">
        <v>8.69</v>
      </c>
      <c r="D550" s="4">
        <v>4.8567999999999998</v>
      </c>
      <c r="E550" s="4">
        <v>70552</v>
      </c>
      <c r="F550" s="4"/>
      <c r="G550" s="4"/>
      <c r="H550" s="5">
        <f t="shared" si="8"/>
        <v>-1.1516946363936064E-3</v>
      </c>
    </row>
    <row r="551" spans="1:8" ht="13.5" x14ac:dyDescent="0.25">
      <c r="A551" s="1"/>
      <c r="B551" s="3">
        <v>43102</v>
      </c>
      <c r="C551" s="4">
        <v>8.25</v>
      </c>
      <c r="D551" s="4">
        <v>4.6109</v>
      </c>
      <c r="E551" s="4">
        <v>2023</v>
      </c>
      <c r="F551" s="4"/>
      <c r="G551" s="4"/>
      <c r="H551" s="5">
        <f t="shared" si="8"/>
        <v>-5.0630044473727515E-2</v>
      </c>
    </row>
    <row r="552" spans="1:8" ht="13.5" x14ac:dyDescent="0.25">
      <c r="A552" s="1"/>
      <c r="B552" s="3">
        <v>43103</v>
      </c>
      <c r="C552" s="4">
        <v>8</v>
      </c>
      <c r="D552" s="4">
        <v>4.4710999999999999</v>
      </c>
      <c r="E552" s="4">
        <v>6225</v>
      </c>
      <c r="F552" s="4"/>
      <c r="G552" s="4"/>
      <c r="H552" s="5">
        <f t="shared" si="8"/>
        <v>-3.0319460409030805E-2</v>
      </c>
    </row>
    <row r="553" spans="1:8" ht="13.5" x14ac:dyDescent="0.25">
      <c r="A553" s="1"/>
      <c r="B553" s="3">
        <v>43104</v>
      </c>
      <c r="C553" s="4">
        <v>7.64</v>
      </c>
      <c r="D553" s="4">
        <v>4.2698999999999998</v>
      </c>
      <c r="E553" s="4">
        <v>0</v>
      </c>
      <c r="F553" s="4"/>
      <c r="G553" s="4"/>
      <c r="H553" s="5">
        <f t="shared" si="8"/>
        <v>-4.500011182930376E-2</v>
      </c>
    </row>
    <row r="554" spans="1:8" ht="13.5" x14ac:dyDescent="0.25">
      <c r="A554" s="1"/>
      <c r="B554" s="3">
        <v>43105</v>
      </c>
      <c r="C554" s="4">
        <v>7.5</v>
      </c>
      <c r="D554" s="4">
        <v>4.1917</v>
      </c>
      <c r="E554" s="4">
        <v>1431</v>
      </c>
      <c r="F554" s="4"/>
      <c r="G554" s="4"/>
      <c r="H554" s="5">
        <f t="shared" si="8"/>
        <v>-1.8314246235274792E-2</v>
      </c>
    </row>
    <row r="555" spans="1:8" ht="13.5" x14ac:dyDescent="0.25">
      <c r="A555" s="1"/>
      <c r="B555" s="3">
        <v>43108</v>
      </c>
      <c r="C555" s="4">
        <v>7.94</v>
      </c>
      <c r="D555" s="4">
        <v>4.4375999999999998</v>
      </c>
      <c r="E555" s="4">
        <v>1574</v>
      </c>
      <c r="F555" s="4"/>
      <c r="G555" s="4"/>
      <c r="H555" s="5">
        <f t="shared" si="8"/>
        <v>5.866354939523339E-2</v>
      </c>
    </row>
    <row r="556" spans="1:8" ht="13.5" x14ac:dyDescent="0.25">
      <c r="A556" s="1"/>
      <c r="B556" s="3">
        <v>43109</v>
      </c>
      <c r="C556" s="4">
        <v>7.75</v>
      </c>
      <c r="D556" s="4">
        <v>4.3314000000000004</v>
      </c>
      <c r="E556" s="4">
        <v>1502</v>
      </c>
      <c r="F556" s="4"/>
      <c r="G556" s="4"/>
      <c r="H556" s="5">
        <f t="shared" si="8"/>
        <v>-2.393185505678732E-2</v>
      </c>
    </row>
    <row r="557" spans="1:8" ht="13.5" x14ac:dyDescent="0.25">
      <c r="A557" s="1"/>
      <c r="B557" s="3">
        <v>43110</v>
      </c>
      <c r="C557" s="4">
        <v>7.77</v>
      </c>
      <c r="D557" s="4">
        <v>4.3426</v>
      </c>
      <c r="E557" s="4">
        <v>4356</v>
      </c>
      <c r="F557" s="4"/>
      <c r="G557" s="4"/>
      <c r="H557" s="5">
        <f t="shared" si="8"/>
        <v>2.5857690354157211E-3</v>
      </c>
    </row>
    <row r="558" spans="1:8" ht="13.5" x14ac:dyDescent="0.25">
      <c r="A558" s="1"/>
      <c r="B558" s="3">
        <v>43111</v>
      </c>
      <c r="C558" s="4">
        <v>7.75</v>
      </c>
      <c r="D558" s="4">
        <v>4.3314000000000004</v>
      </c>
      <c r="E558" s="4">
        <v>2453</v>
      </c>
      <c r="F558" s="4"/>
      <c r="G558" s="4"/>
      <c r="H558" s="5">
        <f t="shared" si="8"/>
        <v>-2.5791000782940301E-3</v>
      </c>
    </row>
    <row r="559" spans="1:8" ht="13.5" x14ac:dyDescent="0.25">
      <c r="A559" s="1"/>
      <c r="B559" s="3">
        <v>43112</v>
      </c>
      <c r="C559" s="4">
        <v>7.57</v>
      </c>
      <c r="D559" s="4">
        <v>4.2308000000000003</v>
      </c>
      <c r="E559" s="4">
        <v>5403</v>
      </c>
      <c r="F559" s="4"/>
      <c r="G559" s="4"/>
      <c r="H559" s="5">
        <f t="shared" si="8"/>
        <v>-2.3225746871681215E-2</v>
      </c>
    </row>
    <row r="560" spans="1:8" ht="13.5" x14ac:dyDescent="0.25">
      <c r="A560" s="1"/>
      <c r="B560" s="3">
        <v>43115</v>
      </c>
      <c r="C560" s="4">
        <v>7.68</v>
      </c>
      <c r="D560" s="4">
        <v>4.2923</v>
      </c>
      <c r="E560" s="4">
        <v>2945</v>
      </c>
      <c r="F560" s="4"/>
      <c r="G560" s="4"/>
      <c r="H560" s="5">
        <f t="shared" si="8"/>
        <v>1.4536257918124152E-2</v>
      </c>
    </row>
    <row r="561" spans="1:8" ht="13.5" x14ac:dyDescent="0.25">
      <c r="A561" s="1"/>
      <c r="B561" s="3">
        <v>43116</v>
      </c>
      <c r="C561" s="4">
        <v>7.68</v>
      </c>
      <c r="D561" s="4">
        <v>4.2923</v>
      </c>
      <c r="E561" s="4">
        <v>550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7.63</v>
      </c>
      <c r="D562" s="4">
        <v>4.2643000000000004</v>
      </c>
      <c r="E562" s="4">
        <v>4715</v>
      </c>
      <c r="F562" s="4"/>
      <c r="G562" s="4"/>
      <c r="H562" s="5">
        <f t="shared" si="8"/>
        <v>-6.5233091815575751E-3</v>
      </c>
    </row>
    <row r="563" spans="1:8" ht="13.5" x14ac:dyDescent="0.25">
      <c r="A563" s="1"/>
      <c r="B563" s="3">
        <v>43118</v>
      </c>
      <c r="C563" s="4">
        <v>7.9</v>
      </c>
      <c r="D563" s="4">
        <v>4.4151999999999996</v>
      </c>
      <c r="E563" s="4">
        <v>2883</v>
      </c>
      <c r="F563" s="4"/>
      <c r="G563" s="4"/>
      <c r="H563" s="5">
        <f t="shared" si="8"/>
        <v>3.5386816124568891E-2</v>
      </c>
    </row>
    <row r="564" spans="1:8" ht="13.5" x14ac:dyDescent="0.25">
      <c r="A564" s="1"/>
      <c r="B564" s="3">
        <v>43119</v>
      </c>
      <c r="C564" s="4">
        <v>8</v>
      </c>
      <c r="D564" s="4">
        <v>4.4710999999999999</v>
      </c>
      <c r="E564" s="4">
        <v>1085</v>
      </c>
      <c r="F564" s="4"/>
      <c r="G564" s="4"/>
      <c r="H564" s="5">
        <f t="shared" si="8"/>
        <v>1.2660808117412639E-2</v>
      </c>
    </row>
    <row r="565" spans="1:8" ht="13.5" x14ac:dyDescent="0.25">
      <c r="A565" s="1"/>
      <c r="B565" s="3">
        <v>43122</v>
      </c>
      <c r="C565" s="4">
        <v>7.8</v>
      </c>
      <c r="D565" s="4">
        <v>4.3593999999999999</v>
      </c>
      <c r="E565" s="4">
        <v>845</v>
      </c>
      <c r="F565" s="4"/>
      <c r="G565" s="4"/>
      <c r="H565" s="5">
        <f t="shared" si="8"/>
        <v>-2.4982666457918613E-2</v>
      </c>
    </row>
    <row r="566" spans="1:8" ht="13.5" x14ac:dyDescent="0.25">
      <c r="A566" s="1"/>
      <c r="B566" s="3">
        <v>43123</v>
      </c>
      <c r="C566" s="4">
        <v>7.97</v>
      </c>
      <c r="D566" s="4">
        <v>4.4543999999999997</v>
      </c>
      <c r="E566" s="4">
        <v>2468</v>
      </c>
      <c r="F566" s="4"/>
      <c r="G566" s="4"/>
      <c r="H566" s="5">
        <f t="shared" si="8"/>
        <v>2.1791989723356369E-2</v>
      </c>
    </row>
    <row r="567" spans="1:8" ht="13.5" x14ac:dyDescent="0.25">
      <c r="A567" s="1"/>
      <c r="B567" s="3">
        <v>43124</v>
      </c>
      <c r="C567" s="4">
        <v>8.01</v>
      </c>
      <c r="D567" s="4">
        <v>4.4767000000000001</v>
      </c>
      <c r="E567" s="4">
        <v>1780</v>
      </c>
      <c r="F567" s="4"/>
      <c r="G567" s="4"/>
      <c r="H567" s="5">
        <f t="shared" si="8"/>
        <v>5.0062859195403268E-3</v>
      </c>
    </row>
    <row r="568" spans="1:8" ht="13.5" x14ac:dyDescent="0.25">
      <c r="A568" s="1"/>
      <c r="B568" s="3">
        <v>43125</v>
      </c>
      <c r="C568" s="4">
        <v>8.49</v>
      </c>
      <c r="D568" s="4">
        <v>4.7450000000000001</v>
      </c>
      <c r="E568" s="4">
        <v>2898</v>
      </c>
      <c r="F568" s="4"/>
      <c r="G568" s="4"/>
      <c r="H568" s="5">
        <f t="shared" si="8"/>
        <v>5.9932539593897285E-2</v>
      </c>
    </row>
    <row r="569" spans="1:8" ht="13.5" x14ac:dyDescent="0.25">
      <c r="A569" s="1"/>
      <c r="B569" s="3">
        <v>43126</v>
      </c>
      <c r="C569" s="4">
        <v>8.49</v>
      </c>
      <c r="D569" s="4">
        <v>4.7450000000000001</v>
      </c>
      <c r="E569" s="4">
        <v>8747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8.5</v>
      </c>
      <c r="D570" s="4">
        <v>4.7506000000000004</v>
      </c>
      <c r="E570" s="4">
        <v>851</v>
      </c>
      <c r="F570" s="4"/>
      <c r="G570" s="4"/>
      <c r="H570" s="5">
        <f t="shared" si="8"/>
        <v>1.1801896733404154E-3</v>
      </c>
    </row>
    <row r="571" spans="1:8" ht="13.5" x14ac:dyDescent="0.25">
      <c r="A571" s="1"/>
      <c r="B571" s="3">
        <v>43130</v>
      </c>
      <c r="C571" s="4">
        <v>8.4</v>
      </c>
      <c r="D571" s="4">
        <v>4.6947000000000001</v>
      </c>
      <c r="E571" s="4">
        <v>2355</v>
      </c>
      <c r="F571" s="4"/>
      <c r="G571" s="4"/>
      <c r="H571" s="5">
        <f t="shared" si="8"/>
        <v>-1.1766934702984944E-2</v>
      </c>
    </row>
    <row r="572" spans="1:8" ht="13.5" x14ac:dyDescent="0.25">
      <c r="A572" s="1"/>
      <c r="B572" s="3">
        <v>43131</v>
      </c>
      <c r="C572" s="4">
        <v>8.4</v>
      </c>
      <c r="D572" s="4">
        <v>4.6947000000000001</v>
      </c>
      <c r="E572" s="4">
        <v>1730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8.1999999999999993</v>
      </c>
      <c r="D573" s="4">
        <v>4.5829000000000004</v>
      </c>
      <c r="E573" s="4">
        <v>3957</v>
      </c>
      <c r="F573" s="4"/>
      <c r="G573" s="4"/>
      <c r="H573" s="5">
        <f t="shared" si="8"/>
        <v>-2.3814088227149696E-2</v>
      </c>
    </row>
    <row r="574" spans="1:8" ht="13.5" x14ac:dyDescent="0.25">
      <c r="A574" s="1"/>
      <c r="B574" s="3">
        <v>43133</v>
      </c>
      <c r="C574" s="4">
        <v>8.39</v>
      </c>
      <c r="D574" s="4">
        <v>4.6890999999999998</v>
      </c>
      <c r="E574" s="4">
        <v>460</v>
      </c>
      <c r="F574" s="4"/>
      <c r="G574" s="4"/>
      <c r="H574" s="5">
        <f t="shared" si="8"/>
        <v>2.3173100002181892E-2</v>
      </c>
    </row>
    <row r="575" spans="1:8" ht="13.5" x14ac:dyDescent="0.25">
      <c r="A575" s="1"/>
      <c r="B575" s="3">
        <v>43136</v>
      </c>
      <c r="C575" s="4">
        <v>8.3000000000000007</v>
      </c>
      <c r="D575" s="4">
        <v>4.6387999999999998</v>
      </c>
      <c r="E575" s="4">
        <v>1278</v>
      </c>
      <c r="F575" s="4"/>
      <c r="G575" s="4"/>
      <c r="H575" s="5">
        <f t="shared" si="8"/>
        <v>-1.0727005182231134E-2</v>
      </c>
    </row>
    <row r="576" spans="1:8" ht="13.5" x14ac:dyDescent="0.25">
      <c r="A576" s="1"/>
      <c r="B576" s="3">
        <v>43137</v>
      </c>
      <c r="C576" s="4">
        <v>7.99</v>
      </c>
      <c r="D576" s="4">
        <v>4.4654999999999996</v>
      </c>
      <c r="E576" s="4">
        <v>3761</v>
      </c>
      <c r="F576" s="4"/>
      <c r="G576" s="4"/>
      <c r="H576" s="5">
        <f t="shared" si="8"/>
        <v>-3.7358799689574944E-2</v>
      </c>
    </row>
    <row r="577" spans="1:8" ht="13.5" x14ac:dyDescent="0.25">
      <c r="A577" s="1"/>
      <c r="B577" s="3">
        <v>43138</v>
      </c>
      <c r="C577" s="4">
        <v>7.8</v>
      </c>
      <c r="D577" s="4">
        <v>4.3593999999999999</v>
      </c>
      <c r="E577" s="4">
        <v>6670</v>
      </c>
      <c r="F577" s="4"/>
      <c r="G577" s="4"/>
      <c r="H577" s="5">
        <f t="shared" si="8"/>
        <v>-2.3759937297055122E-2</v>
      </c>
    </row>
    <row r="578" spans="1:8" ht="13.5" x14ac:dyDescent="0.25">
      <c r="A578" s="1"/>
      <c r="B578" s="3">
        <v>43139</v>
      </c>
      <c r="C578" s="4">
        <v>7.89</v>
      </c>
      <c r="D578" s="4">
        <v>4.4097</v>
      </c>
      <c r="E578" s="4">
        <v>1652</v>
      </c>
      <c r="F578" s="4"/>
      <c r="G578" s="4"/>
      <c r="H578" s="5">
        <f t="shared" si="8"/>
        <v>1.1538285085103458E-2</v>
      </c>
    </row>
    <row r="579" spans="1:8" ht="13.5" x14ac:dyDescent="0.25">
      <c r="A579" s="1"/>
      <c r="B579" s="3">
        <v>43140</v>
      </c>
      <c r="C579" s="4">
        <v>7.71</v>
      </c>
      <c r="D579" s="4">
        <v>4.3090999999999999</v>
      </c>
      <c r="E579" s="4">
        <v>605</v>
      </c>
      <c r="F579" s="4"/>
      <c r="G579" s="4"/>
      <c r="H579" s="5">
        <f t="shared" si="8"/>
        <v>-2.2813343311336377E-2</v>
      </c>
    </row>
    <row r="580" spans="1:8" ht="13.5" x14ac:dyDescent="0.25">
      <c r="A580" s="1"/>
      <c r="B580" s="3">
        <v>43143</v>
      </c>
      <c r="C580" s="4">
        <v>7.83</v>
      </c>
      <c r="D580" s="4">
        <v>4.3761000000000001</v>
      </c>
      <c r="E580" s="4">
        <v>1037</v>
      </c>
      <c r="F580" s="4"/>
      <c r="G580" s="4"/>
      <c r="H580" s="5">
        <f t="shared" si="8"/>
        <v>1.5548490404028724E-2</v>
      </c>
    </row>
    <row r="581" spans="1:8" ht="13.5" x14ac:dyDescent="0.25">
      <c r="A581" s="1"/>
      <c r="B581" s="3">
        <v>43144</v>
      </c>
      <c r="C581" s="4">
        <v>7.83</v>
      </c>
      <c r="D581" s="4">
        <v>4.3761000000000001</v>
      </c>
      <c r="E581" s="4">
        <v>1157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7.62</v>
      </c>
      <c r="D582" s="4">
        <v>4.2587999999999999</v>
      </c>
      <c r="E582" s="4">
        <v>1867</v>
      </c>
      <c r="F582" s="4"/>
      <c r="G582" s="4"/>
      <c r="H582" s="5">
        <f t="shared" si="8"/>
        <v>-2.6804689106738919E-2</v>
      </c>
    </row>
    <row r="583" spans="1:8" ht="13.5" x14ac:dyDescent="0.25">
      <c r="A583" s="1"/>
      <c r="B583" s="3">
        <v>43146</v>
      </c>
      <c r="C583" s="4">
        <v>7.5</v>
      </c>
      <c r="D583" s="4">
        <v>4.1917</v>
      </c>
      <c r="E583" s="4">
        <v>6647</v>
      </c>
      <c r="F583" s="4"/>
      <c r="G583" s="4"/>
      <c r="H583" s="5">
        <f t="shared" ref="H583:H646" si="9">(D583-D582)/D582</f>
        <v>-1.575561190945805E-2</v>
      </c>
    </row>
    <row r="584" spans="1:8" ht="13.5" x14ac:dyDescent="0.25">
      <c r="A584" s="1"/>
      <c r="B584" s="3">
        <v>43147</v>
      </c>
      <c r="C584" s="4">
        <v>7.5</v>
      </c>
      <c r="D584" s="4">
        <v>4.1917</v>
      </c>
      <c r="E584" s="4">
        <v>1325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7.35</v>
      </c>
      <c r="D585" s="4">
        <v>4.1078999999999999</v>
      </c>
      <c r="E585" s="4">
        <v>1425</v>
      </c>
      <c r="F585" s="4"/>
      <c r="G585" s="4"/>
      <c r="H585" s="5">
        <f t="shared" si="9"/>
        <v>-1.9991888732495192E-2</v>
      </c>
    </row>
    <row r="586" spans="1:8" ht="13.5" x14ac:dyDescent="0.25">
      <c r="A586" s="1"/>
      <c r="B586" s="3">
        <v>43151</v>
      </c>
      <c r="C586" s="4">
        <v>7.18</v>
      </c>
      <c r="D586" s="4">
        <v>4.0128000000000004</v>
      </c>
      <c r="E586" s="4">
        <v>3140</v>
      </c>
      <c r="F586" s="4"/>
      <c r="G586" s="4"/>
      <c r="H586" s="5">
        <f t="shared" si="9"/>
        <v>-2.3150514861608004E-2</v>
      </c>
    </row>
    <row r="587" spans="1:8" ht="13.5" x14ac:dyDescent="0.25">
      <c r="A587" s="1"/>
      <c r="B587" s="3">
        <v>43152</v>
      </c>
      <c r="C587" s="4">
        <v>7.38</v>
      </c>
      <c r="D587" s="4">
        <v>4.1246</v>
      </c>
      <c r="E587" s="4">
        <v>1408</v>
      </c>
      <c r="F587" s="4"/>
      <c r="G587" s="4"/>
      <c r="H587" s="5">
        <f t="shared" si="9"/>
        <v>2.7860845295055739E-2</v>
      </c>
    </row>
    <row r="588" spans="1:8" ht="13.5" x14ac:dyDescent="0.25">
      <c r="A588" s="1"/>
      <c r="B588" s="3">
        <v>43153</v>
      </c>
      <c r="C588" s="4">
        <v>7.38</v>
      </c>
      <c r="D588" s="4">
        <v>4.1246</v>
      </c>
      <c r="E588" s="4">
        <v>3920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7.2</v>
      </c>
      <c r="D589" s="4">
        <v>4.024</v>
      </c>
      <c r="E589" s="4">
        <v>937</v>
      </c>
      <c r="F589" s="4"/>
      <c r="G589" s="4"/>
      <c r="H589" s="5">
        <f t="shared" si="9"/>
        <v>-2.4390243902439029E-2</v>
      </c>
    </row>
    <row r="590" spans="1:8" ht="13.5" x14ac:dyDescent="0.25">
      <c r="A590" s="1"/>
      <c r="B590" s="3">
        <v>43157</v>
      </c>
      <c r="C590" s="4">
        <v>7</v>
      </c>
      <c r="D590" s="4">
        <v>3.9121999999999999</v>
      </c>
      <c r="E590" s="4">
        <v>2005</v>
      </c>
      <c r="F590" s="4"/>
      <c r="G590" s="4"/>
      <c r="H590" s="5">
        <f t="shared" si="9"/>
        <v>-2.7783300198807186E-2</v>
      </c>
    </row>
    <row r="591" spans="1:8" ht="13.5" x14ac:dyDescent="0.25">
      <c r="A591" s="1"/>
      <c r="B591" s="3">
        <v>43158</v>
      </c>
      <c r="C591" s="4">
        <v>7</v>
      </c>
      <c r="D591" s="4">
        <v>3.9121999999999999</v>
      </c>
      <c r="E591" s="4">
        <v>4256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6.9</v>
      </c>
      <c r="D592" s="4">
        <v>3.8563999999999998</v>
      </c>
      <c r="E592" s="4">
        <v>1656</v>
      </c>
      <c r="F592" s="4"/>
      <c r="G592" s="4"/>
      <c r="H592" s="5">
        <f t="shared" si="9"/>
        <v>-1.426307448494455E-2</v>
      </c>
    </row>
    <row r="593" spans="1:8" ht="13.5" x14ac:dyDescent="0.25">
      <c r="A593" s="1"/>
      <c r="B593" s="3">
        <v>43160</v>
      </c>
      <c r="C593" s="4">
        <v>7</v>
      </c>
      <c r="D593" s="4">
        <v>3.9121999999999999</v>
      </c>
      <c r="E593" s="4">
        <v>1675</v>
      </c>
      <c r="F593" s="4"/>
      <c r="G593" s="4"/>
      <c r="H593" s="5">
        <f t="shared" si="9"/>
        <v>1.4469453376205806E-2</v>
      </c>
    </row>
    <row r="594" spans="1:8" ht="13.5" x14ac:dyDescent="0.25">
      <c r="A594" s="1"/>
      <c r="B594" s="3">
        <v>43161</v>
      </c>
      <c r="C594" s="4">
        <v>7</v>
      </c>
      <c r="D594" s="4">
        <v>3.9121999999999999</v>
      </c>
      <c r="E594" s="4">
        <v>1370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6.9</v>
      </c>
      <c r="D595" s="4">
        <v>3.8563999999999998</v>
      </c>
      <c r="E595" s="4">
        <v>1570</v>
      </c>
      <c r="F595" s="4"/>
      <c r="G595" s="4"/>
      <c r="H595" s="5">
        <f t="shared" si="9"/>
        <v>-1.426307448494455E-2</v>
      </c>
    </row>
    <row r="596" spans="1:8" ht="13.5" x14ac:dyDescent="0.25">
      <c r="A596" s="1"/>
      <c r="B596" s="3">
        <v>43165</v>
      </c>
      <c r="C596" s="4">
        <v>7.21</v>
      </c>
      <c r="D596" s="4">
        <v>4.0296000000000003</v>
      </c>
      <c r="E596" s="4">
        <v>0</v>
      </c>
      <c r="F596" s="4"/>
      <c r="G596" s="4"/>
      <c r="H596" s="5">
        <f t="shared" si="9"/>
        <v>4.4912353490301961E-2</v>
      </c>
    </row>
    <row r="597" spans="1:8" ht="13.5" x14ac:dyDescent="0.25">
      <c r="A597" s="1"/>
      <c r="B597" s="3">
        <v>43166</v>
      </c>
      <c r="C597" s="4">
        <v>7.64</v>
      </c>
      <c r="D597" s="4">
        <v>4.2698999999999998</v>
      </c>
      <c r="E597" s="4">
        <v>25697</v>
      </c>
      <c r="F597" s="4"/>
      <c r="G597" s="4"/>
      <c r="H597" s="5">
        <f t="shared" si="9"/>
        <v>5.9633710541989154E-2</v>
      </c>
    </row>
    <row r="598" spans="1:8" ht="13.5" x14ac:dyDescent="0.25">
      <c r="A598" s="1"/>
      <c r="B598" s="3">
        <v>43167</v>
      </c>
      <c r="C598" s="4">
        <v>7.96</v>
      </c>
      <c r="D598" s="4">
        <v>4.4488000000000003</v>
      </c>
      <c r="E598" s="4">
        <v>24280</v>
      </c>
      <c r="F598" s="4"/>
      <c r="G598" s="4"/>
      <c r="H598" s="5">
        <f t="shared" si="9"/>
        <v>4.1897936719829623E-2</v>
      </c>
    </row>
    <row r="599" spans="1:8" ht="13.5" x14ac:dyDescent="0.25">
      <c r="A599" s="1"/>
      <c r="B599" s="3">
        <v>43168</v>
      </c>
      <c r="C599" s="4">
        <v>7.67</v>
      </c>
      <c r="D599" s="4">
        <v>4.2866999999999997</v>
      </c>
      <c r="E599" s="4">
        <v>17612</v>
      </c>
      <c r="F599" s="4"/>
      <c r="G599" s="4"/>
      <c r="H599" s="5">
        <f t="shared" si="9"/>
        <v>-3.6436791943895111E-2</v>
      </c>
    </row>
    <row r="600" spans="1:8" ht="13.5" x14ac:dyDescent="0.25">
      <c r="A600" s="1"/>
      <c r="B600" s="3">
        <v>43171</v>
      </c>
      <c r="C600" s="4">
        <v>7.72</v>
      </c>
      <c r="D600" s="4">
        <v>4.3146000000000004</v>
      </c>
      <c r="E600" s="4">
        <v>35946</v>
      </c>
      <c r="F600" s="4"/>
      <c r="G600" s="4"/>
      <c r="H600" s="5">
        <f t="shared" si="9"/>
        <v>6.5085030442999748E-3</v>
      </c>
    </row>
    <row r="601" spans="1:8" ht="13.5" x14ac:dyDescent="0.25">
      <c r="A601" s="1"/>
      <c r="B601" s="3">
        <v>43172</v>
      </c>
      <c r="C601" s="4">
        <v>8.06</v>
      </c>
      <c r="D601" s="4">
        <v>4.5046999999999997</v>
      </c>
      <c r="E601" s="4">
        <v>31210</v>
      </c>
      <c r="F601" s="4"/>
      <c r="G601" s="4"/>
      <c r="H601" s="5">
        <f t="shared" si="9"/>
        <v>4.4059704259954396E-2</v>
      </c>
    </row>
    <row r="602" spans="1:8" ht="13.5" x14ac:dyDescent="0.25">
      <c r="A602" s="1"/>
      <c r="B602" s="3">
        <v>43173</v>
      </c>
      <c r="C602" s="4">
        <v>8.08</v>
      </c>
      <c r="D602" s="4">
        <v>4.5157999999999996</v>
      </c>
      <c r="E602" s="4">
        <v>14521</v>
      </c>
      <c r="F602" s="4"/>
      <c r="G602" s="4"/>
      <c r="H602" s="5">
        <f t="shared" si="9"/>
        <v>2.4640930583612422E-3</v>
      </c>
    </row>
    <row r="603" spans="1:8" ht="13.5" x14ac:dyDescent="0.25">
      <c r="A603" s="1"/>
      <c r="B603" s="3">
        <v>43174</v>
      </c>
      <c r="C603" s="4">
        <v>7.9</v>
      </c>
      <c r="D603" s="4">
        <v>4.4151999999999996</v>
      </c>
      <c r="E603" s="4">
        <v>8030</v>
      </c>
      <c r="F603" s="4"/>
      <c r="G603" s="4"/>
      <c r="H603" s="5">
        <f t="shared" si="9"/>
        <v>-2.2277337348863994E-2</v>
      </c>
    </row>
    <row r="604" spans="1:8" ht="13.5" x14ac:dyDescent="0.25">
      <c r="A604" s="1"/>
      <c r="B604" s="3">
        <v>43175</v>
      </c>
      <c r="C604" s="4">
        <v>7.75</v>
      </c>
      <c r="D604" s="4">
        <v>4.3314000000000004</v>
      </c>
      <c r="E604" s="4">
        <v>6505</v>
      </c>
      <c r="F604" s="4"/>
      <c r="G604" s="4"/>
      <c r="H604" s="5">
        <f t="shared" si="9"/>
        <v>-1.897988766080794E-2</v>
      </c>
    </row>
    <row r="605" spans="1:8" ht="13.5" x14ac:dyDescent="0.25">
      <c r="A605" s="1"/>
      <c r="B605" s="3">
        <v>43178</v>
      </c>
      <c r="C605" s="4">
        <v>7.75</v>
      </c>
      <c r="D605" s="4">
        <v>4.3314000000000004</v>
      </c>
      <c r="E605" s="4">
        <v>6165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7.95</v>
      </c>
      <c r="D606" s="4">
        <v>4.4432</v>
      </c>
      <c r="E606" s="4">
        <v>4102</v>
      </c>
      <c r="F606" s="4"/>
      <c r="G606" s="4"/>
      <c r="H606" s="5">
        <f t="shared" si="9"/>
        <v>2.5811515907096936E-2</v>
      </c>
    </row>
    <row r="607" spans="1:8" ht="13.5" x14ac:dyDescent="0.25">
      <c r="A607" s="1"/>
      <c r="B607" s="3">
        <v>43181</v>
      </c>
      <c r="C607" s="4">
        <v>8.2200000000000006</v>
      </c>
      <c r="D607" s="4">
        <v>4.5941000000000001</v>
      </c>
      <c r="E607" s="4">
        <v>10405</v>
      </c>
      <c r="F607" s="4"/>
      <c r="G607" s="4"/>
      <c r="H607" s="5">
        <f t="shared" si="9"/>
        <v>3.3962009362621538E-2</v>
      </c>
    </row>
    <row r="608" spans="1:8" ht="13.5" x14ac:dyDescent="0.25">
      <c r="A608" s="1"/>
      <c r="B608" s="3">
        <v>43182</v>
      </c>
      <c r="C608" s="4">
        <v>8.58</v>
      </c>
      <c r="D608" s="4">
        <v>4.7953000000000001</v>
      </c>
      <c r="E608" s="4">
        <v>0</v>
      </c>
      <c r="F608" s="4"/>
      <c r="G608" s="4"/>
      <c r="H608" s="5">
        <f t="shared" si="9"/>
        <v>4.3795302670816924E-2</v>
      </c>
    </row>
    <row r="609" spans="1:8" ht="13.5" x14ac:dyDescent="0.25">
      <c r="A609" s="1"/>
      <c r="B609" s="3">
        <v>43185</v>
      </c>
      <c r="C609" s="4">
        <v>8.3000000000000007</v>
      </c>
      <c r="D609" s="4">
        <v>4.6387999999999998</v>
      </c>
      <c r="E609" s="4">
        <v>30516</v>
      </c>
      <c r="F609" s="4"/>
      <c r="G609" s="4"/>
      <c r="H609" s="5">
        <f t="shared" si="9"/>
        <v>-3.2636122870310577E-2</v>
      </c>
    </row>
    <row r="610" spans="1:8" ht="13.5" x14ac:dyDescent="0.25">
      <c r="A610" s="1"/>
      <c r="B610" s="3">
        <v>43186</v>
      </c>
      <c r="C610" s="4">
        <v>8.5</v>
      </c>
      <c r="D610" s="4">
        <v>4.7506000000000004</v>
      </c>
      <c r="E610" s="4">
        <v>15391</v>
      </c>
      <c r="F610" s="4"/>
      <c r="G610" s="4"/>
      <c r="H610" s="5">
        <f t="shared" si="9"/>
        <v>2.4101060619125758E-2</v>
      </c>
    </row>
    <row r="611" spans="1:8" ht="13.5" x14ac:dyDescent="0.25">
      <c r="A611" s="1"/>
      <c r="B611" s="3">
        <v>43187</v>
      </c>
      <c r="C611" s="4">
        <v>8.5</v>
      </c>
      <c r="D611" s="4">
        <v>4.7506000000000004</v>
      </c>
      <c r="E611" s="4">
        <v>11737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8.35</v>
      </c>
      <c r="D612" s="4">
        <v>4.6666999999999996</v>
      </c>
      <c r="E612" s="4">
        <v>7422</v>
      </c>
      <c r="F612" s="4"/>
      <c r="G612" s="4"/>
      <c r="H612" s="5">
        <f t="shared" si="9"/>
        <v>-1.7660927040795003E-2</v>
      </c>
    </row>
    <row r="613" spans="1:8" ht="13.5" x14ac:dyDescent="0.25">
      <c r="A613" s="1"/>
      <c r="B613" s="3">
        <v>43189</v>
      </c>
      <c r="C613" s="4">
        <v>8.49</v>
      </c>
      <c r="D613" s="4">
        <v>4.7450000000000001</v>
      </c>
      <c r="E613" s="4">
        <v>3010</v>
      </c>
      <c r="F613" s="4"/>
      <c r="G613" s="4"/>
      <c r="H613" s="5">
        <f t="shared" si="9"/>
        <v>1.67784515824888E-2</v>
      </c>
    </row>
    <row r="614" spans="1:8" ht="13.5" x14ac:dyDescent="0.25">
      <c r="A614" s="1"/>
      <c r="B614" s="3">
        <v>43192</v>
      </c>
      <c r="C614" s="4">
        <v>8.3000000000000007</v>
      </c>
      <c r="D614" s="4">
        <v>4.6387999999999998</v>
      </c>
      <c r="E614" s="4">
        <v>2899</v>
      </c>
      <c r="F614" s="4"/>
      <c r="G614" s="4"/>
      <c r="H614" s="5">
        <f t="shared" si="9"/>
        <v>-2.2381454162276142E-2</v>
      </c>
    </row>
    <row r="615" spans="1:8" ht="13.5" x14ac:dyDescent="0.25">
      <c r="A615" s="1"/>
      <c r="B615" s="3">
        <v>43193</v>
      </c>
      <c r="C615" s="4">
        <v>8.3000000000000007</v>
      </c>
      <c r="D615" s="4">
        <v>4.6387999999999998</v>
      </c>
      <c r="E615" s="4">
        <v>6509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8.43</v>
      </c>
      <c r="D616" s="4">
        <v>4.7115</v>
      </c>
      <c r="E616" s="4">
        <v>5345</v>
      </c>
      <c r="F616" s="4"/>
      <c r="G616" s="4"/>
      <c r="H616" s="5">
        <f t="shared" si="9"/>
        <v>1.5672156592222174E-2</v>
      </c>
    </row>
    <row r="617" spans="1:8" ht="13.5" x14ac:dyDescent="0.25">
      <c r="A617" s="1"/>
      <c r="B617" s="3">
        <v>43195</v>
      </c>
      <c r="C617" s="4">
        <v>8.3800000000000008</v>
      </c>
      <c r="D617" s="4">
        <v>4.6835000000000004</v>
      </c>
      <c r="E617" s="4">
        <v>8298</v>
      </c>
      <c r="F617" s="4"/>
      <c r="G617" s="4"/>
      <c r="H617" s="5">
        <f t="shared" si="9"/>
        <v>-5.942905656372616E-3</v>
      </c>
    </row>
    <row r="618" spans="1:8" ht="13.5" x14ac:dyDescent="0.25">
      <c r="A618" s="1"/>
      <c r="B618" s="3">
        <v>43196</v>
      </c>
      <c r="C618" s="4">
        <v>8.4</v>
      </c>
      <c r="D618" s="4">
        <v>4.6947000000000001</v>
      </c>
      <c r="E618" s="4">
        <v>4646</v>
      </c>
      <c r="F618" s="4"/>
      <c r="G618" s="4"/>
      <c r="H618" s="5">
        <f t="shared" si="9"/>
        <v>2.3913739724564223E-3</v>
      </c>
    </row>
    <row r="619" spans="1:8" ht="13.5" x14ac:dyDescent="0.25">
      <c r="A619" s="1"/>
      <c r="B619" s="3">
        <v>43200</v>
      </c>
      <c r="C619" s="4">
        <v>8.3800000000000008</v>
      </c>
      <c r="D619" s="4">
        <v>4.6835000000000004</v>
      </c>
      <c r="E619" s="4">
        <v>1051</v>
      </c>
      <c r="F619" s="4"/>
      <c r="G619" s="4"/>
      <c r="H619" s="5">
        <f t="shared" si="9"/>
        <v>-2.385668945832461E-3</v>
      </c>
    </row>
    <row r="620" spans="1:8" ht="13.5" x14ac:dyDescent="0.25">
      <c r="A620" s="1"/>
      <c r="B620" s="3">
        <v>43201</v>
      </c>
      <c r="C620" s="4">
        <v>8.01</v>
      </c>
      <c r="D620" s="4">
        <v>4.4767000000000001</v>
      </c>
      <c r="E620" s="4">
        <v>0</v>
      </c>
      <c r="F620" s="4"/>
      <c r="G620" s="4"/>
      <c r="H620" s="5">
        <f t="shared" si="9"/>
        <v>-4.4155012277143225E-2</v>
      </c>
    </row>
    <row r="621" spans="1:8" ht="13.5" x14ac:dyDescent="0.25">
      <c r="A621" s="1"/>
      <c r="B621" s="3">
        <v>43202</v>
      </c>
      <c r="C621" s="4">
        <v>8.1</v>
      </c>
      <c r="D621" s="4">
        <v>4.5270000000000001</v>
      </c>
      <c r="E621" s="4">
        <v>5448</v>
      </c>
      <c r="F621" s="4"/>
      <c r="G621" s="4"/>
      <c r="H621" s="5">
        <f t="shared" si="9"/>
        <v>1.1235955056179777E-2</v>
      </c>
    </row>
    <row r="622" spans="1:8" ht="13.5" x14ac:dyDescent="0.25">
      <c r="A622" s="1"/>
      <c r="B622" s="3">
        <v>43203</v>
      </c>
      <c r="C622" s="4">
        <v>8.06</v>
      </c>
      <c r="D622" s="4">
        <v>4.5046999999999997</v>
      </c>
      <c r="E622" s="4">
        <v>2612</v>
      </c>
      <c r="F622" s="4"/>
      <c r="G622" s="4"/>
      <c r="H622" s="5">
        <f t="shared" si="9"/>
        <v>-4.9259995582064129E-3</v>
      </c>
    </row>
    <row r="623" spans="1:8" ht="13.5" x14ac:dyDescent="0.25">
      <c r="A623" s="1"/>
      <c r="B623" s="3">
        <v>43206</v>
      </c>
      <c r="C623" s="4">
        <v>7.9</v>
      </c>
      <c r="D623" s="4">
        <v>4.4151999999999996</v>
      </c>
      <c r="E623" s="4">
        <v>6412</v>
      </c>
      <c r="F623" s="4"/>
      <c r="G623" s="4"/>
      <c r="H623" s="5">
        <f t="shared" si="9"/>
        <v>-1.9868137722822862E-2</v>
      </c>
    </row>
    <row r="624" spans="1:8" ht="13.5" x14ac:dyDescent="0.25">
      <c r="A624" s="1"/>
      <c r="B624" s="3">
        <v>43207</v>
      </c>
      <c r="C624" s="4">
        <v>7.8</v>
      </c>
      <c r="D624" s="4">
        <v>4.3593999999999999</v>
      </c>
      <c r="E624" s="4">
        <v>6377</v>
      </c>
      <c r="F624" s="4"/>
      <c r="G624" s="4"/>
      <c r="H624" s="5">
        <f t="shared" si="9"/>
        <v>-1.2638159086791003E-2</v>
      </c>
    </row>
    <row r="625" spans="1:8" ht="13.5" x14ac:dyDescent="0.25">
      <c r="A625" s="1"/>
      <c r="B625" s="3">
        <v>43208</v>
      </c>
      <c r="C625" s="4">
        <v>8</v>
      </c>
      <c r="D625" s="4">
        <v>4.4710999999999999</v>
      </c>
      <c r="E625" s="4">
        <v>2932</v>
      </c>
      <c r="F625" s="4"/>
      <c r="G625" s="4"/>
      <c r="H625" s="5">
        <f t="shared" si="9"/>
        <v>2.5622792127356957E-2</v>
      </c>
    </row>
    <row r="626" spans="1:8" ht="13.5" x14ac:dyDescent="0.25">
      <c r="A626" s="1"/>
      <c r="B626" s="3">
        <v>43209</v>
      </c>
      <c r="C626" s="4">
        <v>7.81</v>
      </c>
      <c r="D626" s="4">
        <v>4.3648999999999996</v>
      </c>
      <c r="E626" s="4">
        <v>2488</v>
      </c>
      <c r="F626" s="4"/>
      <c r="G626" s="4"/>
      <c r="H626" s="5">
        <f t="shared" si="9"/>
        <v>-2.3752544116660397E-2</v>
      </c>
    </row>
    <row r="627" spans="1:8" ht="13.5" x14ac:dyDescent="0.25">
      <c r="A627" s="1"/>
      <c r="B627" s="3">
        <v>43210</v>
      </c>
      <c r="C627" s="4">
        <v>7.65</v>
      </c>
      <c r="D627" s="4">
        <v>4.2755000000000001</v>
      </c>
      <c r="E627" s="4">
        <v>3445</v>
      </c>
      <c r="F627" s="4"/>
      <c r="G627" s="4"/>
      <c r="H627" s="5">
        <f t="shared" si="9"/>
        <v>-2.0481568879012001E-2</v>
      </c>
    </row>
    <row r="628" spans="1:8" ht="13.5" x14ac:dyDescent="0.25">
      <c r="A628" s="1"/>
      <c r="B628" s="3">
        <v>43213</v>
      </c>
      <c r="C628" s="4">
        <v>7.82</v>
      </c>
      <c r="D628" s="4">
        <v>4.3704999999999998</v>
      </c>
      <c r="E628" s="4">
        <v>711</v>
      </c>
      <c r="F628" s="4"/>
      <c r="G628" s="4"/>
      <c r="H628" s="5">
        <f t="shared" si="9"/>
        <v>2.2219623435855398E-2</v>
      </c>
    </row>
    <row r="629" spans="1:8" ht="13.5" x14ac:dyDescent="0.25">
      <c r="A629" s="1"/>
      <c r="B629" s="3">
        <v>43214</v>
      </c>
      <c r="C629" s="4">
        <v>8.24</v>
      </c>
      <c r="D629" s="4">
        <v>4.6052999999999997</v>
      </c>
      <c r="E629" s="4">
        <v>4849</v>
      </c>
      <c r="F629" s="4"/>
      <c r="G629" s="4"/>
      <c r="H629" s="5">
        <f t="shared" si="9"/>
        <v>5.372383022537465E-2</v>
      </c>
    </row>
    <row r="630" spans="1:8" ht="13.5" x14ac:dyDescent="0.25">
      <c r="A630" s="1"/>
      <c r="B630" s="3">
        <v>43215</v>
      </c>
      <c r="C630" s="4">
        <v>8.24</v>
      </c>
      <c r="D630" s="4">
        <v>4.6052999999999997</v>
      </c>
      <c r="E630" s="4">
        <v>5413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8.19</v>
      </c>
      <c r="D631" s="4">
        <v>4.5773000000000001</v>
      </c>
      <c r="E631" s="4">
        <v>10700</v>
      </c>
      <c r="F631" s="4"/>
      <c r="G631" s="4"/>
      <c r="H631" s="5">
        <f t="shared" si="9"/>
        <v>-6.079951360389026E-3</v>
      </c>
    </row>
    <row r="632" spans="1:8" ht="13.5" x14ac:dyDescent="0.25">
      <c r="A632" s="1"/>
      <c r="B632" s="3">
        <v>43217</v>
      </c>
      <c r="C632" s="4">
        <v>7.9</v>
      </c>
      <c r="D632" s="4">
        <v>4.4151999999999996</v>
      </c>
      <c r="E632" s="4">
        <v>5045</v>
      </c>
      <c r="F632" s="4"/>
      <c r="G632" s="4"/>
      <c r="H632" s="5">
        <f t="shared" si="9"/>
        <v>-3.541389028466576E-2</v>
      </c>
    </row>
    <row r="633" spans="1:8" ht="13.5" x14ac:dyDescent="0.25">
      <c r="A633" s="1"/>
      <c r="B633" s="3">
        <v>43220</v>
      </c>
      <c r="C633" s="4">
        <v>7.7</v>
      </c>
      <c r="D633" s="4">
        <v>4.3034999999999997</v>
      </c>
      <c r="E633" s="4">
        <v>5587</v>
      </c>
      <c r="F633" s="4"/>
      <c r="G633" s="4"/>
      <c r="H633" s="5">
        <f t="shared" si="9"/>
        <v>-2.5298967204203642E-2</v>
      </c>
    </row>
    <row r="634" spans="1:8" ht="13.5" x14ac:dyDescent="0.25">
      <c r="A634" s="1"/>
      <c r="B634" s="3">
        <v>43222</v>
      </c>
      <c r="C634" s="4">
        <v>7.71</v>
      </c>
      <c r="D634" s="4">
        <v>4.3090999999999999</v>
      </c>
      <c r="E634" s="4">
        <v>5143</v>
      </c>
      <c r="F634" s="4"/>
      <c r="G634" s="4"/>
      <c r="H634" s="5">
        <f t="shared" si="9"/>
        <v>1.3012664110608277E-3</v>
      </c>
    </row>
    <row r="635" spans="1:8" ht="13.5" x14ac:dyDescent="0.25">
      <c r="A635" s="1"/>
      <c r="B635" s="3">
        <v>43223</v>
      </c>
      <c r="C635" s="4">
        <v>7.9</v>
      </c>
      <c r="D635" s="4">
        <v>4.4151999999999996</v>
      </c>
      <c r="E635" s="4">
        <v>5805</v>
      </c>
      <c r="F635" s="4"/>
      <c r="G635" s="4"/>
      <c r="H635" s="5">
        <f t="shared" si="9"/>
        <v>2.4622310923394591E-2</v>
      </c>
    </row>
    <row r="636" spans="1:8" ht="13.5" x14ac:dyDescent="0.25">
      <c r="A636" s="1"/>
      <c r="B636" s="3">
        <v>43224</v>
      </c>
      <c r="C636" s="4">
        <v>7.9</v>
      </c>
      <c r="D636" s="4">
        <v>4.4151999999999996</v>
      </c>
      <c r="E636" s="4">
        <v>2725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7.9</v>
      </c>
      <c r="D637" s="4">
        <v>4.4151999999999996</v>
      </c>
      <c r="E637" s="4">
        <v>2420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7.89</v>
      </c>
      <c r="D638" s="4">
        <v>4.4097</v>
      </c>
      <c r="E638" s="4">
        <v>2056</v>
      </c>
      <c r="F638" s="4"/>
      <c r="G638" s="4"/>
      <c r="H638" s="5">
        <f t="shared" si="9"/>
        <v>-1.2456966841818302E-3</v>
      </c>
    </row>
    <row r="639" spans="1:8" ht="13.5" x14ac:dyDescent="0.25">
      <c r="A639" s="1"/>
      <c r="B639" s="3">
        <v>43229</v>
      </c>
      <c r="C639" s="4">
        <v>7.89</v>
      </c>
      <c r="D639" s="4">
        <v>4.4097</v>
      </c>
      <c r="E639" s="4">
        <v>3578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7.7</v>
      </c>
      <c r="D640" s="4">
        <v>4.3034999999999997</v>
      </c>
      <c r="E640" s="4">
        <v>5614</v>
      </c>
      <c r="F640" s="4"/>
      <c r="G640" s="4"/>
      <c r="H640" s="5">
        <f t="shared" si="9"/>
        <v>-2.4083270970814408E-2</v>
      </c>
    </row>
    <row r="641" spans="1:8" ht="13.5" x14ac:dyDescent="0.25">
      <c r="A641" s="1"/>
      <c r="B641" s="3">
        <v>43231</v>
      </c>
      <c r="C641" s="4">
        <v>7.8</v>
      </c>
      <c r="D641" s="4">
        <v>4.3593999999999999</v>
      </c>
      <c r="E641" s="4">
        <v>550</v>
      </c>
      <c r="F641" s="4"/>
      <c r="G641" s="4"/>
      <c r="H641" s="5">
        <f t="shared" si="9"/>
        <v>1.2989427210410198E-2</v>
      </c>
    </row>
    <row r="642" spans="1:8" ht="13.5" x14ac:dyDescent="0.25">
      <c r="A642" s="1"/>
      <c r="B642" s="3">
        <v>43234</v>
      </c>
      <c r="C642" s="4">
        <v>7.82</v>
      </c>
      <c r="D642" s="4">
        <v>4.3704999999999998</v>
      </c>
      <c r="E642" s="4">
        <v>1550</v>
      </c>
      <c r="F642" s="4"/>
      <c r="G642" s="4"/>
      <c r="H642" s="5">
        <f t="shared" si="9"/>
        <v>2.5462219571500406E-3</v>
      </c>
    </row>
    <row r="643" spans="1:8" ht="13.5" x14ac:dyDescent="0.25">
      <c r="A643" s="1"/>
      <c r="B643" s="3">
        <v>43235</v>
      </c>
      <c r="C643" s="4">
        <v>7.79</v>
      </c>
      <c r="D643" s="4">
        <v>4.3537999999999997</v>
      </c>
      <c r="E643" s="4">
        <v>2339</v>
      </c>
      <c r="F643" s="4"/>
      <c r="G643" s="4"/>
      <c r="H643" s="5">
        <f t="shared" si="9"/>
        <v>-3.821073103763908E-3</v>
      </c>
    </row>
    <row r="644" spans="1:8" ht="13.5" x14ac:dyDescent="0.25">
      <c r="A644" s="1"/>
      <c r="B644" s="3">
        <v>43236</v>
      </c>
      <c r="C644" s="4">
        <v>7.68</v>
      </c>
      <c r="D644" s="4">
        <v>4.2923</v>
      </c>
      <c r="E644" s="4">
        <v>1823</v>
      </c>
      <c r="F644" s="4"/>
      <c r="G644" s="4"/>
      <c r="H644" s="5">
        <f t="shared" si="9"/>
        <v>-1.4125591437364984E-2</v>
      </c>
    </row>
    <row r="645" spans="1:8" ht="13.5" x14ac:dyDescent="0.25">
      <c r="A645" s="1"/>
      <c r="B645" s="3">
        <v>43237</v>
      </c>
      <c r="C645" s="4">
        <v>7.7</v>
      </c>
      <c r="D645" s="4">
        <v>4.3034999999999997</v>
      </c>
      <c r="E645" s="4">
        <v>725</v>
      </c>
      <c r="F645" s="4"/>
      <c r="G645" s="4"/>
      <c r="H645" s="5">
        <f t="shared" si="9"/>
        <v>2.6093236726229888E-3</v>
      </c>
    </row>
    <row r="646" spans="1:8" ht="13.5" x14ac:dyDescent="0.25">
      <c r="A646" s="1"/>
      <c r="B646" s="3">
        <v>43238</v>
      </c>
      <c r="C646" s="4">
        <v>7.8</v>
      </c>
      <c r="D646" s="4">
        <v>4.3593999999999999</v>
      </c>
      <c r="E646" s="4">
        <v>20</v>
      </c>
      <c r="F646" s="4"/>
      <c r="G646" s="4"/>
      <c r="H646" s="5">
        <f t="shared" si="9"/>
        <v>1.2989427210410198E-2</v>
      </c>
    </row>
    <row r="647" spans="1:8" ht="13.5" x14ac:dyDescent="0.25">
      <c r="A647" s="1"/>
      <c r="B647" s="3">
        <v>43241</v>
      </c>
      <c r="C647" s="4">
        <v>7.76</v>
      </c>
      <c r="D647" s="4">
        <v>4.3369999999999997</v>
      </c>
      <c r="E647" s="4">
        <v>1101</v>
      </c>
      <c r="F647" s="4"/>
      <c r="G647" s="4"/>
      <c r="H647" s="5">
        <f t="shared" ref="H647:H710" si="10">(D647-D646)/D646</f>
        <v>-5.1383217874019817E-3</v>
      </c>
    </row>
    <row r="648" spans="1:8" ht="13.5" x14ac:dyDescent="0.25">
      <c r="A648" s="1"/>
      <c r="B648" s="3">
        <v>43242</v>
      </c>
      <c r="C648" s="4">
        <v>7.7</v>
      </c>
      <c r="D648" s="4">
        <v>4.3034999999999997</v>
      </c>
      <c r="E648" s="4">
        <v>3026</v>
      </c>
      <c r="F648" s="4"/>
      <c r="G648" s="4"/>
      <c r="H648" s="5">
        <f t="shared" si="10"/>
        <v>-7.7242333410191578E-3</v>
      </c>
    </row>
    <row r="649" spans="1:8" ht="13.5" x14ac:dyDescent="0.25">
      <c r="A649" s="1"/>
      <c r="B649" s="3">
        <v>43243</v>
      </c>
      <c r="C649" s="4">
        <v>7.6</v>
      </c>
      <c r="D649" s="4">
        <v>4.2476000000000003</v>
      </c>
      <c r="E649" s="4">
        <v>1139</v>
      </c>
      <c r="F649" s="4"/>
      <c r="G649" s="4"/>
      <c r="H649" s="5">
        <f t="shared" si="10"/>
        <v>-1.2989427210409991E-2</v>
      </c>
    </row>
    <row r="650" spans="1:8" ht="13.5" x14ac:dyDescent="0.25">
      <c r="A650" s="1"/>
      <c r="B650" s="3">
        <v>43244</v>
      </c>
      <c r="C650" s="4">
        <v>7.55</v>
      </c>
      <c r="D650" s="4">
        <v>4.2195999999999998</v>
      </c>
      <c r="E650" s="4">
        <v>1848</v>
      </c>
      <c r="F650" s="4"/>
      <c r="G650" s="4"/>
      <c r="H650" s="5">
        <f t="shared" si="10"/>
        <v>-6.5919578114701166E-3</v>
      </c>
    </row>
    <row r="651" spans="1:8" ht="13.5" x14ac:dyDescent="0.25">
      <c r="A651" s="1"/>
      <c r="B651" s="3">
        <v>43245</v>
      </c>
      <c r="C651" s="4">
        <v>7.57</v>
      </c>
      <c r="D651" s="4">
        <v>4.2308000000000003</v>
      </c>
      <c r="E651" s="4">
        <v>12224</v>
      </c>
      <c r="F651" s="4"/>
      <c r="G651" s="4"/>
      <c r="H651" s="5">
        <f t="shared" si="10"/>
        <v>2.6542800265429291E-3</v>
      </c>
    </row>
    <row r="652" spans="1:8" ht="13.5" x14ac:dyDescent="0.25">
      <c r="A652" s="1"/>
      <c r="B652" s="3">
        <v>43248</v>
      </c>
      <c r="C652" s="4">
        <v>7.5</v>
      </c>
      <c r="D652" s="4">
        <v>4.1917</v>
      </c>
      <c r="E652" s="4">
        <v>6346</v>
      </c>
      <c r="F652" s="4"/>
      <c r="G652" s="4"/>
      <c r="H652" s="5">
        <f t="shared" si="10"/>
        <v>-9.241750969083945E-3</v>
      </c>
    </row>
    <row r="653" spans="1:8" ht="13.5" x14ac:dyDescent="0.25">
      <c r="A653" s="1"/>
      <c r="B653" s="3">
        <v>43249</v>
      </c>
      <c r="C653" s="4">
        <v>7.36</v>
      </c>
      <c r="D653" s="4">
        <v>4.1134000000000004</v>
      </c>
      <c r="E653" s="4">
        <v>5328</v>
      </c>
      <c r="F653" s="4"/>
      <c r="G653" s="4"/>
      <c r="H653" s="5">
        <f t="shared" si="10"/>
        <v>-1.8679771930243002E-2</v>
      </c>
    </row>
    <row r="654" spans="1:8" ht="13.5" x14ac:dyDescent="0.25">
      <c r="A654" s="1"/>
      <c r="B654" s="3">
        <v>43250</v>
      </c>
      <c r="C654" s="4">
        <v>7.3</v>
      </c>
      <c r="D654" s="4">
        <v>4.0799000000000003</v>
      </c>
      <c r="E654" s="4">
        <v>14001</v>
      </c>
      <c r="F654" s="4"/>
      <c r="G654" s="4"/>
      <c r="H654" s="5">
        <f t="shared" si="10"/>
        <v>-8.1441143579520786E-3</v>
      </c>
    </row>
    <row r="655" spans="1:8" ht="13.5" x14ac:dyDescent="0.25">
      <c r="A655" s="1"/>
      <c r="B655" s="3">
        <v>43251</v>
      </c>
      <c r="C655" s="4">
        <v>7.25</v>
      </c>
      <c r="D655" s="4">
        <v>4.0519999999999996</v>
      </c>
      <c r="E655" s="4">
        <v>9519</v>
      </c>
      <c r="F655" s="4"/>
      <c r="G655" s="4"/>
      <c r="H655" s="5">
        <f t="shared" si="10"/>
        <v>-6.8384029020320839E-3</v>
      </c>
    </row>
    <row r="656" spans="1:8" ht="13.5" x14ac:dyDescent="0.25">
      <c r="A656" s="1"/>
      <c r="B656" s="3">
        <v>43252</v>
      </c>
      <c r="C656" s="4">
        <v>7.39</v>
      </c>
      <c r="D656" s="4">
        <v>4.1302000000000003</v>
      </c>
      <c r="E656" s="4">
        <v>1970</v>
      </c>
      <c r="F656" s="4"/>
      <c r="G656" s="4"/>
      <c r="H656" s="5">
        <f t="shared" si="10"/>
        <v>1.9299111549852102E-2</v>
      </c>
    </row>
    <row r="657" spans="1:8" ht="13.5" x14ac:dyDescent="0.25">
      <c r="A657" s="1"/>
      <c r="B657" s="3">
        <v>43255</v>
      </c>
      <c r="C657" s="4">
        <v>7.21</v>
      </c>
      <c r="D657" s="4">
        <v>4.0296000000000003</v>
      </c>
      <c r="E657" s="4">
        <v>2657</v>
      </c>
      <c r="F657" s="4"/>
      <c r="G657" s="4"/>
      <c r="H657" s="5">
        <f t="shared" si="10"/>
        <v>-2.435717398673188E-2</v>
      </c>
    </row>
    <row r="658" spans="1:8" ht="13.5" x14ac:dyDescent="0.25">
      <c r="A658" s="1"/>
      <c r="B658" s="3">
        <v>43256</v>
      </c>
      <c r="C658" s="4">
        <v>7.22</v>
      </c>
      <c r="D658" s="4">
        <v>4.0351999999999997</v>
      </c>
      <c r="E658" s="4">
        <v>1115</v>
      </c>
      <c r="F658" s="4"/>
      <c r="G658" s="4"/>
      <c r="H658" s="5">
        <f t="shared" si="10"/>
        <v>1.3897161008535296E-3</v>
      </c>
    </row>
    <row r="659" spans="1:8" ht="13.5" x14ac:dyDescent="0.25">
      <c r="A659" s="1"/>
      <c r="B659" s="3">
        <v>43257</v>
      </c>
      <c r="C659" s="4">
        <v>7.03</v>
      </c>
      <c r="D659" s="4">
        <v>3.9289999999999998</v>
      </c>
      <c r="E659" s="4">
        <v>9320</v>
      </c>
      <c r="F659" s="4"/>
      <c r="G659" s="4"/>
      <c r="H659" s="5">
        <f t="shared" si="10"/>
        <v>-2.6318398096748578E-2</v>
      </c>
    </row>
    <row r="660" spans="1:8" ht="13.5" x14ac:dyDescent="0.25">
      <c r="A660" s="1"/>
      <c r="B660" s="3">
        <v>43258</v>
      </c>
      <c r="C660" s="4">
        <v>6.84</v>
      </c>
      <c r="D660" s="4">
        <v>3.8228</v>
      </c>
      <c r="E660" s="4">
        <v>16025</v>
      </c>
      <c r="F660" s="4"/>
      <c r="G660" s="4"/>
      <c r="H660" s="5">
        <f t="shared" si="10"/>
        <v>-2.7029778569610551E-2</v>
      </c>
    </row>
    <row r="661" spans="1:8" ht="13.5" x14ac:dyDescent="0.25">
      <c r="A661" s="1"/>
      <c r="B661" s="3">
        <v>43259</v>
      </c>
      <c r="C661" s="4">
        <v>6.9</v>
      </c>
      <c r="D661" s="4">
        <v>3.8563999999999998</v>
      </c>
      <c r="E661" s="4">
        <v>6975</v>
      </c>
      <c r="F661" s="4"/>
      <c r="G661" s="4"/>
      <c r="H661" s="5">
        <f t="shared" si="10"/>
        <v>8.7893690488646675E-3</v>
      </c>
    </row>
    <row r="662" spans="1:8" ht="13.5" x14ac:dyDescent="0.25">
      <c r="A662" s="1"/>
      <c r="B662" s="3">
        <v>43262</v>
      </c>
      <c r="C662" s="4">
        <v>7.29</v>
      </c>
      <c r="D662" s="4">
        <v>4.0743</v>
      </c>
      <c r="E662" s="4">
        <v>405</v>
      </c>
      <c r="F662" s="4"/>
      <c r="G662" s="4"/>
      <c r="H662" s="5">
        <f t="shared" si="10"/>
        <v>5.6503474743283946E-2</v>
      </c>
    </row>
    <row r="663" spans="1:8" ht="13.5" x14ac:dyDescent="0.25">
      <c r="A663" s="1"/>
      <c r="B663" s="3">
        <v>43263</v>
      </c>
      <c r="C663" s="4">
        <v>7.4</v>
      </c>
      <c r="D663" s="4">
        <v>4.1357999999999997</v>
      </c>
      <c r="E663" s="4">
        <v>5518</v>
      </c>
      <c r="F663" s="4"/>
      <c r="G663" s="4"/>
      <c r="H663" s="5">
        <f t="shared" si="10"/>
        <v>1.5094617480303283E-2</v>
      </c>
    </row>
    <row r="664" spans="1:8" ht="13.5" x14ac:dyDescent="0.25">
      <c r="A664" s="1"/>
      <c r="B664" s="3">
        <v>43264</v>
      </c>
      <c r="C664" s="4">
        <v>7.41</v>
      </c>
      <c r="D664" s="4">
        <v>4.1414</v>
      </c>
      <c r="E664" s="4">
        <v>12792</v>
      </c>
      <c r="F664" s="4"/>
      <c r="G664" s="4"/>
      <c r="H664" s="5">
        <f t="shared" si="10"/>
        <v>1.3540306591228472E-3</v>
      </c>
    </row>
    <row r="665" spans="1:8" ht="13.5" x14ac:dyDescent="0.25">
      <c r="A665" s="1"/>
      <c r="B665" s="3">
        <v>43265</v>
      </c>
      <c r="C665" s="4">
        <v>7.51</v>
      </c>
      <c r="D665" s="4">
        <v>4.1973000000000003</v>
      </c>
      <c r="E665" s="4">
        <v>2693</v>
      </c>
      <c r="F665" s="4"/>
      <c r="G665" s="4"/>
      <c r="H665" s="5">
        <f t="shared" si="10"/>
        <v>1.3497850968271668E-2</v>
      </c>
    </row>
    <row r="666" spans="1:8" ht="13.5" x14ac:dyDescent="0.25">
      <c r="A666" s="1"/>
      <c r="B666" s="3">
        <v>43269</v>
      </c>
      <c r="C666" s="4">
        <v>7.49</v>
      </c>
      <c r="D666" s="4">
        <v>4.1860999999999997</v>
      </c>
      <c r="E666" s="4">
        <v>672</v>
      </c>
      <c r="F666" s="4"/>
      <c r="G666" s="4"/>
      <c r="H666" s="5">
        <f t="shared" si="10"/>
        <v>-2.6683820551308083E-3</v>
      </c>
    </row>
    <row r="667" spans="1:8" ht="13.5" x14ac:dyDescent="0.25">
      <c r="A667" s="1"/>
      <c r="B667" s="3">
        <v>43270</v>
      </c>
      <c r="C667" s="4">
        <v>7.3</v>
      </c>
      <c r="D667" s="4">
        <v>4.0799000000000003</v>
      </c>
      <c r="E667" s="4">
        <v>6467</v>
      </c>
      <c r="F667" s="4"/>
      <c r="G667" s="4"/>
      <c r="H667" s="5">
        <f t="shared" si="10"/>
        <v>-2.5369675831919784E-2</v>
      </c>
    </row>
    <row r="668" spans="1:8" ht="13.5" x14ac:dyDescent="0.25">
      <c r="A668" s="1"/>
      <c r="B668" s="3">
        <v>43271</v>
      </c>
      <c r="C668" s="4">
        <v>7.3</v>
      </c>
      <c r="D668" s="4">
        <v>4.0799000000000003</v>
      </c>
      <c r="E668" s="4">
        <v>2610</v>
      </c>
      <c r="F668" s="4"/>
      <c r="G668" s="4"/>
      <c r="H668" s="5">
        <f t="shared" si="10"/>
        <v>0</v>
      </c>
    </row>
    <row r="669" spans="1:8" ht="13.5" x14ac:dyDescent="0.25">
      <c r="A669" s="1"/>
      <c r="B669" s="3">
        <v>43272</v>
      </c>
      <c r="C669" s="4">
        <v>7.3</v>
      </c>
      <c r="D669" s="4">
        <v>4.0799000000000003</v>
      </c>
      <c r="E669" s="4">
        <v>3639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7.2</v>
      </c>
      <c r="D670" s="4">
        <v>4.024</v>
      </c>
      <c r="E670" s="4">
        <v>3000</v>
      </c>
      <c r="F670" s="4"/>
      <c r="G670" s="4"/>
      <c r="H670" s="5">
        <f t="shared" si="10"/>
        <v>-1.3701316208730675E-2</v>
      </c>
    </row>
    <row r="671" spans="1:8" ht="13.5" x14ac:dyDescent="0.25">
      <c r="A671" s="1"/>
      <c r="B671" s="3">
        <v>43276</v>
      </c>
      <c r="C671" s="4">
        <v>7.2</v>
      </c>
      <c r="D671" s="4">
        <v>4.024</v>
      </c>
      <c r="E671" s="4">
        <v>4437</v>
      </c>
      <c r="F671" s="4"/>
      <c r="G671" s="4"/>
      <c r="H671" s="5">
        <f t="shared" si="10"/>
        <v>0</v>
      </c>
    </row>
    <row r="672" spans="1:8" ht="13.5" x14ac:dyDescent="0.25">
      <c r="A672" s="1"/>
      <c r="B672" s="3">
        <v>43277</v>
      </c>
      <c r="C672" s="4">
        <v>7.22</v>
      </c>
      <c r="D672" s="4">
        <v>4.0351999999999997</v>
      </c>
      <c r="E672" s="4">
        <v>3000</v>
      </c>
      <c r="F672" s="4"/>
      <c r="G672" s="4"/>
      <c r="H672" s="5">
        <f t="shared" si="10"/>
        <v>2.7833001988070713E-3</v>
      </c>
    </row>
    <row r="673" spans="1:8" ht="13.5" x14ac:dyDescent="0.25">
      <c r="A673" s="1"/>
      <c r="B673" s="3">
        <v>43278</v>
      </c>
      <c r="C673" s="4">
        <v>7.2</v>
      </c>
      <c r="D673" s="4">
        <v>4.024</v>
      </c>
      <c r="E673" s="4">
        <v>2286</v>
      </c>
      <c r="F673" s="4"/>
      <c r="G673" s="4"/>
      <c r="H673" s="5">
        <f t="shared" si="10"/>
        <v>-2.7755749405233088E-3</v>
      </c>
    </row>
    <row r="674" spans="1:8" ht="13.5" x14ac:dyDescent="0.25">
      <c r="A674" s="1"/>
      <c r="B674" s="3">
        <v>43279</v>
      </c>
      <c r="C674" s="4">
        <v>7.2</v>
      </c>
      <c r="D674" s="4">
        <v>4.024</v>
      </c>
      <c r="E674" s="4">
        <v>2495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7.1</v>
      </c>
      <c r="D675" s="4">
        <v>3.9681000000000002</v>
      </c>
      <c r="E675" s="4">
        <v>4880</v>
      </c>
      <c r="F675" s="4"/>
      <c r="G675" s="4"/>
      <c r="H675" s="5">
        <f t="shared" si="10"/>
        <v>-1.3891650099403538E-2</v>
      </c>
    </row>
    <row r="676" spans="1:8" ht="13.5" x14ac:dyDescent="0.25">
      <c r="A676" s="1"/>
      <c r="B676" s="3">
        <v>43283</v>
      </c>
      <c r="C676" s="4">
        <v>7.15</v>
      </c>
      <c r="D676" s="4">
        <v>3.9961000000000002</v>
      </c>
      <c r="E676" s="4">
        <v>2470</v>
      </c>
      <c r="F676" s="4"/>
      <c r="G676" s="4"/>
      <c r="H676" s="5">
        <f t="shared" si="10"/>
        <v>7.0562737834228024E-3</v>
      </c>
    </row>
    <row r="677" spans="1:8" ht="13.5" x14ac:dyDescent="0.25">
      <c r="A677" s="1"/>
      <c r="B677" s="3">
        <v>43284</v>
      </c>
      <c r="C677" s="4">
        <v>7.18</v>
      </c>
      <c r="D677" s="4">
        <v>4.0128000000000004</v>
      </c>
      <c r="E677" s="4">
        <v>4876</v>
      </c>
      <c r="F677" s="4"/>
      <c r="G677" s="4"/>
      <c r="H677" s="5">
        <f t="shared" si="10"/>
        <v>4.179074597732829E-3</v>
      </c>
    </row>
    <row r="678" spans="1:8" ht="13.5" x14ac:dyDescent="0.25">
      <c r="A678" s="1"/>
      <c r="B678" s="3">
        <v>43285</v>
      </c>
      <c r="C678" s="4">
        <v>7</v>
      </c>
      <c r="D678" s="4">
        <v>3.9121999999999999</v>
      </c>
      <c r="E678" s="4">
        <v>4367</v>
      </c>
      <c r="F678" s="4"/>
      <c r="G678" s="4"/>
      <c r="H678" s="5">
        <f t="shared" si="10"/>
        <v>-2.5069776714513669E-2</v>
      </c>
    </row>
    <row r="679" spans="1:8" ht="13.5" x14ac:dyDescent="0.25">
      <c r="A679" s="1"/>
      <c r="B679" s="3">
        <v>43286</v>
      </c>
      <c r="C679" s="4">
        <v>6.93</v>
      </c>
      <c r="D679" s="4">
        <v>3.8731</v>
      </c>
      <c r="E679" s="4">
        <v>510</v>
      </c>
      <c r="F679" s="4"/>
      <c r="G679" s="4"/>
      <c r="H679" s="5">
        <f t="shared" si="10"/>
        <v>-9.9943765656152327E-3</v>
      </c>
    </row>
    <row r="680" spans="1:8" ht="13.5" x14ac:dyDescent="0.25">
      <c r="A680" s="1"/>
      <c r="B680" s="3">
        <v>43287</v>
      </c>
      <c r="C680" s="4">
        <v>6.96</v>
      </c>
      <c r="D680" s="4">
        <v>3.8898999999999999</v>
      </c>
      <c r="E680" s="4">
        <v>2896</v>
      </c>
      <c r="F680" s="4"/>
      <c r="G680" s="4"/>
      <c r="H680" s="5">
        <f t="shared" si="10"/>
        <v>4.3376106994397062E-3</v>
      </c>
    </row>
    <row r="681" spans="1:8" ht="13.5" x14ac:dyDescent="0.25">
      <c r="A681" s="1"/>
      <c r="B681" s="3">
        <v>43290</v>
      </c>
      <c r="C681" s="4">
        <v>7</v>
      </c>
      <c r="D681" s="4">
        <v>3.9121999999999999</v>
      </c>
      <c r="E681" s="4">
        <v>318</v>
      </c>
      <c r="F681" s="4"/>
      <c r="G681" s="4"/>
      <c r="H681" s="5">
        <f t="shared" si="10"/>
        <v>5.732795187536951E-3</v>
      </c>
    </row>
    <row r="682" spans="1:8" ht="13.5" x14ac:dyDescent="0.25">
      <c r="A682" s="1"/>
      <c r="B682" s="3">
        <v>43291</v>
      </c>
      <c r="C682" s="4">
        <v>7.2</v>
      </c>
      <c r="D682" s="4">
        <v>4.024</v>
      </c>
      <c r="E682" s="4">
        <v>1827</v>
      </c>
      <c r="F682" s="4"/>
      <c r="G682" s="4"/>
      <c r="H682" s="5">
        <f t="shared" si="10"/>
        <v>2.8577271100659506E-2</v>
      </c>
    </row>
    <row r="683" spans="1:8" ht="13.5" x14ac:dyDescent="0.25">
      <c r="A683" s="1"/>
      <c r="B683" s="3">
        <v>43292</v>
      </c>
      <c r="C683" s="4">
        <v>7</v>
      </c>
      <c r="D683" s="4">
        <v>3.9121999999999999</v>
      </c>
      <c r="E683" s="4">
        <v>4207</v>
      </c>
      <c r="F683" s="4"/>
      <c r="G683" s="4"/>
      <c r="H683" s="5">
        <f t="shared" si="10"/>
        <v>-2.7783300198807186E-2</v>
      </c>
    </row>
    <row r="684" spans="1:8" ht="13.5" x14ac:dyDescent="0.25">
      <c r="A684" s="1"/>
      <c r="B684" s="3">
        <v>43293</v>
      </c>
      <c r="C684" s="4">
        <v>7</v>
      </c>
      <c r="D684" s="4">
        <v>3.9121999999999999</v>
      </c>
      <c r="E684" s="4">
        <v>1166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7</v>
      </c>
      <c r="D685" s="4">
        <v>3.9121999999999999</v>
      </c>
      <c r="E685" s="4">
        <v>7730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7.2</v>
      </c>
      <c r="D686" s="4">
        <v>4.024</v>
      </c>
      <c r="E686" s="4">
        <v>60</v>
      </c>
      <c r="F686" s="4"/>
      <c r="G686" s="4"/>
      <c r="H686" s="5">
        <f t="shared" si="10"/>
        <v>2.8577271100659506E-2</v>
      </c>
    </row>
    <row r="687" spans="1:8" ht="13.5" x14ac:dyDescent="0.25">
      <c r="A687" s="1"/>
      <c r="B687" s="3">
        <v>43298</v>
      </c>
      <c r="C687" s="4">
        <v>7.1</v>
      </c>
      <c r="D687" s="4">
        <v>3.9681000000000002</v>
      </c>
      <c r="E687" s="4">
        <v>4233</v>
      </c>
      <c r="F687" s="4"/>
      <c r="G687" s="4"/>
      <c r="H687" s="5">
        <f t="shared" si="10"/>
        <v>-1.3891650099403538E-2</v>
      </c>
    </row>
    <row r="688" spans="1:8" ht="13.5" x14ac:dyDescent="0.25">
      <c r="A688" s="1"/>
      <c r="B688" s="3">
        <v>43299</v>
      </c>
      <c r="C688" s="4">
        <v>6.95</v>
      </c>
      <c r="D688" s="4">
        <v>3.8843000000000001</v>
      </c>
      <c r="E688" s="4">
        <v>3458</v>
      </c>
      <c r="F688" s="4"/>
      <c r="G688" s="4"/>
      <c r="H688" s="5">
        <f t="shared" si="10"/>
        <v>-2.1118419394672537E-2</v>
      </c>
    </row>
    <row r="689" spans="1:8" ht="13.5" x14ac:dyDescent="0.25">
      <c r="A689" s="1"/>
      <c r="B689" s="3">
        <v>43300</v>
      </c>
      <c r="C689" s="4">
        <v>6.9</v>
      </c>
      <c r="D689" s="4">
        <v>3.8563999999999998</v>
      </c>
      <c r="E689" s="4">
        <v>3627</v>
      </c>
      <c r="F689" s="4"/>
      <c r="G689" s="4"/>
      <c r="H689" s="5">
        <f t="shared" si="10"/>
        <v>-7.1827613727055732E-3</v>
      </c>
    </row>
    <row r="690" spans="1:8" ht="13.5" x14ac:dyDescent="0.25">
      <c r="A690" s="1"/>
      <c r="B690" s="3">
        <v>43301</v>
      </c>
      <c r="C690" s="4">
        <v>6.9</v>
      </c>
      <c r="D690" s="4">
        <v>3.8563999999999998</v>
      </c>
      <c r="E690" s="4">
        <v>1192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6.9</v>
      </c>
      <c r="D691" s="4">
        <v>3.8563999999999998</v>
      </c>
      <c r="E691" s="4">
        <v>1325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6.97</v>
      </c>
      <c r="D692" s="4">
        <v>3.8955000000000002</v>
      </c>
      <c r="E692" s="4">
        <v>221</v>
      </c>
      <c r="F692" s="4"/>
      <c r="G692" s="4"/>
      <c r="H692" s="5">
        <f t="shared" si="10"/>
        <v>1.0138989731355762E-2</v>
      </c>
    </row>
    <row r="693" spans="1:8" ht="13.5" x14ac:dyDescent="0.25">
      <c r="A693" s="1"/>
      <c r="B693" s="3">
        <v>43307</v>
      </c>
      <c r="C693" s="4">
        <v>6.82</v>
      </c>
      <c r="D693" s="4">
        <v>3.8115999999999999</v>
      </c>
      <c r="E693" s="4">
        <v>1158</v>
      </c>
      <c r="F693" s="4"/>
      <c r="G693" s="4"/>
      <c r="H693" s="5">
        <f t="shared" si="10"/>
        <v>-2.1537671672442641E-2</v>
      </c>
    </row>
    <row r="694" spans="1:8" ht="13.5" x14ac:dyDescent="0.25">
      <c r="A694" s="1"/>
      <c r="B694" s="3">
        <v>43308</v>
      </c>
      <c r="C694" s="4">
        <v>6.83</v>
      </c>
      <c r="D694" s="4">
        <v>3.8172000000000001</v>
      </c>
      <c r="E694" s="4">
        <v>3774</v>
      </c>
      <c r="F694" s="4"/>
      <c r="G694" s="4"/>
      <c r="H694" s="5">
        <f t="shared" si="10"/>
        <v>1.4691992863889894E-3</v>
      </c>
    </row>
    <row r="695" spans="1:8" ht="13.5" x14ac:dyDescent="0.25">
      <c r="A695" s="1"/>
      <c r="B695" s="3">
        <v>43311</v>
      </c>
      <c r="C695" s="4">
        <v>6.81</v>
      </c>
      <c r="D695" s="4">
        <v>3.8060999999999998</v>
      </c>
      <c r="E695" s="4">
        <v>294</v>
      </c>
      <c r="F695" s="4"/>
      <c r="G695" s="4"/>
      <c r="H695" s="5">
        <f t="shared" si="10"/>
        <v>-2.9078906004401999E-3</v>
      </c>
    </row>
    <row r="696" spans="1:8" ht="13.5" x14ac:dyDescent="0.25">
      <c r="A696" s="1"/>
      <c r="B696" s="3">
        <v>43312</v>
      </c>
      <c r="C696" s="4">
        <v>6.64</v>
      </c>
      <c r="D696" s="4">
        <v>3.7109999999999999</v>
      </c>
      <c r="E696" s="4">
        <v>2550</v>
      </c>
      <c r="F696" s="4"/>
      <c r="G696" s="4"/>
      <c r="H696" s="5">
        <f t="shared" si="10"/>
        <v>-2.4986206352959714E-2</v>
      </c>
    </row>
    <row r="697" spans="1:8" ht="13.5" x14ac:dyDescent="0.25">
      <c r="A697" s="1"/>
      <c r="B697" s="3">
        <v>43313</v>
      </c>
      <c r="C697" s="4">
        <v>6.8</v>
      </c>
      <c r="D697" s="4">
        <v>3.8005</v>
      </c>
      <c r="E697" s="4">
        <v>7836</v>
      </c>
      <c r="F697" s="4"/>
      <c r="G697" s="4"/>
      <c r="H697" s="5">
        <f t="shared" si="10"/>
        <v>2.4117488547561343E-2</v>
      </c>
    </row>
    <row r="698" spans="1:8" ht="13.5" x14ac:dyDescent="0.25">
      <c r="A698" s="1"/>
      <c r="B698" s="3">
        <v>43314</v>
      </c>
      <c r="C698" s="4">
        <v>6.81</v>
      </c>
      <c r="D698" s="4">
        <v>3.8060999999999998</v>
      </c>
      <c r="E698" s="4">
        <v>267</v>
      </c>
      <c r="F698" s="4"/>
      <c r="G698" s="4"/>
      <c r="H698" s="5">
        <f t="shared" si="10"/>
        <v>1.4734903302196624E-3</v>
      </c>
    </row>
    <row r="699" spans="1:8" ht="13.5" x14ac:dyDescent="0.25">
      <c r="A699" s="1"/>
      <c r="B699" s="3">
        <v>43315</v>
      </c>
      <c r="C699" s="4">
        <v>6.8</v>
      </c>
      <c r="D699" s="4">
        <v>3.8005</v>
      </c>
      <c r="E699" s="4">
        <v>5557</v>
      </c>
      <c r="F699" s="4"/>
      <c r="G699" s="4"/>
      <c r="H699" s="5">
        <f t="shared" si="10"/>
        <v>-1.4713223509628826E-3</v>
      </c>
    </row>
    <row r="700" spans="1:8" ht="13.5" x14ac:dyDescent="0.25">
      <c r="A700" s="1"/>
      <c r="B700" s="3">
        <v>43318</v>
      </c>
      <c r="C700" s="4">
        <v>6.79</v>
      </c>
      <c r="D700" s="4">
        <v>3.7949000000000002</v>
      </c>
      <c r="E700" s="4">
        <v>2448</v>
      </c>
      <c r="F700" s="4"/>
      <c r="G700" s="4"/>
      <c r="H700" s="5">
        <f t="shared" si="10"/>
        <v>-1.4734903302196624E-3</v>
      </c>
    </row>
    <row r="701" spans="1:8" ht="13.5" x14ac:dyDescent="0.25">
      <c r="A701" s="1"/>
      <c r="B701" s="3">
        <v>43319</v>
      </c>
      <c r="C701" s="4">
        <v>6.5</v>
      </c>
      <c r="D701" s="4">
        <v>3.6328</v>
      </c>
      <c r="E701" s="4">
        <v>2225</v>
      </c>
      <c r="F701" s="4"/>
      <c r="G701" s="4"/>
      <c r="H701" s="5">
        <f t="shared" si="10"/>
        <v>-4.2715223062531324E-2</v>
      </c>
    </row>
    <row r="702" spans="1:8" ht="13.5" x14ac:dyDescent="0.25">
      <c r="A702" s="1"/>
      <c r="B702" s="3">
        <v>43320</v>
      </c>
      <c r="C702" s="4">
        <v>6.34</v>
      </c>
      <c r="D702" s="4">
        <v>3.5434000000000001</v>
      </c>
      <c r="E702" s="4">
        <v>4467</v>
      </c>
      <c r="F702" s="4"/>
      <c r="G702" s="4"/>
      <c r="H702" s="5">
        <f t="shared" si="10"/>
        <v>-2.4609116934595884E-2</v>
      </c>
    </row>
    <row r="703" spans="1:8" ht="13.5" x14ac:dyDescent="0.25">
      <c r="A703" s="1"/>
      <c r="B703" s="3">
        <v>43321</v>
      </c>
      <c r="C703" s="4">
        <v>6.55</v>
      </c>
      <c r="D703" s="4">
        <v>3.6606999999999998</v>
      </c>
      <c r="E703" s="4">
        <v>1300</v>
      </c>
      <c r="F703" s="4"/>
      <c r="G703" s="4"/>
      <c r="H703" s="5">
        <f t="shared" si="10"/>
        <v>3.3103798611502998E-2</v>
      </c>
    </row>
    <row r="704" spans="1:8" ht="13.5" x14ac:dyDescent="0.25">
      <c r="A704" s="1"/>
      <c r="B704" s="3">
        <v>43322</v>
      </c>
      <c r="C704" s="4">
        <v>6.84</v>
      </c>
      <c r="D704" s="4">
        <v>3.8228</v>
      </c>
      <c r="E704" s="4">
        <v>0</v>
      </c>
      <c r="F704" s="4"/>
      <c r="G704" s="4"/>
      <c r="H704" s="5">
        <f t="shared" si="10"/>
        <v>4.4281148414237755E-2</v>
      </c>
    </row>
    <row r="705" spans="1:8" ht="13.5" x14ac:dyDescent="0.25">
      <c r="A705" s="1"/>
      <c r="B705" s="3">
        <v>43326</v>
      </c>
      <c r="C705" s="4">
        <v>6.91</v>
      </c>
      <c r="D705" s="4">
        <v>3.8618999999999999</v>
      </c>
      <c r="E705" s="4">
        <v>6763</v>
      </c>
      <c r="F705" s="4"/>
      <c r="G705" s="4"/>
      <c r="H705" s="5">
        <f t="shared" si="10"/>
        <v>1.0228105053887181E-2</v>
      </c>
    </row>
    <row r="706" spans="1:8" ht="13.5" x14ac:dyDescent="0.25">
      <c r="A706" s="1"/>
      <c r="B706" s="3">
        <v>43327</v>
      </c>
      <c r="C706" s="4">
        <v>7</v>
      </c>
      <c r="D706" s="4">
        <v>3.9121999999999999</v>
      </c>
      <c r="E706" s="4">
        <v>1439</v>
      </c>
      <c r="F706" s="4"/>
      <c r="G706" s="4"/>
      <c r="H706" s="5">
        <f t="shared" si="10"/>
        <v>1.3024676972474692E-2</v>
      </c>
    </row>
    <row r="707" spans="1:8" ht="13.5" x14ac:dyDescent="0.25">
      <c r="A707" s="1"/>
      <c r="B707" s="3">
        <v>43328</v>
      </c>
      <c r="C707" s="4">
        <v>7.21</v>
      </c>
      <c r="D707" s="4">
        <v>4.0296000000000003</v>
      </c>
      <c r="E707" s="4">
        <v>3496</v>
      </c>
      <c r="F707" s="4"/>
      <c r="G707" s="4"/>
      <c r="H707" s="5">
        <f t="shared" si="10"/>
        <v>3.0008690762231071E-2</v>
      </c>
    </row>
    <row r="708" spans="1:8" ht="13.5" x14ac:dyDescent="0.25">
      <c r="A708" s="1"/>
      <c r="B708" s="3">
        <v>43329</v>
      </c>
      <c r="C708" s="4">
        <v>6.83</v>
      </c>
      <c r="D708" s="4">
        <v>3.8172000000000001</v>
      </c>
      <c r="E708" s="4">
        <v>2666</v>
      </c>
      <c r="F708" s="4"/>
      <c r="G708" s="4"/>
      <c r="H708" s="5">
        <f t="shared" si="10"/>
        <v>-5.2709946396664716E-2</v>
      </c>
    </row>
    <row r="709" spans="1:8" ht="13.5" x14ac:dyDescent="0.25">
      <c r="A709" s="1"/>
      <c r="B709" s="3">
        <v>43332</v>
      </c>
      <c r="C709" s="4">
        <v>6.84</v>
      </c>
      <c r="D709" s="4">
        <v>3.8228</v>
      </c>
      <c r="E709" s="4">
        <v>647</v>
      </c>
      <c r="F709" s="4"/>
      <c r="G709" s="4"/>
      <c r="H709" s="5">
        <f t="shared" si="10"/>
        <v>1.4670439065283E-3</v>
      </c>
    </row>
    <row r="710" spans="1:8" ht="13.5" x14ac:dyDescent="0.25">
      <c r="A710" s="1"/>
      <c r="B710" s="3">
        <v>43335</v>
      </c>
      <c r="C710" s="4">
        <v>6.64</v>
      </c>
      <c r="D710" s="4">
        <v>3.7109999999999999</v>
      </c>
      <c r="E710" s="4">
        <v>750</v>
      </c>
      <c r="F710" s="4"/>
      <c r="G710" s="4"/>
      <c r="H710" s="5">
        <f t="shared" si="10"/>
        <v>-2.9245579156639143E-2</v>
      </c>
    </row>
    <row r="711" spans="1:8" ht="13.5" x14ac:dyDescent="0.25">
      <c r="A711" s="1"/>
      <c r="B711" s="3">
        <v>43336</v>
      </c>
      <c r="C711" s="4">
        <v>6.66</v>
      </c>
      <c r="D711" s="4">
        <v>3.7222</v>
      </c>
      <c r="E711" s="4">
        <v>1755</v>
      </c>
      <c r="F711" s="4"/>
      <c r="G711" s="4"/>
      <c r="H711" s="5">
        <f t="shared" ref="H711:H774" si="11">(D711-D710)/D710</f>
        <v>3.0180544327674747E-3</v>
      </c>
    </row>
    <row r="712" spans="1:8" ht="13.5" x14ac:dyDescent="0.25">
      <c r="A712" s="1"/>
      <c r="B712" s="3">
        <v>43339</v>
      </c>
      <c r="C712" s="4">
        <v>6.9</v>
      </c>
      <c r="D712" s="4">
        <v>3.8563999999999998</v>
      </c>
      <c r="E712" s="4">
        <v>327</v>
      </c>
      <c r="F712" s="4"/>
      <c r="G712" s="4"/>
      <c r="H712" s="5">
        <f t="shared" si="11"/>
        <v>3.6053946590725881E-2</v>
      </c>
    </row>
    <row r="713" spans="1:8" ht="13.5" x14ac:dyDescent="0.25">
      <c r="A713" s="1"/>
      <c r="B713" s="3">
        <v>43340</v>
      </c>
      <c r="C713" s="4">
        <v>6.69</v>
      </c>
      <c r="D713" s="4">
        <v>3.7389999999999999</v>
      </c>
      <c r="E713" s="4">
        <v>372</v>
      </c>
      <c r="F713" s="4"/>
      <c r="G713" s="4"/>
      <c r="H713" s="5">
        <f t="shared" si="11"/>
        <v>-3.0442900114096037E-2</v>
      </c>
    </row>
    <row r="714" spans="1:8" ht="13.5" x14ac:dyDescent="0.25">
      <c r="A714" s="1"/>
      <c r="B714" s="3">
        <v>43341</v>
      </c>
      <c r="C714" s="4">
        <v>6.5</v>
      </c>
      <c r="D714" s="4">
        <v>3.6328</v>
      </c>
      <c r="E714" s="4">
        <v>5368</v>
      </c>
      <c r="F714" s="4"/>
      <c r="G714" s="4"/>
      <c r="H714" s="5">
        <f t="shared" si="11"/>
        <v>-2.8403316394757919E-2</v>
      </c>
    </row>
    <row r="715" spans="1:8" ht="13.5" x14ac:dyDescent="0.25">
      <c r="A715" s="1"/>
      <c r="B715" s="3">
        <v>43342</v>
      </c>
      <c r="C715" s="4">
        <v>6.52</v>
      </c>
      <c r="D715" s="4">
        <v>3.6440000000000001</v>
      </c>
      <c r="E715" s="4">
        <v>1317</v>
      </c>
      <c r="F715" s="4"/>
      <c r="G715" s="4"/>
      <c r="H715" s="5">
        <f t="shared" si="11"/>
        <v>3.0830213609337421E-3</v>
      </c>
    </row>
    <row r="716" spans="1:8" ht="13.5" x14ac:dyDescent="0.25">
      <c r="A716" s="1"/>
      <c r="B716" s="3">
        <v>43343</v>
      </c>
      <c r="C716" s="4">
        <v>6.87</v>
      </c>
      <c r="D716" s="4">
        <v>3.8395999999999999</v>
      </c>
      <c r="E716" s="4">
        <v>555</v>
      </c>
      <c r="F716" s="4"/>
      <c r="G716" s="4"/>
      <c r="H716" s="5">
        <f t="shared" si="11"/>
        <v>5.3677277716794668E-2</v>
      </c>
    </row>
    <row r="717" spans="1:8" ht="13.5" x14ac:dyDescent="0.25">
      <c r="A717" s="1"/>
      <c r="B717" s="3">
        <v>43346</v>
      </c>
      <c r="C717" s="4">
        <v>6.57</v>
      </c>
      <c r="D717" s="4">
        <v>3.6718999999999999</v>
      </c>
      <c r="E717" s="4">
        <v>0</v>
      </c>
      <c r="F717" s="4"/>
      <c r="G717" s="4"/>
      <c r="H717" s="5">
        <f t="shared" si="11"/>
        <v>-4.3676424627565359E-2</v>
      </c>
    </row>
    <row r="718" spans="1:8" ht="13.5" x14ac:dyDescent="0.25">
      <c r="A718" s="1"/>
      <c r="B718" s="3">
        <v>43347</v>
      </c>
      <c r="C718" s="4">
        <v>6.31</v>
      </c>
      <c r="D718" s="4">
        <v>3.5266000000000002</v>
      </c>
      <c r="E718" s="4">
        <v>2400</v>
      </c>
      <c r="F718" s="4"/>
      <c r="G718" s="4"/>
      <c r="H718" s="5">
        <f t="shared" si="11"/>
        <v>-3.9570794411612452E-2</v>
      </c>
    </row>
    <row r="719" spans="1:8" ht="13.5" x14ac:dyDescent="0.25">
      <c r="A719" s="1"/>
      <c r="B719" s="3">
        <v>43348</v>
      </c>
      <c r="C719" s="4">
        <v>6.07</v>
      </c>
      <c r="D719" s="4">
        <v>3.3925000000000001</v>
      </c>
      <c r="E719" s="4">
        <v>6743</v>
      </c>
      <c r="F719" s="4"/>
      <c r="G719" s="4"/>
      <c r="H719" s="5">
        <f t="shared" si="11"/>
        <v>-3.8025293483808793E-2</v>
      </c>
    </row>
    <row r="720" spans="1:8" ht="13.5" x14ac:dyDescent="0.25">
      <c r="A720" s="1"/>
      <c r="B720" s="3">
        <v>43349</v>
      </c>
      <c r="C720" s="4">
        <v>6.07</v>
      </c>
      <c r="D720" s="4">
        <v>3.3925000000000001</v>
      </c>
      <c r="E720" s="4">
        <v>1523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5.91</v>
      </c>
      <c r="D721" s="4">
        <v>3.3029999999999999</v>
      </c>
      <c r="E721" s="4">
        <v>10</v>
      </c>
      <c r="F721" s="4"/>
      <c r="G721" s="4"/>
      <c r="H721" s="5">
        <f t="shared" si="11"/>
        <v>-2.6381724392041308E-2</v>
      </c>
    </row>
    <row r="722" spans="1:8" ht="13.5" x14ac:dyDescent="0.25">
      <c r="A722" s="1"/>
      <c r="B722" s="3">
        <v>43353</v>
      </c>
      <c r="C722" s="4">
        <v>5.91</v>
      </c>
      <c r="D722" s="4">
        <v>3.3029999999999999</v>
      </c>
      <c r="E722" s="4">
        <v>2824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5.99</v>
      </c>
      <c r="D723" s="4">
        <v>3.3477999999999999</v>
      </c>
      <c r="E723" s="4">
        <v>7225</v>
      </c>
      <c r="F723" s="4"/>
      <c r="G723" s="4"/>
      <c r="H723" s="5">
        <f t="shared" si="11"/>
        <v>1.3563427187405374E-2</v>
      </c>
    </row>
    <row r="724" spans="1:8" ht="13.5" x14ac:dyDescent="0.25">
      <c r="A724" s="1"/>
      <c r="B724" s="3">
        <v>43356</v>
      </c>
      <c r="C724" s="4">
        <v>6.2</v>
      </c>
      <c r="D724" s="4">
        <v>3.4651000000000001</v>
      </c>
      <c r="E724" s="4">
        <v>1562</v>
      </c>
      <c r="F724" s="4"/>
      <c r="G724" s="4"/>
      <c r="H724" s="5">
        <f t="shared" si="11"/>
        <v>3.503793536053533E-2</v>
      </c>
    </row>
    <row r="725" spans="1:8" ht="13.5" x14ac:dyDescent="0.25">
      <c r="A725" s="1"/>
      <c r="B725" s="3">
        <v>43357</v>
      </c>
      <c r="C725" s="4">
        <v>6.1</v>
      </c>
      <c r="D725" s="4">
        <v>3.4091999999999998</v>
      </c>
      <c r="E725" s="4">
        <v>6688</v>
      </c>
      <c r="F725" s="4"/>
      <c r="G725" s="4"/>
      <c r="H725" s="5">
        <f t="shared" si="11"/>
        <v>-1.6132290554385236E-2</v>
      </c>
    </row>
    <row r="726" spans="1:8" ht="13.5" x14ac:dyDescent="0.25">
      <c r="A726" s="1"/>
      <c r="B726" s="3">
        <v>43360</v>
      </c>
      <c r="C726" s="4">
        <v>6.09</v>
      </c>
      <c r="D726" s="4">
        <v>3.4036</v>
      </c>
      <c r="E726" s="4">
        <v>2765</v>
      </c>
      <c r="F726" s="4"/>
      <c r="G726" s="4"/>
      <c r="H726" s="5">
        <f t="shared" si="11"/>
        <v>-1.6426141030153197E-3</v>
      </c>
    </row>
    <row r="727" spans="1:8" ht="13.5" x14ac:dyDescent="0.25">
      <c r="A727" s="1"/>
      <c r="B727" s="3">
        <v>43361</v>
      </c>
      <c r="C727" s="4">
        <v>6</v>
      </c>
      <c r="D727" s="4">
        <v>3.3532999999999999</v>
      </c>
      <c r="E727" s="4">
        <v>5730</v>
      </c>
      <c r="F727" s="4"/>
      <c r="G727" s="4"/>
      <c r="H727" s="5">
        <f t="shared" si="11"/>
        <v>-1.4778469855447177E-2</v>
      </c>
    </row>
    <row r="728" spans="1:8" ht="13.5" x14ac:dyDescent="0.25">
      <c r="A728" s="1"/>
      <c r="B728" s="3">
        <v>43362</v>
      </c>
      <c r="C728" s="4">
        <v>6.11</v>
      </c>
      <c r="D728" s="4">
        <v>3.4148000000000001</v>
      </c>
      <c r="E728" s="4">
        <v>2280</v>
      </c>
      <c r="F728" s="4"/>
      <c r="G728" s="4"/>
      <c r="H728" s="5">
        <f t="shared" si="11"/>
        <v>1.8340142546148602E-2</v>
      </c>
    </row>
    <row r="729" spans="1:8" ht="13.5" x14ac:dyDescent="0.25">
      <c r="A729" s="1"/>
      <c r="B729" s="3">
        <v>43363</v>
      </c>
      <c r="C729" s="4">
        <v>5.82</v>
      </c>
      <c r="D729" s="4">
        <v>3.2526999999999999</v>
      </c>
      <c r="E729" s="4">
        <v>3107</v>
      </c>
      <c r="F729" s="4"/>
      <c r="G729" s="4"/>
      <c r="H729" s="5">
        <f t="shared" si="11"/>
        <v>-4.7469837179337039E-2</v>
      </c>
    </row>
    <row r="730" spans="1:8" ht="13.5" x14ac:dyDescent="0.25">
      <c r="A730" s="1"/>
      <c r="B730" s="3">
        <v>43364</v>
      </c>
      <c r="C730" s="4">
        <v>5.99</v>
      </c>
      <c r="D730" s="4">
        <v>3.3477999999999999</v>
      </c>
      <c r="E730" s="4">
        <v>4858</v>
      </c>
      <c r="F730" s="4"/>
      <c r="G730" s="4"/>
      <c r="H730" s="5">
        <f t="shared" si="11"/>
        <v>2.9237249054631525E-2</v>
      </c>
    </row>
    <row r="731" spans="1:8" ht="13.5" x14ac:dyDescent="0.25">
      <c r="A731" s="1"/>
      <c r="B731" s="3">
        <v>43367</v>
      </c>
      <c r="C731" s="4">
        <v>6</v>
      </c>
      <c r="D731" s="4">
        <v>3.3532999999999999</v>
      </c>
      <c r="E731" s="4">
        <v>4602</v>
      </c>
      <c r="F731" s="4"/>
      <c r="G731" s="4"/>
      <c r="H731" s="5">
        <f t="shared" si="11"/>
        <v>1.6428699444411437E-3</v>
      </c>
    </row>
    <row r="732" spans="1:8" ht="13.5" x14ac:dyDescent="0.25">
      <c r="A732" s="1"/>
      <c r="B732" s="3">
        <v>43368</v>
      </c>
      <c r="C732" s="4">
        <v>5.98</v>
      </c>
      <c r="D732" s="4">
        <v>3.3422000000000001</v>
      </c>
      <c r="E732" s="4">
        <v>5800</v>
      </c>
      <c r="F732" s="4"/>
      <c r="G732" s="4"/>
      <c r="H732" s="5">
        <f t="shared" si="11"/>
        <v>-3.3101720693048307E-3</v>
      </c>
    </row>
    <row r="733" spans="1:8" ht="13.5" x14ac:dyDescent="0.25">
      <c r="A733" s="1"/>
      <c r="B733" s="3">
        <v>43369</v>
      </c>
      <c r="C733" s="4">
        <v>5.9</v>
      </c>
      <c r="D733" s="4">
        <v>3.2974999999999999</v>
      </c>
      <c r="E733" s="4">
        <v>4345</v>
      </c>
      <c r="F733" s="4"/>
      <c r="G733" s="4"/>
      <c r="H733" s="5">
        <f t="shared" si="11"/>
        <v>-1.3374424032074736E-2</v>
      </c>
    </row>
    <row r="734" spans="1:8" ht="13.5" x14ac:dyDescent="0.25">
      <c r="A734" s="1"/>
      <c r="B734" s="3">
        <v>43370</v>
      </c>
      <c r="C734" s="4">
        <v>5.9</v>
      </c>
      <c r="D734" s="4">
        <v>3.2974999999999999</v>
      </c>
      <c r="E734" s="4">
        <v>4812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5.98</v>
      </c>
      <c r="D735" s="4">
        <v>3.3422000000000001</v>
      </c>
      <c r="E735" s="4">
        <v>1115</v>
      </c>
      <c r="F735" s="4"/>
      <c r="G735" s="4"/>
      <c r="H735" s="5">
        <f t="shared" si="11"/>
        <v>1.3555724033358661E-2</v>
      </c>
    </row>
    <row r="736" spans="1:8" ht="13.5" x14ac:dyDescent="0.25">
      <c r="A736" s="1"/>
      <c r="B736" s="3">
        <v>43374</v>
      </c>
      <c r="C736" s="4">
        <v>5.85</v>
      </c>
      <c r="D736" s="4">
        <v>3.2694999999999999</v>
      </c>
      <c r="E736" s="4">
        <v>756</v>
      </c>
      <c r="F736" s="4"/>
      <c r="G736" s="4"/>
      <c r="H736" s="5">
        <f t="shared" si="11"/>
        <v>-2.1752139309436959E-2</v>
      </c>
    </row>
    <row r="737" spans="1:8" ht="13.5" x14ac:dyDescent="0.25">
      <c r="A737" s="1"/>
      <c r="B737" s="3">
        <v>43375</v>
      </c>
      <c r="C737" s="4">
        <v>5.7</v>
      </c>
      <c r="D737" s="4">
        <v>3.1857000000000002</v>
      </c>
      <c r="E737" s="4">
        <v>3703</v>
      </c>
      <c r="F737" s="4"/>
      <c r="G737" s="4"/>
      <c r="H737" s="5">
        <f t="shared" si="11"/>
        <v>-2.5630830402202067E-2</v>
      </c>
    </row>
    <row r="738" spans="1:8" ht="13.5" x14ac:dyDescent="0.25">
      <c r="A738" s="1"/>
      <c r="B738" s="3">
        <v>43376</v>
      </c>
      <c r="C738" s="4">
        <v>5.7</v>
      </c>
      <c r="D738" s="4">
        <v>3.1857000000000002</v>
      </c>
      <c r="E738" s="4">
        <v>2660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5.49</v>
      </c>
      <c r="D739" s="4">
        <v>3.0682999999999998</v>
      </c>
      <c r="E739" s="4">
        <v>2141</v>
      </c>
      <c r="F739" s="4"/>
      <c r="G739" s="4"/>
      <c r="H739" s="5">
        <f t="shared" si="11"/>
        <v>-3.6852183193646727E-2</v>
      </c>
    </row>
    <row r="740" spans="1:8" ht="13.5" x14ac:dyDescent="0.25">
      <c r="A740" s="1"/>
      <c r="B740" s="3">
        <v>43378</v>
      </c>
      <c r="C740" s="4">
        <v>5.56</v>
      </c>
      <c r="D740" s="4">
        <v>3.1074000000000002</v>
      </c>
      <c r="E740" s="4">
        <v>3084</v>
      </c>
      <c r="F740" s="4"/>
      <c r="G740" s="4"/>
      <c r="H740" s="5">
        <f t="shared" si="11"/>
        <v>1.2743212854023517E-2</v>
      </c>
    </row>
    <row r="741" spans="1:8" ht="13.5" x14ac:dyDescent="0.25">
      <c r="A741" s="1"/>
      <c r="B741" s="3">
        <v>43381</v>
      </c>
      <c r="C741" s="4">
        <v>5.56</v>
      </c>
      <c r="D741" s="4">
        <v>3.1074000000000002</v>
      </c>
      <c r="E741" s="4">
        <v>1142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5.48</v>
      </c>
      <c r="D742" s="4">
        <v>3.0627</v>
      </c>
      <c r="E742" s="4">
        <v>3365</v>
      </c>
      <c r="F742" s="4"/>
      <c r="G742" s="4"/>
      <c r="H742" s="5">
        <f t="shared" si="11"/>
        <v>-1.4385016412434892E-2</v>
      </c>
    </row>
    <row r="743" spans="1:8" ht="13.5" x14ac:dyDescent="0.25">
      <c r="A743" s="1"/>
      <c r="B743" s="3">
        <v>43383</v>
      </c>
      <c r="C743" s="4">
        <v>5.48</v>
      </c>
      <c r="D743" s="4">
        <v>3.0627</v>
      </c>
      <c r="E743" s="4">
        <v>1520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5.39</v>
      </c>
      <c r="D744" s="4">
        <v>3.0124</v>
      </c>
      <c r="E744" s="4">
        <v>815</v>
      </c>
      <c r="F744" s="4"/>
      <c r="G744" s="4"/>
      <c r="H744" s="5">
        <f t="shared" si="11"/>
        <v>-1.6423417246220658E-2</v>
      </c>
    </row>
    <row r="745" spans="1:8" ht="13.5" x14ac:dyDescent="0.25">
      <c r="A745" s="1"/>
      <c r="B745" s="3">
        <v>43385</v>
      </c>
      <c r="C745" s="4">
        <v>5.55</v>
      </c>
      <c r="D745" s="4">
        <v>3.1017999999999999</v>
      </c>
      <c r="E745" s="4">
        <v>2395</v>
      </c>
      <c r="F745" s="4"/>
      <c r="G745" s="4"/>
      <c r="H745" s="5">
        <f t="shared" si="11"/>
        <v>2.9677333687425284E-2</v>
      </c>
    </row>
    <row r="746" spans="1:8" ht="13.5" x14ac:dyDescent="0.25">
      <c r="A746" s="1"/>
      <c r="B746" s="3">
        <v>43389</v>
      </c>
      <c r="C746" s="4">
        <v>5.56</v>
      </c>
      <c r="D746" s="4">
        <v>3.1074000000000002</v>
      </c>
      <c r="E746" s="4">
        <v>3570</v>
      </c>
      <c r="F746" s="4"/>
      <c r="G746" s="4"/>
      <c r="H746" s="5">
        <f t="shared" si="11"/>
        <v>1.8054033142047429E-3</v>
      </c>
    </row>
    <row r="747" spans="1:8" ht="13.5" x14ac:dyDescent="0.25">
      <c r="A747" s="1"/>
      <c r="B747" s="3">
        <v>43390</v>
      </c>
      <c r="C747" s="4">
        <v>5.52</v>
      </c>
      <c r="D747" s="4">
        <v>3.0851000000000002</v>
      </c>
      <c r="E747" s="4">
        <v>845</v>
      </c>
      <c r="F747" s="4"/>
      <c r="G747" s="4"/>
      <c r="H747" s="5">
        <f t="shared" si="11"/>
        <v>-7.1764175838321381E-3</v>
      </c>
    </row>
    <row r="748" spans="1:8" ht="13.5" x14ac:dyDescent="0.25">
      <c r="A748" s="1"/>
      <c r="B748" s="3">
        <v>43391</v>
      </c>
      <c r="C748" s="4">
        <v>5.44</v>
      </c>
      <c r="D748" s="4">
        <v>3.0404</v>
      </c>
      <c r="E748" s="4">
        <v>245</v>
      </c>
      <c r="F748" s="4"/>
      <c r="G748" s="4"/>
      <c r="H748" s="5">
        <f t="shared" si="11"/>
        <v>-1.4488995494473496E-2</v>
      </c>
    </row>
    <row r="749" spans="1:8" ht="13.5" x14ac:dyDescent="0.25">
      <c r="A749" s="1"/>
      <c r="B749" s="3">
        <v>43392</v>
      </c>
      <c r="C749" s="4">
        <v>5.45</v>
      </c>
      <c r="D749" s="4">
        <v>3.0459999999999998</v>
      </c>
      <c r="E749" s="4">
        <v>10085</v>
      </c>
      <c r="F749" s="4"/>
      <c r="G749" s="4"/>
      <c r="H749" s="5">
        <f t="shared" si="11"/>
        <v>1.841862912774578E-3</v>
      </c>
    </row>
    <row r="750" spans="1:8" ht="13.5" x14ac:dyDescent="0.25">
      <c r="A750" s="1"/>
      <c r="B750" s="3">
        <v>43395</v>
      </c>
      <c r="C750" s="4">
        <v>5.31</v>
      </c>
      <c r="D750" s="4">
        <v>2.9676999999999998</v>
      </c>
      <c r="E750" s="4">
        <v>5710</v>
      </c>
      <c r="F750" s="4"/>
      <c r="G750" s="4"/>
      <c r="H750" s="5">
        <f t="shared" si="11"/>
        <v>-2.5705843729481301E-2</v>
      </c>
    </row>
    <row r="751" spans="1:8" ht="13.5" x14ac:dyDescent="0.25">
      <c r="A751" s="1"/>
      <c r="B751" s="3">
        <v>43396</v>
      </c>
      <c r="C751" s="4">
        <v>5.31</v>
      </c>
      <c r="D751" s="4">
        <v>2.9676999999999998</v>
      </c>
      <c r="E751" s="4">
        <v>610</v>
      </c>
      <c r="F751" s="4"/>
      <c r="G751" s="4"/>
      <c r="H751" s="5">
        <f t="shared" si="11"/>
        <v>0</v>
      </c>
    </row>
    <row r="752" spans="1:8" ht="13.5" x14ac:dyDescent="0.25">
      <c r="A752" s="1"/>
      <c r="B752" s="3">
        <v>43397</v>
      </c>
      <c r="C752" s="4">
        <v>5.01</v>
      </c>
      <c r="D752" s="4">
        <v>2.8</v>
      </c>
      <c r="E752" s="4">
        <v>20048</v>
      </c>
      <c r="F752" s="4"/>
      <c r="G752" s="4"/>
      <c r="H752" s="5">
        <f t="shared" si="11"/>
        <v>-5.650840718401455E-2</v>
      </c>
    </row>
    <row r="753" spans="1:8" ht="13.5" x14ac:dyDescent="0.25">
      <c r="A753" s="1"/>
      <c r="B753" s="3">
        <v>43398</v>
      </c>
      <c r="C753" s="4">
        <v>5.2</v>
      </c>
      <c r="D753" s="4">
        <v>2.9062000000000001</v>
      </c>
      <c r="E753" s="4">
        <v>5652</v>
      </c>
      <c r="F753" s="4"/>
      <c r="G753" s="4"/>
      <c r="H753" s="5">
        <f t="shared" si="11"/>
        <v>3.7928571428571534E-2</v>
      </c>
    </row>
    <row r="754" spans="1:8" ht="13.5" x14ac:dyDescent="0.25">
      <c r="A754" s="1"/>
      <c r="B754" s="3">
        <v>43399</v>
      </c>
      <c r="C754" s="4">
        <v>5.35</v>
      </c>
      <c r="D754" s="4">
        <v>2.9901</v>
      </c>
      <c r="E754" s="4">
        <v>10437</v>
      </c>
      <c r="F754" s="4"/>
      <c r="G754" s="4"/>
      <c r="H754" s="5">
        <f t="shared" si="11"/>
        <v>2.8869313880668868E-2</v>
      </c>
    </row>
    <row r="755" spans="1:8" ht="13.5" x14ac:dyDescent="0.25">
      <c r="A755" s="1"/>
      <c r="B755" s="3">
        <v>43402</v>
      </c>
      <c r="C755" s="4">
        <v>5.67</v>
      </c>
      <c r="D755" s="4">
        <v>3.1688999999999998</v>
      </c>
      <c r="E755" s="4">
        <v>1637</v>
      </c>
      <c r="F755" s="4"/>
      <c r="G755" s="4"/>
      <c r="H755" s="5">
        <f t="shared" si="11"/>
        <v>5.9797331192936641E-2</v>
      </c>
    </row>
    <row r="756" spans="1:8" ht="13.5" x14ac:dyDescent="0.25">
      <c r="A756" s="1"/>
      <c r="B756" s="3">
        <v>43403</v>
      </c>
      <c r="C756" s="4">
        <v>5.78</v>
      </c>
      <c r="D756" s="4">
        <v>3.2303999999999999</v>
      </c>
      <c r="E756" s="4">
        <v>1732</v>
      </c>
      <c r="F756" s="4"/>
      <c r="G756" s="4"/>
      <c r="H756" s="5">
        <f t="shared" si="11"/>
        <v>1.9407365331818648E-2</v>
      </c>
    </row>
    <row r="757" spans="1:8" ht="13.5" x14ac:dyDescent="0.25">
      <c r="A757" s="1"/>
      <c r="B757" s="3">
        <v>43404</v>
      </c>
      <c r="C757" s="4">
        <v>5.9</v>
      </c>
      <c r="D757" s="4">
        <v>3.2974999999999999</v>
      </c>
      <c r="E757" s="4">
        <v>5069</v>
      </c>
      <c r="F757" s="4"/>
      <c r="G757" s="4"/>
      <c r="H757" s="5">
        <f t="shared" si="11"/>
        <v>2.0771421495789977E-2</v>
      </c>
    </row>
    <row r="758" spans="1:8" ht="13.5" x14ac:dyDescent="0.25">
      <c r="A758" s="1"/>
      <c r="B758" s="3">
        <v>43405</v>
      </c>
      <c r="C758" s="4">
        <v>6.18</v>
      </c>
      <c r="D758" s="4">
        <v>3.4539</v>
      </c>
      <c r="E758" s="4">
        <v>5376</v>
      </c>
      <c r="F758" s="4"/>
      <c r="G758" s="4"/>
      <c r="H758" s="5">
        <f t="shared" si="11"/>
        <v>4.7429871114480694E-2</v>
      </c>
    </row>
    <row r="759" spans="1:8" ht="13.5" x14ac:dyDescent="0.25">
      <c r="A759" s="1"/>
      <c r="B759" s="3">
        <v>43406</v>
      </c>
      <c r="C759" s="4">
        <v>6.55</v>
      </c>
      <c r="D759" s="4">
        <v>3.6606999999999998</v>
      </c>
      <c r="E759" s="4">
        <v>4936</v>
      </c>
      <c r="F759" s="4"/>
      <c r="G759" s="4"/>
      <c r="H759" s="5">
        <f t="shared" si="11"/>
        <v>5.987434494339728E-2</v>
      </c>
    </row>
    <row r="760" spans="1:8" ht="13.5" x14ac:dyDescent="0.25">
      <c r="A760" s="1"/>
      <c r="B760" s="3">
        <v>43409</v>
      </c>
      <c r="C760" s="4">
        <v>6.82</v>
      </c>
      <c r="D760" s="4">
        <v>3.8115999999999999</v>
      </c>
      <c r="E760" s="4">
        <v>1190</v>
      </c>
      <c r="F760" s="4"/>
      <c r="G760" s="4"/>
      <c r="H760" s="5">
        <f t="shared" si="11"/>
        <v>4.1221624279509393E-2</v>
      </c>
    </row>
    <row r="761" spans="1:8" ht="13.5" x14ac:dyDescent="0.25">
      <c r="A761" s="1"/>
      <c r="B761" s="3">
        <v>43410</v>
      </c>
      <c r="C761" s="4">
        <v>6.62</v>
      </c>
      <c r="D761" s="4">
        <v>3.6999</v>
      </c>
      <c r="E761" s="4">
        <v>2587</v>
      </c>
      <c r="F761" s="4"/>
      <c r="G761" s="4"/>
      <c r="H761" s="5">
        <f t="shared" si="11"/>
        <v>-2.9305278623150362E-2</v>
      </c>
    </row>
    <row r="762" spans="1:8" ht="13.5" x14ac:dyDescent="0.25">
      <c r="A762" s="1"/>
      <c r="B762" s="3">
        <v>43411</v>
      </c>
      <c r="C762" s="4">
        <v>6.33</v>
      </c>
      <c r="D762" s="4">
        <v>3.5377999999999998</v>
      </c>
      <c r="E762" s="4">
        <v>0</v>
      </c>
      <c r="F762" s="4"/>
      <c r="G762" s="4"/>
      <c r="H762" s="5">
        <f t="shared" si="11"/>
        <v>-4.3811994918781627E-2</v>
      </c>
    </row>
    <row r="763" spans="1:8" ht="13.5" x14ac:dyDescent="0.25">
      <c r="A763" s="1"/>
      <c r="B763" s="3">
        <v>43412</v>
      </c>
      <c r="C763" s="4">
        <v>6.3</v>
      </c>
      <c r="D763" s="4">
        <v>3.5209999999999999</v>
      </c>
      <c r="E763" s="4">
        <v>5910</v>
      </c>
      <c r="F763" s="4"/>
      <c r="G763" s="4"/>
      <c r="H763" s="5">
        <f t="shared" si="11"/>
        <v>-4.7487138899881074E-3</v>
      </c>
    </row>
    <row r="764" spans="1:8" ht="13.5" x14ac:dyDescent="0.25">
      <c r="A764" s="1"/>
      <c r="B764" s="3">
        <v>43413</v>
      </c>
      <c r="C764" s="4">
        <v>6.11</v>
      </c>
      <c r="D764" s="4">
        <v>3.4148000000000001</v>
      </c>
      <c r="E764" s="4">
        <v>1805</v>
      </c>
      <c r="F764" s="4"/>
      <c r="G764" s="4"/>
      <c r="H764" s="5">
        <f t="shared" si="11"/>
        <v>-3.0161885827889763E-2</v>
      </c>
    </row>
    <row r="765" spans="1:8" ht="13.5" x14ac:dyDescent="0.25">
      <c r="A765" s="1"/>
      <c r="B765" s="3">
        <v>43416</v>
      </c>
      <c r="C765" s="4">
        <v>5.99</v>
      </c>
      <c r="D765" s="4">
        <v>3.3477999999999999</v>
      </c>
      <c r="E765" s="4">
        <v>5250</v>
      </c>
      <c r="F765" s="4"/>
      <c r="G765" s="4"/>
      <c r="H765" s="5">
        <f t="shared" si="11"/>
        <v>-1.9620475576900599E-2</v>
      </c>
    </row>
    <row r="766" spans="1:8" ht="13.5" x14ac:dyDescent="0.25">
      <c r="A766" s="1"/>
      <c r="B766" s="3">
        <v>43417</v>
      </c>
      <c r="C766" s="4">
        <v>5.91</v>
      </c>
      <c r="D766" s="4">
        <v>3.3029999999999999</v>
      </c>
      <c r="E766" s="4">
        <v>703</v>
      </c>
      <c r="F766" s="4"/>
      <c r="G766" s="4"/>
      <c r="H766" s="5">
        <f t="shared" si="11"/>
        <v>-1.3381922456538608E-2</v>
      </c>
    </row>
    <row r="767" spans="1:8" ht="13.5" x14ac:dyDescent="0.25">
      <c r="A767" s="1"/>
      <c r="B767" s="3">
        <v>43418</v>
      </c>
      <c r="C767" s="4">
        <v>6.05</v>
      </c>
      <c r="D767" s="4">
        <v>3.3813</v>
      </c>
      <c r="E767" s="4">
        <v>573</v>
      </c>
      <c r="F767" s="4"/>
      <c r="G767" s="4"/>
      <c r="H767" s="5">
        <f t="shared" si="11"/>
        <v>2.3705722070844697E-2</v>
      </c>
    </row>
    <row r="768" spans="1:8" ht="13.5" x14ac:dyDescent="0.25">
      <c r="A768" s="1"/>
      <c r="B768" s="3">
        <v>43419</v>
      </c>
      <c r="C768" s="4">
        <v>6.04</v>
      </c>
      <c r="D768" s="4">
        <v>3.3757000000000001</v>
      </c>
      <c r="E768" s="4">
        <v>5978</v>
      </c>
      <c r="F768" s="4"/>
      <c r="G768" s="4"/>
      <c r="H768" s="5">
        <f t="shared" si="11"/>
        <v>-1.6561677461330931E-3</v>
      </c>
    </row>
    <row r="769" spans="1:8" ht="13.5" x14ac:dyDescent="0.25">
      <c r="A769" s="1"/>
      <c r="B769" s="3">
        <v>43420</v>
      </c>
      <c r="C769" s="4">
        <v>5.99</v>
      </c>
      <c r="D769" s="4">
        <v>3.3477999999999999</v>
      </c>
      <c r="E769" s="4">
        <v>1406</v>
      </c>
      <c r="F769" s="4"/>
      <c r="G769" s="4"/>
      <c r="H769" s="5">
        <f t="shared" si="11"/>
        <v>-8.2649524543058489E-3</v>
      </c>
    </row>
    <row r="770" spans="1:8" ht="13.5" x14ac:dyDescent="0.25">
      <c r="A770" s="1"/>
      <c r="B770" s="3">
        <v>43423</v>
      </c>
      <c r="C770" s="4">
        <v>5.85</v>
      </c>
      <c r="D770" s="4">
        <v>3.2694999999999999</v>
      </c>
      <c r="E770" s="4">
        <v>2980</v>
      </c>
      <c r="F770" s="4"/>
      <c r="G770" s="4"/>
      <c r="H770" s="5">
        <f t="shared" si="11"/>
        <v>-2.3388493936316399E-2</v>
      </c>
    </row>
    <row r="771" spans="1:8" ht="13.5" x14ac:dyDescent="0.25">
      <c r="A771" s="1"/>
      <c r="B771" s="3">
        <v>43425</v>
      </c>
      <c r="C771" s="4">
        <v>5.92</v>
      </c>
      <c r="D771" s="4">
        <v>3.3086000000000002</v>
      </c>
      <c r="E771" s="4">
        <v>2774</v>
      </c>
      <c r="F771" s="4"/>
      <c r="G771" s="4"/>
      <c r="H771" s="5">
        <f t="shared" si="11"/>
        <v>1.1959015139929762E-2</v>
      </c>
    </row>
    <row r="772" spans="1:8" ht="13.5" x14ac:dyDescent="0.25">
      <c r="A772" s="1"/>
      <c r="B772" s="3">
        <v>43426</v>
      </c>
      <c r="C772" s="4">
        <v>6.11</v>
      </c>
      <c r="D772" s="4">
        <v>3.4148000000000001</v>
      </c>
      <c r="E772" s="4">
        <v>4001</v>
      </c>
      <c r="F772" s="4"/>
      <c r="G772" s="4"/>
      <c r="H772" s="5">
        <f t="shared" si="11"/>
        <v>3.2098168409599177E-2</v>
      </c>
    </row>
    <row r="773" spans="1:8" ht="13.5" x14ac:dyDescent="0.25">
      <c r="A773" s="1"/>
      <c r="B773" s="3">
        <v>43427</v>
      </c>
      <c r="C773" s="4">
        <v>5.9</v>
      </c>
      <c r="D773" s="4">
        <v>3.2974999999999999</v>
      </c>
      <c r="E773" s="4">
        <v>2905</v>
      </c>
      <c r="F773" s="4"/>
      <c r="G773" s="4"/>
      <c r="H773" s="5">
        <f t="shared" si="11"/>
        <v>-3.4350474405528929E-2</v>
      </c>
    </row>
    <row r="774" spans="1:8" ht="13.5" x14ac:dyDescent="0.25">
      <c r="A774" s="1"/>
      <c r="B774" s="3">
        <v>43430</v>
      </c>
      <c r="C774" s="4">
        <v>5.98</v>
      </c>
      <c r="D774" s="4">
        <v>3.3422000000000001</v>
      </c>
      <c r="E774" s="4">
        <v>2715</v>
      </c>
      <c r="F774" s="4"/>
      <c r="G774" s="4"/>
      <c r="H774" s="5">
        <f t="shared" si="11"/>
        <v>1.3555724033358661E-2</v>
      </c>
    </row>
    <row r="775" spans="1:8" ht="13.5" x14ac:dyDescent="0.25">
      <c r="A775" s="1"/>
      <c r="B775" s="3">
        <v>43431</v>
      </c>
      <c r="C775" s="4">
        <v>5.99</v>
      </c>
      <c r="D775" s="4">
        <v>3.3477999999999999</v>
      </c>
      <c r="E775" s="4">
        <v>1134</v>
      </c>
      <c r="F775" s="4"/>
      <c r="G775" s="4"/>
      <c r="H775" s="5">
        <f t="shared" ref="H775:H838" si="12">(D775-D774)/D774</f>
        <v>1.6755430554723917E-3</v>
      </c>
    </row>
    <row r="776" spans="1:8" ht="13.5" x14ac:dyDescent="0.25">
      <c r="A776" s="1"/>
      <c r="B776" s="3">
        <v>43432</v>
      </c>
      <c r="C776" s="4">
        <v>5.91</v>
      </c>
      <c r="D776" s="4">
        <v>3.3029999999999999</v>
      </c>
      <c r="E776" s="4">
        <v>6549</v>
      </c>
      <c r="F776" s="4"/>
      <c r="G776" s="4"/>
      <c r="H776" s="5">
        <f t="shared" si="12"/>
        <v>-1.3381922456538608E-2</v>
      </c>
    </row>
    <row r="777" spans="1:8" ht="13.5" x14ac:dyDescent="0.25">
      <c r="A777" s="1"/>
      <c r="B777" s="3">
        <v>43433</v>
      </c>
      <c r="C777" s="4">
        <v>5.92</v>
      </c>
      <c r="D777" s="4">
        <v>3.3086000000000002</v>
      </c>
      <c r="E777" s="4">
        <v>1505</v>
      </c>
      <c r="F777" s="4"/>
      <c r="G777" s="4"/>
      <c r="H777" s="5">
        <f t="shared" si="12"/>
        <v>1.6954283984257558E-3</v>
      </c>
    </row>
    <row r="778" spans="1:8" ht="13.5" x14ac:dyDescent="0.25">
      <c r="A778" s="1"/>
      <c r="B778" s="3">
        <v>43434</v>
      </c>
      <c r="C778" s="4">
        <v>5.75</v>
      </c>
      <c r="D778" s="4">
        <v>3.2136</v>
      </c>
      <c r="E778" s="4">
        <v>4083</v>
      </c>
      <c r="F778" s="4"/>
      <c r="G778" s="4"/>
      <c r="H778" s="5">
        <f t="shared" si="12"/>
        <v>-2.8713050837212171E-2</v>
      </c>
    </row>
    <row r="779" spans="1:8" ht="13.5" x14ac:dyDescent="0.25">
      <c r="A779" s="1"/>
      <c r="B779" s="3">
        <v>43437</v>
      </c>
      <c r="C779" s="4">
        <v>5.5</v>
      </c>
      <c r="D779" s="4">
        <v>3.0739000000000001</v>
      </c>
      <c r="E779" s="4">
        <v>0</v>
      </c>
      <c r="F779" s="4"/>
      <c r="G779" s="4"/>
      <c r="H779" s="5">
        <f t="shared" si="12"/>
        <v>-4.3471496141399037E-2</v>
      </c>
    </row>
    <row r="780" spans="1:8" ht="13.5" x14ac:dyDescent="0.25">
      <c r="A780" s="1"/>
      <c r="B780" s="3">
        <v>43438</v>
      </c>
      <c r="C780" s="4">
        <v>5.26</v>
      </c>
      <c r="D780" s="4">
        <v>2.9398</v>
      </c>
      <c r="E780" s="4">
        <v>21893</v>
      </c>
      <c r="F780" s="4"/>
      <c r="G780" s="4"/>
      <c r="H780" s="5">
        <f t="shared" si="12"/>
        <v>-4.3625361918084554E-2</v>
      </c>
    </row>
    <row r="781" spans="1:8" ht="13.5" x14ac:dyDescent="0.25">
      <c r="A781" s="1"/>
      <c r="B781" s="3">
        <v>43439</v>
      </c>
      <c r="C781" s="4">
        <v>4.96</v>
      </c>
      <c r="D781" s="4">
        <v>2.7721</v>
      </c>
      <c r="E781" s="4">
        <v>8409</v>
      </c>
      <c r="F781" s="4"/>
      <c r="G781" s="4"/>
      <c r="H781" s="5">
        <f t="shared" si="12"/>
        <v>-5.7044696918157688E-2</v>
      </c>
    </row>
    <row r="782" spans="1:8" ht="13.5" x14ac:dyDescent="0.25">
      <c r="A782" s="1"/>
      <c r="B782" s="3">
        <v>43440</v>
      </c>
      <c r="C782" s="4">
        <v>4.99</v>
      </c>
      <c r="D782" s="4">
        <v>2.7888999999999999</v>
      </c>
      <c r="E782" s="4">
        <v>21769</v>
      </c>
      <c r="F782" s="4"/>
      <c r="G782" s="4"/>
      <c r="H782" s="5">
        <f t="shared" si="12"/>
        <v>6.0603874319107992E-3</v>
      </c>
    </row>
    <row r="783" spans="1:8" ht="13.5" x14ac:dyDescent="0.25">
      <c r="A783" s="1"/>
      <c r="B783" s="3">
        <v>43441</v>
      </c>
      <c r="C783" s="4">
        <v>5.29</v>
      </c>
      <c r="D783" s="4">
        <v>2.9565000000000001</v>
      </c>
      <c r="E783" s="4">
        <v>2047</v>
      </c>
      <c r="F783" s="4"/>
      <c r="G783" s="4"/>
      <c r="H783" s="5">
        <f t="shared" si="12"/>
        <v>6.0095378106063392E-2</v>
      </c>
    </row>
    <row r="784" spans="1:8" ht="13.5" x14ac:dyDescent="0.25">
      <c r="A784" s="1"/>
      <c r="B784" s="3">
        <v>43444</v>
      </c>
      <c r="C784" s="4">
        <v>5.5</v>
      </c>
      <c r="D784" s="4">
        <v>3.0739000000000001</v>
      </c>
      <c r="E784" s="4">
        <v>7148</v>
      </c>
      <c r="F784" s="4"/>
      <c r="G784" s="4"/>
      <c r="H784" s="5">
        <f t="shared" si="12"/>
        <v>3.9709115508202247E-2</v>
      </c>
    </row>
    <row r="785" spans="1:8" ht="13.5" x14ac:dyDescent="0.25">
      <c r="A785" s="1"/>
      <c r="B785" s="3">
        <v>43445</v>
      </c>
      <c r="C785" s="4">
        <v>5.31</v>
      </c>
      <c r="D785" s="4">
        <v>2.9676999999999998</v>
      </c>
      <c r="E785" s="4">
        <v>762</v>
      </c>
      <c r="F785" s="4"/>
      <c r="G785" s="4"/>
      <c r="H785" s="5">
        <f t="shared" si="12"/>
        <v>-3.4548944337811992E-2</v>
      </c>
    </row>
    <row r="786" spans="1:8" ht="13.5" x14ac:dyDescent="0.25">
      <c r="A786" s="1"/>
      <c r="B786" s="3">
        <v>43446</v>
      </c>
      <c r="C786" s="4">
        <v>5.29</v>
      </c>
      <c r="D786" s="4">
        <v>2.9565000000000001</v>
      </c>
      <c r="E786" s="4">
        <v>4728</v>
      </c>
      <c r="F786" s="4"/>
      <c r="G786" s="4"/>
      <c r="H786" s="5">
        <f t="shared" si="12"/>
        <v>-3.7739663712638258E-3</v>
      </c>
    </row>
    <row r="787" spans="1:8" ht="13.5" x14ac:dyDescent="0.25">
      <c r="A787" s="1"/>
      <c r="B787" s="3">
        <v>43447</v>
      </c>
      <c r="C787" s="4">
        <v>5.28</v>
      </c>
      <c r="D787" s="4">
        <v>2.9508999999999999</v>
      </c>
      <c r="E787" s="4">
        <v>225</v>
      </c>
      <c r="F787" s="4"/>
      <c r="G787" s="4"/>
      <c r="H787" s="5">
        <f t="shared" si="12"/>
        <v>-1.8941315744969631E-3</v>
      </c>
    </row>
    <row r="788" spans="1:8" ht="13.5" x14ac:dyDescent="0.25">
      <c r="A788" s="1"/>
      <c r="B788" s="3">
        <v>43448</v>
      </c>
      <c r="C788" s="4">
        <v>5.29</v>
      </c>
      <c r="D788" s="4">
        <v>2.9565000000000001</v>
      </c>
      <c r="E788" s="4">
        <v>701</v>
      </c>
      <c r="F788" s="4"/>
      <c r="G788" s="4"/>
      <c r="H788" s="5">
        <f t="shared" si="12"/>
        <v>1.8977261174557836E-3</v>
      </c>
    </row>
    <row r="789" spans="1:8" ht="13.5" x14ac:dyDescent="0.25">
      <c r="A789" s="1"/>
      <c r="B789" s="3">
        <v>43451</v>
      </c>
      <c r="C789" s="4">
        <v>5.2</v>
      </c>
      <c r="D789" s="4">
        <v>2.9062000000000001</v>
      </c>
      <c r="E789" s="4">
        <v>305</v>
      </c>
      <c r="F789" s="4"/>
      <c r="G789" s="4"/>
      <c r="H789" s="5">
        <f t="shared" si="12"/>
        <v>-1.701336039235583E-2</v>
      </c>
    </row>
    <row r="790" spans="1:8" ht="13.5" x14ac:dyDescent="0.25">
      <c r="A790" s="1"/>
      <c r="B790" s="3">
        <v>43452</v>
      </c>
      <c r="C790" s="4">
        <v>4.97</v>
      </c>
      <c r="D790" s="4">
        <v>2.7776999999999998</v>
      </c>
      <c r="E790" s="4">
        <v>700</v>
      </c>
      <c r="F790" s="4"/>
      <c r="G790" s="4"/>
      <c r="H790" s="5">
        <f t="shared" si="12"/>
        <v>-4.4215814465625308E-2</v>
      </c>
    </row>
    <row r="791" spans="1:8" ht="13.5" x14ac:dyDescent="0.25">
      <c r="A791" s="1"/>
      <c r="B791" s="3">
        <v>43453</v>
      </c>
      <c r="C791" s="4">
        <v>4.83</v>
      </c>
      <c r="D791" s="4">
        <v>2.6993999999999998</v>
      </c>
      <c r="E791" s="4">
        <v>3147</v>
      </c>
      <c r="F791" s="4"/>
      <c r="G791" s="4"/>
      <c r="H791" s="5">
        <f t="shared" si="12"/>
        <v>-2.8188789286100024E-2</v>
      </c>
    </row>
    <row r="792" spans="1:8" ht="13.5" x14ac:dyDescent="0.25">
      <c r="A792" s="1"/>
      <c r="B792" s="3">
        <v>43454</v>
      </c>
      <c r="C792" s="4">
        <v>4.7</v>
      </c>
      <c r="D792" s="4">
        <v>2.6267999999999998</v>
      </c>
      <c r="E792" s="4">
        <v>5548</v>
      </c>
      <c r="F792" s="4"/>
      <c r="G792" s="4"/>
      <c r="H792" s="5">
        <f t="shared" si="12"/>
        <v>-2.6894865525672374E-2</v>
      </c>
    </row>
    <row r="793" spans="1:8" ht="13.5" x14ac:dyDescent="0.25">
      <c r="A793" s="1"/>
      <c r="B793" s="3">
        <v>43455</v>
      </c>
      <c r="C793" s="4">
        <v>4.51</v>
      </c>
      <c r="D793" s="4">
        <v>2.5206</v>
      </c>
      <c r="E793" s="4">
        <v>3970</v>
      </c>
      <c r="F793" s="4"/>
      <c r="G793" s="4"/>
      <c r="H793" s="5">
        <f t="shared" si="12"/>
        <v>-4.0429419826404696E-2</v>
      </c>
    </row>
    <row r="794" spans="1:8" ht="13.5" x14ac:dyDescent="0.25">
      <c r="A794" s="1"/>
      <c r="B794" s="3">
        <v>43458</v>
      </c>
      <c r="C794" s="4">
        <v>4.4800000000000004</v>
      </c>
      <c r="D794" s="4">
        <v>2.5038</v>
      </c>
      <c r="E794" s="4">
        <v>1776</v>
      </c>
      <c r="F794" s="4"/>
      <c r="G794" s="4"/>
      <c r="H794" s="5">
        <f t="shared" si="12"/>
        <v>-6.6650797429183232E-3</v>
      </c>
    </row>
    <row r="795" spans="1:8" ht="13.5" x14ac:dyDescent="0.25">
      <c r="A795" s="1"/>
      <c r="B795" s="3">
        <v>43459</v>
      </c>
      <c r="C795" s="4">
        <v>4.25</v>
      </c>
      <c r="D795" s="4">
        <v>2.3753000000000002</v>
      </c>
      <c r="E795" s="4">
        <v>4965</v>
      </c>
      <c r="F795" s="4"/>
      <c r="G795" s="4"/>
      <c r="H795" s="5">
        <f t="shared" si="12"/>
        <v>-5.1321990574326959E-2</v>
      </c>
    </row>
    <row r="796" spans="1:8" ht="13.5" x14ac:dyDescent="0.25">
      <c r="A796" s="1"/>
      <c r="B796" s="3">
        <v>43460</v>
      </c>
      <c r="C796" s="4">
        <v>4.4400000000000004</v>
      </c>
      <c r="D796" s="4">
        <v>2.4815</v>
      </c>
      <c r="E796" s="4">
        <v>8114</v>
      </c>
      <c r="F796" s="4"/>
      <c r="G796" s="4"/>
      <c r="H796" s="5">
        <f t="shared" si="12"/>
        <v>4.471014187681549E-2</v>
      </c>
    </row>
    <row r="797" spans="1:8" ht="13.5" x14ac:dyDescent="0.25">
      <c r="A797" s="1"/>
      <c r="B797" s="3">
        <v>43461</v>
      </c>
      <c r="C797" s="4">
        <v>4.71</v>
      </c>
      <c r="D797" s="4">
        <v>2.6324000000000001</v>
      </c>
      <c r="E797" s="4">
        <v>7448</v>
      </c>
      <c r="F797" s="4"/>
      <c r="G797" s="4"/>
      <c r="H797" s="5">
        <f t="shared" si="12"/>
        <v>6.0809993955269002E-2</v>
      </c>
    </row>
    <row r="798" spans="1:8" ht="13.5" x14ac:dyDescent="0.25">
      <c r="A798" s="1"/>
      <c r="B798" s="3">
        <v>43462</v>
      </c>
      <c r="C798" s="4">
        <v>4.96</v>
      </c>
      <c r="D798" s="4">
        <v>2.7721</v>
      </c>
      <c r="E798" s="4">
        <v>11036</v>
      </c>
      <c r="F798" s="4"/>
      <c r="G798" s="4"/>
      <c r="H798" s="5">
        <f t="shared" si="12"/>
        <v>5.3069442333991766E-2</v>
      </c>
    </row>
    <row r="799" spans="1:8" ht="13.5" x14ac:dyDescent="0.25">
      <c r="A799" s="1"/>
      <c r="B799" s="3">
        <v>43465</v>
      </c>
      <c r="C799" s="4">
        <v>5.24</v>
      </c>
      <c r="D799" s="4">
        <v>2.9285999999999999</v>
      </c>
      <c r="E799" s="4">
        <v>26638</v>
      </c>
      <c r="F799" s="4"/>
      <c r="G799" s="4"/>
      <c r="H799" s="5">
        <f t="shared" si="12"/>
        <v>5.6455394827026391E-2</v>
      </c>
    </row>
    <row r="800" spans="1:8" ht="13.5" x14ac:dyDescent="0.25">
      <c r="A800" s="1"/>
      <c r="B800" s="3">
        <v>43467</v>
      </c>
      <c r="C800" s="4">
        <v>5.35</v>
      </c>
      <c r="D800" s="4">
        <v>2.9901</v>
      </c>
      <c r="E800" s="4">
        <v>1421</v>
      </c>
      <c r="F800" s="4"/>
      <c r="G800" s="4"/>
      <c r="H800" s="5">
        <f t="shared" si="12"/>
        <v>2.099979512395005E-2</v>
      </c>
    </row>
    <row r="801" spans="1:8" ht="13.5" x14ac:dyDescent="0.25">
      <c r="A801" s="1"/>
      <c r="B801" s="3">
        <v>43468</v>
      </c>
      <c r="C801" s="4">
        <v>5.0599999999999996</v>
      </c>
      <c r="D801" s="4">
        <v>2.8279999999999998</v>
      </c>
      <c r="E801" s="4">
        <v>10</v>
      </c>
      <c r="F801" s="4"/>
      <c r="G801" s="4"/>
      <c r="H801" s="5">
        <f t="shared" si="12"/>
        <v>-5.4212233704558424E-2</v>
      </c>
    </row>
    <row r="802" spans="1:8" ht="13.5" x14ac:dyDescent="0.25">
      <c r="A802" s="1"/>
      <c r="B802" s="3">
        <v>43469</v>
      </c>
      <c r="C802" s="4">
        <v>4.84</v>
      </c>
      <c r="D802" s="4">
        <v>2.7050000000000001</v>
      </c>
      <c r="E802" s="4">
        <v>0</v>
      </c>
      <c r="F802" s="4"/>
      <c r="G802" s="4"/>
      <c r="H802" s="5">
        <f t="shared" si="12"/>
        <v>-4.349363507779342E-2</v>
      </c>
    </row>
    <row r="803" spans="1:8" ht="13.5" x14ac:dyDescent="0.25">
      <c r="A803" s="1"/>
      <c r="B803" s="3">
        <v>43472</v>
      </c>
      <c r="C803" s="4">
        <v>4.63</v>
      </c>
      <c r="D803" s="4">
        <v>2.5876999999999999</v>
      </c>
      <c r="E803" s="4">
        <v>0</v>
      </c>
      <c r="F803" s="4"/>
      <c r="G803" s="4"/>
      <c r="H803" s="5">
        <f t="shared" si="12"/>
        <v>-4.3364140480591562E-2</v>
      </c>
    </row>
    <row r="804" spans="1:8" ht="13.5" x14ac:dyDescent="0.25">
      <c r="A804" s="1"/>
      <c r="B804" s="3">
        <v>43473</v>
      </c>
      <c r="C804" s="4">
        <v>4.43</v>
      </c>
      <c r="D804" s="4">
        <v>2.4759000000000002</v>
      </c>
      <c r="E804" s="4">
        <v>0</v>
      </c>
      <c r="F804" s="4"/>
      <c r="G804" s="4"/>
      <c r="H804" s="5">
        <f t="shared" si="12"/>
        <v>-4.3204389998840548E-2</v>
      </c>
    </row>
    <row r="805" spans="1:8" ht="13.5" x14ac:dyDescent="0.25">
      <c r="A805" s="1"/>
      <c r="B805" s="3">
        <v>43474</v>
      </c>
      <c r="C805" s="4">
        <v>4.3099999999999996</v>
      </c>
      <c r="D805" s="4">
        <v>2.4087999999999998</v>
      </c>
      <c r="E805" s="4">
        <v>7957</v>
      </c>
      <c r="F805" s="4"/>
      <c r="G805" s="4"/>
      <c r="H805" s="5">
        <f t="shared" si="12"/>
        <v>-2.7101256108889849E-2</v>
      </c>
    </row>
    <row r="806" spans="1:8" ht="13.5" x14ac:dyDescent="0.25">
      <c r="A806" s="1"/>
      <c r="B806" s="3">
        <v>43475</v>
      </c>
      <c r="C806" s="4">
        <v>4.41</v>
      </c>
      <c r="D806" s="4">
        <v>2.4647000000000001</v>
      </c>
      <c r="E806" s="4">
        <v>190</v>
      </c>
      <c r="F806" s="4"/>
      <c r="G806" s="4"/>
      <c r="H806" s="5">
        <f t="shared" si="12"/>
        <v>2.3206575888409284E-2</v>
      </c>
    </row>
    <row r="807" spans="1:8" ht="13.5" x14ac:dyDescent="0.25">
      <c r="A807" s="1"/>
      <c r="B807" s="3">
        <v>43476</v>
      </c>
      <c r="C807" s="4">
        <v>4.32</v>
      </c>
      <c r="D807" s="4">
        <v>2.4144000000000001</v>
      </c>
      <c r="E807" s="4">
        <v>341</v>
      </c>
      <c r="F807" s="4"/>
      <c r="G807" s="4"/>
      <c r="H807" s="5">
        <f t="shared" si="12"/>
        <v>-2.0408163265306128E-2</v>
      </c>
    </row>
    <row r="808" spans="1:8" ht="13.5" x14ac:dyDescent="0.25">
      <c r="A808" s="1"/>
      <c r="B808" s="3">
        <v>43480</v>
      </c>
      <c r="C808" s="4">
        <v>4.2</v>
      </c>
      <c r="D808" s="4">
        <v>2.3473000000000002</v>
      </c>
      <c r="E808" s="4">
        <v>880</v>
      </c>
      <c r="F808" s="4"/>
      <c r="G808" s="4"/>
      <c r="H808" s="5">
        <f t="shared" si="12"/>
        <v>-2.7791583830351199E-2</v>
      </c>
    </row>
    <row r="809" spans="1:8" ht="13.5" x14ac:dyDescent="0.25">
      <c r="A809" s="1"/>
      <c r="B809" s="3">
        <v>43481</v>
      </c>
      <c r="C809" s="4">
        <v>4.4400000000000004</v>
      </c>
      <c r="D809" s="4">
        <v>2.4815</v>
      </c>
      <c r="E809" s="4">
        <v>520</v>
      </c>
      <c r="F809" s="4"/>
      <c r="G809" s="4"/>
      <c r="H809" s="5">
        <f t="shared" si="12"/>
        <v>5.7172070037915849E-2</v>
      </c>
    </row>
    <row r="810" spans="1:8" ht="13.5" x14ac:dyDescent="0.25">
      <c r="A810" s="1"/>
      <c r="B810" s="3">
        <v>43482</v>
      </c>
      <c r="C810" s="4">
        <v>4.2</v>
      </c>
      <c r="D810" s="4">
        <v>2.3473000000000002</v>
      </c>
      <c r="E810" s="4">
        <v>415</v>
      </c>
      <c r="F810" s="4"/>
      <c r="G810" s="4"/>
      <c r="H810" s="5">
        <f t="shared" si="12"/>
        <v>-5.4080193431392254E-2</v>
      </c>
    </row>
    <row r="811" spans="1:8" ht="13.5" x14ac:dyDescent="0.25">
      <c r="A811" s="1"/>
      <c r="B811" s="3">
        <v>43483</v>
      </c>
      <c r="C811" s="4">
        <v>4.3</v>
      </c>
      <c r="D811" s="4">
        <v>2.4032</v>
      </c>
      <c r="E811" s="4">
        <v>25</v>
      </c>
      <c r="F811" s="4"/>
      <c r="G811" s="4"/>
      <c r="H811" s="5">
        <f t="shared" si="12"/>
        <v>2.3814595492693665E-2</v>
      </c>
    </row>
    <row r="812" spans="1:8" ht="13.5" x14ac:dyDescent="0.25">
      <c r="A812" s="1"/>
      <c r="B812" s="3">
        <v>43486</v>
      </c>
      <c r="C812" s="4">
        <v>4.29</v>
      </c>
      <c r="D812" s="4">
        <v>2.3976000000000002</v>
      </c>
      <c r="E812" s="4">
        <v>296</v>
      </c>
      <c r="F812" s="4"/>
      <c r="G812" s="4"/>
      <c r="H812" s="5">
        <f t="shared" si="12"/>
        <v>-2.330226364846799E-3</v>
      </c>
    </row>
    <row r="813" spans="1:8" ht="13.5" x14ac:dyDescent="0.25">
      <c r="A813" s="1"/>
      <c r="B813" s="3">
        <v>43487</v>
      </c>
      <c r="C813" s="4">
        <v>4.29</v>
      </c>
      <c r="D813" s="4">
        <v>2.3976000000000002</v>
      </c>
      <c r="E813" s="4">
        <v>250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4.13</v>
      </c>
      <c r="D814" s="4">
        <v>2.3081999999999998</v>
      </c>
      <c r="E814" s="4">
        <v>1260</v>
      </c>
      <c r="F814" s="4"/>
      <c r="G814" s="4"/>
      <c r="H814" s="5">
        <f t="shared" si="12"/>
        <v>-3.7287287287287439E-2</v>
      </c>
    </row>
    <row r="815" spans="1:8" ht="13.5" x14ac:dyDescent="0.25">
      <c r="A815" s="1"/>
      <c r="B815" s="3">
        <v>43489</v>
      </c>
      <c r="C815" s="4">
        <v>4.01</v>
      </c>
      <c r="D815" s="4">
        <v>2.2412000000000001</v>
      </c>
      <c r="E815" s="4">
        <v>307</v>
      </c>
      <c r="F815" s="4"/>
      <c r="G815" s="4"/>
      <c r="H815" s="5">
        <f t="shared" si="12"/>
        <v>-2.9026947404904139E-2</v>
      </c>
    </row>
    <row r="816" spans="1:8" ht="13.5" x14ac:dyDescent="0.25">
      <c r="A816" s="1"/>
      <c r="B816" s="3">
        <v>43490</v>
      </c>
      <c r="C816" s="4">
        <v>4.05</v>
      </c>
      <c r="D816" s="4">
        <v>2.2635000000000001</v>
      </c>
      <c r="E816" s="4">
        <v>3459</v>
      </c>
      <c r="F816" s="4"/>
      <c r="G816" s="4"/>
      <c r="H816" s="5">
        <f t="shared" si="12"/>
        <v>9.9500267713724718E-3</v>
      </c>
    </row>
    <row r="817" spans="1:8" ht="13.5" x14ac:dyDescent="0.25">
      <c r="A817" s="1"/>
      <c r="B817" s="3">
        <v>43493</v>
      </c>
      <c r="C817" s="4">
        <v>4.05</v>
      </c>
      <c r="D817" s="4">
        <v>2.2635000000000001</v>
      </c>
      <c r="E817" s="4">
        <v>3100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4.17</v>
      </c>
      <c r="D818" s="4">
        <v>2.3306</v>
      </c>
      <c r="E818" s="4">
        <v>581</v>
      </c>
      <c r="F818" s="4"/>
      <c r="G818" s="4"/>
      <c r="H818" s="5">
        <f t="shared" si="12"/>
        <v>2.9644356085707944E-2</v>
      </c>
    </row>
    <row r="819" spans="1:8" ht="13.5" x14ac:dyDescent="0.25">
      <c r="A819" s="1"/>
      <c r="B819" s="3">
        <v>43495</v>
      </c>
      <c r="C819" s="4">
        <v>3.93</v>
      </c>
      <c r="D819" s="4">
        <v>2.1964000000000001</v>
      </c>
      <c r="E819" s="4">
        <v>1460</v>
      </c>
      <c r="F819" s="4"/>
      <c r="G819" s="4"/>
      <c r="H819" s="5">
        <f t="shared" si="12"/>
        <v>-5.7581738608083702E-2</v>
      </c>
    </row>
    <row r="820" spans="1:8" ht="13.5" x14ac:dyDescent="0.25">
      <c r="A820" s="1"/>
      <c r="B820" s="3">
        <v>43496</v>
      </c>
      <c r="C820" s="4">
        <v>4.0999999999999996</v>
      </c>
      <c r="D820" s="4">
        <v>2.2915000000000001</v>
      </c>
      <c r="E820" s="4">
        <v>4728</v>
      </c>
      <c r="F820" s="4"/>
      <c r="G820" s="4"/>
      <c r="H820" s="5">
        <f t="shared" si="12"/>
        <v>4.3298124203241646E-2</v>
      </c>
    </row>
    <row r="821" spans="1:8" ht="13.5" x14ac:dyDescent="0.25">
      <c r="A821" s="1"/>
      <c r="B821" s="3">
        <v>43497</v>
      </c>
      <c r="C821" s="4">
        <v>4.34</v>
      </c>
      <c r="D821" s="4">
        <v>2.4256000000000002</v>
      </c>
      <c r="E821" s="4">
        <v>1485</v>
      </c>
      <c r="F821" s="4"/>
      <c r="G821" s="4"/>
      <c r="H821" s="5">
        <f t="shared" si="12"/>
        <v>5.8520619681431421E-2</v>
      </c>
    </row>
    <row r="822" spans="1:8" ht="13.5" x14ac:dyDescent="0.25">
      <c r="A822" s="1"/>
      <c r="B822" s="3">
        <v>43500</v>
      </c>
      <c r="C822" s="4">
        <v>4.53</v>
      </c>
      <c r="D822" s="4">
        <v>2.5318000000000001</v>
      </c>
      <c r="E822" s="4">
        <v>6555</v>
      </c>
      <c r="F822" s="4"/>
      <c r="G822" s="4"/>
      <c r="H822" s="5">
        <f t="shared" si="12"/>
        <v>4.3782981530342942E-2</v>
      </c>
    </row>
    <row r="823" spans="1:8" ht="13.5" x14ac:dyDescent="0.25">
      <c r="A823" s="1"/>
      <c r="B823" s="3">
        <v>43501</v>
      </c>
      <c r="C823" s="4">
        <v>4.33</v>
      </c>
      <c r="D823" s="4">
        <v>2.42</v>
      </c>
      <c r="E823" s="4">
        <v>1100</v>
      </c>
      <c r="F823" s="4"/>
      <c r="G823" s="4"/>
      <c r="H823" s="5">
        <f t="shared" si="12"/>
        <v>-4.4158306343313108E-2</v>
      </c>
    </row>
    <row r="824" spans="1:8" ht="13.5" x14ac:dyDescent="0.25">
      <c r="A824" s="1"/>
      <c r="B824" s="3">
        <v>43502</v>
      </c>
      <c r="C824" s="4">
        <v>4.34</v>
      </c>
      <c r="D824" s="4">
        <v>2.4256000000000002</v>
      </c>
      <c r="E824" s="4">
        <v>7580</v>
      </c>
      <c r="F824" s="4"/>
      <c r="G824" s="4"/>
      <c r="H824" s="5">
        <f t="shared" si="12"/>
        <v>2.3140495867769719E-3</v>
      </c>
    </row>
    <row r="825" spans="1:8" ht="13.5" x14ac:dyDescent="0.25">
      <c r="A825" s="1"/>
      <c r="B825" s="3">
        <v>43503</v>
      </c>
      <c r="C825" s="4">
        <v>4.46</v>
      </c>
      <c r="D825" s="4">
        <v>2.4927000000000001</v>
      </c>
      <c r="E825" s="4">
        <v>2079</v>
      </c>
      <c r="F825" s="4"/>
      <c r="G825" s="4"/>
      <c r="H825" s="5">
        <f t="shared" si="12"/>
        <v>2.7663258575197861E-2</v>
      </c>
    </row>
    <row r="826" spans="1:8" ht="13.5" x14ac:dyDescent="0.25">
      <c r="A826" s="1"/>
      <c r="B826" s="3">
        <v>43504</v>
      </c>
      <c r="C826" s="4">
        <v>4.22</v>
      </c>
      <c r="D826" s="4">
        <v>2.3584999999999998</v>
      </c>
      <c r="E826" s="4">
        <v>2585</v>
      </c>
      <c r="F826" s="4"/>
      <c r="G826" s="4"/>
      <c r="H826" s="5">
        <f t="shared" si="12"/>
        <v>-5.3837204637541748E-2</v>
      </c>
    </row>
    <row r="827" spans="1:8" ht="13.5" x14ac:dyDescent="0.25">
      <c r="A827" s="1"/>
      <c r="B827" s="3">
        <v>43507</v>
      </c>
      <c r="C827" s="4">
        <v>4.1500000000000004</v>
      </c>
      <c r="D827" s="4">
        <v>2.3193999999999999</v>
      </c>
      <c r="E827" s="4">
        <v>4190</v>
      </c>
      <c r="F827" s="4"/>
      <c r="G827" s="4"/>
      <c r="H827" s="5">
        <f t="shared" si="12"/>
        <v>-1.6578333686665218E-2</v>
      </c>
    </row>
    <row r="828" spans="1:8" ht="13.5" x14ac:dyDescent="0.25">
      <c r="A828" s="1"/>
      <c r="B828" s="3">
        <v>43508</v>
      </c>
      <c r="C828" s="4">
        <v>4.03</v>
      </c>
      <c r="D828" s="4">
        <v>2.2523</v>
      </c>
      <c r="E828" s="4">
        <v>4660</v>
      </c>
      <c r="F828" s="4"/>
      <c r="G828" s="4"/>
      <c r="H828" s="5">
        <f t="shared" si="12"/>
        <v>-2.8929895662671356E-2</v>
      </c>
    </row>
    <row r="829" spans="1:8" ht="13.5" x14ac:dyDescent="0.25">
      <c r="A829" s="1"/>
      <c r="B829" s="3">
        <v>43509</v>
      </c>
      <c r="C829" s="4">
        <v>4.1100000000000003</v>
      </c>
      <c r="D829" s="4">
        <v>2.2970000000000002</v>
      </c>
      <c r="E829" s="4">
        <v>3001</v>
      </c>
      <c r="F829" s="4"/>
      <c r="G829" s="4"/>
      <c r="H829" s="5">
        <f t="shared" si="12"/>
        <v>1.984637925675984E-2</v>
      </c>
    </row>
    <row r="830" spans="1:8" ht="13.5" x14ac:dyDescent="0.25">
      <c r="A830" s="1"/>
      <c r="B830" s="3">
        <v>43510</v>
      </c>
      <c r="C830" s="4">
        <v>4.1500000000000004</v>
      </c>
      <c r="D830" s="4">
        <v>2.3193999999999999</v>
      </c>
      <c r="E830" s="4">
        <v>2201</v>
      </c>
      <c r="F830" s="4"/>
      <c r="G830" s="4"/>
      <c r="H830" s="5">
        <f t="shared" si="12"/>
        <v>9.7518502394426439E-3</v>
      </c>
    </row>
    <row r="831" spans="1:8" ht="13.5" x14ac:dyDescent="0.25">
      <c r="A831" s="1"/>
      <c r="B831" s="3">
        <v>43511</v>
      </c>
      <c r="C831" s="4">
        <v>4.1900000000000004</v>
      </c>
      <c r="D831" s="4">
        <v>2.3418000000000001</v>
      </c>
      <c r="E831" s="4">
        <v>945</v>
      </c>
      <c r="F831" s="4"/>
      <c r="G831" s="4"/>
      <c r="H831" s="5">
        <f t="shared" si="12"/>
        <v>9.6576700870915754E-3</v>
      </c>
    </row>
    <row r="832" spans="1:8" ht="13.5" x14ac:dyDescent="0.25">
      <c r="A832" s="1"/>
      <c r="B832" s="3">
        <v>43514</v>
      </c>
      <c r="C832" s="4">
        <v>4.1100000000000003</v>
      </c>
      <c r="D832" s="4">
        <v>2.2970000000000002</v>
      </c>
      <c r="E832" s="4">
        <v>530</v>
      </c>
      <c r="F832" s="4"/>
      <c r="G832" s="4"/>
      <c r="H832" s="5">
        <f t="shared" si="12"/>
        <v>-1.9130583311982214E-2</v>
      </c>
    </row>
    <row r="833" spans="1:8" ht="13.5" x14ac:dyDescent="0.25">
      <c r="A833" s="1"/>
      <c r="B833" s="3">
        <v>43515</v>
      </c>
      <c r="C833" s="4">
        <v>4.1100000000000003</v>
      </c>
      <c r="D833" s="4">
        <v>2.2970000000000002</v>
      </c>
      <c r="E833" s="4">
        <v>1324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4.07</v>
      </c>
      <c r="D834" s="4">
        <v>2.2747000000000002</v>
      </c>
      <c r="E834" s="4">
        <v>20</v>
      </c>
      <c r="F834" s="4"/>
      <c r="G834" s="4"/>
      <c r="H834" s="5">
        <f t="shared" si="12"/>
        <v>-9.7083151937309466E-3</v>
      </c>
    </row>
    <row r="835" spans="1:8" ht="13.5" x14ac:dyDescent="0.25">
      <c r="A835" s="1"/>
      <c r="B835" s="3">
        <v>43517</v>
      </c>
      <c r="C835" s="4">
        <v>4.0599999999999996</v>
      </c>
      <c r="D835" s="4">
        <v>2.2690999999999999</v>
      </c>
      <c r="E835" s="4">
        <v>1280</v>
      </c>
      <c r="F835" s="4"/>
      <c r="G835" s="4"/>
      <c r="H835" s="5">
        <f t="shared" si="12"/>
        <v>-2.4618631028268654E-3</v>
      </c>
    </row>
    <row r="836" spans="1:8" ht="13.5" x14ac:dyDescent="0.25">
      <c r="A836" s="1"/>
      <c r="B836" s="3">
        <v>43518</v>
      </c>
      <c r="C836" s="4">
        <v>3.9</v>
      </c>
      <c r="D836" s="4">
        <v>2.1797</v>
      </c>
      <c r="E836" s="4">
        <v>712</v>
      </c>
      <c r="F836" s="4"/>
      <c r="G836" s="4"/>
      <c r="H836" s="5">
        <f t="shared" si="12"/>
        <v>-3.9398880613459052E-2</v>
      </c>
    </row>
    <row r="837" spans="1:8" ht="13.5" x14ac:dyDescent="0.25">
      <c r="A837" s="1"/>
      <c r="B837" s="3">
        <v>43521</v>
      </c>
      <c r="C837" s="4">
        <v>3.9</v>
      </c>
      <c r="D837" s="4">
        <v>2.1797</v>
      </c>
      <c r="E837" s="4">
        <v>136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3.8</v>
      </c>
      <c r="D838" s="4">
        <v>2.1238000000000001</v>
      </c>
      <c r="E838" s="4">
        <v>1411</v>
      </c>
      <c r="F838" s="4"/>
      <c r="G838" s="4"/>
      <c r="H838" s="5">
        <f t="shared" si="12"/>
        <v>-2.5645731063907804E-2</v>
      </c>
    </row>
    <row r="839" spans="1:8" ht="13.5" x14ac:dyDescent="0.25">
      <c r="A839" s="1"/>
      <c r="B839" s="3">
        <v>43523</v>
      </c>
      <c r="C839" s="4">
        <v>3.8</v>
      </c>
      <c r="D839" s="4">
        <v>2.1238000000000001</v>
      </c>
      <c r="E839" s="4">
        <v>1235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3.91</v>
      </c>
      <c r="D840" s="4">
        <v>2.1852999999999998</v>
      </c>
      <c r="E840" s="4">
        <v>85</v>
      </c>
      <c r="F840" s="4"/>
      <c r="G840" s="4"/>
      <c r="H840" s="5">
        <f t="shared" si="13"/>
        <v>2.8957528957528799E-2</v>
      </c>
    </row>
    <row r="841" spans="1:8" ht="13.5" x14ac:dyDescent="0.25">
      <c r="A841" s="1"/>
      <c r="B841" s="3">
        <v>43525</v>
      </c>
      <c r="C841" s="4">
        <v>3.9</v>
      </c>
      <c r="D841" s="4">
        <v>2.1797</v>
      </c>
      <c r="E841" s="4">
        <v>55</v>
      </c>
      <c r="F841" s="4"/>
      <c r="G841" s="4"/>
      <c r="H841" s="5">
        <f t="shared" si="13"/>
        <v>-2.5625772205188431E-3</v>
      </c>
    </row>
    <row r="842" spans="1:8" ht="13.5" x14ac:dyDescent="0.25">
      <c r="A842" s="1"/>
      <c r="B842" s="3">
        <v>43528</v>
      </c>
      <c r="C842" s="4">
        <v>3.77</v>
      </c>
      <c r="D842" s="4">
        <v>2.1070000000000002</v>
      </c>
      <c r="E842" s="4">
        <v>2619</v>
      </c>
      <c r="F842" s="4"/>
      <c r="G842" s="4"/>
      <c r="H842" s="5">
        <f t="shared" si="13"/>
        <v>-3.3353213745010671E-2</v>
      </c>
    </row>
    <row r="843" spans="1:8" ht="13.5" x14ac:dyDescent="0.25">
      <c r="A843" s="1"/>
      <c r="B843" s="3">
        <v>43529</v>
      </c>
      <c r="C843" s="4">
        <v>3.75</v>
      </c>
      <c r="D843" s="4">
        <v>2.0958000000000001</v>
      </c>
      <c r="E843" s="4">
        <v>594</v>
      </c>
      <c r="F843" s="4">
        <v>3.7551999999999999</v>
      </c>
      <c r="G843" s="4">
        <v>2230.5888</v>
      </c>
      <c r="H843" s="5">
        <f t="shared" si="13"/>
        <v>-5.3156146179402456E-3</v>
      </c>
    </row>
    <row r="844" spans="1:8" ht="13.5" x14ac:dyDescent="0.25">
      <c r="A844" s="1"/>
      <c r="B844" s="3">
        <v>43530</v>
      </c>
      <c r="C844" s="4">
        <v>3.62</v>
      </c>
      <c r="D844" s="4">
        <v>2.0232000000000001</v>
      </c>
      <c r="E844" s="4">
        <v>555</v>
      </c>
      <c r="F844" s="4">
        <v>3.7141000000000002</v>
      </c>
      <c r="G844" s="4">
        <v>2061.3254999999999</v>
      </c>
      <c r="H844" s="5">
        <f t="shared" si="13"/>
        <v>-3.4640709991411389E-2</v>
      </c>
    </row>
    <row r="845" spans="1:8" ht="13.5" x14ac:dyDescent="0.25">
      <c r="A845" s="1"/>
      <c r="B845" s="3">
        <v>43531</v>
      </c>
      <c r="C845" s="4">
        <v>3.72</v>
      </c>
      <c r="D845" s="4">
        <v>2.0790999999999999</v>
      </c>
      <c r="E845" s="4">
        <v>2613</v>
      </c>
      <c r="F845" s="4">
        <v>3.6707000000000001</v>
      </c>
      <c r="G845" s="4">
        <v>9591.5391</v>
      </c>
      <c r="H845" s="5">
        <f t="shared" si="13"/>
        <v>2.7629497825227282E-2</v>
      </c>
    </row>
    <row r="846" spans="1:8" ht="13.5" x14ac:dyDescent="0.25">
      <c r="A846" s="1"/>
      <c r="B846" s="3">
        <v>43532</v>
      </c>
      <c r="C846" s="4">
        <v>3.94</v>
      </c>
      <c r="D846" s="4">
        <v>2.202</v>
      </c>
      <c r="E846" s="4">
        <v>2130</v>
      </c>
      <c r="F846" s="4">
        <v>3.9399000000000002</v>
      </c>
      <c r="G846" s="4">
        <v>8391.9869999999992</v>
      </c>
      <c r="H846" s="5">
        <f t="shared" si="13"/>
        <v>5.9112115819344918E-2</v>
      </c>
    </row>
    <row r="847" spans="1:8" ht="13.5" x14ac:dyDescent="0.25">
      <c r="A847" s="1"/>
      <c r="B847" s="3">
        <v>43535</v>
      </c>
      <c r="C847" s="4">
        <v>3.9</v>
      </c>
      <c r="D847" s="4">
        <v>2.1797</v>
      </c>
      <c r="E847" s="4">
        <v>2648</v>
      </c>
      <c r="F847" s="4">
        <v>3.8841000000000001</v>
      </c>
      <c r="G847" s="4">
        <v>10285.096799999999</v>
      </c>
      <c r="H847" s="5">
        <f t="shared" si="13"/>
        <v>-1.0127157129881919E-2</v>
      </c>
    </row>
    <row r="848" spans="1:8" ht="13.5" x14ac:dyDescent="0.25">
      <c r="A848" s="1"/>
      <c r="B848" s="3">
        <v>43536</v>
      </c>
      <c r="C848" s="4">
        <v>3.88</v>
      </c>
      <c r="D848" s="4">
        <v>2.1684999999999999</v>
      </c>
      <c r="E848" s="4">
        <v>3160</v>
      </c>
      <c r="F848" s="4">
        <v>3.8927999999999998</v>
      </c>
      <c r="G848" s="4">
        <v>12301.248</v>
      </c>
      <c r="H848" s="5">
        <f t="shared" si="13"/>
        <v>-5.1383217874019817E-3</v>
      </c>
    </row>
    <row r="849" spans="1:8" ht="13.5" x14ac:dyDescent="0.25">
      <c r="A849" s="1"/>
      <c r="B849" s="3">
        <v>43537</v>
      </c>
      <c r="C849" s="4">
        <v>3.96</v>
      </c>
      <c r="D849" s="4">
        <v>2.2132000000000001</v>
      </c>
      <c r="E849" s="4">
        <v>1658</v>
      </c>
      <c r="F849" s="4">
        <v>3.9</v>
      </c>
      <c r="G849" s="4">
        <v>6466.2</v>
      </c>
      <c r="H849" s="5">
        <f t="shared" si="13"/>
        <v>2.0613327184689965E-2</v>
      </c>
    </row>
    <row r="850" spans="1:8" ht="13.5" x14ac:dyDescent="0.25">
      <c r="A850" s="1"/>
      <c r="B850" s="3">
        <v>43538</v>
      </c>
      <c r="C850" s="4">
        <v>3.98</v>
      </c>
      <c r="D850" s="4">
        <v>2.2244000000000002</v>
      </c>
      <c r="E850" s="4">
        <v>22</v>
      </c>
      <c r="F850" s="4">
        <v>3.98</v>
      </c>
      <c r="G850" s="4">
        <v>87.56</v>
      </c>
      <c r="H850" s="5">
        <f t="shared" si="13"/>
        <v>5.0605458160130571E-3</v>
      </c>
    </row>
    <row r="851" spans="1:8" ht="13.5" x14ac:dyDescent="0.25">
      <c r="A851" s="1"/>
      <c r="B851" s="3">
        <v>43539</v>
      </c>
      <c r="C851" s="4">
        <v>3.96</v>
      </c>
      <c r="D851" s="4">
        <v>2.2132000000000001</v>
      </c>
      <c r="E851" s="4">
        <v>105</v>
      </c>
      <c r="F851" s="4">
        <v>3.8742999999999999</v>
      </c>
      <c r="G851" s="4">
        <v>406.80149999999998</v>
      </c>
      <c r="H851" s="5">
        <f t="shared" si="13"/>
        <v>-5.0350656356770804E-3</v>
      </c>
    </row>
    <row r="852" spans="1:8" ht="13.5" x14ac:dyDescent="0.25">
      <c r="A852" s="1"/>
      <c r="B852" s="3">
        <v>43542</v>
      </c>
      <c r="C852" s="4">
        <v>3.95</v>
      </c>
      <c r="D852" s="4">
        <v>2.2075999999999998</v>
      </c>
      <c r="E852" s="4">
        <v>1</v>
      </c>
      <c r="F852" s="4">
        <v>3.95</v>
      </c>
      <c r="G852" s="4">
        <v>3.95</v>
      </c>
      <c r="H852" s="5">
        <f t="shared" si="13"/>
        <v>-2.5302729080066292E-3</v>
      </c>
    </row>
    <row r="853" spans="1:8" ht="13.5" x14ac:dyDescent="0.25">
      <c r="A853" s="1"/>
      <c r="B853" s="3">
        <v>43543</v>
      </c>
      <c r="C853" s="4">
        <v>3.85</v>
      </c>
      <c r="D853" s="4">
        <v>2.1516999999999999</v>
      </c>
      <c r="E853" s="4">
        <v>360</v>
      </c>
      <c r="F853" s="4">
        <v>3.8847</v>
      </c>
      <c r="G853" s="4">
        <v>1398.492</v>
      </c>
      <c r="H853" s="5">
        <f t="shared" si="13"/>
        <v>-2.5321616234825078E-2</v>
      </c>
    </row>
    <row r="854" spans="1:8" ht="13.5" x14ac:dyDescent="0.25">
      <c r="A854" s="1"/>
      <c r="B854" s="3">
        <v>43545</v>
      </c>
      <c r="C854" s="4">
        <v>3.85</v>
      </c>
      <c r="D854" s="4">
        <v>2.1516999999999999</v>
      </c>
      <c r="E854" s="4">
        <v>2977</v>
      </c>
      <c r="F854" s="4">
        <v>3.85</v>
      </c>
      <c r="G854" s="4">
        <v>11461.45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3.84</v>
      </c>
      <c r="D855" s="4">
        <v>2.1461000000000001</v>
      </c>
      <c r="E855" s="4">
        <v>1704</v>
      </c>
      <c r="F855" s="4">
        <v>3.85</v>
      </c>
      <c r="G855" s="4">
        <v>6560.4</v>
      </c>
      <c r="H855" s="5">
        <f t="shared" si="13"/>
        <v>-2.6025932983221767E-3</v>
      </c>
    </row>
    <row r="856" spans="1:8" ht="13.5" x14ac:dyDescent="0.25">
      <c r="A856" s="1"/>
      <c r="B856" s="3">
        <v>43549</v>
      </c>
      <c r="C856" s="4">
        <v>3.86</v>
      </c>
      <c r="D856" s="4">
        <v>2.1573000000000002</v>
      </c>
      <c r="E856" s="4">
        <v>12212</v>
      </c>
      <c r="F856" s="4">
        <v>3.8534000000000002</v>
      </c>
      <c r="G856" s="4">
        <v>47057.720800000003</v>
      </c>
      <c r="H856" s="5">
        <f t="shared" si="13"/>
        <v>5.2187689296864541E-3</v>
      </c>
    </row>
    <row r="857" spans="1:8" ht="13.5" x14ac:dyDescent="0.25">
      <c r="A857" s="1"/>
      <c r="B857" s="3">
        <v>43550</v>
      </c>
      <c r="C857" s="4">
        <v>3.82</v>
      </c>
      <c r="D857" s="4">
        <v>2.1349999999999998</v>
      </c>
      <c r="E857" s="4">
        <v>634</v>
      </c>
      <c r="F857" s="4">
        <v>3.8220000000000001</v>
      </c>
      <c r="G857" s="4">
        <v>2423.1480000000001</v>
      </c>
      <c r="H857" s="5">
        <f t="shared" si="13"/>
        <v>-1.0336995318222049E-2</v>
      </c>
    </row>
    <row r="858" spans="1:8" ht="13.5" x14ac:dyDescent="0.25">
      <c r="A858" s="1"/>
      <c r="B858" s="3">
        <v>43551</v>
      </c>
      <c r="C858" s="4">
        <v>3.75</v>
      </c>
      <c r="D858" s="4">
        <v>2.0958000000000001</v>
      </c>
      <c r="E858" s="4">
        <v>6586</v>
      </c>
      <c r="F858" s="4">
        <v>3.75</v>
      </c>
      <c r="G858" s="4">
        <v>24697.5</v>
      </c>
      <c r="H858" s="5">
        <f t="shared" si="13"/>
        <v>-1.8360655737704769E-2</v>
      </c>
    </row>
    <row r="859" spans="1:8" ht="13.5" x14ac:dyDescent="0.25">
      <c r="A859" s="1"/>
      <c r="B859" s="3">
        <v>43552</v>
      </c>
      <c r="C859" s="4">
        <v>3.69</v>
      </c>
      <c r="D859" s="4">
        <v>2.0623</v>
      </c>
      <c r="E859" s="4">
        <v>5</v>
      </c>
      <c r="F859" s="4">
        <v>3.86</v>
      </c>
      <c r="G859" s="4">
        <v>19.3</v>
      </c>
      <c r="H859" s="5">
        <f t="shared" si="13"/>
        <v>-1.5984349651684361E-2</v>
      </c>
    </row>
    <row r="860" spans="1:8" ht="13.5" x14ac:dyDescent="0.25">
      <c r="A860" s="1"/>
      <c r="B860" s="3">
        <v>43553</v>
      </c>
      <c r="C860" s="4">
        <v>3.7</v>
      </c>
      <c r="D860" s="4">
        <v>2.0678999999999998</v>
      </c>
      <c r="E860" s="4">
        <v>4397</v>
      </c>
      <c r="F860" s="4">
        <v>3.7002000000000002</v>
      </c>
      <c r="G860" s="4">
        <v>16269.779399999999</v>
      </c>
      <c r="H860" s="5">
        <f t="shared" si="13"/>
        <v>2.7154148281044598E-3</v>
      </c>
    </row>
    <row r="861" spans="1:8" ht="13.5" x14ac:dyDescent="0.25">
      <c r="A861" s="1"/>
      <c r="B861" s="3">
        <v>43556</v>
      </c>
      <c r="C861" s="4">
        <v>3.86</v>
      </c>
      <c r="D861" s="4">
        <v>2.1573000000000002</v>
      </c>
      <c r="E861" s="4">
        <v>6614</v>
      </c>
      <c r="F861" s="4">
        <v>3.7734999999999999</v>
      </c>
      <c r="G861" s="4">
        <v>24957.929</v>
      </c>
      <c r="H861" s="5">
        <f t="shared" si="13"/>
        <v>4.3232264616277563E-2</v>
      </c>
    </row>
    <row r="862" spans="1:8" ht="13.5" x14ac:dyDescent="0.25">
      <c r="A862" s="1"/>
      <c r="B862" s="3">
        <v>43557</v>
      </c>
      <c r="C862" s="4">
        <v>4.03</v>
      </c>
      <c r="D862" s="4">
        <v>2.2523</v>
      </c>
      <c r="E862" s="4">
        <v>0</v>
      </c>
      <c r="F862" s="4">
        <v>0</v>
      </c>
      <c r="G862" s="4">
        <v>0</v>
      </c>
      <c r="H862" s="5">
        <f t="shared" si="13"/>
        <v>4.4036527140406873E-2</v>
      </c>
    </row>
    <row r="863" spans="1:8" ht="13.5" x14ac:dyDescent="0.25">
      <c r="A863" s="1"/>
      <c r="B863" s="3">
        <v>43558</v>
      </c>
      <c r="C863" s="4">
        <v>4.21</v>
      </c>
      <c r="D863" s="4">
        <v>2.3529</v>
      </c>
      <c r="E863" s="4">
        <v>0</v>
      </c>
      <c r="F863" s="4">
        <v>0</v>
      </c>
      <c r="G863" s="4">
        <v>0</v>
      </c>
      <c r="H863" s="5">
        <f t="shared" si="13"/>
        <v>4.4665453092394454E-2</v>
      </c>
    </row>
    <row r="864" spans="1:8" ht="13.5" x14ac:dyDescent="0.25">
      <c r="A864" s="1"/>
      <c r="B864" s="3">
        <v>43559</v>
      </c>
      <c r="C864" s="4">
        <v>4.38</v>
      </c>
      <c r="D864" s="4">
        <v>2.4479000000000002</v>
      </c>
      <c r="E864" s="4">
        <v>16215</v>
      </c>
      <c r="F864" s="4">
        <v>4.38</v>
      </c>
      <c r="G864" s="4">
        <v>71021.7</v>
      </c>
      <c r="H864" s="5">
        <f t="shared" si="13"/>
        <v>4.0375706574865146E-2</v>
      </c>
    </row>
    <row r="865" spans="1:8" ht="13.5" x14ac:dyDescent="0.25">
      <c r="A865" s="1"/>
      <c r="B865" s="3">
        <v>43560</v>
      </c>
      <c r="C865" s="4">
        <v>4.21</v>
      </c>
      <c r="D865" s="4">
        <v>2.3529</v>
      </c>
      <c r="E865" s="4">
        <v>3159</v>
      </c>
      <c r="F865" s="4">
        <v>4.2107999999999999</v>
      </c>
      <c r="G865" s="4">
        <v>13301.9172</v>
      </c>
      <c r="H865" s="5">
        <f t="shared" si="13"/>
        <v>-3.88087748682545E-2</v>
      </c>
    </row>
    <row r="866" spans="1:8" ht="13.5" x14ac:dyDescent="0.25">
      <c r="A866" s="1"/>
      <c r="B866" s="3">
        <v>43563</v>
      </c>
      <c r="C866" s="4">
        <v>4.42</v>
      </c>
      <c r="D866" s="4">
        <v>2.4702999999999999</v>
      </c>
      <c r="E866" s="4">
        <v>4047</v>
      </c>
      <c r="F866" s="4">
        <v>4.4147999999999996</v>
      </c>
      <c r="G866" s="4">
        <v>17866.695599999999</v>
      </c>
      <c r="H866" s="5">
        <f t="shared" si="13"/>
        <v>4.9895873177780589E-2</v>
      </c>
    </row>
    <row r="867" spans="1:8" ht="13.5" x14ac:dyDescent="0.25">
      <c r="A867" s="1"/>
      <c r="B867" s="3">
        <v>43565</v>
      </c>
      <c r="C867" s="4">
        <v>4.58</v>
      </c>
      <c r="D867" s="4">
        <v>2.5596999999999999</v>
      </c>
      <c r="E867" s="4">
        <v>2132</v>
      </c>
      <c r="F867" s="4">
        <v>4.4888000000000003</v>
      </c>
      <c r="G867" s="4">
        <v>9570.1216000000004</v>
      </c>
      <c r="H867" s="5">
        <f t="shared" si="13"/>
        <v>3.6189936444966167E-2</v>
      </c>
    </row>
    <row r="868" spans="1:8" ht="13.5" x14ac:dyDescent="0.25">
      <c r="A868" s="1"/>
      <c r="B868" s="3">
        <v>43566</v>
      </c>
      <c r="C868" s="4">
        <v>4.8</v>
      </c>
      <c r="D868" s="4">
        <v>2.6827000000000001</v>
      </c>
      <c r="E868" s="4">
        <v>1005</v>
      </c>
      <c r="F868" s="4">
        <v>4.7541000000000002</v>
      </c>
      <c r="G868" s="4">
        <v>4777.8705</v>
      </c>
      <c r="H868" s="5">
        <f t="shared" si="13"/>
        <v>4.8052506153064903E-2</v>
      </c>
    </row>
    <row r="869" spans="1:8" ht="13.5" x14ac:dyDescent="0.25">
      <c r="A869" s="1"/>
      <c r="B869" s="3">
        <v>43567</v>
      </c>
      <c r="C869" s="4">
        <v>5.04</v>
      </c>
      <c r="D869" s="4">
        <v>2.8168000000000002</v>
      </c>
      <c r="E869" s="4">
        <v>17470</v>
      </c>
      <c r="F869" s="4">
        <v>4.9783999999999997</v>
      </c>
      <c r="G869" s="4">
        <v>86972.648000000001</v>
      </c>
      <c r="H869" s="5">
        <f t="shared" si="13"/>
        <v>4.9986953442427443E-2</v>
      </c>
    </row>
    <row r="870" spans="1:8" ht="13.5" x14ac:dyDescent="0.25">
      <c r="A870" s="1"/>
      <c r="B870" s="3">
        <v>43570</v>
      </c>
      <c r="C870" s="4">
        <v>5.08</v>
      </c>
      <c r="D870" s="4">
        <v>2.8391999999999999</v>
      </c>
      <c r="E870" s="4">
        <v>8910</v>
      </c>
      <c r="F870" s="4">
        <v>5.0574000000000003</v>
      </c>
      <c r="G870" s="4">
        <v>45061.434000000001</v>
      </c>
      <c r="H870" s="5">
        <f t="shared" si="13"/>
        <v>7.9522862823060755E-3</v>
      </c>
    </row>
    <row r="871" spans="1:8" ht="13.5" x14ac:dyDescent="0.25">
      <c r="A871" s="1"/>
      <c r="B871" s="3">
        <v>43571</v>
      </c>
      <c r="C871" s="4">
        <v>4.93</v>
      </c>
      <c r="D871" s="4">
        <v>2.7553000000000001</v>
      </c>
      <c r="E871" s="4">
        <v>515</v>
      </c>
      <c r="F871" s="4">
        <v>5.0334000000000003</v>
      </c>
      <c r="G871" s="4">
        <v>2592.201</v>
      </c>
      <c r="H871" s="5">
        <f t="shared" si="13"/>
        <v>-2.9550577627500657E-2</v>
      </c>
    </row>
    <row r="872" spans="1:8" ht="13.5" x14ac:dyDescent="0.25">
      <c r="A872" s="1"/>
      <c r="B872" s="3">
        <v>43572</v>
      </c>
      <c r="C872" s="4">
        <v>4.9800000000000004</v>
      </c>
      <c r="D872" s="4">
        <v>2.7833000000000001</v>
      </c>
      <c r="E872" s="4">
        <v>10210</v>
      </c>
      <c r="F872" s="4">
        <v>4.9702000000000002</v>
      </c>
      <c r="G872" s="4">
        <v>50745.741999999998</v>
      </c>
      <c r="H872" s="5">
        <f t="shared" si="13"/>
        <v>1.0162232787718224E-2</v>
      </c>
    </row>
    <row r="873" spans="1:8" ht="13.5" x14ac:dyDescent="0.25">
      <c r="A873" s="1"/>
      <c r="B873" s="3">
        <v>43573</v>
      </c>
      <c r="C873" s="4">
        <v>4.78</v>
      </c>
      <c r="D873" s="4">
        <v>2.6715</v>
      </c>
      <c r="E873" s="4">
        <v>6122</v>
      </c>
      <c r="F873" s="4">
        <v>4.9596999999999998</v>
      </c>
      <c r="G873" s="4">
        <v>30363.2834</v>
      </c>
      <c r="H873" s="5">
        <f t="shared" si="13"/>
        <v>-4.0168145726296164E-2</v>
      </c>
    </row>
    <row r="874" spans="1:8" ht="13.5" x14ac:dyDescent="0.25">
      <c r="A874" s="1"/>
      <c r="B874" s="3">
        <v>43574</v>
      </c>
      <c r="C874" s="4">
        <v>4.76</v>
      </c>
      <c r="D874" s="4">
        <v>2.6602999999999999</v>
      </c>
      <c r="E874" s="4">
        <v>4057</v>
      </c>
      <c r="F874" s="4">
        <v>4.7812000000000001</v>
      </c>
      <c r="G874" s="4">
        <v>19397.328399999999</v>
      </c>
      <c r="H874" s="5">
        <f t="shared" si="13"/>
        <v>-4.1924012726932804E-3</v>
      </c>
    </row>
    <row r="875" spans="1:8" ht="13.5" x14ac:dyDescent="0.25">
      <c r="A875" s="1"/>
      <c r="B875" s="3">
        <v>43577</v>
      </c>
      <c r="C875" s="4">
        <v>4.55</v>
      </c>
      <c r="D875" s="4">
        <v>2.5430000000000001</v>
      </c>
      <c r="E875" s="4">
        <v>2835</v>
      </c>
      <c r="F875" s="4">
        <v>4.55</v>
      </c>
      <c r="G875" s="4">
        <v>12899.25</v>
      </c>
      <c r="H875" s="5">
        <f t="shared" si="13"/>
        <v>-4.4092771491936904E-2</v>
      </c>
    </row>
    <row r="876" spans="1:8" ht="13.5" x14ac:dyDescent="0.25">
      <c r="A876" s="1"/>
      <c r="B876" s="3">
        <v>43578</v>
      </c>
      <c r="C876" s="4">
        <v>4.55</v>
      </c>
      <c r="D876" s="4">
        <v>2.5430000000000001</v>
      </c>
      <c r="E876" s="4">
        <v>4050</v>
      </c>
      <c r="F876" s="4">
        <v>4.5747</v>
      </c>
      <c r="G876" s="4">
        <v>18527.535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4.42</v>
      </c>
      <c r="D877" s="4">
        <v>2.4702999999999999</v>
      </c>
      <c r="E877" s="4">
        <v>10412</v>
      </c>
      <c r="F877" s="4">
        <v>4.4983000000000004</v>
      </c>
      <c r="G877" s="4">
        <v>46836.299599999998</v>
      </c>
      <c r="H877" s="5">
        <f t="shared" si="13"/>
        <v>-2.8588281557215968E-2</v>
      </c>
    </row>
    <row r="878" spans="1:8" ht="13.5" x14ac:dyDescent="0.25">
      <c r="A878" s="1"/>
      <c r="B878" s="3">
        <v>43580</v>
      </c>
      <c r="C878" s="4">
        <v>4.42</v>
      </c>
      <c r="D878" s="4">
        <v>2.4702999999999999</v>
      </c>
      <c r="E878" s="4">
        <v>0</v>
      </c>
      <c r="F878" s="4">
        <v>0</v>
      </c>
      <c r="G878" s="4">
        <v>0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4.33</v>
      </c>
      <c r="D879" s="4">
        <v>2.42</v>
      </c>
      <c r="E879" s="4">
        <v>3350</v>
      </c>
      <c r="F879" s="4">
        <v>4.4034000000000004</v>
      </c>
      <c r="G879" s="4">
        <v>14751.39</v>
      </c>
      <c r="H879" s="5">
        <f t="shared" si="13"/>
        <v>-2.0361899364449668E-2</v>
      </c>
    </row>
    <row r="880" spans="1:8" ht="13.5" x14ac:dyDescent="0.25">
      <c r="A880" s="1"/>
      <c r="B880" s="3">
        <v>43584</v>
      </c>
      <c r="C880" s="4">
        <v>4.33</v>
      </c>
      <c r="D880" s="4">
        <v>2.42</v>
      </c>
      <c r="E880" s="4">
        <v>3062</v>
      </c>
      <c r="F880" s="4">
        <v>4.2965</v>
      </c>
      <c r="G880" s="4">
        <v>13155.883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4.1500000000000004</v>
      </c>
      <c r="D881" s="4">
        <v>2.3193999999999999</v>
      </c>
      <c r="E881" s="4">
        <v>200</v>
      </c>
      <c r="F881" s="4">
        <v>4.1500000000000004</v>
      </c>
      <c r="G881" s="4">
        <v>830</v>
      </c>
      <c r="H881" s="5">
        <f t="shared" si="13"/>
        <v>-4.1570247933884308E-2</v>
      </c>
    </row>
    <row r="882" spans="1:8" ht="13.5" x14ac:dyDescent="0.25">
      <c r="A882" s="1"/>
      <c r="B882" s="3">
        <v>43587</v>
      </c>
      <c r="C882" s="4">
        <v>4.03</v>
      </c>
      <c r="D882" s="4">
        <v>2.2523</v>
      </c>
      <c r="E882" s="4">
        <v>4205</v>
      </c>
      <c r="F882" s="4">
        <v>4.0944000000000003</v>
      </c>
      <c r="G882" s="4">
        <v>17216.952000000001</v>
      </c>
      <c r="H882" s="5">
        <f t="shared" si="13"/>
        <v>-2.8929895662671356E-2</v>
      </c>
    </row>
    <row r="883" spans="1:8" ht="13.5" x14ac:dyDescent="0.25">
      <c r="A883" s="1"/>
      <c r="B883" s="3">
        <v>43588</v>
      </c>
      <c r="C883" s="4">
        <v>3.99</v>
      </c>
      <c r="D883" s="4">
        <v>2.23</v>
      </c>
      <c r="E883" s="4">
        <v>4980</v>
      </c>
      <c r="F883" s="4">
        <v>3.9998</v>
      </c>
      <c r="G883" s="4">
        <v>19919.004000000001</v>
      </c>
      <c r="H883" s="5">
        <f t="shared" si="13"/>
        <v>-9.9009900990098959E-3</v>
      </c>
    </row>
    <row r="884" spans="1:8" ht="13.5" x14ac:dyDescent="0.25">
      <c r="A884" s="1"/>
      <c r="B884" s="3">
        <v>43591</v>
      </c>
      <c r="C884" s="4">
        <v>4.01</v>
      </c>
      <c r="D884" s="4">
        <v>2.2412000000000001</v>
      </c>
      <c r="E884" s="4">
        <v>4100</v>
      </c>
      <c r="F884" s="4">
        <v>3.9</v>
      </c>
      <c r="G884" s="4">
        <v>15990</v>
      </c>
      <c r="H884" s="5">
        <f t="shared" si="13"/>
        <v>5.0224215246637213E-3</v>
      </c>
    </row>
    <row r="885" spans="1:8" ht="13.5" x14ac:dyDescent="0.25">
      <c r="A885" s="1"/>
      <c r="B885" s="3">
        <v>43592</v>
      </c>
      <c r="C885" s="4">
        <v>3.79</v>
      </c>
      <c r="D885" s="4">
        <v>2.1181999999999999</v>
      </c>
      <c r="E885" s="4">
        <v>8648</v>
      </c>
      <c r="F885" s="4">
        <v>3.8860000000000001</v>
      </c>
      <c r="G885" s="4">
        <v>33606.127999999997</v>
      </c>
      <c r="H885" s="5">
        <f t="shared" si="13"/>
        <v>-5.4881313582009733E-2</v>
      </c>
    </row>
    <row r="886" spans="1:8" ht="13.5" x14ac:dyDescent="0.25">
      <c r="A886" s="1"/>
      <c r="B886" s="3">
        <v>43593</v>
      </c>
      <c r="C886" s="4">
        <v>3.68</v>
      </c>
      <c r="D886" s="4">
        <v>2.0567000000000002</v>
      </c>
      <c r="E886" s="4">
        <v>0</v>
      </c>
      <c r="F886" s="4">
        <v>0</v>
      </c>
      <c r="G886" s="4">
        <v>0</v>
      </c>
      <c r="H886" s="5">
        <f t="shared" si="13"/>
        <v>-2.9034085544329936E-2</v>
      </c>
    </row>
    <row r="887" spans="1:8" ht="13.5" x14ac:dyDescent="0.25">
      <c r="A887" s="1"/>
      <c r="B887" s="3">
        <v>43594</v>
      </c>
      <c r="C887" s="4">
        <v>3.79</v>
      </c>
      <c r="D887" s="4">
        <v>2.1181999999999999</v>
      </c>
      <c r="E887" s="4">
        <v>6805</v>
      </c>
      <c r="F887" s="4">
        <v>3.79</v>
      </c>
      <c r="G887" s="4">
        <v>25790.95</v>
      </c>
      <c r="H887" s="5">
        <f t="shared" si="13"/>
        <v>2.9902270627704411E-2</v>
      </c>
    </row>
    <row r="888" spans="1:8" ht="13.5" x14ac:dyDescent="0.25">
      <c r="A888" s="1"/>
      <c r="B888" s="3">
        <v>43595</v>
      </c>
      <c r="C888" s="4">
        <v>3.79</v>
      </c>
      <c r="D888" s="4">
        <v>2.1181999999999999</v>
      </c>
      <c r="E888" s="4">
        <v>2777</v>
      </c>
      <c r="F888" s="4">
        <v>3.79</v>
      </c>
      <c r="G888" s="4">
        <v>10524.83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3.68</v>
      </c>
      <c r="D889" s="4">
        <v>2.0567000000000002</v>
      </c>
      <c r="E889" s="4">
        <v>435</v>
      </c>
      <c r="F889" s="4">
        <v>3.68</v>
      </c>
      <c r="G889" s="4">
        <v>1600.8</v>
      </c>
      <c r="H889" s="5">
        <f t="shared" si="13"/>
        <v>-2.9034085544329936E-2</v>
      </c>
    </row>
    <row r="890" spans="1:8" ht="13.5" x14ac:dyDescent="0.25">
      <c r="A890" s="1"/>
      <c r="B890" s="3">
        <v>43599</v>
      </c>
      <c r="C890" s="4">
        <v>3.69</v>
      </c>
      <c r="D890" s="4">
        <v>2.0623</v>
      </c>
      <c r="E890" s="4">
        <v>2428</v>
      </c>
      <c r="F890" s="4">
        <v>3.6920999999999999</v>
      </c>
      <c r="G890" s="4">
        <v>8964.4187999999995</v>
      </c>
      <c r="H890" s="5">
        <f t="shared" si="13"/>
        <v>2.7228083823600071E-3</v>
      </c>
    </row>
    <row r="891" spans="1:8" ht="13.5" x14ac:dyDescent="0.25">
      <c r="A891" s="1"/>
      <c r="B891" s="3">
        <v>43600</v>
      </c>
      <c r="C891" s="4">
        <v>3.89</v>
      </c>
      <c r="D891" s="4">
        <v>2.1741000000000001</v>
      </c>
      <c r="E891" s="4">
        <v>21</v>
      </c>
      <c r="F891" s="4">
        <v>3.8685999999999998</v>
      </c>
      <c r="G891" s="4">
        <v>81.240600000000001</v>
      </c>
      <c r="H891" s="5">
        <f t="shared" si="13"/>
        <v>5.4211317461087191E-2</v>
      </c>
    </row>
    <row r="892" spans="1:8" ht="13.5" x14ac:dyDescent="0.25">
      <c r="A892" s="1"/>
      <c r="B892" s="3">
        <v>43601</v>
      </c>
      <c r="C892" s="4">
        <v>3.9</v>
      </c>
      <c r="D892" s="4">
        <v>2.1797</v>
      </c>
      <c r="E892" s="4">
        <v>210</v>
      </c>
      <c r="F892" s="4">
        <v>3.9</v>
      </c>
      <c r="G892" s="4">
        <v>819</v>
      </c>
      <c r="H892" s="5">
        <f t="shared" si="13"/>
        <v>2.5757784830503783E-3</v>
      </c>
    </row>
    <row r="893" spans="1:8" ht="13.5" x14ac:dyDescent="0.25">
      <c r="A893" s="1"/>
      <c r="B893" s="3">
        <v>43602</v>
      </c>
      <c r="C893" s="4">
        <v>3.79</v>
      </c>
      <c r="D893" s="4">
        <v>2.1181999999999999</v>
      </c>
      <c r="E893" s="4">
        <v>0</v>
      </c>
      <c r="F893" s="4">
        <v>0</v>
      </c>
      <c r="G893" s="4">
        <v>0</v>
      </c>
      <c r="H893" s="5">
        <f t="shared" si="13"/>
        <v>-2.8214891957608897E-2</v>
      </c>
    </row>
    <row r="894" spans="1:8" ht="13.5" x14ac:dyDescent="0.25">
      <c r="A894" s="1"/>
      <c r="B894" s="3">
        <v>43605</v>
      </c>
      <c r="C894" s="4">
        <v>3.59</v>
      </c>
      <c r="D894" s="4">
        <v>2.0064000000000002</v>
      </c>
      <c r="E894" s="4">
        <v>1501</v>
      </c>
      <c r="F894" s="4">
        <v>3.6413000000000002</v>
      </c>
      <c r="G894" s="4">
        <v>5465.5913</v>
      </c>
      <c r="H894" s="5">
        <f t="shared" si="13"/>
        <v>-5.2780662826928372E-2</v>
      </c>
    </row>
    <row r="895" spans="1:8" ht="13.5" x14ac:dyDescent="0.25">
      <c r="A895" s="1"/>
      <c r="B895" s="3">
        <v>43606</v>
      </c>
      <c r="C895" s="4">
        <v>3.79</v>
      </c>
      <c r="D895" s="4">
        <v>2.1181999999999999</v>
      </c>
      <c r="E895" s="4">
        <v>15760</v>
      </c>
      <c r="F895" s="4">
        <v>3.7454000000000001</v>
      </c>
      <c r="G895" s="4">
        <v>59027.504000000001</v>
      </c>
      <c r="H895" s="5">
        <f t="shared" si="13"/>
        <v>5.5721690590111478E-2</v>
      </c>
    </row>
    <row r="896" spans="1:8" ht="13.5" x14ac:dyDescent="0.25">
      <c r="A896" s="1"/>
      <c r="B896" s="3">
        <v>43607</v>
      </c>
      <c r="C896" s="4">
        <v>3.79</v>
      </c>
      <c r="D896" s="4">
        <v>2.1181999999999999</v>
      </c>
      <c r="E896" s="4">
        <v>3442</v>
      </c>
      <c r="F896" s="4">
        <v>3.8948</v>
      </c>
      <c r="G896" s="4">
        <v>13405.901599999999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3.62</v>
      </c>
      <c r="D897" s="4">
        <v>2.0232000000000001</v>
      </c>
      <c r="E897" s="4">
        <v>0</v>
      </c>
      <c r="F897" s="4">
        <v>0</v>
      </c>
      <c r="G897" s="4">
        <v>0</v>
      </c>
      <c r="H897" s="5">
        <f t="shared" si="13"/>
        <v>-4.4849400434330923E-2</v>
      </c>
    </row>
    <row r="898" spans="1:8" ht="13.5" x14ac:dyDescent="0.25">
      <c r="A898" s="1"/>
      <c r="B898" s="3">
        <v>43609</v>
      </c>
      <c r="C898" s="4">
        <v>3.64</v>
      </c>
      <c r="D898" s="4">
        <v>2.0344000000000002</v>
      </c>
      <c r="E898" s="4">
        <v>2160</v>
      </c>
      <c r="F898" s="4">
        <v>3.6472000000000002</v>
      </c>
      <c r="G898" s="4">
        <v>7877.9520000000002</v>
      </c>
      <c r="H898" s="5">
        <f t="shared" si="13"/>
        <v>5.5357848952155486E-3</v>
      </c>
    </row>
    <row r="899" spans="1:8" ht="13.5" x14ac:dyDescent="0.25">
      <c r="A899" s="1"/>
      <c r="B899" s="3">
        <v>43612</v>
      </c>
      <c r="C899" s="4">
        <v>3.74</v>
      </c>
      <c r="D899" s="4">
        <v>2.0903</v>
      </c>
      <c r="E899" s="4">
        <v>955</v>
      </c>
      <c r="F899" s="4">
        <v>3.64</v>
      </c>
      <c r="G899" s="4">
        <v>3476.2</v>
      </c>
      <c r="H899" s="5">
        <f t="shared" si="13"/>
        <v>2.747738891073527E-2</v>
      </c>
    </row>
    <row r="900" spans="1:8" ht="13.5" x14ac:dyDescent="0.25">
      <c r="A900" s="1"/>
      <c r="B900" s="3">
        <v>43613</v>
      </c>
      <c r="C900" s="4">
        <v>3.58</v>
      </c>
      <c r="D900" s="4">
        <v>2.0007999999999999</v>
      </c>
      <c r="E900" s="4">
        <v>0</v>
      </c>
      <c r="F900" s="4">
        <v>0</v>
      </c>
      <c r="G900" s="4">
        <v>0</v>
      </c>
      <c r="H900" s="5">
        <f t="shared" si="13"/>
        <v>-4.2816820552073927E-2</v>
      </c>
    </row>
    <row r="901" spans="1:8" ht="13.5" x14ac:dyDescent="0.25">
      <c r="A901" s="1"/>
      <c r="B901" s="3">
        <v>43614</v>
      </c>
      <c r="C901" s="4">
        <v>3.6</v>
      </c>
      <c r="D901" s="4">
        <v>2.012</v>
      </c>
      <c r="E901" s="4">
        <v>3767</v>
      </c>
      <c r="F901" s="4">
        <v>3.6000999999999999</v>
      </c>
      <c r="G901" s="4">
        <v>13561.5767</v>
      </c>
      <c r="H901" s="5">
        <f t="shared" si="13"/>
        <v>5.5977608956417927E-3</v>
      </c>
    </row>
    <row r="902" spans="1:8" ht="13.5" x14ac:dyDescent="0.25">
      <c r="A902" s="1"/>
      <c r="B902" s="3">
        <v>43615</v>
      </c>
      <c r="C902" s="4">
        <v>3.7</v>
      </c>
      <c r="D902" s="4">
        <v>2.0678999999999998</v>
      </c>
      <c r="E902" s="4">
        <v>1</v>
      </c>
      <c r="F902" s="4">
        <v>3.7</v>
      </c>
      <c r="G902" s="4">
        <v>3.7</v>
      </c>
      <c r="H902" s="5">
        <f t="shared" si="13"/>
        <v>2.7783300198807075E-2</v>
      </c>
    </row>
    <row r="903" spans="1:8" ht="13.5" x14ac:dyDescent="0.25">
      <c r="A903" s="1"/>
      <c r="B903" s="3">
        <v>43616</v>
      </c>
      <c r="C903" s="4">
        <v>3.5</v>
      </c>
      <c r="D903" s="4">
        <v>1.9560999999999999</v>
      </c>
      <c r="E903" s="4">
        <v>15360</v>
      </c>
      <c r="F903" s="4">
        <v>3.5099</v>
      </c>
      <c r="G903" s="4">
        <v>53912.063999999998</v>
      </c>
      <c r="H903" s="5">
        <f t="shared" ref="H903:H966" si="14">(D903-D902)/D902</f>
        <v>-5.4064509889259593E-2</v>
      </c>
    </row>
    <row r="904" spans="1:8" ht="13.5" x14ac:dyDescent="0.25">
      <c r="A904" s="1"/>
      <c r="B904" s="3">
        <v>43619</v>
      </c>
      <c r="C904" s="4">
        <v>3.5</v>
      </c>
      <c r="D904" s="4">
        <v>1.9560999999999999</v>
      </c>
      <c r="E904" s="4">
        <v>735</v>
      </c>
      <c r="F904" s="4">
        <v>3.5</v>
      </c>
      <c r="G904" s="4">
        <v>2572.5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3.66</v>
      </c>
      <c r="D905" s="4">
        <v>2.0455000000000001</v>
      </c>
      <c r="E905" s="4">
        <v>345</v>
      </c>
      <c r="F905" s="4">
        <v>3.609</v>
      </c>
      <c r="G905" s="4">
        <v>1245.105</v>
      </c>
      <c r="H905" s="5">
        <f t="shared" si="14"/>
        <v>4.5703184908747072E-2</v>
      </c>
    </row>
    <row r="906" spans="1:8" ht="13.5" x14ac:dyDescent="0.25">
      <c r="A906" s="1"/>
      <c r="B906" s="3">
        <v>43626</v>
      </c>
      <c r="C906" s="4">
        <v>3.53</v>
      </c>
      <c r="D906" s="4">
        <v>1.9729000000000001</v>
      </c>
      <c r="E906" s="4">
        <v>5754</v>
      </c>
      <c r="F906" s="4">
        <v>3.5301</v>
      </c>
      <c r="G906" s="4">
        <v>20312.195400000001</v>
      </c>
      <c r="H906" s="5">
        <f t="shared" si="14"/>
        <v>-3.5492544610119775E-2</v>
      </c>
    </row>
    <row r="907" spans="1:8" ht="13.5" x14ac:dyDescent="0.25">
      <c r="A907" s="1"/>
      <c r="B907" s="3">
        <v>43627</v>
      </c>
      <c r="C907" s="4">
        <v>3.41</v>
      </c>
      <c r="D907" s="4">
        <v>1.9057999999999999</v>
      </c>
      <c r="E907" s="4">
        <v>25286</v>
      </c>
      <c r="F907" s="4">
        <v>3.4054000000000002</v>
      </c>
      <c r="G907" s="4">
        <v>86108.944399999993</v>
      </c>
      <c r="H907" s="5">
        <f t="shared" si="14"/>
        <v>-3.4010846976532089E-2</v>
      </c>
    </row>
    <row r="908" spans="1:8" ht="13.5" x14ac:dyDescent="0.25">
      <c r="A908" s="1"/>
      <c r="B908" s="3">
        <v>43628</v>
      </c>
      <c r="C908" s="4">
        <v>3.4</v>
      </c>
      <c r="D908" s="4">
        <v>1.9001999999999999</v>
      </c>
      <c r="E908" s="4">
        <v>4100</v>
      </c>
      <c r="F908" s="4">
        <v>3.4024000000000001</v>
      </c>
      <c r="G908" s="4">
        <v>13949.84</v>
      </c>
      <c r="H908" s="5">
        <f t="shared" si="14"/>
        <v>-2.9383985727778621E-3</v>
      </c>
    </row>
    <row r="909" spans="1:8" ht="13.5" x14ac:dyDescent="0.25">
      <c r="A909" s="1"/>
      <c r="B909" s="3">
        <v>43629</v>
      </c>
      <c r="C909" s="4">
        <v>3.4</v>
      </c>
      <c r="D909" s="4">
        <v>1.9001999999999999</v>
      </c>
      <c r="E909" s="4">
        <v>3550</v>
      </c>
      <c r="F909" s="4">
        <v>3.4051999999999998</v>
      </c>
      <c r="G909" s="4">
        <v>12088.46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3.39</v>
      </c>
      <c r="D910" s="4">
        <v>1.8946000000000001</v>
      </c>
      <c r="E910" s="4">
        <v>6888</v>
      </c>
      <c r="F910" s="4">
        <v>3.3950999999999998</v>
      </c>
      <c r="G910" s="4">
        <v>23385.448799999998</v>
      </c>
      <c r="H910" s="5">
        <f t="shared" si="14"/>
        <v>-2.9470582043994464E-3</v>
      </c>
    </row>
    <row r="911" spans="1:8" ht="13.5" x14ac:dyDescent="0.25">
      <c r="A911" s="1"/>
      <c r="B911" s="3">
        <v>43633</v>
      </c>
      <c r="C911" s="4">
        <v>3.35</v>
      </c>
      <c r="D911" s="4">
        <v>1.8723000000000001</v>
      </c>
      <c r="E911" s="4">
        <v>715</v>
      </c>
      <c r="F911" s="4">
        <v>3.3593999999999999</v>
      </c>
      <c r="G911" s="4">
        <v>2401.971</v>
      </c>
      <c r="H911" s="5">
        <f t="shared" si="14"/>
        <v>-1.1770294521270973E-2</v>
      </c>
    </row>
    <row r="912" spans="1:8" ht="13.5" x14ac:dyDescent="0.25">
      <c r="A912" s="1"/>
      <c r="B912" s="3">
        <v>43634</v>
      </c>
      <c r="C912" s="4">
        <v>3.38</v>
      </c>
      <c r="D912" s="4">
        <v>1.8891</v>
      </c>
      <c r="E912" s="4">
        <v>1040</v>
      </c>
      <c r="F912" s="4">
        <v>3.3031000000000001</v>
      </c>
      <c r="G912" s="4">
        <v>3435.2240000000002</v>
      </c>
      <c r="H912" s="5">
        <f t="shared" si="14"/>
        <v>8.972921006248958E-3</v>
      </c>
    </row>
    <row r="913" spans="1:8" ht="13.5" x14ac:dyDescent="0.25">
      <c r="A913" s="1"/>
      <c r="B913" s="3">
        <v>43635</v>
      </c>
      <c r="C913" s="4">
        <v>3.39</v>
      </c>
      <c r="D913" s="4">
        <v>1.8946000000000001</v>
      </c>
      <c r="E913" s="4">
        <v>1392</v>
      </c>
      <c r="F913" s="4">
        <v>3.3323</v>
      </c>
      <c r="G913" s="4">
        <v>4638.5616</v>
      </c>
      <c r="H913" s="5">
        <f t="shared" si="14"/>
        <v>2.9114393097242394E-3</v>
      </c>
    </row>
    <row r="914" spans="1:8" ht="13.5" x14ac:dyDescent="0.25">
      <c r="A914" s="1"/>
      <c r="B914" s="3">
        <v>43636</v>
      </c>
      <c r="C914" s="4">
        <v>3.4</v>
      </c>
      <c r="D914" s="4">
        <v>1.9001999999999999</v>
      </c>
      <c r="E914" s="4">
        <v>30</v>
      </c>
      <c r="F914" s="4">
        <v>3.4</v>
      </c>
      <c r="G914" s="4">
        <v>102</v>
      </c>
      <c r="H914" s="5">
        <f t="shared" si="14"/>
        <v>2.955769027763025E-3</v>
      </c>
    </row>
    <row r="915" spans="1:8" ht="13.5" x14ac:dyDescent="0.25">
      <c r="A915" s="1"/>
      <c r="B915" s="3">
        <v>43637</v>
      </c>
      <c r="C915" s="4">
        <v>3.38</v>
      </c>
      <c r="D915" s="4">
        <v>1.8891</v>
      </c>
      <c r="E915" s="4">
        <v>90</v>
      </c>
      <c r="F915" s="4">
        <v>3.38</v>
      </c>
      <c r="G915" s="4">
        <v>304.2</v>
      </c>
      <c r="H915" s="5">
        <f t="shared" si="14"/>
        <v>-5.8414903694347375E-3</v>
      </c>
    </row>
    <row r="916" spans="1:8" ht="13.5" x14ac:dyDescent="0.25">
      <c r="A916" s="1"/>
      <c r="B916" s="3">
        <v>43640</v>
      </c>
      <c r="C916" s="4">
        <v>3.19</v>
      </c>
      <c r="D916" s="4">
        <v>1.7828999999999999</v>
      </c>
      <c r="E916" s="4">
        <v>4176</v>
      </c>
      <c r="F916" s="4">
        <v>3.2052</v>
      </c>
      <c r="G916" s="4">
        <v>13384.915199999999</v>
      </c>
      <c r="H916" s="5">
        <f t="shared" si="14"/>
        <v>-5.6217246307765638E-2</v>
      </c>
    </row>
    <row r="917" spans="1:8" ht="13.5" x14ac:dyDescent="0.25">
      <c r="A917" s="1"/>
      <c r="B917" s="3">
        <v>43641</v>
      </c>
      <c r="C917" s="4">
        <v>3.28</v>
      </c>
      <c r="D917" s="4">
        <v>1.8331999999999999</v>
      </c>
      <c r="E917" s="4">
        <v>1894</v>
      </c>
      <c r="F917" s="4">
        <v>3.1926999999999999</v>
      </c>
      <c r="G917" s="4">
        <v>6046.9737999999998</v>
      </c>
      <c r="H917" s="5">
        <f t="shared" si="14"/>
        <v>2.8212462841438114E-2</v>
      </c>
    </row>
    <row r="918" spans="1:8" ht="13.5" x14ac:dyDescent="0.25">
      <c r="A918" s="1"/>
      <c r="B918" s="3">
        <v>43642</v>
      </c>
      <c r="C918" s="4">
        <v>3.4</v>
      </c>
      <c r="D918" s="4">
        <v>1.9001999999999999</v>
      </c>
      <c r="E918" s="4">
        <v>125</v>
      </c>
      <c r="F918" s="4">
        <v>3.3915999999999999</v>
      </c>
      <c r="G918" s="4">
        <v>423.95</v>
      </c>
      <c r="H918" s="5">
        <f t="shared" si="14"/>
        <v>3.6548112590006517E-2</v>
      </c>
    </row>
    <row r="919" spans="1:8" ht="13.5" x14ac:dyDescent="0.25">
      <c r="A919" s="1"/>
      <c r="B919" s="3">
        <v>43643</v>
      </c>
      <c r="C919" s="4">
        <v>3.3</v>
      </c>
      <c r="D919" s="4">
        <v>1.8443000000000001</v>
      </c>
      <c r="E919" s="4">
        <v>875</v>
      </c>
      <c r="F919" s="4">
        <v>3.3033999999999999</v>
      </c>
      <c r="G919" s="4">
        <v>2890.4749999999999</v>
      </c>
      <c r="H919" s="5">
        <f t="shared" si="14"/>
        <v>-2.9417956004631009E-2</v>
      </c>
    </row>
    <row r="920" spans="1:8" ht="13.5" x14ac:dyDescent="0.25">
      <c r="A920" s="1"/>
      <c r="B920" s="3">
        <v>43644</v>
      </c>
      <c r="C920" s="4">
        <v>3.24</v>
      </c>
      <c r="D920" s="4">
        <v>1.8108</v>
      </c>
      <c r="E920" s="4">
        <v>880</v>
      </c>
      <c r="F920" s="4">
        <v>3.39</v>
      </c>
      <c r="G920" s="4">
        <v>2983.2</v>
      </c>
      <c r="H920" s="5">
        <f t="shared" si="14"/>
        <v>-1.8164073090061315E-2</v>
      </c>
    </row>
    <row r="921" spans="1:8" ht="13.5" x14ac:dyDescent="0.25">
      <c r="A921" s="1"/>
      <c r="B921" s="3">
        <v>43647</v>
      </c>
      <c r="C921" s="4">
        <v>3.26</v>
      </c>
      <c r="D921" s="4">
        <v>1.8220000000000001</v>
      </c>
      <c r="E921" s="4">
        <v>2722</v>
      </c>
      <c r="F921" s="4">
        <v>3.2694000000000001</v>
      </c>
      <c r="G921" s="4">
        <v>8899.3068000000003</v>
      </c>
      <c r="H921" s="5">
        <f t="shared" si="14"/>
        <v>6.1851115529048479E-3</v>
      </c>
    </row>
    <row r="922" spans="1:8" ht="13.5" x14ac:dyDescent="0.25">
      <c r="A922" s="1"/>
      <c r="B922" s="3">
        <v>43648</v>
      </c>
      <c r="C922" s="4">
        <v>3.28</v>
      </c>
      <c r="D922" s="4">
        <v>1.8331999999999999</v>
      </c>
      <c r="E922" s="4">
        <v>150</v>
      </c>
      <c r="F922" s="4">
        <v>3.25</v>
      </c>
      <c r="G922" s="4">
        <v>487.5</v>
      </c>
      <c r="H922" s="5">
        <f t="shared" si="14"/>
        <v>6.1470911086717213E-3</v>
      </c>
    </row>
    <row r="923" spans="1:8" ht="13.5" x14ac:dyDescent="0.25">
      <c r="A923" s="1"/>
      <c r="B923" s="3">
        <v>43649</v>
      </c>
      <c r="C923" s="4">
        <v>3.3</v>
      </c>
      <c r="D923" s="4">
        <v>1.8443000000000001</v>
      </c>
      <c r="E923" s="4">
        <v>220</v>
      </c>
      <c r="F923" s="4">
        <v>3.3182</v>
      </c>
      <c r="G923" s="4">
        <v>730.00400000000002</v>
      </c>
      <c r="H923" s="5">
        <f t="shared" si="14"/>
        <v>6.0549858171503983E-3</v>
      </c>
    </row>
    <row r="924" spans="1:8" ht="13.5" x14ac:dyDescent="0.25">
      <c r="A924" s="1"/>
      <c r="B924" s="3">
        <v>43650</v>
      </c>
      <c r="C924" s="4">
        <v>3.21</v>
      </c>
      <c r="D924" s="4">
        <v>1.794</v>
      </c>
      <c r="E924" s="4">
        <v>750</v>
      </c>
      <c r="F924" s="4">
        <v>3.3</v>
      </c>
      <c r="G924" s="4">
        <v>2475</v>
      </c>
      <c r="H924" s="5">
        <f t="shared" si="14"/>
        <v>-2.7273220191942747E-2</v>
      </c>
    </row>
    <row r="925" spans="1:8" ht="13.5" x14ac:dyDescent="0.25">
      <c r="A925" s="1"/>
      <c r="B925" s="3">
        <v>43651</v>
      </c>
      <c r="C925" s="4">
        <v>3.19</v>
      </c>
      <c r="D925" s="4">
        <v>1.7828999999999999</v>
      </c>
      <c r="E925" s="4">
        <v>400</v>
      </c>
      <c r="F925" s="4">
        <v>3.19</v>
      </c>
      <c r="G925" s="4">
        <v>1276</v>
      </c>
      <c r="H925" s="5">
        <f t="shared" si="14"/>
        <v>-6.1872909698997263E-3</v>
      </c>
    </row>
    <row r="926" spans="1:8" ht="13.5" x14ac:dyDescent="0.25">
      <c r="A926" s="1"/>
      <c r="B926" s="3">
        <v>43654</v>
      </c>
      <c r="C926" s="4">
        <v>3.01</v>
      </c>
      <c r="D926" s="4">
        <v>1.6822999999999999</v>
      </c>
      <c r="E926" s="4">
        <v>1855</v>
      </c>
      <c r="F926" s="4">
        <v>3.0394000000000001</v>
      </c>
      <c r="G926" s="4">
        <v>5638.0870000000004</v>
      </c>
      <c r="H926" s="5">
        <f t="shared" si="14"/>
        <v>-5.6424925682876229E-2</v>
      </c>
    </row>
    <row r="927" spans="1:8" ht="13.5" x14ac:dyDescent="0.25">
      <c r="A927" s="1"/>
      <c r="B927" s="3">
        <v>43655</v>
      </c>
      <c r="C927" s="4">
        <v>3.01</v>
      </c>
      <c r="D927" s="4">
        <v>1.6822999999999999</v>
      </c>
      <c r="E927" s="4">
        <v>5693</v>
      </c>
      <c r="F927" s="4">
        <v>3.01</v>
      </c>
      <c r="G927" s="4">
        <v>17135.93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2.88</v>
      </c>
      <c r="D928" s="4">
        <v>1.6095999999999999</v>
      </c>
      <c r="E928" s="4">
        <v>0</v>
      </c>
      <c r="F928" s="4">
        <v>0</v>
      </c>
      <c r="G928" s="4">
        <v>0</v>
      </c>
      <c r="H928" s="5">
        <f t="shared" si="14"/>
        <v>-4.3214646614753605E-2</v>
      </c>
    </row>
    <row r="929" spans="1:8" ht="13.5" x14ac:dyDescent="0.25">
      <c r="A929" s="1"/>
      <c r="B929" s="3">
        <v>43657</v>
      </c>
      <c r="C929" s="4">
        <v>2.76</v>
      </c>
      <c r="D929" s="4">
        <v>1.5425</v>
      </c>
      <c r="E929" s="4">
        <v>0</v>
      </c>
      <c r="F929" s="4">
        <v>0</v>
      </c>
      <c r="G929" s="4">
        <v>0</v>
      </c>
      <c r="H929" s="5">
        <f t="shared" si="14"/>
        <v>-4.1687375745526799E-2</v>
      </c>
    </row>
    <row r="930" spans="1:8" ht="13.5" x14ac:dyDescent="0.25">
      <c r="A930" s="1"/>
      <c r="B930" s="3">
        <v>43658</v>
      </c>
      <c r="C930" s="4">
        <v>2.76</v>
      </c>
      <c r="D930" s="4">
        <v>1.5425</v>
      </c>
      <c r="E930" s="4">
        <v>7696</v>
      </c>
      <c r="F930" s="4">
        <v>2.7002999999999999</v>
      </c>
      <c r="G930" s="4">
        <v>20781.5088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2.68</v>
      </c>
      <c r="D931" s="4">
        <v>1.4978</v>
      </c>
      <c r="E931" s="4">
        <v>3100</v>
      </c>
      <c r="F931" s="4">
        <v>2.68</v>
      </c>
      <c r="G931" s="4">
        <v>8308</v>
      </c>
      <c r="H931" s="5">
        <f t="shared" si="14"/>
        <v>-2.897893030794163E-2</v>
      </c>
    </row>
    <row r="932" spans="1:8" ht="13.5" x14ac:dyDescent="0.25">
      <c r="A932" s="1"/>
      <c r="B932" s="3">
        <v>43662</v>
      </c>
      <c r="C932" s="4">
        <v>2.78</v>
      </c>
      <c r="D932" s="4">
        <v>1.5537000000000001</v>
      </c>
      <c r="E932" s="4">
        <v>1493</v>
      </c>
      <c r="F932" s="4">
        <v>2.7751000000000001</v>
      </c>
      <c r="G932" s="4">
        <v>4143.2242999999999</v>
      </c>
      <c r="H932" s="5">
        <f t="shared" si="14"/>
        <v>3.7321404726932877E-2</v>
      </c>
    </row>
    <row r="933" spans="1:8" ht="13.5" x14ac:dyDescent="0.25">
      <c r="A933" s="1"/>
      <c r="B933" s="3">
        <v>43663</v>
      </c>
      <c r="C933" s="4">
        <v>2.78</v>
      </c>
      <c r="D933" s="4">
        <v>1.5537000000000001</v>
      </c>
      <c r="E933" s="4">
        <v>400</v>
      </c>
      <c r="F933" s="4">
        <v>2.86</v>
      </c>
      <c r="G933" s="4">
        <v>1144</v>
      </c>
      <c r="H933" s="5">
        <f t="shared" si="14"/>
        <v>0</v>
      </c>
    </row>
    <row r="934" spans="1:8" ht="13.5" x14ac:dyDescent="0.25">
      <c r="A934" s="1"/>
      <c r="B934" s="3">
        <v>43664</v>
      </c>
      <c r="C934" s="4">
        <v>2.66</v>
      </c>
      <c r="D934" s="4">
        <v>1.4866999999999999</v>
      </c>
      <c r="E934" s="4">
        <v>2928</v>
      </c>
      <c r="F934" s="4">
        <v>2.66</v>
      </c>
      <c r="G934" s="4">
        <v>7788.48</v>
      </c>
      <c r="H934" s="5">
        <f t="shared" si="14"/>
        <v>-4.3122867992534057E-2</v>
      </c>
    </row>
    <row r="935" spans="1:8" ht="13.5" x14ac:dyDescent="0.25">
      <c r="A935" s="1"/>
      <c r="B935" s="3">
        <v>43665</v>
      </c>
      <c r="C935" s="4">
        <v>2.59</v>
      </c>
      <c r="D935" s="4">
        <v>1.4475</v>
      </c>
      <c r="E935" s="4">
        <v>3125</v>
      </c>
      <c r="F935" s="4">
        <v>2.59</v>
      </c>
      <c r="G935" s="4">
        <v>8093.75</v>
      </c>
      <c r="H935" s="5">
        <f t="shared" si="14"/>
        <v>-2.6367121813412192E-2</v>
      </c>
    </row>
    <row r="936" spans="1:8" ht="13.5" x14ac:dyDescent="0.25">
      <c r="A936" s="1"/>
      <c r="B936" s="3">
        <v>43668</v>
      </c>
      <c r="C936" s="4">
        <v>2.73</v>
      </c>
      <c r="D936" s="4">
        <v>1.5258</v>
      </c>
      <c r="E936" s="4">
        <v>6</v>
      </c>
      <c r="F936" s="4">
        <v>2.7183000000000002</v>
      </c>
      <c r="G936" s="4">
        <v>16.309799999999999</v>
      </c>
      <c r="H936" s="5">
        <f t="shared" si="14"/>
        <v>5.4093264248704691E-2</v>
      </c>
    </row>
    <row r="937" spans="1:8" ht="13.5" x14ac:dyDescent="0.25">
      <c r="A937" s="1"/>
      <c r="B937" s="3">
        <v>43669</v>
      </c>
      <c r="C937" s="4">
        <v>2.76</v>
      </c>
      <c r="D937" s="4">
        <v>1.5425</v>
      </c>
      <c r="E937" s="4">
        <v>2590</v>
      </c>
      <c r="F937" s="4">
        <v>2.76</v>
      </c>
      <c r="G937" s="4">
        <v>7148.4</v>
      </c>
      <c r="H937" s="5">
        <f t="shared" si="14"/>
        <v>1.0945077991873074E-2</v>
      </c>
    </row>
    <row r="938" spans="1:8" ht="13.5" x14ac:dyDescent="0.25">
      <c r="A938" s="1"/>
      <c r="B938" s="3">
        <v>43670</v>
      </c>
      <c r="C938" s="4">
        <v>2.73</v>
      </c>
      <c r="D938" s="4">
        <v>1.5258</v>
      </c>
      <c r="E938" s="4">
        <v>1029</v>
      </c>
      <c r="F938" s="4">
        <v>2.7305999999999999</v>
      </c>
      <c r="G938" s="4">
        <v>2809.7874000000002</v>
      </c>
      <c r="H938" s="5">
        <f t="shared" si="14"/>
        <v>-1.0826580226904336E-2</v>
      </c>
    </row>
    <row r="939" spans="1:8" ht="13.5" x14ac:dyDescent="0.25">
      <c r="A939" s="1"/>
      <c r="B939" s="3">
        <v>43672</v>
      </c>
      <c r="C939" s="4">
        <v>2.67</v>
      </c>
      <c r="D939" s="4">
        <v>1.4922</v>
      </c>
      <c r="E939" s="4">
        <v>777</v>
      </c>
      <c r="F939" s="4">
        <v>2.67</v>
      </c>
      <c r="G939" s="4">
        <v>2074.59</v>
      </c>
      <c r="H939" s="5">
        <f t="shared" si="14"/>
        <v>-2.2021234762092064E-2</v>
      </c>
    </row>
    <row r="940" spans="1:8" ht="13.5" x14ac:dyDescent="0.25">
      <c r="A940" s="1"/>
      <c r="B940" s="3">
        <v>43675</v>
      </c>
      <c r="C940" s="4">
        <v>2.73</v>
      </c>
      <c r="D940" s="4">
        <v>1.5258</v>
      </c>
      <c r="E940" s="4">
        <v>305</v>
      </c>
      <c r="F940" s="4">
        <v>2.7303000000000002</v>
      </c>
      <c r="G940" s="4">
        <v>832.74149999999997</v>
      </c>
      <c r="H940" s="5">
        <f t="shared" si="14"/>
        <v>2.2517088862082882E-2</v>
      </c>
    </row>
    <row r="941" spans="1:8" ht="13.5" x14ac:dyDescent="0.25">
      <c r="A941" s="1"/>
      <c r="B941" s="3">
        <v>43676</v>
      </c>
      <c r="C941" s="4">
        <v>2.79</v>
      </c>
      <c r="D941" s="4">
        <v>1.5592999999999999</v>
      </c>
      <c r="E941" s="4">
        <v>11</v>
      </c>
      <c r="F941" s="4">
        <v>2.7927</v>
      </c>
      <c r="G941" s="4">
        <v>30.7197</v>
      </c>
      <c r="H941" s="5">
        <f t="shared" si="14"/>
        <v>2.1955695372919033E-2</v>
      </c>
    </row>
    <row r="942" spans="1:8" ht="13.5" x14ac:dyDescent="0.25">
      <c r="A942" s="1"/>
      <c r="B942" s="3">
        <v>43677</v>
      </c>
      <c r="C942" s="4">
        <v>2.94</v>
      </c>
      <c r="D942" s="4">
        <v>1.6431</v>
      </c>
      <c r="E942" s="4">
        <v>320</v>
      </c>
      <c r="F942" s="4">
        <v>2.9169999999999998</v>
      </c>
      <c r="G942" s="4">
        <v>933.44</v>
      </c>
      <c r="H942" s="5">
        <f t="shared" si="14"/>
        <v>5.3742063746553007E-2</v>
      </c>
    </row>
    <row r="943" spans="1:8" ht="13.5" x14ac:dyDescent="0.25">
      <c r="A943" s="1"/>
      <c r="B943" s="3">
        <v>43678</v>
      </c>
      <c r="C943" s="4">
        <v>3.11</v>
      </c>
      <c r="D943" s="4">
        <v>1.7382</v>
      </c>
      <c r="E943" s="4">
        <v>1675</v>
      </c>
      <c r="F943" s="4">
        <v>3.1009000000000002</v>
      </c>
      <c r="G943" s="4">
        <v>5194.0074999999997</v>
      </c>
      <c r="H943" s="5">
        <f t="shared" si="14"/>
        <v>5.7878400584261434E-2</v>
      </c>
    </row>
    <row r="944" spans="1:8" ht="13.5" x14ac:dyDescent="0.25">
      <c r="A944" s="1"/>
      <c r="B944" s="3">
        <v>43679</v>
      </c>
      <c r="C944" s="4">
        <v>3.12</v>
      </c>
      <c r="D944" s="4">
        <v>1.7437</v>
      </c>
      <c r="E944" s="4">
        <v>85</v>
      </c>
      <c r="F944" s="4">
        <v>3.12</v>
      </c>
      <c r="G944" s="4">
        <v>265.2</v>
      </c>
      <c r="H944" s="5">
        <f t="shared" si="14"/>
        <v>3.1641928431711311E-3</v>
      </c>
    </row>
    <row r="945" spans="1:8" ht="13.5" x14ac:dyDescent="0.25">
      <c r="A945" s="1"/>
      <c r="B945" s="3">
        <v>43682</v>
      </c>
      <c r="C945" s="4">
        <v>3.18</v>
      </c>
      <c r="D945" s="4">
        <v>1.7773000000000001</v>
      </c>
      <c r="E945" s="4">
        <v>25</v>
      </c>
      <c r="F945" s="4">
        <v>3.18</v>
      </c>
      <c r="G945" s="4">
        <v>79.5</v>
      </c>
      <c r="H945" s="5">
        <f t="shared" si="14"/>
        <v>1.9269369731031757E-2</v>
      </c>
    </row>
    <row r="946" spans="1:8" ht="13.5" x14ac:dyDescent="0.25">
      <c r="A946" s="1"/>
      <c r="B946" s="3">
        <v>43683</v>
      </c>
      <c r="C946" s="4">
        <v>3.14</v>
      </c>
      <c r="D946" s="4">
        <v>1.7548999999999999</v>
      </c>
      <c r="E946" s="4">
        <v>1791</v>
      </c>
      <c r="F946" s="4">
        <v>3.14</v>
      </c>
      <c r="G946" s="4">
        <v>5623.74</v>
      </c>
      <c r="H946" s="5">
        <f t="shared" si="14"/>
        <v>-1.2603387160299441E-2</v>
      </c>
    </row>
    <row r="947" spans="1:8" ht="13.5" x14ac:dyDescent="0.25">
      <c r="A947" s="1"/>
      <c r="B947" s="3">
        <v>43684</v>
      </c>
      <c r="C947" s="4">
        <v>3.03</v>
      </c>
      <c r="D947" s="4">
        <v>1.6934</v>
      </c>
      <c r="E947" s="4">
        <v>1000</v>
      </c>
      <c r="F947" s="4">
        <v>3.12</v>
      </c>
      <c r="G947" s="4">
        <v>3120</v>
      </c>
      <c r="H947" s="5">
        <f t="shared" si="14"/>
        <v>-3.5044731893555128E-2</v>
      </c>
    </row>
    <row r="948" spans="1:8" ht="13.5" x14ac:dyDescent="0.25">
      <c r="A948" s="1"/>
      <c r="B948" s="3">
        <v>43685</v>
      </c>
      <c r="C948" s="4">
        <v>3.02</v>
      </c>
      <c r="D948" s="4">
        <v>1.6879</v>
      </c>
      <c r="E948" s="4">
        <v>605</v>
      </c>
      <c r="F948" s="4">
        <v>3.02</v>
      </c>
      <c r="G948" s="4">
        <v>1827.1</v>
      </c>
      <c r="H948" s="5">
        <f t="shared" si="14"/>
        <v>-3.2479036258415378E-3</v>
      </c>
    </row>
    <row r="949" spans="1:8" ht="13.5" x14ac:dyDescent="0.25">
      <c r="A949" s="1"/>
      <c r="B949" s="3">
        <v>43686</v>
      </c>
      <c r="C949" s="4">
        <v>2.89</v>
      </c>
      <c r="D949" s="4">
        <v>1.6152</v>
      </c>
      <c r="E949" s="4">
        <v>564</v>
      </c>
      <c r="F949" s="4">
        <v>2.89</v>
      </c>
      <c r="G949" s="4">
        <v>1629.96</v>
      </c>
      <c r="H949" s="5">
        <f t="shared" si="14"/>
        <v>-4.3071271994786414E-2</v>
      </c>
    </row>
    <row r="950" spans="1:8" ht="13.5" x14ac:dyDescent="0.25">
      <c r="A950" s="1"/>
      <c r="B950" s="3">
        <v>43691</v>
      </c>
      <c r="C950" s="4">
        <v>2.94</v>
      </c>
      <c r="D950" s="4">
        <v>1.6431</v>
      </c>
      <c r="E950" s="4">
        <v>1</v>
      </c>
      <c r="F950" s="4">
        <v>2.94</v>
      </c>
      <c r="G950" s="4">
        <v>2.94</v>
      </c>
      <c r="H950" s="5">
        <f t="shared" si="14"/>
        <v>1.7273402674591404E-2</v>
      </c>
    </row>
    <row r="951" spans="1:8" ht="13.5" x14ac:dyDescent="0.25">
      <c r="A951" s="1"/>
      <c r="B951" s="3">
        <v>43692</v>
      </c>
      <c r="C951" s="4">
        <v>2.91</v>
      </c>
      <c r="D951" s="4">
        <v>1.6264000000000001</v>
      </c>
      <c r="E951" s="4">
        <v>1910</v>
      </c>
      <c r="F951" s="4">
        <v>2.9209000000000001</v>
      </c>
      <c r="G951" s="4">
        <v>5578.9189999999999</v>
      </c>
      <c r="H951" s="5">
        <f t="shared" si="14"/>
        <v>-1.0163714929097399E-2</v>
      </c>
    </row>
    <row r="952" spans="1:8" ht="13.5" x14ac:dyDescent="0.25">
      <c r="A952" s="1"/>
      <c r="B952" s="3">
        <v>43693</v>
      </c>
      <c r="C952" s="4">
        <v>2.9</v>
      </c>
      <c r="D952" s="4">
        <v>1.6208</v>
      </c>
      <c r="E952" s="4">
        <v>300</v>
      </c>
      <c r="F952" s="4">
        <v>2.9</v>
      </c>
      <c r="G952" s="4">
        <v>870</v>
      </c>
      <c r="H952" s="5">
        <f t="shared" si="14"/>
        <v>-3.4431874077717963E-3</v>
      </c>
    </row>
    <row r="953" spans="1:8" ht="13.5" x14ac:dyDescent="0.25">
      <c r="A953" s="1"/>
      <c r="B953" s="3">
        <v>43696</v>
      </c>
      <c r="C953" s="4">
        <v>2.75</v>
      </c>
      <c r="D953" s="4">
        <v>1.5369999999999999</v>
      </c>
      <c r="E953" s="4">
        <v>1025</v>
      </c>
      <c r="F953" s="4">
        <v>2.7602000000000002</v>
      </c>
      <c r="G953" s="4">
        <v>2829.2049999999999</v>
      </c>
      <c r="H953" s="5">
        <f t="shared" si="14"/>
        <v>-5.1702862783810526E-2</v>
      </c>
    </row>
    <row r="954" spans="1:8" ht="13.5" x14ac:dyDescent="0.25">
      <c r="A954" s="1"/>
      <c r="B954" s="3">
        <v>43697</v>
      </c>
      <c r="C954" s="4">
        <v>2.67</v>
      </c>
      <c r="D954" s="4">
        <v>1.4922</v>
      </c>
      <c r="E954" s="4">
        <v>1023</v>
      </c>
      <c r="F954" s="4">
        <v>2.67</v>
      </c>
      <c r="G954" s="4">
        <v>2731.41</v>
      </c>
      <c r="H954" s="5">
        <f t="shared" si="14"/>
        <v>-2.914769030579047E-2</v>
      </c>
    </row>
    <row r="955" spans="1:8" ht="13.5" x14ac:dyDescent="0.25">
      <c r="A955" s="1"/>
      <c r="B955" s="3">
        <v>43698</v>
      </c>
      <c r="C955" s="4">
        <v>2.67</v>
      </c>
      <c r="D955" s="4">
        <v>1.4922</v>
      </c>
      <c r="E955" s="4">
        <v>699</v>
      </c>
      <c r="F955" s="4">
        <v>2.6682000000000001</v>
      </c>
      <c r="G955" s="4">
        <v>1865.0717999999999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2.75</v>
      </c>
      <c r="D956" s="4">
        <v>1.5369999999999999</v>
      </c>
      <c r="E956" s="4">
        <v>482</v>
      </c>
      <c r="F956" s="4">
        <v>2.75</v>
      </c>
      <c r="G956" s="4">
        <v>1325.5</v>
      </c>
      <c r="H956" s="5">
        <f t="shared" si="14"/>
        <v>3.0022785149443742E-2</v>
      </c>
    </row>
    <row r="957" spans="1:8" ht="13.5" x14ac:dyDescent="0.25">
      <c r="A957" s="1"/>
      <c r="B957" s="3">
        <v>43700</v>
      </c>
      <c r="C957" s="4">
        <v>2.88</v>
      </c>
      <c r="D957" s="4">
        <v>1.6095999999999999</v>
      </c>
      <c r="E957" s="4">
        <v>201</v>
      </c>
      <c r="F957" s="4">
        <v>2.8357999999999999</v>
      </c>
      <c r="G957" s="4">
        <v>569.99580000000003</v>
      </c>
      <c r="H957" s="5">
        <f t="shared" si="14"/>
        <v>4.7234873129472998E-2</v>
      </c>
    </row>
    <row r="958" spans="1:8" ht="13.5" x14ac:dyDescent="0.25">
      <c r="A958" s="1"/>
      <c r="B958" s="3">
        <v>43703</v>
      </c>
      <c r="C958" s="4">
        <v>2.81</v>
      </c>
      <c r="D958" s="4">
        <v>1.5705</v>
      </c>
      <c r="E958" s="4">
        <v>235</v>
      </c>
      <c r="F958" s="4">
        <v>2.8043</v>
      </c>
      <c r="G958" s="4">
        <v>659.01049999999998</v>
      </c>
      <c r="H958" s="5">
        <f t="shared" si="14"/>
        <v>-2.4291749502982053E-2</v>
      </c>
    </row>
    <row r="959" spans="1:8" ht="13.5" x14ac:dyDescent="0.25">
      <c r="A959" s="1"/>
      <c r="B959" s="3">
        <v>43704</v>
      </c>
      <c r="C959" s="4">
        <v>2.8</v>
      </c>
      <c r="D959" s="4">
        <v>1.5649</v>
      </c>
      <c r="E959" s="4">
        <v>305</v>
      </c>
      <c r="F959" s="4">
        <v>2.8210000000000002</v>
      </c>
      <c r="G959" s="4">
        <v>860.40499999999997</v>
      </c>
      <c r="H959" s="5">
        <f t="shared" si="14"/>
        <v>-3.5657433938236544E-3</v>
      </c>
    </row>
    <row r="960" spans="1:8" ht="13.5" x14ac:dyDescent="0.25">
      <c r="A960" s="1"/>
      <c r="B960" s="3">
        <v>43705</v>
      </c>
      <c r="C960" s="4">
        <v>2.8</v>
      </c>
      <c r="D960" s="4">
        <v>1.5649</v>
      </c>
      <c r="E960" s="4">
        <v>140</v>
      </c>
      <c r="F960" s="4">
        <v>2.8113999999999999</v>
      </c>
      <c r="G960" s="4">
        <v>393.596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2.88</v>
      </c>
      <c r="D961" s="4">
        <v>1.6095999999999999</v>
      </c>
      <c r="E961" s="4">
        <v>113</v>
      </c>
      <c r="F961" s="4">
        <v>2.8212000000000002</v>
      </c>
      <c r="G961" s="4">
        <v>318.79559999999998</v>
      </c>
      <c r="H961" s="5">
        <f t="shared" si="14"/>
        <v>2.8564125503227018E-2</v>
      </c>
    </row>
    <row r="962" spans="1:8" ht="13.5" x14ac:dyDescent="0.25">
      <c r="A962" s="1"/>
      <c r="B962" s="3">
        <v>43707</v>
      </c>
      <c r="C962" s="4">
        <v>2.88</v>
      </c>
      <c r="D962" s="4">
        <v>1.6095999999999999</v>
      </c>
      <c r="E962" s="4">
        <v>195</v>
      </c>
      <c r="F962" s="4">
        <v>2.88</v>
      </c>
      <c r="G962" s="4">
        <v>561.6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2.8</v>
      </c>
      <c r="D963" s="4">
        <v>1.5649</v>
      </c>
      <c r="E963" s="4">
        <v>194</v>
      </c>
      <c r="F963" s="4">
        <v>2.8</v>
      </c>
      <c r="G963" s="4">
        <v>543.20000000000005</v>
      </c>
      <c r="H963" s="5">
        <f t="shared" si="14"/>
        <v>-2.777087475149103E-2</v>
      </c>
    </row>
    <row r="964" spans="1:8" ht="13.5" x14ac:dyDescent="0.25">
      <c r="A964" s="1"/>
      <c r="B964" s="3">
        <v>43711</v>
      </c>
      <c r="C964" s="4">
        <v>2.8</v>
      </c>
      <c r="D964" s="4">
        <v>1.5649</v>
      </c>
      <c r="E964" s="4">
        <v>435</v>
      </c>
      <c r="F964" s="4">
        <v>2.8008999999999999</v>
      </c>
      <c r="G964" s="4">
        <v>1218.3915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2.68</v>
      </c>
      <c r="D965" s="4">
        <v>1.4978</v>
      </c>
      <c r="E965" s="4">
        <v>1475</v>
      </c>
      <c r="F965" s="4">
        <v>2.68</v>
      </c>
      <c r="G965" s="4">
        <v>3953</v>
      </c>
      <c r="H965" s="5">
        <f t="shared" si="14"/>
        <v>-4.287813917822221E-2</v>
      </c>
    </row>
    <row r="966" spans="1:8" ht="13.5" x14ac:dyDescent="0.25">
      <c r="A966" s="1"/>
      <c r="B966" s="3">
        <v>43713</v>
      </c>
      <c r="C966" s="4">
        <v>2.71</v>
      </c>
      <c r="D966" s="4">
        <v>1.5145999999999999</v>
      </c>
      <c r="E966" s="4">
        <v>571</v>
      </c>
      <c r="F966" s="4">
        <v>2.6905000000000001</v>
      </c>
      <c r="G966" s="4">
        <v>1536.2755</v>
      </c>
      <c r="H966" s="5">
        <f t="shared" si="14"/>
        <v>1.1216450794498548E-2</v>
      </c>
    </row>
    <row r="967" spans="1:8" ht="13.5" x14ac:dyDescent="0.25">
      <c r="A967" s="1"/>
      <c r="B967" s="3">
        <v>43714</v>
      </c>
      <c r="C967" s="4">
        <v>2.71</v>
      </c>
      <c r="D967" s="4">
        <v>1.5145999999999999</v>
      </c>
      <c r="E967" s="4">
        <v>5</v>
      </c>
      <c r="F967" s="4">
        <v>2.79</v>
      </c>
      <c r="G967" s="4">
        <v>13.95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2.8</v>
      </c>
      <c r="D968" s="4">
        <v>1.5649</v>
      </c>
      <c r="E968" s="4">
        <v>106</v>
      </c>
      <c r="F968" s="4">
        <v>2.7145999999999999</v>
      </c>
      <c r="G968" s="4">
        <v>287.74759999999998</v>
      </c>
      <c r="H968" s="5">
        <f t="shared" si="15"/>
        <v>3.3210088472203893E-2</v>
      </c>
    </row>
    <row r="969" spans="1:8" ht="13.5" x14ac:dyDescent="0.25">
      <c r="A969" s="1"/>
      <c r="B969" s="3">
        <v>43718</v>
      </c>
      <c r="C969" s="4">
        <v>2.88</v>
      </c>
      <c r="D969" s="4">
        <v>1.6095999999999999</v>
      </c>
      <c r="E969" s="4">
        <v>300</v>
      </c>
      <c r="F969" s="4">
        <v>2.88</v>
      </c>
      <c r="G969" s="4">
        <v>864</v>
      </c>
      <c r="H969" s="5">
        <f t="shared" si="15"/>
        <v>2.8564125503227018E-2</v>
      </c>
    </row>
    <row r="970" spans="1:8" ht="13.5" x14ac:dyDescent="0.25">
      <c r="A970" s="1"/>
      <c r="B970" s="3">
        <v>43719</v>
      </c>
      <c r="C970" s="4">
        <v>2.88</v>
      </c>
      <c r="D970" s="4">
        <v>1.6095999999999999</v>
      </c>
      <c r="E970" s="4">
        <v>27</v>
      </c>
      <c r="F970" s="4">
        <v>2.88</v>
      </c>
      <c r="G970" s="4">
        <v>77.760000000000005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2.8</v>
      </c>
      <c r="D971" s="4">
        <v>1.5649</v>
      </c>
      <c r="E971" s="4">
        <v>16</v>
      </c>
      <c r="F971" s="4">
        <v>2.8</v>
      </c>
      <c r="G971" s="4">
        <v>44.8</v>
      </c>
      <c r="H971" s="5">
        <f t="shared" si="15"/>
        <v>-2.777087475149103E-2</v>
      </c>
    </row>
    <row r="972" spans="1:8" ht="13.5" x14ac:dyDescent="0.25">
      <c r="A972" s="1"/>
      <c r="B972" s="3">
        <v>43721</v>
      </c>
      <c r="C972" s="4">
        <v>2.8</v>
      </c>
      <c r="D972" s="4">
        <v>1.5649</v>
      </c>
      <c r="E972" s="4">
        <v>295</v>
      </c>
      <c r="F972" s="4">
        <v>2.7881</v>
      </c>
      <c r="G972" s="4">
        <v>822.48950000000002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2.8</v>
      </c>
      <c r="D973" s="4">
        <v>1.5649</v>
      </c>
      <c r="E973" s="4">
        <v>375</v>
      </c>
      <c r="F973" s="4">
        <v>2.8</v>
      </c>
      <c r="G973" s="4">
        <v>1050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2.8</v>
      </c>
      <c r="D974" s="4">
        <v>1.5649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2.8</v>
      </c>
      <c r="D975" s="4">
        <v>1.5649</v>
      </c>
      <c r="E975" s="4">
        <v>1150</v>
      </c>
      <c r="F975" s="4">
        <v>2.8</v>
      </c>
      <c r="G975" s="4">
        <v>3220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2.8</v>
      </c>
      <c r="D976" s="4">
        <v>1.5649</v>
      </c>
      <c r="E976" s="4">
        <v>0</v>
      </c>
      <c r="F976" s="4">
        <v>0</v>
      </c>
      <c r="G976" s="4">
        <v>0</v>
      </c>
      <c r="H976" s="5">
        <f t="shared" si="15"/>
        <v>0</v>
      </c>
    </row>
    <row r="977" spans="1:8" ht="13.5" x14ac:dyDescent="0.25">
      <c r="A977" s="1"/>
      <c r="B977" s="3">
        <v>43728</v>
      </c>
      <c r="C977" s="4">
        <v>2.8</v>
      </c>
      <c r="D977" s="4">
        <v>1.5649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2.8</v>
      </c>
      <c r="D978" s="4">
        <v>1.5649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2.72</v>
      </c>
      <c r="D979" s="4">
        <v>1.5202</v>
      </c>
      <c r="E979" s="4">
        <v>0</v>
      </c>
      <c r="F979" s="4">
        <v>0</v>
      </c>
      <c r="G979" s="4">
        <v>0</v>
      </c>
      <c r="H979" s="5">
        <f t="shared" si="15"/>
        <v>-2.8564125503227018E-2</v>
      </c>
    </row>
    <row r="980" spans="1:8" ht="13.5" x14ac:dyDescent="0.25">
      <c r="A980" s="1"/>
      <c r="B980" s="3">
        <v>43733</v>
      </c>
      <c r="C980" s="4">
        <v>2.71</v>
      </c>
      <c r="D980" s="4">
        <v>1.5145999999999999</v>
      </c>
      <c r="E980" s="4">
        <v>220</v>
      </c>
      <c r="F980" s="4">
        <v>2.64</v>
      </c>
      <c r="G980" s="4">
        <v>580.79999999999995</v>
      </c>
      <c r="H980" s="5">
        <f t="shared" si="15"/>
        <v>-3.6837258255493022E-3</v>
      </c>
    </row>
    <row r="981" spans="1:8" ht="13.5" x14ac:dyDescent="0.25">
      <c r="A981" s="1"/>
      <c r="B981" s="3">
        <v>43734</v>
      </c>
      <c r="C981" s="4">
        <v>2.79</v>
      </c>
      <c r="D981" s="4">
        <v>1.5592999999999999</v>
      </c>
      <c r="E981" s="4">
        <v>1</v>
      </c>
      <c r="F981" s="4">
        <v>2.79</v>
      </c>
      <c r="G981" s="4">
        <v>2.79</v>
      </c>
      <c r="H981" s="5">
        <f t="shared" si="15"/>
        <v>2.9512742638320325E-2</v>
      </c>
    </row>
    <row r="982" spans="1:8" ht="13.5" x14ac:dyDescent="0.25">
      <c r="A982" s="1"/>
      <c r="B982" s="3">
        <v>43735</v>
      </c>
      <c r="C982" s="4">
        <v>2.75</v>
      </c>
      <c r="D982" s="4">
        <v>1.5369999999999999</v>
      </c>
      <c r="E982" s="4">
        <v>398</v>
      </c>
      <c r="F982" s="4">
        <v>2.7216</v>
      </c>
      <c r="G982" s="4">
        <v>1083.1967999999999</v>
      </c>
      <c r="H982" s="5">
        <f t="shared" si="15"/>
        <v>-1.4301289039953818E-2</v>
      </c>
    </row>
    <row r="983" spans="1:8" ht="13.5" x14ac:dyDescent="0.25">
      <c r="A983" s="1"/>
      <c r="B983" s="3">
        <v>43738</v>
      </c>
      <c r="C983" s="4">
        <v>2.75</v>
      </c>
      <c r="D983" s="4">
        <v>1.5369999999999999</v>
      </c>
      <c r="E983" s="4">
        <v>0</v>
      </c>
      <c r="F983" s="4">
        <v>0</v>
      </c>
      <c r="G983" s="4">
        <v>0</v>
      </c>
      <c r="H983" s="5">
        <f t="shared" si="15"/>
        <v>0</v>
      </c>
    </row>
    <row r="984" spans="1:8" ht="13.5" x14ac:dyDescent="0.25">
      <c r="A984" s="1"/>
      <c r="B984" s="3">
        <v>43739</v>
      </c>
      <c r="C984" s="4">
        <v>2.7</v>
      </c>
      <c r="D984" s="4">
        <v>1.5089999999999999</v>
      </c>
      <c r="E984" s="4">
        <v>210</v>
      </c>
      <c r="F984" s="4">
        <v>2.7042999999999999</v>
      </c>
      <c r="G984" s="4">
        <v>567.90300000000002</v>
      </c>
      <c r="H984" s="5">
        <f t="shared" si="15"/>
        <v>-1.8217306441119081E-2</v>
      </c>
    </row>
    <row r="985" spans="1:8" ht="13.5" x14ac:dyDescent="0.25">
      <c r="A985" s="1"/>
      <c r="B985" s="3">
        <v>43740</v>
      </c>
      <c r="C985" s="4">
        <v>2.7</v>
      </c>
      <c r="D985" s="4">
        <v>1.5089999999999999</v>
      </c>
      <c r="E985" s="4">
        <v>45</v>
      </c>
      <c r="F985" s="4">
        <v>2.7</v>
      </c>
      <c r="G985" s="4">
        <v>121.5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2.65</v>
      </c>
      <c r="D986" s="4">
        <v>1.4811000000000001</v>
      </c>
      <c r="E986" s="4">
        <v>937</v>
      </c>
      <c r="F986" s="4">
        <v>2.6446999999999998</v>
      </c>
      <c r="G986" s="4">
        <v>2478.0839000000001</v>
      </c>
      <c r="H986" s="5">
        <f t="shared" si="15"/>
        <v>-1.8489065606361706E-2</v>
      </c>
    </row>
    <row r="987" spans="1:8" ht="13.5" x14ac:dyDescent="0.25">
      <c r="A987" s="1"/>
      <c r="B987" s="3">
        <v>43742</v>
      </c>
      <c r="C987" s="4">
        <v>2.79</v>
      </c>
      <c r="D987" s="4">
        <v>1.5592999999999999</v>
      </c>
      <c r="E987" s="4">
        <v>7</v>
      </c>
      <c r="F987" s="4">
        <v>2.74</v>
      </c>
      <c r="G987" s="4">
        <v>19.18</v>
      </c>
      <c r="H987" s="5">
        <f t="shared" si="15"/>
        <v>5.2798595638376758E-2</v>
      </c>
    </row>
    <row r="988" spans="1:8" ht="13.5" x14ac:dyDescent="0.25">
      <c r="A988" s="1"/>
      <c r="B988" s="3">
        <v>43745</v>
      </c>
      <c r="C988" s="4">
        <v>2.8</v>
      </c>
      <c r="D988" s="4">
        <v>1.5649</v>
      </c>
      <c r="E988" s="4">
        <v>483</v>
      </c>
      <c r="F988" s="4">
        <v>2.79</v>
      </c>
      <c r="G988" s="4">
        <v>1347.57</v>
      </c>
      <c r="H988" s="5">
        <f t="shared" si="15"/>
        <v>3.5913550952350734E-3</v>
      </c>
    </row>
    <row r="989" spans="1:8" ht="13.5" x14ac:dyDescent="0.25">
      <c r="A989" s="1"/>
      <c r="B989" s="3">
        <v>43746</v>
      </c>
      <c r="C989" s="4">
        <v>2.8</v>
      </c>
      <c r="D989" s="4">
        <v>1.5649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2.8</v>
      </c>
      <c r="D990" s="4">
        <v>1.5649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2.8</v>
      </c>
      <c r="D991" s="4">
        <v>1.5649</v>
      </c>
      <c r="E991" s="4">
        <v>0</v>
      </c>
      <c r="F991" s="4">
        <v>0</v>
      </c>
      <c r="G991" s="4">
        <v>0</v>
      </c>
      <c r="H991" s="5">
        <f t="shared" si="15"/>
        <v>0</v>
      </c>
    </row>
    <row r="992" spans="1:8" ht="13.5" x14ac:dyDescent="0.25">
      <c r="A992" s="1"/>
      <c r="B992" s="3">
        <v>43749</v>
      </c>
      <c r="C992" s="4">
        <v>2.8</v>
      </c>
      <c r="D992" s="4">
        <v>1.5649</v>
      </c>
      <c r="E992" s="4">
        <v>825</v>
      </c>
      <c r="F992" s="4">
        <v>2.6909000000000001</v>
      </c>
      <c r="G992" s="4">
        <v>2219.9924999999998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2.8</v>
      </c>
      <c r="D993" s="4">
        <v>1.5649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2.7</v>
      </c>
      <c r="D994" s="4">
        <v>1.5089999999999999</v>
      </c>
      <c r="E994" s="4">
        <v>690</v>
      </c>
      <c r="F994" s="4">
        <v>2.7</v>
      </c>
      <c r="G994" s="4">
        <v>1863</v>
      </c>
      <c r="H994" s="5">
        <f t="shared" si="15"/>
        <v>-3.5721132340724687E-2</v>
      </c>
    </row>
    <row r="995" spans="1:8" ht="13.5" x14ac:dyDescent="0.25">
      <c r="A995" s="1"/>
      <c r="B995" s="3">
        <v>43755</v>
      </c>
      <c r="C995" s="4">
        <v>2.7</v>
      </c>
      <c r="D995" s="4">
        <v>1.5089999999999999</v>
      </c>
      <c r="E995" s="4">
        <v>1025</v>
      </c>
      <c r="F995" s="4">
        <v>2.7</v>
      </c>
      <c r="G995" s="4">
        <v>2767.5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2.62</v>
      </c>
      <c r="D996" s="4">
        <v>1.4642999999999999</v>
      </c>
      <c r="E996" s="4">
        <v>1925</v>
      </c>
      <c r="F996" s="4">
        <v>2.62</v>
      </c>
      <c r="G996" s="4">
        <v>5043.5</v>
      </c>
      <c r="H996" s="5">
        <f t="shared" si="15"/>
        <v>-2.9622266401590436E-2</v>
      </c>
    </row>
    <row r="997" spans="1:8" ht="13.5" x14ac:dyDescent="0.25">
      <c r="A997" s="1"/>
      <c r="B997" s="3">
        <v>43759</v>
      </c>
      <c r="C997" s="4">
        <v>2.69</v>
      </c>
      <c r="D997" s="4">
        <v>1.5034000000000001</v>
      </c>
      <c r="E997" s="4">
        <v>505</v>
      </c>
      <c r="F997" s="4">
        <v>2.5897999999999999</v>
      </c>
      <c r="G997" s="4">
        <v>1307.8489999999999</v>
      </c>
      <c r="H997" s="5">
        <f t="shared" si="15"/>
        <v>2.6702178515331652E-2</v>
      </c>
    </row>
    <row r="998" spans="1:8" ht="13.5" x14ac:dyDescent="0.25">
      <c r="A998" s="1"/>
      <c r="B998" s="3">
        <v>43760</v>
      </c>
      <c r="C998" s="4">
        <v>2.65</v>
      </c>
      <c r="D998" s="4">
        <v>1.4811000000000001</v>
      </c>
      <c r="E998" s="4">
        <v>260</v>
      </c>
      <c r="F998" s="4">
        <v>2.6596000000000002</v>
      </c>
      <c r="G998" s="4">
        <v>691.49599999999998</v>
      </c>
      <c r="H998" s="5">
        <f t="shared" si="15"/>
        <v>-1.483304509777836E-2</v>
      </c>
    </row>
    <row r="999" spans="1:8" ht="13.5" x14ac:dyDescent="0.25">
      <c r="A999" s="1"/>
      <c r="B999" s="3">
        <v>43761</v>
      </c>
      <c r="C999" s="4">
        <v>2.62</v>
      </c>
      <c r="D999" s="4">
        <v>1.4642999999999999</v>
      </c>
      <c r="E999" s="4">
        <v>101</v>
      </c>
      <c r="F999" s="4">
        <v>2.6208</v>
      </c>
      <c r="G999" s="4">
        <v>264.70080000000002</v>
      </c>
      <c r="H999" s="5">
        <f t="shared" si="15"/>
        <v>-1.1342920802106643E-2</v>
      </c>
    </row>
    <row r="1000" spans="1:8" ht="13.5" x14ac:dyDescent="0.25">
      <c r="A1000" s="1"/>
      <c r="B1000" s="3">
        <v>43762</v>
      </c>
      <c r="C1000" s="4">
        <v>2.6</v>
      </c>
      <c r="D1000" s="4">
        <v>1.4531000000000001</v>
      </c>
      <c r="E1000" s="4">
        <v>55</v>
      </c>
      <c r="F1000" s="4">
        <v>2.5817999999999999</v>
      </c>
      <c r="G1000" s="4">
        <v>141.999</v>
      </c>
      <c r="H1000" s="5">
        <f t="shared" si="15"/>
        <v>-7.6487058662841473E-3</v>
      </c>
    </row>
    <row r="1001" spans="1:8" ht="13.5" x14ac:dyDescent="0.25">
      <c r="A1001" s="1"/>
      <c r="B1001" s="3">
        <v>43763</v>
      </c>
      <c r="C1001" s="4">
        <v>2.6</v>
      </c>
      <c r="D1001" s="4">
        <v>1.4531000000000001</v>
      </c>
      <c r="E1001" s="4">
        <v>920</v>
      </c>
      <c r="F1001" s="4">
        <v>2.6</v>
      </c>
      <c r="G1001" s="4">
        <v>2392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2.65</v>
      </c>
      <c r="D1002" s="4">
        <v>1.4811000000000001</v>
      </c>
      <c r="E1002" s="4">
        <v>1</v>
      </c>
      <c r="F1002" s="4">
        <v>2.65</v>
      </c>
      <c r="G1002" s="4">
        <v>2.65</v>
      </c>
      <c r="H1002" s="5">
        <f t="shared" si="15"/>
        <v>1.9269148716537076E-2</v>
      </c>
    </row>
    <row r="1003" spans="1:8" ht="13.5" x14ac:dyDescent="0.25">
      <c r="A1003" s="1"/>
      <c r="B1003" s="3">
        <v>43767</v>
      </c>
      <c r="C1003" s="4">
        <v>2.65</v>
      </c>
      <c r="D1003" s="4">
        <v>1.4811000000000001</v>
      </c>
      <c r="E1003" s="4">
        <v>305</v>
      </c>
      <c r="F1003" s="4">
        <v>2.6269999999999998</v>
      </c>
      <c r="G1003" s="4">
        <v>801.23500000000001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2.69</v>
      </c>
      <c r="D1004" s="4">
        <v>1.5034000000000001</v>
      </c>
      <c r="E1004" s="4">
        <v>55</v>
      </c>
      <c r="F1004" s="4">
        <v>2.69</v>
      </c>
      <c r="G1004" s="4">
        <v>147.94999999999999</v>
      </c>
      <c r="H1004" s="5">
        <f t="shared" si="15"/>
        <v>1.5056377017081889E-2</v>
      </c>
    </row>
    <row r="1005" spans="1:8" ht="13.5" x14ac:dyDescent="0.25">
      <c r="A1005" s="1"/>
      <c r="B1005" s="3">
        <v>43769</v>
      </c>
      <c r="C1005" s="4">
        <v>2.68</v>
      </c>
      <c r="D1005" s="4">
        <v>1.4978</v>
      </c>
      <c r="E1005" s="4">
        <v>30</v>
      </c>
      <c r="F1005" s="4">
        <v>2.68</v>
      </c>
      <c r="G1005" s="4">
        <v>80.400000000000006</v>
      </c>
      <c r="H1005" s="5">
        <f t="shared" si="15"/>
        <v>-3.7248902487694887E-3</v>
      </c>
    </row>
    <row r="1006" spans="1:8" ht="13.5" x14ac:dyDescent="0.25">
      <c r="A1006" s="1"/>
      <c r="B1006" s="3">
        <v>43770</v>
      </c>
      <c r="C1006" s="4">
        <v>2.68</v>
      </c>
      <c r="D1006" s="4">
        <v>1.4978</v>
      </c>
      <c r="E1006" s="4">
        <v>0</v>
      </c>
      <c r="F1006" s="4">
        <v>0</v>
      </c>
      <c r="G1006" s="4">
        <v>0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2.68</v>
      </c>
      <c r="D1007" s="4">
        <v>1.4978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2.56</v>
      </c>
      <c r="D1008" s="4">
        <v>1.4308000000000001</v>
      </c>
      <c r="E1008" s="4">
        <v>2005</v>
      </c>
      <c r="F1008" s="4">
        <v>2.56</v>
      </c>
      <c r="G1008" s="4">
        <v>5132.8</v>
      </c>
      <c r="H1008" s="5">
        <f t="shared" si="15"/>
        <v>-4.4732274001869375E-2</v>
      </c>
    </row>
    <row r="1009" spans="1:8" ht="13.5" x14ac:dyDescent="0.25">
      <c r="A1009" s="1"/>
      <c r="B1009" s="3">
        <v>43775</v>
      </c>
      <c r="C1009" s="4">
        <v>2.44</v>
      </c>
      <c r="D1009" s="4">
        <v>1.3636999999999999</v>
      </c>
      <c r="E1009" s="4">
        <v>2724</v>
      </c>
      <c r="F1009" s="4">
        <v>2.4672000000000001</v>
      </c>
      <c r="G1009" s="4">
        <v>6720.6527999999998</v>
      </c>
      <c r="H1009" s="5">
        <f t="shared" si="15"/>
        <v>-4.6896840928152189E-2</v>
      </c>
    </row>
    <row r="1010" spans="1:8" ht="13.5" x14ac:dyDescent="0.25">
      <c r="A1010" s="1"/>
      <c r="B1010" s="3">
        <v>43776</v>
      </c>
      <c r="C1010" s="4">
        <v>2.44</v>
      </c>
      <c r="D1010" s="4">
        <v>1.3636999999999999</v>
      </c>
      <c r="E1010" s="4">
        <v>43</v>
      </c>
      <c r="F1010" s="4">
        <v>2.5049000000000001</v>
      </c>
      <c r="G1010" s="4">
        <v>107.7107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2.5</v>
      </c>
      <c r="D1011" s="4">
        <v>1.3972</v>
      </c>
      <c r="E1011" s="4">
        <v>104</v>
      </c>
      <c r="F1011" s="4">
        <v>2.5001000000000002</v>
      </c>
      <c r="G1011" s="4">
        <v>260.0104</v>
      </c>
      <c r="H1011" s="5">
        <f t="shared" si="15"/>
        <v>2.456552027572053E-2</v>
      </c>
    </row>
    <row r="1012" spans="1:8" ht="13.5" x14ac:dyDescent="0.25">
      <c r="A1012" s="1"/>
      <c r="B1012" s="3">
        <v>43780</v>
      </c>
      <c r="C1012" s="4">
        <v>2.5</v>
      </c>
      <c r="D1012" s="4">
        <v>1.3972</v>
      </c>
      <c r="E1012" s="4">
        <v>44</v>
      </c>
      <c r="F1012" s="4">
        <v>2.5015999999999998</v>
      </c>
      <c r="G1012" s="4">
        <v>110.07040000000001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2.5</v>
      </c>
      <c r="D1013" s="4">
        <v>1.3972</v>
      </c>
      <c r="E1013" s="4">
        <v>4160</v>
      </c>
      <c r="F1013" s="4">
        <v>2.5</v>
      </c>
      <c r="G1013" s="4">
        <v>10400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2.52</v>
      </c>
      <c r="D1014" s="4">
        <v>1.4084000000000001</v>
      </c>
      <c r="E1014" s="4">
        <v>313</v>
      </c>
      <c r="F1014" s="4">
        <v>2.5304000000000002</v>
      </c>
      <c r="G1014" s="4">
        <v>792.01520000000005</v>
      </c>
      <c r="H1014" s="5">
        <f t="shared" si="15"/>
        <v>8.016032064128327E-3</v>
      </c>
    </row>
    <row r="1015" spans="1:8" ht="13.5" x14ac:dyDescent="0.25">
      <c r="A1015" s="1"/>
      <c r="B1015" s="3">
        <v>43783</v>
      </c>
      <c r="C1015" s="4">
        <v>2.57</v>
      </c>
      <c r="D1015" s="4">
        <v>1.4363999999999999</v>
      </c>
      <c r="E1015" s="4">
        <v>155</v>
      </c>
      <c r="F1015" s="4">
        <v>2.5280999999999998</v>
      </c>
      <c r="G1015" s="4">
        <v>391.85550000000001</v>
      </c>
      <c r="H1015" s="5">
        <f t="shared" si="15"/>
        <v>1.9880715705765266E-2</v>
      </c>
    </row>
    <row r="1016" spans="1:8" ht="13.5" x14ac:dyDescent="0.25">
      <c r="A1016" s="1"/>
      <c r="B1016" s="3">
        <v>43784</v>
      </c>
      <c r="C1016" s="4">
        <v>2.57</v>
      </c>
      <c r="D1016" s="4">
        <v>1.4363999999999999</v>
      </c>
      <c r="E1016" s="4">
        <v>589</v>
      </c>
      <c r="F1016" s="4">
        <v>2.5005999999999999</v>
      </c>
      <c r="G1016" s="4">
        <v>1472.8534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2.57</v>
      </c>
      <c r="D1017" s="4">
        <v>1.4363999999999999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2.5</v>
      </c>
      <c r="D1018" s="4">
        <v>1.3972</v>
      </c>
      <c r="E1018" s="4">
        <v>175</v>
      </c>
      <c r="F1018" s="4">
        <v>2.5</v>
      </c>
      <c r="G1018" s="4">
        <v>437.5</v>
      </c>
      <c r="H1018" s="5">
        <f t="shared" si="15"/>
        <v>-2.7290448343079855E-2</v>
      </c>
    </row>
    <row r="1019" spans="1:8" ht="13.5" x14ac:dyDescent="0.25">
      <c r="A1019" s="1"/>
      <c r="B1019" s="3">
        <v>43789</v>
      </c>
      <c r="C1019" s="4">
        <v>2.4900000000000002</v>
      </c>
      <c r="D1019" s="4">
        <v>1.3915999999999999</v>
      </c>
      <c r="E1019" s="4">
        <v>249</v>
      </c>
      <c r="F1019" s="4">
        <v>2.4914000000000001</v>
      </c>
      <c r="G1019" s="4">
        <v>620.35860000000002</v>
      </c>
      <c r="H1019" s="5">
        <f t="shared" si="15"/>
        <v>-4.0080160320641635E-3</v>
      </c>
    </row>
    <row r="1020" spans="1:8" ht="13.5" x14ac:dyDescent="0.25">
      <c r="A1020" s="1"/>
      <c r="B1020" s="3">
        <v>43790</v>
      </c>
      <c r="C1020" s="4">
        <v>2.4300000000000002</v>
      </c>
      <c r="D1020" s="4">
        <v>1.3581000000000001</v>
      </c>
      <c r="E1020" s="4">
        <v>19500</v>
      </c>
      <c r="F1020" s="4">
        <v>2.4302999999999999</v>
      </c>
      <c r="G1020" s="4">
        <v>47390.85</v>
      </c>
      <c r="H1020" s="5">
        <f t="shared" si="15"/>
        <v>-2.4073009485484236E-2</v>
      </c>
    </row>
    <row r="1021" spans="1:8" ht="13.5" x14ac:dyDescent="0.25">
      <c r="A1021" s="1"/>
      <c r="B1021" s="3">
        <v>43791</v>
      </c>
      <c r="C1021" s="4">
        <v>2.31</v>
      </c>
      <c r="D1021" s="4">
        <v>1.2909999999999999</v>
      </c>
      <c r="E1021" s="4">
        <v>3352</v>
      </c>
      <c r="F1021" s="4">
        <v>2.3723000000000001</v>
      </c>
      <c r="G1021" s="4">
        <v>7951.9495999999999</v>
      </c>
      <c r="H1021" s="5">
        <f t="shared" si="15"/>
        <v>-4.9407260142846736E-2</v>
      </c>
    </row>
    <row r="1022" spans="1:8" ht="13.5" x14ac:dyDescent="0.25">
      <c r="A1022" s="1"/>
      <c r="B1022" s="3">
        <v>43794</v>
      </c>
      <c r="C1022" s="4">
        <v>2.19</v>
      </c>
      <c r="D1022" s="4">
        <v>1.224</v>
      </c>
      <c r="E1022" s="4">
        <v>2253</v>
      </c>
      <c r="F1022" s="4">
        <v>2.2113999999999998</v>
      </c>
      <c r="G1022" s="4">
        <v>4982.2842000000001</v>
      </c>
      <c r="H1022" s="5">
        <f t="shared" si="15"/>
        <v>-5.1897753679318322E-2</v>
      </c>
    </row>
    <row r="1023" spans="1:8" ht="13.5" x14ac:dyDescent="0.25">
      <c r="A1023" s="1"/>
      <c r="B1023" s="3">
        <v>43795</v>
      </c>
      <c r="C1023" s="4">
        <v>2.2999999999999998</v>
      </c>
      <c r="D1023" s="4">
        <v>1.2855000000000001</v>
      </c>
      <c r="E1023" s="4">
        <v>351</v>
      </c>
      <c r="F1023" s="4">
        <v>2.2986</v>
      </c>
      <c r="G1023" s="4">
        <v>806.80859999999996</v>
      </c>
      <c r="H1023" s="5">
        <f t="shared" si="15"/>
        <v>5.0245098039215778E-2</v>
      </c>
    </row>
    <row r="1024" spans="1:8" ht="13.5" x14ac:dyDescent="0.25">
      <c r="A1024" s="1"/>
      <c r="B1024" s="3">
        <v>43796</v>
      </c>
      <c r="C1024" s="4">
        <v>2.35</v>
      </c>
      <c r="D1024" s="4">
        <v>1.3133999999999999</v>
      </c>
      <c r="E1024" s="4">
        <v>745</v>
      </c>
      <c r="F1024" s="4">
        <v>2.35</v>
      </c>
      <c r="G1024" s="4">
        <v>1750.75</v>
      </c>
      <c r="H1024" s="5">
        <f t="shared" si="15"/>
        <v>2.1703617269544777E-2</v>
      </c>
    </row>
    <row r="1025" spans="1:8" ht="13.5" x14ac:dyDescent="0.25">
      <c r="A1025" s="1"/>
      <c r="B1025" s="3">
        <v>43797</v>
      </c>
      <c r="C1025" s="4">
        <v>2.35</v>
      </c>
      <c r="D1025" s="4">
        <v>1.3133999999999999</v>
      </c>
      <c r="E1025" s="4">
        <v>255</v>
      </c>
      <c r="F1025" s="4">
        <v>2.3595999999999999</v>
      </c>
      <c r="G1025" s="4">
        <v>601.69799999999998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2.25</v>
      </c>
      <c r="D1026" s="4">
        <v>1.2575000000000001</v>
      </c>
      <c r="E1026" s="4">
        <v>0</v>
      </c>
      <c r="F1026" s="4">
        <v>0</v>
      </c>
      <c r="G1026" s="4">
        <v>0</v>
      </c>
      <c r="H1026" s="5">
        <f t="shared" si="15"/>
        <v>-4.2561291305009775E-2</v>
      </c>
    </row>
    <row r="1027" spans="1:8" ht="13.5" x14ac:dyDescent="0.25">
      <c r="A1027" s="1"/>
      <c r="B1027" s="3">
        <v>43801</v>
      </c>
      <c r="C1027" s="4">
        <v>2.34</v>
      </c>
      <c r="D1027" s="4">
        <v>1.3078000000000001</v>
      </c>
      <c r="E1027" s="4">
        <v>5208</v>
      </c>
      <c r="F1027" s="4">
        <v>2.3233000000000001</v>
      </c>
      <c r="G1027" s="4">
        <v>12099.7464</v>
      </c>
      <c r="H1027" s="5">
        <f t="shared" si="15"/>
        <v>4.0000000000000008E-2</v>
      </c>
    </row>
    <row r="1028" spans="1:8" ht="13.5" x14ac:dyDescent="0.25">
      <c r="A1028" s="1"/>
      <c r="B1028" s="3">
        <v>43802</v>
      </c>
      <c r="C1028" s="4">
        <v>2.31</v>
      </c>
      <c r="D1028" s="4">
        <v>1.2909999999999999</v>
      </c>
      <c r="E1028" s="4">
        <v>2420</v>
      </c>
      <c r="F1028" s="4">
        <v>2.3102</v>
      </c>
      <c r="G1028" s="4">
        <v>5590.6840000000002</v>
      </c>
      <c r="H1028" s="5">
        <f t="shared" si="15"/>
        <v>-1.2846000917571607E-2</v>
      </c>
    </row>
    <row r="1029" spans="1:8" ht="13.5" x14ac:dyDescent="0.25">
      <c r="A1029" s="1"/>
      <c r="B1029" s="3">
        <v>43803</v>
      </c>
      <c r="C1029" s="4">
        <v>2.3199999999999998</v>
      </c>
      <c r="D1029" s="4">
        <v>1.2966</v>
      </c>
      <c r="E1029" s="4">
        <v>1487</v>
      </c>
      <c r="F1029" s="4">
        <v>2.3148</v>
      </c>
      <c r="G1029" s="4">
        <v>3442.1075999999998</v>
      </c>
      <c r="H1029" s="5">
        <f t="shared" si="15"/>
        <v>4.3377226955848567E-3</v>
      </c>
    </row>
    <row r="1030" spans="1:8" ht="13.5" x14ac:dyDescent="0.25">
      <c r="A1030" s="1"/>
      <c r="B1030" s="3">
        <v>43804</v>
      </c>
      <c r="C1030" s="4">
        <v>2.2799999999999998</v>
      </c>
      <c r="D1030" s="4">
        <v>1.2743</v>
      </c>
      <c r="E1030" s="4">
        <v>661</v>
      </c>
      <c r="F1030" s="4">
        <v>2.2875999999999999</v>
      </c>
      <c r="G1030" s="4">
        <v>1512.1035999999999</v>
      </c>
      <c r="H1030" s="5">
        <f t="shared" si="15"/>
        <v>-1.7198827703223805E-2</v>
      </c>
    </row>
    <row r="1031" spans="1:8" ht="13.5" x14ac:dyDescent="0.25">
      <c r="A1031" s="1"/>
      <c r="B1031" s="3">
        <v>43805</v>
      </c>
      <c r="C1031" s="4">
        <v>2.33</v>
      </c>
      <c r="D1031" s="4">
        <v>1.3022</v>
      </c>
      <c r="E1031" s="4">
        <v>123</v>
      </c>
      <c r="F1031" s="4">
        <v>2.3304</v>
      </c>
      <c r="G1031" s="4">
        <v>286.63920000000002</v>
      </c>
      <c r="H1031" s="5">
        <f t="shared" ref="H1031:H1094" si="16">(D1031-D1030)/D1030</f>
        <v>2.1894373381464362E-2</v>
      </c>
    </row>
    <row r="1032" spans="1:8" ht="13.5" x14ac:dyDescent="0.25">
      <c r="A1032" s="1"/>
      <c r="B1032" s="3">
        <v>43808</v>
      </c>
      <c r="C1032" s="4">
        <v>2.33</v>
      </c>
      <c r="D1032" s="4">
        <v>1.3022</v>
      </c>
      <c r="E1032" s="4">
        <v>280</v>
      </c>
      <c r="F1032" s="4">
        <v>2.33</v>
      </c>
      <c r="G1032" s="4">
        <v>652.4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2.3199999999999998</v>
      </c>
      <c r="D1033" s="4">
        <v>1.2966</v>
      </c>
      <c r="E1033" s="4">
        <v>50</v>
      </c>
      <c r="F1033" s="4">
        <v>2.39</v>
      </c>
      <c r="G1033" s="4">
        <v>119.5</v>
      </c>
      <c r="H1033" s="5">
        <f t="shared" si="16"/>
        <v>-4.3004146828444553E-3</v>
      </c>
    </row>
    <row r="1034" spans="1:8" ht="13.5" x14ac:dyDescent="0.25">
      <c r="A1034" s="1"/>
      <c r="B1034" s="3">
        <v>43810</v>
      </c>
      <c r="C1034" s="4">
        <v>2.3199999999999998</v>
      </c>
      <c r="D1034" s="4">
        <v>1.2966</v>
      </c>
      <c r="E1034" s="4">
        <v>345</v>
      </c>
      <c r="F1034" s="4">
        <v>2.3235000000000001</v>
      </c>
      <c r="G1034" s="4">
        <v>801.60749999999996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2.3199999999999998</v>
      </c>
      <c r="D1035" s="4">
        <v>1.2966</v>
      </c>
      <c r="E1035" s="4">
        <v>150</v>
      </c>
      <c r="F1035" s="4">
        <v>2.3199999999999998</v>
      </c>
      <c r="G1035" s="4">
        <v>348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2.2599999999999998</v>
      </c>
      <c r="D1036" s="4">
        <v>1.2630999999999999</v>
      </c>
      <c r="E1036" s="4">
        <v>0</v>
      </c>
      <c r="F1036" s="4">
        <v>0</v>
      </c>
      <c r="G1036" s="4">
        <v>0</v>
      </c>
      <c r="H1036" s="5">
        <f t="shared" si="16"/>
        <v>-2.5836803948789205E-2</v>
      </c>
    </row>
    <row r="1037" spans="1:8" ht="13.5" x14ac:dyDescent="0.25">
      <c r="A1037" s="1"/>
      <c r="B1037" s="3">
        <v>43815</v>
      </c>
      <c r="C1037" s="4">
        <v>2.2999999999999998</v>
      </c>
      <c r="D1037" s="4">
        <v>1.2855000000000001</v>
      </c>
      <c r="E1037" s="4">
        <v>5821</v>
      </c>
      <c r="F1037" s="4">
        <v>2.2601</v>
      </c>
      <c r="G1037" s="4">
        <v>13156.042100000001</v>
      </c>
      <c r="H1037" s="5">
        <f t="shared" si="16"/>
        <v>1.7734146148365292E-2</v>
      </c>
    </row>
    <row r="1038" spans="1:8" ht="13.5" x14ac:dyDescent="0.25">
      <c r="A1038" s="1"/>
      <c r="B1038" s="3">
        <v>43816</v>
      </c>
      <c r="C1038" s="4">
        <v>2.2999999999999998</v>
      </c>
      <c r="D1038" s="4">
        <v>1.2855000000000001</v>
      </c>
      <c r="E1038" s="4">
        <v>0</v>
      </c>
      <c r="F1038" s="4">
        <v>0</v>
      </c>
      <c r="G1038" s="4">
        <v>0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2.2999999999999998</v>
      </c>
      <c r="D1039" s="4">
        <v>1.2855000000000001</v>
      </c>
      <c r="E1039" s="4">
        <v>3935</v>
      </c>
      <c r="F1039" s="4">
        <v>2.2924000000000002</v>
      </c>
      <c r="G1039" s="4">
        <v>9020.5939999999991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2.42</v>
      </c>
      <c r="D1040" s="4">
        <v>1.3525</v>
      </c>
      <c r="E1040" s="4">
        <v>7220</v>
      </c>
      <c r="F1040" s="4">
        <v>2.3504999999999998</v>
      </c>
      <c r="G1040" s="4">
        <v>16970.61</v>
      </c>
      <c r="H1040" s="5">
        <f t="shared" si="16"/>
        <v>5.2119797744068413E-2</v>
      </c>
    </row>
    <row r="1041" spans="1:8" ht="13.5" x14ac:dyDescent="0.25">
      <c r="A1041" s="1"/>
      <c r="B1041" s="3">
        <v>43819</v>
      </c>
      <c r="C1041" s="4">
        <v>2.56</v>
      </c>
      <c r="D1041" s="4">
        <v>1.4308000000000001</v>
      </c>
      <c r="E1041" s="4">
        <v>405</v>
      </c>
      <c r="F1041" s="4">
        <v>2.5488</v>
      </c>
      <c r="G1041" s="4">
        <v>1032.2639999999999</v>
      </c>
      <c r="H1041" s="5">
        <f t="shared" si="16"/>
        <v>5.7892791127541615E-2</v>
      </c>
    </row>
    <row r="1042" spans="1:8" ht="13.5" x14ac:dyDescent="0.25">
      <c r="A1042" s="1"/>
      <c r="B1042" s="3">
        <v>43822</v>
      </c>
      <c r="C1042" s="4">
        <v>2.7</v>
      </c>
      <c r="D1042" s="4">
        <v>1.5089999999999999</v>
      </c>
      <c r="E1042" s="4">
        <v>1814</v>
      </c>
      <c r="F1042" s="4">
        <v>2.6981000000000002</v>
      </c>
      <c r="G1042" s="4">
        <v>4894.3534</v>
      </c>
      <c r="H1042" s="5">
        <f t="shared" si="16"/>
        <v>5.4654738607771751E-2</v>
      </c>
    </row>
    <row r="1043" spans="1:8" ht="13.5" x14ac:dyDescent="0.25">
      <c r="A1043" s="1"/>
      <c r="B1043" s="3">
        <v>43823</v>
      </c>
      <c r="C1043" s="4">
        <v>2.7</v>
      </c>
      <c r="D1043" s="4">
        <v>1.5089999999999999</v>
      </c>
      <c r="E1043" s="4">
        <v>15539</v>
      </c>
      <c r="F1043" s="4">
        <v>2.7025999999999999</v>
      </c>
      <c r="G1043" s="4">
        <v>41995.701399999998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2.86</v>
      </c>
      <c r="D1044" s="4">
        <v>1.5984</v>
      </c>
      <c r="E1044" s="4">
        <v>26963</v>
      </c>
      <c r="F1044" s="4">
        <v>2.8525999999999998</v>
      </c>
      <c r="G1044" s="4">
        <v>76914.6538</v>
      </c>
      <c r="H1044" s="5">
        <f t="shared" si="16"/>
        <v>5.9244532803181017E-2</v>
      </c>
    </row>
    <row r="1045" spans="1:8" ht="13.5" x14ac:dyDescent="0.25">
      <c r="A1045" s="1"/>
      <c r="B1045" s="3">
        <v>43825</v>
      </c>
      <c r="C1045" s="4">
        <v>2.85</v>
      </c>
      <c r="D1045" s="4">
        <v>1.5928</v>
      </c>
      <c r="E1045" s="4">
        <v>1991</v>
      </c>
      <c r="F1045" s="4">
        <v>2.9420999999999999</v>
      </c>
      <c r="G1045" s="4">
        <v>5857.7210999999998</v>
      </c>
      <c r="H1045" s="5">
        <f t="shared" si="16"/>
        <v>-3.5035035035035343E-3</v>
      </c>
    </row>
    <row r="1046" spans="1:8" ht="13.5" x14ac:dyDescent="0.25">
      <c r="A1046" s="1"/>
      <c r="B1046" s="3">
        <v>43826</v>
      </c>
      <c r="C1046" s="4">
        <v>2.9</v>
      </c>
      <c r="D1046" s="4">
        <v>1.6208</v>
      </c>
      <c r="E1046" s="4">
        <v>130</v>
      </c>
      <c r="F1046" s="4">
        <v>2.9</v>
      </c>
      <c r="G1046" s="4">
        <v>377</v>
      </c>
      <c r="H1046" s="5">
        <f t="shared" si="16"/>
        <v>1.7579105976896048E-2</v>
      </c>
    </row>
    <row r="1047" spans="1:8" ht="13.5" x14ac:dyDescent="0.25">
      <c r="A1047" s="1"/>
      <c r="B1047" s="3">
        <v>43829</v>
      </c>
      <c r="C1047" s="4">
        <v>2.85</v>
      </c>
      <c r="D1047" s="4">
        <v>1.5928</v>
      </c>
      <c r="E1047" s="4">
        <v>8000</v>
      </c>
      <c r="F1047" s="4">
        <v>2.98</v>
      </c>
      <c r="G1047" s="4">
        <v>23840</v>
      </c>
      <c r="H1047" s="5">
        <f t="shared" si="16"/>
        <v>-1.7275419545903274E-2</v>
      </c>
    </row>
    <row r="1048" spans="1:8" ht="13.5" x14ac:dyDescent="0.25">
      <c r="A1048" s="1"/>
      <c r="B1048" s="3">
        <v>43830</v>
      </c>
      <c r="C1048" s="4">
        <v>2.76</v>
      </c>
      <c r="D1048" s="4">
        <v>1.5425</v>
      </c>
      <c r="E1048" s="4">
        <v>12000</v>
      </c>
      <c r="F1048" s="4">
        <v>2.89</v>
      </c>
      <c r="G1048" s="4">
        <v>34680</v>
      </c>
      <c r="H1048" s="5">
        <f t="shared" si="16"/>
        <v>-3.1579608237066806E-2</v>
      </c>
    </row>
    <row r="1049" spans="1:8" ht="13.5" x14ac:dyDescent="0.25">
      <c r="A1049" s="1"/>
      <c r="B1049" s="3">
        <v>43832</v>
      </c>
      <c r="C1049" s="4">
        <v>2.68</v>
      </c>
      <c r="D1049" s="4">
        <v>1.4978</v>
      </c>
      <c r="E1049" s="4">
        <v>305</v>
      </c>
      <c r="F1049" s="4">
        <v>2.7305000000000001</v>
      </c>
      <c r="G1049" s="4">
        <v>832.80250000000001</v>
      </c>
      <c r="H1049" s="5">
        <f t="shared" si="16"/>
        <v>-2.897893030794163E-2</v>
      </c>
    </row>
    <row r="1050" spans="1:8" ht="13.5" x14ac:dyDescent="0.25">
      <c r="A1050" s="1"/>
      <c r="B1050" s="3">
        <v>43833</v>
      </c>
      <c r="C1050" s="4">
        <v>2.56</v>
      </c>
      <c r="D1050" s="4">
        <v>1.4308000000000001</v>
      </c>
      <c r="E1050" s="4">
        <v>0</v>
      </c>
      <c r="F1050" s="4">
        <v>0</v>
      </c>
      <c r="G1050" s="4">
        <v>0</v>
      </c>
      <c r="H1050" s="5">
        <f t="shared" si="16"/>
        <v>-4.4732274001869375E-2</v>
      </c>
    </row>
    <row r="1051" spans="1:8" ht="13.5" x14ac:dyDescent="0.25">
      <c r="A1051" s="1"/>
      <c r="B1051" s="3">
        <v>43836</v>
      </c>
      <c r="C1051" s="4">
        <v>2.4500000000000002</v>
      </c>
      <c r="D1051" s="4">
        <v>1.3693</v>
      </c>
      <c r="E1051" s="4">
        <v>0</v>
      </c>
      <c r="F1051" s="4">
        <v>0</v>
      </c>
      <c r="G1051" s="4">
        <v>0</v>
      </c>
      <c r="H1051" s="5">
        <f t="shared" si="16"/>
        <v>-4.2982946603298926E-2</v>
      </c>
    </row>
    <row r="1052" spans="1:8" ht="13.5" x14ac:dyDescent="0.25">
      <c r="A1052" s="1"/>
      <c r="B1052" s="3">
        <v>43837</v>
      </c>
      <c r="C1052" s="4">
        <v>2.56</v>
      </c>
      <c r="D1052" s="4">
        <v>1.4308000000000001</v>
      </c>
      <c r="E1052" s="4">
        <v>3099</v>
      </c>
      <c r="F1052" s="4">
        <v>2.4649000000000001</v>
      </c>
      <c r="G1052" s="4">
        <v>7638.7250999999997</v>
      </c>
      <c r="H1052" s="5">
        <f t="shared" si="16"/>
        <v>4.4913459431826563E-2</v>
      </c>
    </row>
    <row r="1053" spans="1:8" ht="13.5" x14ac:dyDescent="0.25">
      <c r="A1053" s="1"/>
      <c r="B1053" s="3">
        <v>43838</v>
      </c>
      <c r="C1053" s="4">
        <v>2.7</v>
      </c>
      <c r="D1053" s="4">
        <v>1.5089999999999999</v>
      </c>
      <c r="E1053" s="4">
        <v>3898</v>
      </c>
      <c r="F1053" s="4">
        <v>2.6970000000000001</v>
      </c>
      <c r="G1053" s="4">
        <v>10512.906000000001</v>
      </c>
      <c r="H1053" s="5">
        <f t="shared" si="16"/>
        <v>5.4654738607771751E-2</v>
      </c>
    </row>
    <row r="1054" spans="1:8" ht="13.5" x14ac:dyDescent="0.25">
      <c r="A1054" s="1"/>
      <c r="B1054" s="3">
        <v>43839</v>
      </c>
      <c r="C1054" s="4">
        <v>2.85</v>
      </c>
      <c r="D1054" s="4">
        <v>1.5928</v>
      </c>
      <c r="E1054" s="4">
        <v>1298</v>
      </c>
      <c r="F1054" s="4">
        <v>2.7858000000000001</v>
      </c>
      <c r="G1054" s="4">
        <v>3615.9684000000002</v>
      </c>
      <c r="H1054" s="5">
        <f t="shared" si="16"/>
        <v>5.5533465871438106E-2</v>
      </c>
    </row>
    <row r="1055" spans="1:8" ht="13.5" x14ac:dyDescent="0.25">
      <c r="A1055" s="1"/>
      <c r="B1055" s="3">
        <v>43840</v>
      </c>
      <c r="C1055" s="4">
        <v>3</v>
      </c>
      <c r="D1055" s="4">
        <v>1.6767000000000001</v>
      </c>
      <c r="E1055" s="4">
        <v>2942</v>
      </c>
      <c r="F1055" s="4">
        <v>2.9847000000000001</v>
      </c>
      <c r="G1055" s="4">
        <v>8780.9874</v>
      </c>
      <c r="H1055" s="5">
        <f t="shared" si="16"/>
        <v>5.2674535409342096E-2</v>
      </c>
    </row>
    <row r="1056" spans="1:8" ht="13.5" x14ac:dyDescent="0.25">
      <c r="A1056" s="1"/>
      <c r="B1056" s="3">
        <v>43843</v>
      </c>
      <c r="C1056" s="4">
        <v>3.09</v>
      </c>
      <c r="D1056" s="4">
        <v>1.7270000000000001</v>
      </c>
      <c r="E1056" s="4">
        <v>37</v>
      </c>
      <c r="F1056" s="4">
        <v>3.09</v>
      </c>
      <c r="G1056" s="4">
        <v>114.33</v>
      </c>
      <c r="H1056" s="5">
        <f t="shared" si="16"/>
        <v>2.9999403590385883E-2</v>
      </c>
    </row>
    <row r="1057" spans="1:8" ht="13.5" x14ac:dyDescent="0.25">
      <c r="A1057" s="1"/>
      <c r="B1057" s="3">
        <v>43845</v>
      </c>
      <c r="C1057" s="4">
        <v>2.96</v>
      </c>
      <c r="D1057" s="4">
        <v>1.6543000000000001</v>
      </c>
      <c r="E1057" s="4">
        <v>200</v>
      </c>
      <c r="F1057" s="4">
        <v>2.96</v>
      </c>
      <c r="G1057" s="4">
        <v>592</v>
      </c>
      <c r="H1057" s="5">
        <f t="shared" si="16"/>
        <v>-4.2096120440069475E-2</v>
      </c>
    </row>
    <row r="1058" spans="1:8" ht="13.5" x14ac:dyDescent="0.25">
      <c r="A1058" s="1"/>
      <c r="B1058" s="3">
        <v>43846</v>
      </c>
      <c r="C1058" s="4">
        <v>2.95</v>
      </c>
      <c r="D1058" s="4">
        <v>1.6487000000000001</v>
      </c>
      <c r="E1058" s="4">
        <v>722</v>
      </c>
      <c r="F1058" s="4">
        <v>2.8818999999999999</v>
      </c>
      <c r="G1058" s="4">
        <v>2080.7318</v>
      </c>
      <c r="H1058" s="5">
        <f t="shared" si="16"/>
        <v>-3.385117572387142E-3</v>
      </c>
    </row>
    <row r="1059" spans="1:8" ht="13.5" x14ac:dyDescent="0.25">
      <c r="A1059" s="1"/>
      <c r="B1059" s="3">
        <v>43847</v>
      </c>
      <c r="C1059" s="4">
        <v>2.9</v>
      </c>
      <c r="D1059" s="4">
        <v>1.6208</v>
      </c>
      <c r="E1059" s="4">
        <v>1150</v>
      </c>
      <c r="F1059" s="4">
        <v>2.8826000000000001</v>
      </c>
      <c r="G1059" s="4">
        <v>3314.99</v>
      </c>
      <c r="H1059" s="5">
        <f t="shared" si="16"/>
        <v>-1.692242372778555E-2</v>
      </c>
    </row>
    <row r="1060" spans="1:8" ht="13.5" x14ac:dyDescent="0.25">
      <c r="A1060" s="1"/>
      <c r="B1060" s="3">
        <v>43850</v>
      </c>
      <c r="C1060" s="4">
        <v>2.89</v>
      </c>
      <c r="D1060" s="4">
        <v>1.6152</v>
      </c>
      <c r="E1060" s="4">
        <v>1005</v>
      </c>
      <c r="F1060" s="4">
        <v>2.8902999999999999</v>
      </c>
      <c r="G1060" s="4">
        <v>2904.7514999999999</v>
      </c>
      <c r="H1060" s="5">
        <f t="shared" si="16"/>
        <v>-3.455083909180682E-3</v>
      </c>
    </row>
    <row r="1061" spans="1:8" ht="13.5" x14ac:dyDescent="0.25">
      <c r="A1061" s="1"/>
      <c r="B1061" s="3">
        <v>43851</v>
      </c>
      <c r="C1061" s="4">
        <v>2.89</v>
      </c>
      <c r="D1061" s="4">
        <v>1.6152</v>
      </c>
      <c r="E1061" s="4">
        <v>0</v>
      </c>
      <c r="F1061" s="4">
        <v>0</v>
      </c>
      <c r="G1061" s="4">
        <v>0</v>
      </c>
      <c r="H1061" s="5">
        <f t="shared" si="16"/>
        <v>0</v>
      </c>
    </row>
    <row r="1062" spans="1:8" ht="13.5" x14ac:dyDescent="0.25">
      <c r="A1062" s="1"/>
      <c r="B1062" s="3">
        <v>43852</v>
      </c>
      <c r="C1062" s="4">
        <v>2.82</v>
      </c>
      <c r="D1062" s="4">
        <v>1.5761000000000001</v>
      </c>
      <c r="E1062" s="4">
        <v>750</v>
      </c>
      <c r="F1062" s="4">
        <v>2.82</v>
      </c>
      <c r="G1062" s="4">
        <v>2115</v>
      </c>
      <c r="H1062" s="5">
        <f t="shared" si="16"/>
        <v>-2.4207528479445215E-2</v>
      </c>
    </row>
    <row r="1063" spans="1:8" ht="13.5" x14ac:dyDescent="0.25">
      <c r="A1063" s="1"/>
      <c r="B1063" s="3">
        <v>43853</v>
      </c>
      <c r="C1063" s="4">
        <v>2.9</v>
      </c>
      <c r="D1063" s="4">
        <v>1.6208</v>
      </c>
      <c r="E1063" s="4">
        <v>10</v>
      </c>
      <c r="F1063" s="4">
        <v>2.9</v>
      </c>
      <c r="G1063" s="4">
        <v>29</v>
      </c>
      <c r="H1063" s="5">
        <f t="shared" si="16"/>
        <v>2.8361144597423997E-2</v>
      </c>
    </row>
    <row r="1064" spans="1:8" ht="13.5" x14ac:dyDescent="0.25">
      <c r="A1064" s="1"/>
      <c r="B1064" s="3">
        <v>43854</v>
      </c>
      <c r="C1064" s="4">
        <v>3</v>
      </c>
      <c r="D1064" s="4">
        <v>1.6767000000000001</v>
      </c>
      <c r="E1064" s="4">
        <v>110</v>
      </c>
      <c r="F1064" s="4">
        <v>2.9817999999999998</v>
      </c>
      <c r="G1064" s="4">
        <v>327.99799999999999</v>
      </c>
      <c r="H1064" s="5">
        <f t="shared" si="16"/>
        <v>3.44891411648569E-2</v>
      </c>
    </row>
    <row r="1065" spans="1:8" ht="13.5" x14ac:dyDescent="0.25">
      <c r="A1065" s="1"/>
      <c r="B1065" s="3">
        <v>43857</v>
      </c>
      <c r="C1065" s="4">
        <v>2.91</v>
      </c>
      <c r="D1065" s="4">
        <v>1.6264000000000001</v>
      </c>
      <c r="E1065" s="4">
        <v>1000</v>
      </c>
      <c r="F1065" s="4">
        <v>2.91</v>
      </c>
      <c r="G1065" s="4">
        <v>2910</v>
      </c>
      <c r="H1065" s="5">
        <f t="shared" si="16"/>
        <v>-2.9999403590385883E-2</v>
      </c>
    </row>
    <row r="1066" spans="1:8" ht="13.5" x14ac:dyDescent="0.25">
      <c r="A1066" s="1"/>
      <c r="B1066" s="3">
        <v>43858</v>
      </c>
      <c r="C1066" s="4">
        <v>2.75</v>
      </c>
      <c r="D1066" s="4">
        <v>1.5369999999999999</v>
      </c>
      <c r="E1066" s="4">
        <v>2593</v>
      </c>
      <c r="F1066" s="4">
        <v>2.83</v>
      </c>
      <c r="G1066" s="4">
        <v>7338.19</v>
      </c>
      <c r="H1066" s="5">
        <f t="shared" si="16"/>
        <v>-5.496802754549935E-2</v>
      </c>
    </row>
    <row r="1067" spans="1:8" ht="13.5" x14ac:dyDescent="0.25">
      <c r="A1067" s="1"/>
      <c r="B1067" s="3">
        <v>43859</v>
      </c>
      <c r="C1067" s="4">
        <v>2.75</v>
      </c>
      <c r="D1067" s="4">
        <v>1.5369999999999999</v>
      </c>
      <c r="E1067" s="4">
        <v>375</v>
      </c>
      <c r="F1067" s="4">
        <v>2.7073</v>
      </c>
      <c r="G1067" s="4">
        <v>1015.2375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2.75</v>
      </c>
      <c r="D1068" s="4">
        <v>1.5369999999999999</v>
      </c>
      <c r="E1068" s="4">
        <v>235</v>
      </c>
      <c r="F1068" s="4">
        <v>2.75</v>
      </c>
      <c r="G1068" s="4">
        <v>646.25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2.8</v>
      </c>
      <c r="D1069" s="4">
        <v>1.5649</v>
      </c>
      <c r="E1069" s="4">
        <v>2005</v>
      </c>
      <c r="F1069" s="4">
        <v>2.8</v>
      </c>
      <c r="G1069" s="4">
        <v>5614</v>
      </c>
      <c r="H1069" s="5">
        <f t="shared" si="16"/>
        <v>1.8152244632400807E-2</v>
      </c>
    </row>
    <row r="1070" spans="1:8" ht="13.5" x14ac:dyDescent="0.25">
      <c r="A1070" s="1"/>
      <c r="B1070" s="3">
        <v>43864</v>
      </c>
      <c r="C1070" s="4">
        <v>2.68</v>
      </c>
      <c r="D1070" s="4">
        <v>1.4978</v>
      </c>
      <c r="E1070" s="4">
        <v>2005</v>
      </c>
      <c r="F1070" s="4">
        <v>2.8</v>
      </c>
      <c r="G1070" s="4">
        <v>5614</v>
      </c>
      <c r="H1070" s="5">
        <f t="shared" si="16"/>
        <v>-4.287813917822221E-2</v>
      </c>
    </row>
    <row r="1071" spans="1:8" ht="13.5" x14ac:dyDescent="0.25">
      <c r="A1071" s="1"/>
      <c r="B1071" s="3">
        <v>43865</v>
      </c>
      <c r="C1071" s="4">
        <v>2.62</v>
      </c>
      <c r="D1071" s="4">
        <v>1.4642999999999999</v>
      </c>
      <c r="E1071" s="4">
        <v>1591</v>
      </c>
      <c r="F1071" s="4">
        <v>2.6147999999999998</v>
      </c>
      <c r="G1071" s="4">
        <v>4160.1468000000004</v>
      </c>
      <c r="H1071" s="5">
        <f t="shared" si="16"/>
        <v>-2.236613700093476E-2</v>
      </c>
    </row>
    <row r="1072" spans="1:8" ht="13.5" x14ac:dyDescent="0.25">
      <c r="A1072" s="1"/>
      <c r="B1072" s="3">
        <v>43866</v>
      </c>
      <c r="C1072" s="4">
        <v>2.5499999999999998</v>
      </c>
      <c r="D1072" s="4">
        <v>1.4252</v>
      </c>
      <c r="E1072" s="4">
        <v>1386</v>
      </c>
      <c r="F1072" s="4">
        <v>2.5952000000000002</v>
      </c>
      <c r="G1072" s="4">
        <v>3596.9472000000001</v>
      </c>
      <c r="H1072" s="5">
        <f t="shared" si="16"/>
        <v>-2.67021785153315E-2</v>
      </c>
    </row>
    <row r="1073" spans="1:8" ht="13.5" x14ac:dyDescent="0.25">
      <c r="A1073" s="1"/>
      <c r="B1073" s="3">
        <v>43867</v>
      </c>
      <c r="C1073" s="4">
        <v>2.62</v>
      </c>
      <c r="D1073" s="4">
        <v>1.4642999999999999</v>
      </c>
      <c r="E1073" s="4">
        <v>1441</v>
      </c>
      <c r="F1073" s="4">
        <v>2.62</v>
      </c>
      <c r="G1073" s="4">
        <v>3775.42</v>
      </c>
      <c r="H1073" s="5">
        <f t="shared" si="16"/>
        <v>2.7434746000561262E-2</v>
      </c>
    </row>
    <row r="1074" spans="1:8" ht="13.5" x14ac:dyDescent="0.25">
      <c r="A1074" s="1"/>
      <c r="B1074" s="3">
        <v>43868</v>
      </c>
      <c r="C1074" s="4">
        <v>2.62</v>
      </c>
      <c r="D1074" s="4">
        <v>1.4642999999999999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2.62</v>
      </c>
      <c r="D1075" s="4">
        <v>1.4642999999999999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2.69</v>
      </c>
      <c r="D1076" s="4">
        <v>1.5034000000000001</v>
      </c>
      <c r="E1076" s="4">
        <v>230</v>
      </c>
      <c r="F1076" s="4">
        <v>2.6246</v>
      </c>
      <c r="G1076" s="4">
        <v>603.65800000000002</v>
      </c>
      <c r="H1076" s="5">
        <f t="shared" si="16"/>
        <v>2.6702178515331652E-2</v>
      </c>
    </row>
    <row r="1077" spans="1:8" ht="13.5" x14ac:dyDescent="0.25">
      <c r="A1077" s="1"/>
      <c r="B1077" s="3">
        <v>43873</v>
      </c>
      <c r="C1077" s="4">
        <v>2.8</v>
      </c>
      <c r="D1077" s="4">
        <v>1.5649</v>
      </c>
      <c r="E1077" s="4">
        <v>101</v>
      </c>
      <c r="F1077" s="4">
        <v>2.7208000000000001</v>
      </c>
      <c r="G1077" s="4">
        <v>274.80079999999998</v>
      </c>
      <c r="H1077" s="5">
        <f t="shared" si="16"/>
        <v>4.0907276839164487E-2</v>
      </c>
    </row>
    <row r="1078" spans="1:8" ht="13.5" x14ac:dyDescent="0.25">
      <c r="A1078" s="1"/>
      <c r="B1078" s="3">
        <v>43874</v>
      </c>
      <c r="C1078" s="4">
        <v>2.84</v>
      </c>
      <c r="D1078" s="4">
        <v>1.5872999999999999</v>
      </c>
      <c r="E1078" s="4">
        <v>15</v>
      </c>
      <c r="F1078" s="4">
        <v>2.84</v>
      </c>
      <c r="G1078" s="4">
        <v>42.6</v>
      </c>
      <c r="H1078" s="5">
        <f t="shared" si="16"/>
        <v>1.4314013674995192E-2</v>
      </c>
    </row>
    <row r="1079" spans="1:8" ht="13.5" x14ac:dyDescent="0.25">
      <c r="A1079" s="1"/>
      <c r="B1079" s="3">
        <v>43875</v>
      </c>
      <c r="C1079" s="4">
        <v>2.84</v>
      </c>
      <c r="D1079" s="4">
        <v>1.5872999999999999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2.84</v>
      </c>
      <c r="D1080" s="4">
        <v>1.5872999999999999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2.72</v>
      </c>
      <c r="D1081" s="4">
        <v>1.5202</v>
      </c>
      <c r="E1081" s="4">
        <v>0</v>
      </c>
      <c r="F1081" s="4">
        <v>0</v>
      </c>
      <c r="G1081" s="4">
        <v>0</v>
      </c>
      <c r="H1081" s="5">
        <f t="shared" si="16"/>
        <v>-4.2273042273042238E-2</v>
      </c>
    </row>
    <row r="1082" spans="1:8" ht="13.5" x14ac:dyDescent="0.25">
      <c r="A1082" s="1"/>
      <c r="B1082" s="3">
        <v>43880</v>
      </c>
      <c r="C1082" s="4">
        <v>2.68</v>
      </c>
      <c r="D1082" s="4">
        <v>1.4978</v>
      </c>
      <c r="E1082" s="4">
        <v>1690</v>
      </c>
      <c r="F1082" s="4">
        <v>2.6983000000000001</v>
      </c>
      <c r="G1082" s="4">
        <v>4560.1270000000004</v>
      </c>
      <c r="H1082" s="5">
        <f t="shared" si="16"/>
        <v>-1.4734903302197063E-2</v>
      </c>
    </row>
    <row r="1083" spans="1:8" ht="13.5" x14ac:dyDescent="0.25">
      <c r="A1083" s="1"/>
      <c r="B1083" s="3">
        <v>43881</v>
      </c>
      <c r="C1083" s="4">
        <v>2.6</v>
      </c>
      <c r="D1083" s="4">
        <v>1.4531000000000001</v>
      </c>
      <c r="E1083" s="4">
        <v>850</v>
      </c>
      <c r="F1083" s="4">
        <v>2.6</v>
      </c>
      <c r="G1083" s="4">
        <v>2210</v>
      </c>
      <c r="H1083" s="5">
        <f t="shared" si="16"/>
        <v>-2.9843770863933743E-2</v>
      </c>
    </row>
    <row r="1084" spans="1:8" ht="13.5" x14ac:dyDescent="0.25">
      <c r="A1084" s="1"/>
      <c r="B1084" s="3">
        <v>43882</v>
      </c>
      <c r="C1084" s="4">
        <v>2.67</v>
      </c>
      <c r="D1084" s="4">
        <v>1.4922</v>
      </c>
      <c r="E1084" s="4">
        <v>0</v>
      </c>
      <c r="F1084" s="4">
        <v>0</v>
      </c>
      <c r="G1084" s="4">
        <v>0</v>
      </c>
      <c r="H1084" s="5">
        <f t="shared" si="16"/>
        <v>2.6907989814878474E-2</v>
      </c>
    </row>
    <row r="1085" spans="1:8" ht="13.5" x14ac:dyDescent="0.25">
      <c r="A1085" s="1"/>
      <c r="B1085" s="3">
        <v>43885</v>
      </c>
      <c r="C1085" s="4">
        <v>2.67</v>
      </c>
      <c r="D1085" s="4">
        <v>1.4922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2.67</v>
      </c>
      <c r="D1086" s="4">
        <v>1.4922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2.67</v>
      </c>
      <c r="D1087" s="4">
        <v>1.4922</v>
      </c>
      <c r="E1087" s="4">
        <v>0</v>
      </c>
      <c r="F1087" s="4">
        <v>0</v>
      </c>
      <c r="G1087" s="4">
        <v>0</v>
      </c>
      <c r="H1087" s="5">
        <f t="shared" si="16"/>
        <v>0</v>
      </c>
    </row>
    <row r="1088" spans="1:8" ht="13.5" x14ac:dyDescent="0.25">
      <c r="A1088" s="1"/>
      <c r="B1088" s="3">
        <v>43888</v>
      </c>
      <c r="C1088" s="4">
        <v>2.59</v>
      </c>
      <c r="D1088" s="4">
        <v>1.4475</v>
      </c>
      <c r="E1088" s="4">
        <v>30</v>
      </c>
      <c r="F1088" s="4">
        <v>2.59</v>
      </c>
      <c r="G1088" s="4">
        <v>77.7</v>
      </c>
      <c r="H1088" s="5">
        <f t="shared" si="16"/>
        <v>-2.9955770004020884E-2</v>
      </c>
    </row>
    <row r="1089" spans="1:8" ht="13.5" x14ac:dyDescent="0.25">
      <c r="A1089" s="1"/>
      <c r="B1089" s="3">
        <v>43889</v>
      </c>
      <c r="C1089" s="4">
        <v>2.5099999999999998</v>
      </c>
      <c r="D1089" s="4">
        <v>1.4028</v>
      </c>
      <c r="E1089" s="4">
        <v>5437</v>
      </c>
      <c r="F1089" s="4">
        <v>2.5099999999999998</v>
      </c>
      <c r="G1089" s="4">
        <v>13646.87</v>
      </c>
      <c r="H1089" s="5">
        <f t="shared" si="16"/>
        <v>-3.0880829015544016E-2</v>
      </c>
    </row>
    <row r="1090" spans="1:8" ht="13.5" x14ac:dyDescent="0.25">
      <c r="A1090" s="1"/>
      <c r="B1090" s="3">
        <v>43892</v>
      </c>
      <c r="C1090" s="4">
        <v>2.58</v>
      </c>
      <c r="D1090" s="4">
        <v>1.4419</v>
      </c>
      <c r="E1090" s="4">
        <v>20</v>
      </c>
      <c r="F1090" s="4">
        <v>2.58</v>
      </c>
      <c r="G1090" s="4">
        <v>51.6</v>
      </c>
      <c r="H1090" s="5">
        <f t="shared" si="16"/>
        <v>2.7872825777017329E-2</v>
      </c>
    </row>
    <row r="1091" spans="1:8" ht="13.5" x14ac:dyDescent="0.25">
      <c r="A1091" s="1"/>
      <c r="B1091" s="3">
        <v>43893</v>
      </c>
      <c r="C1091" s="4">
        <v>2.64</v>
      </c>
      <c r="D1091" s="4">
        <v>1.4755</v>
      </c>
      <c r="E1091" s="4">
        <v>4</v>
      </c>
      <c r="F1091" s="4">
        <v>2.64</v>
      </c>
      <c r="G1091" s="4">
        <v>10.56</v>
      </c>
      <c r="H1091" s="5">
        <f t="shared" si="16"/>
        <v>2.3302586864553766E-2</v>
      </c>
    </row>
    <row r="1092" spans="1:8" ht="13.5" x14ac:dyDescent="0.25">
      <c r="A1092" s="1"/>
      <c r="B1092" s="3">
        <v>43894</v>
      </c>
      <c r="C1092" s="4">
        <v>2.64</v>
      </c>
      <c r="D1092" s="4">
        <v>1.4755</v>
      </c>
      <c r="E1092" s="4">
        <v>0</v>
      </c>
      <c r="F1092" s="4">
        <v>0</v>
      </c>
      <c r="G1092" s="4">
        <v>0</v>
      </c>
      <c r="H1092" s="5">
        <f t="shared" si="16"/>
        <v>0</v>
      </c>
    </row>
    <row r="1093" spans="1:8" ht="13.5" x14ac:dyDescent="0.25">
      <c r="A1093" s="1"/>
      <c r="B1093" s="3">
        <v>43895</v>
      </c>
      <c r="C1093" s="4">
        <v>2.57</v>
      </c>
      <c r="D1093" s="4">
        <v>1.4363999999999999</v>
      </c>
      <c r="E1093" s="4">
        <v>4</v>
      </c>
      <c r="F1093" s="4">
        <v>2.57</v>
      </c>
      <c r="G1093" s="4">
        <v>10.28</v>
      </c>
      <c r="H1093" s="5">
        <f t="shared" si="16"/>
        <v>-2.6499491697729673E-2</v>
      </c>
    </row>
    <row r="1094" spans="1:8" ht="13.5" x14ac:dyDescent="0.25">
      <c r="A1094" s="1"/>
      <c r="B1094" s="3">
        <v>43896</v>
      </c>
      <c r="C1094" s="4">
        <v>2.5</v>
      </c>
      <c r="D1094" s="4">
        <v>1.3972</v>
      </c>
      <c r="E1094" s="4">
        <v>1260</v>
      </c>
      <c r="F1094" s="4">
        <v>2.5</v>
      </c>
      <c r="G1094" s="4">
        <v>3150</v>
      </c>
      <c r="H1094" s="5">
        <f t="shared" si="16"/>
        <v>-2.7290448343079855E-2</v>
      </c>
    </row>
    <row r="1095" spans="1:8" ht="13.5" x14ac:dyDescent="0.25">
      <c r="A1095" s="1"/>
      <c r="B1095" s="3">
        <v>43899</v>
      </c>
      <c r="C1095" s="4">
        <v>2.4300000000000002</v>
      </c>
      <c r="D1095" s="4">
        <v>1.3581000000000001</v>
      </c>
      <c r="E1095" s="4">
        <v>5280</v>
      </c>
      <c r="F1095" s="4">
        <v>2.4698000000000002</v>
      </c>
      <c r="G1095" s="4">
        <v>13040.544</v>
      </c>
      <c r="H1095" s="5">
        <f t="shared" ref="H1095:H1158" si="17">(D1095-D1094)/D1094</f>
        <v>-2.7984540509590546E-2</v>
      </c>
    </row>
    <row r="1096" spans="1:8" ht="13.5" x14ac:dyDescent="0.25">
      <c r="A1096" s="1"/>
      <c r="B1096" s="3">
        <v>43900</v>
      </c>
      <c r="C1096" s="4">
        <v>2.4300000000000002</v>
      </c>
      <c r="D1096" s="4">
        <v>1.3581000000000001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2.4300000000000002</v>
      </c>
      <c r="D1097" s="4">
        <v>1.3581000000000001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2.36</v>
      </c>
      <c r="D1098" s="4">
        <v>1.319</v>
      </c>
      <c r="E1098" s="4">
        <v>200</v>
      </c>
      <c r="F1098" s="4">
        <v>2.36</v>
      </c>
      <c r="G1098" s="4">
        <v>472</v>
      </c>
      <c r="H1098" s="5">
        <f t="shared" si="17"/>
        <v>-2.8790221633164078E-2</v>
      </c>
    </row>
    <row r="1099" spans="1:8" ht="13.5" x14ac:dyDescent="0.25">
      <c r="A1099" s="1"/>
      <c r="B1099" s="3">
        <v>43903</v>
      </c>
      <c r="C1099" s="4">
        <v>2.2599999999999998</v>
      </c>
      <c r="D1099" s="4">
        <v>1.2630999999999999</v>
      </c>
      <c r="E1099" s="4">
        <v>0</v>
      </c>
      <c r="F1099" s="4">
        <v>0</v>
      </c>
      <c r="G1099" s="4">
        <v>0</v>
      </c>
      <c r="H1099" s="5">
        <f t="shared" si="17"/>
        <v>-4.238059135708875E-2</v>
      </c>
    </row>
    <row r="1100" spans="1:8" ht="13.5" x14ac:dyDescent="0.25">
      <c r="A1100" s="1"/>
      <c r="B1100" s="3">
        <v>43906</v>
      </c>
      <c r="C1100" s="4">
        <v>2.13</v>
      </c>
      <c r="D1100" s="4">
        <v>1.1903999999999999</v>
      </c>
      <c r="E1100" s="4">
        <v>10</v>
      </c>
      <c r="F1100" s="4">
        <v>2.2000000000000002</v>
      </c>
      <c r="G1100" s="4">
        <v>22</v>
      </c>
      <c r="H1100" s="5">
        <f t="shared" si="17"/>
        <v>-5.7556804686881478E-2</v>
      </c>
    </row>
    <row r="1101" spans="1:8" ht="13.5" x14ac:dyDescent="0.25">
      <c r="A1101" s="1"/>
      <c r="B1101" s="3">
        <v>43907</v>
      </c>
      <c r="C1101" s="4">
        <v>2.04</v>
      </c>
      <c r="D1101" s="4">
        <v>1.1400999999999999</v>
      </c>
      <c r="E1101" s="4">
        <v>0</v>
      </c>
      <c r="F1101" s="4">
        <v>0</v>
      </c>
      <c r="G1101" s="4">
        <v>0</v>
      </c>
      <c r="H1101" s="5">
        <f t="shared" si="17"/>
        <v>-4.225470430107528E-2</v>
      </c>
    </row>
    <row r="1102" spans="1:8" ht="13.5" x14ac:dyDescent="0.25">
      <c r="A1102" s="1"/>
      <c r="B1102" s="3">
        <v>43908</v>
      </c>
      <c r="C1102" s="4">
        <v>2</v>
      </c>
      <c r="D1102" s="4">
        <v>1.1177999999999999</v>
      </c>
      <c r="E1102" s="4">
        <v>305</v>
      </c>
      <c r="F1102" s="4">
        <v>2.0015999999999998</v>
      </c>
      <c r="G1102" s="4">
        <v>610.48800000000006</v>
      </c>
      <c r="H1102" s="5">
        <f t="shared" si="17"/>
        <v>-1.9559687746688877E-2</v>
      </c>
    </row>
    <row r="1103" spans="1:8" ht="13.5" x14ac:dyDescent="0.25">
      <c r="A1103" s="1"/>
      <c r="B1103" s="3">
        <v>43909</v>
      </c>
      <c r="C1103" s="4">
        <v>1.94</v>
      </c>
      <c r="D1103" s="4">
        <v>1.0842000000000001</v>
      </c>
      <c r="E1103" s="4">
        <v>1658</v>
      </c>
      <c r="F1103" s="4">
        <v>1.9891000000000001</v>
      </c>
      <c r="G1103" s="4">
        <v>3297.9277999999999</v>
      </c>
      <c r="H1103" s="5">
        <f t="shared" si="17"/>
        <v>-3.0059044551798045E-2</v>
      </c>
    </row>
    <row r="1104" spans="1:8" ht="13.5" x14ac:dyDescent="0.25">
      <c r="A1104" s="1"/>
      <c r="B1104" s="3">
        <v>43913</v>
      </c>
      <c r="C1104" s="4">
        <v>1.89</v>
      </c>
      <c r="D1104" s="4">
        <v>1.0563</v>
      </c>
      <c r="E1104" s="4">
        <v>0</v>
      </c>
      <c r="F1104" s="4">
        <v>0</v>
      </c>
      <c r="G1104" s="4">
        <v>0</v>
      </c>
      <c r="H1104" s="5">
        <f t="shared" si="17"/>
        <v>-2.5733259546209218E-2</v>
      </c>
    </row>
    <row r="1105" spans="1:8" ht="13.5" x14ac:dyDescent="0.25">
      <c r="A1105" s="1"/>
      <c r="B1105" s="3">
        <v>43914</v>
      </c>
      <c r="C1105" s="4">
        <v>1.94</v>
      </c>
      <c r="D1105" s="4">
        <v>1.0842000000000001</v>
      </c>
      <c r="E1105" s="4">
        <v>3</v>
      </c>
      <c r="F1105" s="4">
        <v>1.94</v>
      </c>
      <c r="G1105" s="4">
        <v>5.82</v>
      </c>
      <c r="H1105" s="5">
        <f t="shared" si="17"/>
        <v>2.6412950866231216E-2</v>
      </c>
    </row>
    <row r="1106" spans="1:8" ht="13.5" x14ac:dyDescent="0.25">
      <c r="A1106" s="1"/>
      <c r="B1106" s="3">
        <v>43915</v>
      </c>
      <c r="C1106" s="4">
        <v>1.89</v>
      </c>
      <c r="D1106" s="4">
        <v>1.0563</v>
      </c>
      <c r="E1106" s="4">
        <v>1500</v>
      </c>
      <c r="F1106" s="4">
        <v>1.89</v>
      </c>
      <c r="G1106" s="4">
        <v>2835</v>
      </c>
      <c r="H1106" s="5">
        <f t="shared" si="17"/>
        <v>-2.5733259546209218E-2</v>
      </c>
    </row>
    <row r="1107" spans="1:8" ht="13.5" x14ac:dyDescent="0.25">
      <c r="A1107" s="1"/>
      <c r="B1107" s="3">
        <v>43916</v>
      </c>
      <c r="C1107" s="4">
        <v>1.94</v>
      </c>
      <c r="D1107" s="4">
        <v>1.0842000000000001</v>
      </c>
      <c r="E1107" s="4">
        <v>160</v>
      </c>
      <c r="F1107" s="4">
        <v>1.94</v>
      </c>
      <c r="G1107" s="4">
        <v>310.39999999999998</v>
      </c>
      <c r="H1107" s="5">
        <f t="shared" si="17"/>
        <v>2.6412950866231216E-2</v>
      </c>
    </row>
    <row r="1108" spans="1:8" ht="13.5" x14ac:dyDescent="0.25">
      <c r="A1108" s="1"/>
      <c r="B1108" s="3">
        <v>43917</v>
      </c>
      <c r="C1108" s="4">
        <v>1.99</v>
      </c>
      <c r="D1108" s="4">
        <v>1.1122000000000001</v>
      </c>
      <c r="E1108" s="4">
        <v>5</v>
      </c>
      <c r="F1108" s="4">
        <v>1.99</v>
      </c>
      <c r="G1108" s="4">
        <v>9.9499999999999993</v>
      </c>
      <c r="H1108" s="5">
        <f t="shared" si="17"/>
        <v>2.5825493451392754E-2</v>
      </c>
    </row>
    <row r="1109" spans="1:8" ht="13.5" x14ac:dyDescent="0.25">
      <c r="A1109" s="1"/>
      <c r="B1109" s="3">
        <v>43920</v>
      </c>
      <c r="C1109" s="4">
        <v>2.0099999999999998</v>
      </c>
      <c r="D1109" s="4">
        <v>1.1234</v>
      </c>
      <c r="E1109" s="4">
        <v>5</v>
      </c>
      <c r="F1109" s="4">
        <v>2.0099999999999998</v>
      </c>
      <c r="G1109" s="4">
        <v>10.050000000000001</v>
      </c>
      <c r="H1109" s="5">
        <f t="shared" si="17"/>
        <v>1.0070131271353961E-2</v>
      </c>
    </row>
    <row r="1110" spans="1:8" ht="13.5" x14ac:dyDescent="0.25">
      <c r="A1110" s="1"/>
      <c r="B1110" s="3">
        <v>43921</v>
      </c>
      <c r="C1110" s="4">
        <v>2.0699999999999998</v>
      </c>
      <c r="D1110" s="4">
        <v>1.1569</v>
      </c>
      <c r="E1110" s="4">
        <v>5</v>
      </c>
      <c r="F1110" s="4">
        <v>2.0699999999999998</v>
      </c>
      <c r="G1110" s="4">
        <v>10.35</v>
      </c>
      <c r="H1110" s="5">
        <f t="shared" si="17"/>
        <v>2.9820188712836111E-2</v>
      </c>
    </row>
    <row r="1111" spans="1:8" ht="13.5" x14ac:dyDescent="0.25">
      <c r="A1111" s="1"/>
      <c r="B1111" s="3">
        <v>43922</v>
      </c>
      <c r="C1111" s="4">
        <v>2.13</v>
      </c>
      <c r="D1111" s="4">
        <v>1.1903999999999999</v>
      </c>
      <c r="E1111" s="4">
        <v>310</v>
      </c>
      <c r="F1111" s="4">
        <v>2.13</v>
      </c>
      <c r="G1111" s="4">
        <v>660.3</v>
      </c>
      <c r="H1111" s="5">
        <f t="shared" si="17"/>
        <v>2.8956694614919062E-2</v>
      </c>
    </row>
    <row r="1112" spans="1:8" ht="13.5" x14ac:dyDescent="0.25">
      <c r="A1112" s="1"/>
      <c r="B1112" s="3">
        <v>43923</v>
      </c>
      <c r="C1112" s="4">
        <v>2.16</v>
      </c>
      <c r="D1112" s="4">
        <v>1.2072000000000001</v>
      </c>
      <c r="E1112" s="4">
        <v>40</v>
      </c>
      <c r="F1112" s="4">
        <v>2.16</v>
      </c>
      <c r="G1112" s="4">
        <v>86.4</v>
      </c>
      <c r="H1112" s="5">
        <f t="shared" si="17"/>
        <v>1.4112903225806578E-2</v>
      </c>
    </row>
    <row r="1113" spans="1:8" ht="13.5" x14ac:dyDescent="0.25">
      <c r="A1113" s="1"/>
      <c r="B1113" s="3">
        <v>43924</v>
      </c>
      <c r="C1113" s="4">
        <v>2.1</v>
      </c>
      <c r="D1113" s="4">
        <v>1.1737</v>
      </c>
      <c r="E1113" s="4">
        <v>314</v>
      </c>
      <c r="F1113" s="4">
        <v>2.1</v>
      </c>
      <c r="G1113" s="4">
        <v>659.4</v>
      </c>
      <c r="H1113" s="5">
        <f t="shared" si="17"/>
        <v>-2.7750165672630951E-2</v>
      </c>
    </row>
    <row r="1114" spans="1:8" ht="13.5" x14ac:dyDescent="0.25">
      <c r="A1114" s="1"/>
      <c r="B1114" s="3">
        <v>43927</v>
      </c>
      <c r="C1114" s="4">
        <v>2.14</v>
      </c>
      <c r="D1114" s="4">
        <v>1.196</v>
      </c>
      <c r="E1114" s="4">
        <v>1</v>
      </c>
      <c r="F1114" s="4">
        <v>2.14</v>
      </c>
      <c r="G1114" s="4">
        <v>2.14</v>
      </c>
      <c r="H1114" s="5">
        <f t="shared" si="17"/>
        <v>1.8999744398057416E-2</v>
      </c>
    </row>
    <row r="1115" spans="1:8" ht="13.5" x14ac:dyDescent="0.25">
      <c r="A1115" s="1"/>
      <c r="B1115" s="3">
        <v>43928</v>
      </c>
      <c r="C1115" s="4">
        <v>2.1800000000000002</v>
      </c>
      <c r="D1115" s="4">
        <v>1.2183999999999999</v>
      </c>
      <c r="E1115" s="4">
        <v>2</v>
      </c>
      <c r="F1115" s="4">
        <v>2.1800000000000002</v>
      </c>
      <c r="G1115" s="4">
        <v>4.3600000000000003</v>
      </c>
      <c r="H1115" s="5">
        <f t="shared" si="17"/>
        <v>1.8729096989966536E-2</v>
      </c>
    </row>
    <row r="1116" spans="1:8" ht="13.5" x14ac:dyDescent="0.25">
      <c r="A1116" s="1"/>
      <c r="B1116" s="3">
        <v>43929</v>
      </c>
      <c r="C1116" s="4">
        <v>2.2200000000000002</v>
      </c>
      <c r="D1116" s="4">
        <v>1.2406999999999999</v>
      </c>
      <c r="E1116" s="4">
        <v>115</v>
      </c>
      <c r="F1116" s="4">
        <v>2.1242999999999999</v>
      </c>
      <c r="G1116" s="4">
        <v>244.2945</v>
      </c>
      <c r="H1116" s="5">
        <f t="shared" si="17"/>
        <v>1.830269205515429E-2</v>
      </c>
    </row>
    <row r="1117" spans="1:8" ht="13.5" x14ac:dyDescent="0.25">
      <c r="A1117" s="1"/>
      <c r="B1117" s="3">
        <v>43934</v>
      </c>
      <c r="C1117" s="4">
        <v>2.27</v>
      </c>
      <c r="D1117" s="4">
        <v>1.2686999999999999</v>
      </c>
      <c r="E1117" s="4">
        <v>11</v>
      </c>
      <c r="F1117" s="4">
        <v>2.27</v>
      </c>
      <c r="G1117" s="4">
        <v>24.97</v>
      </c>
      <c r="H1117" s="5">
        <f t="shared" si="17"/>
        <v>2.2567905214798119E-2</v>
      </c>
    </row>
    <row r="1118" spans="1:8" ht="13.5" x14ac:dyDescent="0.25">
      <c r="A1118" s="1"/>
      <c r="B1118" s="3">
        <v>43935</v>
      </c>
      <c r="C1118" s="4">
        <v>2.33</v>
      </c>
      <c r="D1118" s="4">
        <v>1.3022</v>
      </c>
      <c r="E1118" s="4">
        <v>65</v>
      </c>
      <c r="F1118" s="4">
        <v>2.33</v>
      </c>
      <c r="G1118" s="4">
        <v>151.44999999999999</v>
      </c>
      <c r="H1118" s="5">
        <f t="shared" si="17"/>
        <v>2.6404981477102615E-2</v>
      </c>
    </row>
    <row r="1119" spans="1:8" ht="13.5" x14ac:dyDescent="0.25">
      <c r="A1119" s="1"/>
      <c r="B1119" s="3">
        <v>43936</v>
      </c>
      <c r="C1119" s="4">
        <v>2.2999999999999998</v>
      </c>
      <c r="D1119" s="4">
        <v>1.2855000000000001</v>
      </c>
      <c r="E1119" s="4">
        <v>655</v>
      </c>
      <c r="F1119" s="4">
        <v>2.2999999999999998</v>
      </c>
      <c r="G1119" s="4">
        <v>1506.5</v>
      </c>
      <c r="H1119" s="5">
        <f t="shared" si="17"/>
        <v>-1.2824450929196695E-2</v>
      </c>
    </row>
    <row r="1120" spans="1:8" ht="13.5" x14ac:dyDescent="0.25">
      <c r="A1120" s="1"/>
      <c r="B1120" s="3">
        <v>43937</v>
      </c>
      <c r="C1120" s="4">
        <v>2.2999999999999998</v>
      </c>
      <c r="D1120" s="4">
        <v>1.2855000000000001</v>
      </c>
      <c r="E1120" s="4">
        <v>240</v>
      </c>
      <c r="F1120" s="4">
        <v>2.2999999999999998</v>
      </c>
      <c r="G1120" s="4">
        <v>552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2.34</v>
      </c>
      <c r="D1121" s="4">
        <v>1.3078000000000001</v>
      </c>
      <c r="E1121" s="4">
        <v>10</v>
      </c>
      <c r="F1121" s="4">
        <v>2.34</v>
      </c>
      <c r="G1121" s="4">
        <v>23.4</v>
      </c>
      <c r="H1121" s="5">
        <f t="shared" si="17"/>
        <v>1.7347335667055607E-2</v>
      </c>
    </row>
    <row r="1122" spans="1:8" ht="13.5" x14ac:dyDescent="0.25">
      <c r="A1122" s="1"/>
      <c r="B1122" s="3">
        <v>43941</v>
      </c>
      <c r="C1122" s="4">
        <v>2.38</v>
      </c>
      <c r="D1122" s="4">
        <v>1.3302</v>
      </c>
      <c r="E1122" s="4">
        <v>1040</v>
      </c>
      <c r="F1122" s="4">
        <v>2.38</v>
      </c>
      <c r="G1122" s="4">
        <v>2475.1999999999998</v>
      </c>
      <c r="H1122" s="5">
        <f t="shared" si="17"/>
        <v>1.7128001223428641E-2</v>
      </c>
    </row>
    <row r="1123" spans="1:8" ht="13.5" x14ac:dyDescent="0.25">
      <c r="A1123" s="1"/>
      <c r="B1123" s="3">
        <v>43942</v>
      </c>
      <c r="C1123" s="4">
        <v>2.4500000000000002</v>
      </c>
      <c r="D1123" s="4">
        <v>1.3693</v>
      </c>
      <c r="E1123" s="4">
        <v>1</v>
      </c>
      <c r="F1123" s="4">
        <v>2.4500000000000002</v>
      </c>
      <c r="G1123" s="4">
        <v>2.4500000000000002</v>
      </c>
      <c r="H1123" s="5">
        <f t="shared" si="17"/>
        <v>2.9394076078785077E-2</v>
      </c>
    </row>
    <row r="1124" spans="1:8" ht="13.5" x14ac:dyDescent="0.25">
      <c r="A1124" s="1"/>
      <c r="B1124" s="3">
        <v>43943</v>
      </c>
      <c r="C1124" s="4">
        <v>2.52</v>
      </c>
      <c r="D1124" s="4">
        <v>1.4084000000000001</v>
      </c>
      <c r="E1124" s="4">
        <v>1933</v>
      </c>
      <c r="F1124" s="4">
        <v>2.52</v>
      </c>
      <c r="G1124" s="4">
        <v>4871.16</v>
      </c>
      <c r="H1124" s="5">
        <f t="shared" si="17"/>
        <v>2.8554735996494659E-2</v>
      </c>
    </row>
    <row r="1125" spans="1:8" ht="13.5" x14ac:dyDescent="0.25">
      <c r="A1125" s="1"/>
      <c r="B1125" s="3">
        <v>43944</v>
      </c>
      <c r="C1125" s="4">
        <v>2.59</v>
      </c>
      <c r="D1125" s="4">
        <v>1.4475</v>
      </c>
      <c r="E1125" s="4">
        <v>473</v>
      </c>
      <c r="F1125" s="4">
        <v>2.5209000000000001</v>
      </c>
      <c r="G1125" s="4">
        <v>1192.3857</v>
      </c>
      <c r="H1125" s="5">
        <f t="shared" si="17"/>
        <v>2.7761999431979486E-2</v>
      </c>
    </row>
    <row r="1126" spans="1:8" ht="13.5" x14ac:dyDescent="0.25">
      <c r="A1126" s="1"/>
      <c r="B1126" s="3">
        <v>43945</v>
      </c>
      <c r="C1126" s="4">
        <v>2.65</v>
      </c>
      <c r="D1126" s="4">
        <v>1.4811000000000001</v>
      </c>
      <c r="E1126" s="4">
        <v>5</v>
      </c>
      <c r="F1126" s="4">
        <v>2.65</v>
      </c>
      <c r="G1126" s="4">
        <v>13.25</v>
      </c>
      <c r="H1126" s="5">
        <f t="shared" si="17"/>
        <v>2.3212435233160671E-2</v>
      </c>
    </row>
    <row r="1127" spans="1:8" ht="13.5" x14ac:dyDescent="0.25">
      <c r="A1127" s="1"/>
      <c r="B1127" s="3">
        <v>43948</v>
      </c>
      <c r="C1127" s="4">
        <v>2.58</v>
      </c>
      <c r="D1127" s="4">
        <v>1.4419</v>
      </c>
      <c r="E1127" s="4">
        <v>0</v>
      </c>
      <c r="F1127" s="4">
        <v>0</v>
      </c>
      <c r="G1127" s="4">
        <v>0</v>
      </c>
      <c r="H1127" s="5">
        <f t="shared" si="17"/>
        <v>-2.6466815204915346E-2</v>
      </c>
    </row>
    <row r="1128" spans="1:8" ht="13.5" x14ac:dyDescent="0.25">
      <c r="A1128" s="1"/>
      <c r="B1128" s="3">
        <v>43949</v>
      </c>
      <c r="C1128" s="4">
        <v>2.64</v>
      </c>
      <c r="D1128" s="4">
        <v>1.4755</v>
      </c>
      <c r="E1128" s="4">
        <v>3</v>
      </c>
      <c r="F1128" s="4">
        <v>2.64</v>
      </c>
      <c r="G1128" s="4">
        <v>7.92</v>
      </c>
      <c r="H1128" s="5">
        <f t="shared" si="17"/>
        <v>2.3302586864553766E-2</v>
      </c>
    </row>
    <row r="1129" spans="1:8" ht="13.5" x14ac:dyDescent="0.25">
      <c r="A1129" s="1"/>
      <c r="B1129" s="3">
        <v>43950</v>
      </c>
      <c r="C1129" s="4">
        <v>2.68</v>
      </c>
      <c r="D1129" s="4">
        <v>1.4978</v>
      </c>
      <c r="E1129" s="4">
        <v>1</v>
      </c>
      <c r="F1129" s="4">
        <v>2.68</v>
      </c>
      <c r="G1129" s="4">
        <v>2.68</v>
      </c>
      <c r="H1129" s="5">
        <f t="shared" si="17"/>
        <v>1.5113520840393078E-2</v>
      </c>
    </row>
    <row r="1130" spans="1:8" ht="13.5" x14ac:dyDescent="0.25">
      <c r="A1130" s="1"/>
      <c r="B1130" s="3">
        <v>43951</v>
      </c>
      <c r="C1130" s="4">
        <v>2.76</v>
      </c>
      <c r="D1130" s="4">
        <v>1.5425</v>
      </c>
      <c r="E1130" s="4">
        <v>5</v>
      </c>
      <c r="F1130" s="4">
        <v>2.76</v>
      </c>
      <c r="G1130" s="4">
        <v>13.8</v>
      </c>
      <c r="H1130" s="5">
        <f t="shared" si="17"/>
        <v>2.9843770863933743E-2</v>
      </c>
    </row>
    <row r="1131" spans="1:8" ht="13.5" x14ac:dyDescent="0.25">
      <c r="A1131" s="1"/>
      <c r="B1131" s="3">
        <v>43955</v>
      </c>
      <c r="C1131" s="4">
        <v>2.84</v>
      </c>
      <c r="D1131" s="4">
        <v>1.5872999999999999</v>
      </c>
      <c r="E1131" s="4">
        <v>6</v>
      </c>
      <c r="F1131" s="4">
        <v>2.84</v>
      </c>
      <c r="G1131" s="4">
        <v>17.04</v>
      </c>
      <c r="H1131" s="5">
        <f t="shared" si="17"/>
        <v>2.9043760129659611E-2</v>
      </c>
    </row>
    <row r="1132" spans="1:8" ht="13.5" x14ac:dyDescent="0.25">
      <c r="A1132" s="1"/>
      <c r="B1132" s="3">
        <v>43956</v>
      </c>
      <c r="C1132" s="4">
        <v>2.9</v>
      </c>
      <c r="D1132" s="4">
        <v>1.6208</v>
      </c>
      <c r="E1132" s="4">
        <v>10</v>
      </c>
      <c r="F1132" s="4">
        <v>2.9</v>
      </c>
      <c r="G1132" s="4">
        <v>29</v>
      </c>
      <c r="H1132" s="5">
        <f t="shared" si="17"/>
        <v>2.110502110502116E-2</v>
      </c>
    </row>
    <row r="1133" spans="1:8" ht="13.5" x14ac:dyDescent="0.25">
      <c r="A1133" s="1"/>
      <c r="B1133" s="3">
        <v>43957</v>
      </c>
      <c r="C1133" s="4">
        <v>2.82</v>
      </c>
      <c r="D1133" s="4">
        <v>1.5761000000000001</v>
      </c>
      <c r="E1133" s="4">
        <v>0</v>
      </c>
      <c r="F1133" s="4">
        <v>0</v>
      </c>
      <c r="G1133" s="4">
        <v>0</v>
      </c>
      <c r="H1133" s="5">
        <f t="shared" si="17"/>
        <v>-2.7578973346495533E-2</v>
      </c>
    </row>
    <row r="1134" spans="1:8" ht="13.5" x14ac:dyDescent="0.25">
      <c r="A1134" s="1"/>
      <c r="B1134" s="3">
        <v>43958</v>
      </c>
      <c r="C1134" s="4">
        <v>2.82</v>
      </c>
      <c r="D1134" s="4">
        <v>1.5761000000000001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2.82</v>
      </c>
      <c r="D1135" s="4">
        <v>1.5761000000000001</v>
      </c>
      <c r="E1135" s="4">
        <v>285</v>
      </c>
      <c r="F1135" s="4">
        <v>2.82</v>
      </c>
      <c r="G1135" s="4">
        <v>803.7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2.82</v>
      </c>
      <c r="D1136" s="4">
        <v>1.5761000000000001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2.74</v>
      </c>
      <c r="D1137" s="4">
        <v>1.5314000000000001</v>
      </c>
      <c r="E1137" s="4">
        <v>720</v>
      </c>
      <c r="F1137" s="4">
        <v>2.74</v>
      </c>
      <c r="G1137" s="4">
        <v>1972.8</v>
      </c>
      <c r="H1137" s="5">
        <f t="shared" si="17"/>
        <v>-2.8361144597423997E-2</v>
      </c>
    </row>
    <row r="1138" spans="1:8" ht="13.5" x14ac:dyDescent="0.25">
      <c r="A1138" s="1"/>
      <c r="B1138" s="3">
        <v>43964</v>
      </c>
      <c r="C1138" s="4">
        <v>2.66</v>
      </c>
      <c r="D1138" s="4">
        <v>1.4866999999999999</v>
      </c>
      <c r="E1138" s="4">
        <v>11</v>
      </c>
      <c r="F1138" s="4">
        <v>2.66</v>
      </c>
      <c r="G1138" s="4">
        <v>29.26</v>
      </c>
      <c r="H1138" s="5">
        <f t="shared" si="17"/>
        <v>-2.9188977406295013E-2</v>
      </c>
    </row>
    <row r="1139" spans="1:8" ht="13.5" x14ac:dyDescent="0.25">
      <c r="A1139" s="1"/>
      <c r="B1139" s="3">
        <v>43965</v>
      </c>
      <c r="C1139" s="4">
        <v>2.59</v>
      </c>
      <c r="D1139" s="4">
        <v>1.4475</v>
      </c>
      <c r="E1139" s="4">
        <v>370</v>
      </c>
      <c r="F1139" s="4">
        <v>2.66</v>
      </c>
      <c r="G1139" s="4">
        <v>984.2</v>
      </c>
      <c r="H1139" s="5">
        <f t="shared" si="17"/>
        <v>-2.6367121813412192E-2</v>
      </c>
    </row>
    <row r="1140" spans="1:8" ht="13.5" x14ac:dyDescent="0.25">
      <c r="A1140" s="1"/>
      <c r="B1140" s="3">
        <v>43966</v>
      </c>
      <c r="C1140" s="4">
        <v>2.52</v>
      </c>
      <c r="D1140" s="4">
        <v>1.4084000000000001</v>
      </c>
      <c r="E1140" s="4">
        <v>7</v>
      </c>
      <c r="F1140" s="4">
        <v>2.52</v>
      </c>
      <c r="G1140" s="4">
        <v>17.64</v>
      </c>
      <c r="H1140" s="5">
        <f t="shared" si="17"/>
        <v>-2.7012089810017209E-2</v>
      </c>
    </row>
    <row r="1141" spans="1:8" ht="13.5" x14ac:dyDescent="0.25">
      <c r="A1141" s="1"/>
      <c r="B1141" s="3">
        <v>43969</v>
      </c>
      <c r="C1141" s="4">
        <v>2.5</v>
      </c>
      <c r="D1141" s="4">
        <v>1.3972</v>
      </c>
      <c r="E1141" s="4">
        <v>30</v>
      </c>
      <c r="F1141" s="4">
        <v>2.5</v>
      </c>
      <c r="G1141" s="4">
        <v>75</v>
      </c>
      <c r="H1141" s="5">
        <f t="shared" si="17"/>
        <v>-7.9522862823062333E-3</v>
      </c>
    </row>
    <row r="1142" spans="1:8" ht="13.5" x14ac:dyDescent="0.25">
      <c r="A1142" s="1"/>
      <c r="B1142" s="3">
        <v>43970</v>
      </c>
      <c r="C1142" s="4">
        <v>2.5</v>
      </c>
      <c r="D1142" s="4">
        <v>1.3972</v>
      </c>
      <c r="E1142" s="4">
        <v>5</v>
      </c>
      <c r="F1142" s="4">
        <v>2.5</v>
      </c>
      <c r="G1142" s="4">
        <v>12.5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2.57</v>
      </c>
      <c r="D1143" s="4">
        <v>1.4363999999999999</v>
      </c>
      <c r="E1143" s="4">
        <v>1655</v>
      </c>
      <c r="F1143" s="4">
        <v>2.57</v>
      </c>
      <c r="G1143" s="4">
        <v>4253.3500000000004</v>
      </c>
      <c r="H1143" s="5">
        <f t="shared" si="17"/>
        <v>2.8056112224448829E-2</v>
      </c>
    </row>
    <row r="1144" spans="1:8" ht="13.5" x14ac:dyDescent="0.25">
      <c r="A1144" s="1"/>
      <c r="B1144" s="3">
        <v>43972</v>
      </c>
      <c r="C1144" s="4">
        <v>2.64</v>
      </c>
      <c r="D1144" s="4">
        <v>1.4755</v>
      </c>
      <c r="E1144" s="4">
        <v>805</v>
      </c>
      <c r="F1144" s="4">
        <v>2.64</v>
      </c>
      <c r="G1144" s="4">
        <v>2125.1999999999998</v>
      </c>
      <c r="H1144" s="5">
        <f t="shared" si="17"/>
        <v>2.7220829852408895E-2</v>
      </c>
    </row>
    <row r="1145" spans="1:8" ht="13.5" x14ac:dyDescent="0.25">
      <c r="A1145" s="1"/>
      <c r="B1145" s="3">
        <v>43973</v>
      </c>
      <c r="C1145" s="4">
        <v>2.57</v>
      </c>
      <c r="D1145" s="4">
        <v>1.4363999999999999</v>
      </c>
      <c r="E1145" s="4">
        <v>0</v>
      </c>
      <c r="F1145" s="4">
        <v>0</v>
      </c>
      <c r="G1145" s="4">
        <v>0</v>
      </c>
      <c r="H1145" s="5">
        <f t="shared" si="17"/>
        <v>-2.6499491697729673E-2</v>
      </c>
    </row>
    <row r="1146" spans="1:8" ht="13.5" x14ac:dyDescent="0.25">
      <c r="A1146" s="1"/>
      <c r="B1146" s="3">
        <v>43977</v>
      </c>
      <c r="C1146" s="4">
        <v>2.63</v>
      </c>
      <c r="D1146" s="4">
        <v>1.4699</v>
      </c>
      <c r="E1146" s="4">
        <v>5</v>
      </c>
      <c r="F1146" s="4">
        <v>2.63</v>
      </c>
      <c r="G1146" s="4">
        <v>13.15</v>
      </c>
      <c r="H1146" s="5">
        <f t="shared" si="17"/>
        <v>2.3322194374826015E-2</v>
      </c>
    </row>
    <row r="1147" spans="1:8" ht="13.5" x14ac:dyDescent="0.25">
      <c r="A1147" s="1"/>
      <c r="B1147" s="3">
        <v>43978</v>
      </c>
      <c r="C1147" s="4">
        <v>2.56</v>
      </c>
      <c r="D1147" s="4">
        <v>1.4308000000000001</v>
      </c>
      <c r="E1147" s="4">
        <v>600</v>
      </c>
      <c r="F1147" s="4">
        <v>2.56</v>
      </c>
      <c r="G1147" s="4">
        <v>1536</v>
      </c>
      <c r="H1147" s="5">
        <f t="shared" si="17"/>
        <v>-2.6600449010136685E-2</v>
      </c>
    </row>
    <row r="1148" spans="1:8" ht="13.5" x14ac:dyDescent="0.25">
      <c r="A1148" s="1"/>
      <c r="B1148" s="3">
        <v>43979</v>
      </c>
      <c r="C1148" s="4">
        <v>2.5</v>
      </c>
      <c r="D1148" s="4">
        <v>1.3972</v>
      </c>
      <c r="E1148" s="4">
        <v>1100</v>
      </c>
      <c r="F1148" s="4">
        <v>2.5</v>
      </c>
      <c r="G1148" s="4">
        <v>2750</v>
      </c>
      <c r="H1148" s="5">
        <f t="shared" si="17"/>
        <v>-2.3483365949119425E-2</v>
      </c>
    </row>
    <row r="1149" spans="1:8" ht="13.5" x14ac:dyDescent="0.25">
      <c r="A1149" s="1"/>
      <c r="B1149" s="3">
        <v>43980</v>
      </c>
      <c r="C1149" s="4">
        <v>2.4300000000000002</v>
      </c>
      <c r="D1149" s="4">
        <v>1.3581000000000001</v>
      </c>
      <c r="E1149" s="4">
        <v>170</v>
      </c>
      <c r="F1149" s="4">
        <v>2.4300000000000002</v>
      </c>
      <c r="G1149" s="4">
        <v>413.1</v>
      </c>
      <c r="H1149" s="5">
        <f t="shared" si="17"/>
        <v>-2.7984540509590546E-2</v>
      </c>
    </row>
    <row r="1150" spans="1:8" ht="13.5" x14ac:dyDescent="0.25">
      <c r="A1150" s="1"/>
      <c r="B1150" s="3">
        <v>43983</v>
      </c>
      <c r="C1150" s="4">
        <v>2.42</v>
      </c>
      <c r="D1150" s="4">
        <v>1.3525</v>
      </c>
      <c r="E1150" s="4">
        <v>565</v>
      </c>
      <c r="F1150" s="4">
        <v>2.42</v>
      </c>
      <c r="G1150" s="4">
        <v>1367.3</v>
      </c>
      <c r="H1150" s="5">
        <f t="shared" si="17"/>
        <v>-4.1234077019365652E-3</v>
      </c>
    </row>
    <row r="1151" spans="1:8" ht="13.5" x14ac:dyDescent="0.25">
      <c r="A1151" s="1"/>
      <c r="B1151" s="3">
        <v>43984</v>
      </c>
      <c r="C1151" s="4">
        <v>2.4300000000000002</v>
      </c>
      <c r="D1151" s="4">
        <v>1.3581000000000001</v>
      </c>
      <c r="E1151" s="4">
        <v>826</v>
      </c>
      <c r="F1151" s="4">
        <v>2.4300000000000002</v>
      </c>
      <c r="G1151" s="4">
        <v>2007.18</v>
      </c>
      <c r="H1151" s="5">
        <f t="shared" si="17"/>
        <v>4.1404805914972637E-3</v>
      </c>
    </row>
    <row r="1152" spans="1:8" ht="13.5" x14ac:dyDescent="0.25">
      <c r="A1152" s="1"/>
      <c r="B1152" s="3">
        <v>43985</v>
      </c>
      <c r="C1152" s="4">
        <v>2.5</v>
      </c>
      <c r="D1152" s="4">
        <v>1.3972</v>
      </c>
      <c r="E1152" s="4">
        <v>1215</v>
      </c>
      <c r="F1152" s="4">
        <v>2.5</v>
      </c>
      <c r="G1152" s="4">
        <v>3037.5</v>
      </c>
      <c r="H1152" s="5">
        <f t="shared" si="17"/>
        <v>2.8790221633163911E-2</v>
      </c>
    </row>
    <row r="1153" spans="1:8" ht="13.5" x14ac:dyDescent="0.25">
      <c r="A1153" s="1"/>
      <c r="B1153" s="3">
        <v>43986</v>
      </c>
      <c r="C1153" s="4">
        <v>2.57</v>
      </c>
      <c r="D1153" s="4">
        <v>1.4363999999999999</v>
      </c>
      <c r="E1153" s="4">
        <v>0</v>
      </c>
      <c r="F1153" s="4">
        <v>0</v>
      </c>
      <c r="G1153" s="4">
        <v>0</v>
      </c>
      <c r="H1153" s="5">
        <f t="shared" si="17"/>
        <v>2.8056112224448829E-2</v>
      </c>
    </row>
    <row r="1154" spans="1:8" ht="13.5" x14ac:dyDescent="0.25">
      <c r="A1154" s="1"/>
      <c r="B1154" s="3">
        <v>43987</v>
      </c>
      <c r="C1154" s="4">
        <v>2.64</v>
      </c>
      <c r="D1154" s="4">
        <v>1.4755</v>
      </c>
      <c r="E1154" s="4">
        <v>0</v>
      </c>
      <c r="F1154" s="4">
        <v>0</v>
      </c>
      <c r="G1154" s="4">
        <v>0</v>
      </c>
      <c r="H1154" s="5">
        <f t="shared" si="17"/>
        <v>2.7220829852408895E-2</v>
      </c>
    </row>
    <row r="1155" spans="1:8" ht="13.5" x14ac:dyDescent="0.25">
      <c r="A1155" s="1"/>
      <c r="B1155" s="3">
        <v>43990</v>
      </c>
      <c r="C1155" s="4">
        <v>2.75</v>
      </c>
      <c r="D1155" s="4">
        <v>1.5369999999999999</v>
      </c>
      <c r="E1155" s="4">
        <v>4290</v>
      </c>
      <c r="F1155" s="4">
        <v>2.75</v>
      </c>
      <c r="G1155" s="4">
        <v>11797.5</v>
      </c>
      <c r="H1155" s="5">
        <f t="shared" si="17"/>
        <v>4.1680786174178169E-2</v>
      </c>
    </row>
    <row r="1156" spans="1:8" ht="13.5" x14ac:dyDescent="0.25">
      <c r="A1156" s="1"/>
      <c r="B1156" s="3">
        <v>43991</v>
      </c>
      <c r="C1156" s="4">
        <v>2.87</v>
      </c>
      <c r="D1156" s="4">
        <v>1.6040000000000001</v>
      </c>
      <c r="E1156" s="4">
        <v>0</v>
      </c>
      <c r="F1156" s="4">
        <v>0</v>
      </c>
      <c r="G1156" s="4">
        <v>0</v>
      </c>
      <c r="H1156" s="5">
        <f t="shared" si="17"/>
        <v>4.3591411841249303E-2</v>
      </c>
    </row>
    <row r="1157" spans="1:8" ht="13.5" x14ac:dyDescent="0.25">
      <c r="A1157" s="1"/>
      <c r="B1157" s="3">
        <v>43992</v>
      </c>
      <c r="C1157" s="4">
        <v>2.99</v>
      </c>
      <c r="D1157" s="4">
        <v>1.6711</v>
      </c>
      <c r="E1157" s="4">
        <v>12735</v>
      </c>
      <c r="F1157" s="4">
        <v>2.99</v>
      </c>
      <c r="G1157" s="4">
        <v>38077.65</v>
      </c>
      <c r="H1157" s="5">
        <f t="shared" si="17"/>
        <v>4.183291770573562E-2</v>
      </c>
    </row>
    <row r="1158" spans="1:8" ht="13.5" x14ac:dyDescent="0.25">
      <c r="A1158" s="1"/>
      <c r="B1158" s="3">
        <v>43993</v>
      </c>
      <c r="C1158" s="4">
        <v>3.12</v>
      </c>
      <c r="D1158" s="4">
        <v>1.7437</v>
      </c>
      <c r="E1158" s="4">
        <v>0</v>
      </c>
      <c r="F1158" s="4">
        <v>0</v>
      </c>
      <c r="G1158" s="4">
        <v>0</v>
      </c>
      <c r="H1158" s="5">
        <f t="shared" si="17"/>
        <v>4.3444437795464065E-2</v>
      </c>
    </row>
    <row r="1159" spans="1:8" ht="13.5" x14ac:dyDescent="0.25">
      <c r="A1159" s="1"/>
      <c r="B1159" s="3">
        <v>43994</v>
      </c>
      <c r="C1159" s="4">
        <v>3.26</v>
      </c>
      <c r="D1159" s="4">
        <v>1.8220000000000001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4.4904513391065E-2</v>
      </c>
    </row>
    <row r="1160" spans="1:8" ht="13.5" x14ac:dyDescent="0.25">
      <c r="A1160" s="1"/>
      <c r="B1160" s="3">
        <v>43997</v>
      </c>
      <c r="C1160" s="4">
        <v>3.39</v>
      </c>
      <c r="D1160" s="4">
        <v>1.8946000000000001</v>
      </c>
      <c r="E1160" s="4">
        <v>55612</v>
      </c>
      <c r="F1160" s="4">
        <v>3.39</v>
      </c>
      <c r="G1160" s="4">
        <v>188524.68</v>
      </c>
      <c r="H1160" s="5">
        <f t="shared" si="18"/>
        <v>3.9846322722283202E-2</v>
      </c>
    </row>
    <row r="1161" spans="1:8" ht="13.5" x14ac:dyDescent="0.25">
      <c r="A1161" s="1"/>
      <c r="B1161" s="3">
        <v>43998</v>
      </c>
      <c r="C1161" s="4">
        <v>3.55</v>
      </c>
      <c r="D1161" s="4">
        <v>1.9841</v>
      </c>
      <c r="E1161" s="4">
        <v>6005</v>
      </c>
      <c r="F1161" s="4">
        <v>3.5455000000000001</v>
      </c>
      <c r="G1161" s="4">
        <v>21290.727500000001</v>
      </c>
      <c r="H1161" s="5">
        <f t="shared" si="18"/>
        <v>4.7239522854428326E-2</v>
      </c>
    </row>
    <row r="1162" spans="1:8" ht="13.5" x14ac:dyDescent="0.25">
      <c r="A1162" s="1"/>
      <c r="B1162" s="3">
        <v>43999</v>
      </c>
      <c r="C1162" s="4">
        <v>3.76</v>
      </c>
      <c r="D1162" s="4">
        <v>2.1013999999999999</v>
      </c>
      <c r="E1162" s="4">
        <v>2823</v>
      </c>
      <c r="F1162" s="4">
        <v>3.7576999999999998</v>
      </c>
      <c r="G1162" s="4">
        <v>10607.9871</v>
      </c>
      <c r="H1162" s="5">
        <f t="shared" si="18"/>
        <v>5.9120004032054814E-2</v>
      </c>
    </row>
    <row r="1163" spans="1:8" ht="13.5" x14ac:dyDescent="0.25">
      <c r="A1163" s="1"/>
      <c r="B1163" s="3">
        <v>44000</v>
      </c>
      <c r="C1163" s="4">
        <v>3.71</v>
      </c>
      <c r="D1163" s="4">
        <v>2.0735000000000001</v>
      </c>
      <c r="E1163" s="4">
        <v>8637</v>
      </c>
      <c r="F1163" s="4">
        <v>3.6956000000000002</v>
      </c>
      <c r="G1163" s="4">
        <v>31918.897199999999</v>
      </c>
      <c r="H1163" s="5">
        <f t="shared" si="18"/>
        <v>-1.3276863043685075E-2</v>
      </c>
    </row>
    <row r="1164" spans="1:8" ht="13.5" x14ac:dyDescent="0.25">
      <c r="A1164" s="1"/>
      <c r="B1164" s="3">
        <v>44001</v>
      </c>
      <c r="C1164" s="4">
        <v>3.55</v>
      </c>
      <c r="D1164" s="4">
        <v>1.9841</v>
      </c>
      <c r="E1164" s="4">
        <v>0</v>
      </c>
      <c r="F1164" s="4">
        <v>0</v>
      </c>
      <c r="G1164" s="4">
        <v>0</v>
      </c>
      <c r="H1164" s="5">
        <f t="shared" si="18"/>
        <v>-4.311550518447077E-2</v>
      </c>
    </row>
    <row r="1165" spans="1:8" ht="13.5" x14ac:dyDescent="0.25">
      <c r="A1165" s="1"/>
      <c r="B1165" s="3">
        <v>44004</v>
      </c>
      <c r="C1165" s="4">
        <v>3.34</v>
      </c>
      <c r="D1165" s="4">
        <v>1.8667</v>
      </c>
      <c r="E1165" s="4">
        <v>810</v>
      </c>
      <c r="F1165" s="4">
        <v>3.45</v>
      </c>
      <c r="G1165" s="4">
        <v>2794.5</v>
      </c>
      <c r="H1165" s="5">
        <f t="shared" si="18"/>
        <v>-5.9170404717504135E-2</v>
      </c>
    </row>
    <row r="1166" spans="1:8" ht="13.5" x14ac:dyDescent="0.25">
      <c r="A1166" s="1"/>
      <c r="B1166" s="3">
        <v>44005</v>
      </c>
      <c r="C1166" s="4">
        <v>3.4</v>
      </c>
      <c r="D1166" s="4">
        <v>1.9001999999999999</v>
      </c>
      <c r="E1166" s="4">
        <v>9131</v>
      </c>
      <c r="F1166" s="4">
        <v>3.3445</v>
      </c>
      <c r="G1166" s="4">
        <v>30538.629499999999</v>
      </c>
      <c r="H1166" s="5">
        <f t="shared" si="18"/>
        <v>1.7946108105212334E-2</v>
      </c>
    </row>
    <row r="1167" spans="1:8" ht="13.5" x14ac:dyDescent="0.25">
      <c r="A1167" s="1"/>
      <c r="B1167" s="3">
        <v>44006</v>
      </c>
      <c r="C1167" s="4">
        <v>3.49</v>
      </c>
      <c r="D1167" s="4">
        <v>1.9504999999999999</v>
      </c>
      <c r="E1167" s="4">
        <v>849</v>
      </c>
      <c r="F1167" s="4">
        <v>3.4996999999999998</v>
      </c>
      <c r="G1167" s="4">
        <v>2971.2453</v>
      </c>
      <c r="H1167" s="5">
        <f t="shared" si="18"/>
        <v>2.6470897800231562E-2</v>
      </c>
    </row>
    <row r="1168" spans="1:8" ht="13.5" x14ac:dyDescent="0.25">
      <c r="A1168" s="1"/>
      <c r="B1168" s="3">
        <v>44007</v>
      </c>
      <c r="C1168" s="4">
        <v>3.48</v>
      </c>
      <c r="D1168" s="4">
        <v>1.9449000000000001</v>
      </c>
      <c r="E1168" s="4">
        <v>2215</v>
      </c>
      <c r="F1168" s="4">
        <v>3.4801000000000002</v>
      </c>
      <c r="G1168" s="4">
        <v>7708.4215000000004</v>
      </c>
      <c r="H1168" s="5">
        <f t="shared" si="18"/>
        <v>-2.8710587028966048E-3</v>
      </c>
    </row>
    <row r="1169" spans="1:8" ht="13.5" x14ac:dyDescent="0.25">
      <c r="A1169" s="1"/>
      <c r="B1169" s="3">
        <v>44008</v>
      </c>
      <c r="C1169" s="4">
        <v>3.38</v>
      </c>
      <c r="D1169" s="4">
        <v>1.8891</v>
      </c>
      <c r="E1169" s="4">
        <v>1814</v>
      </c>
      <c r="F1169" s="4">
        <v>3.4497</v>
      </c>
      <c r="G1169" s="4">
        <v>6257.7557999999999</v>
      </c>
      <c r="H1169" s="5">
        <f t="shared" si="18"/>
        <v>-2.8690421101342008E-2</v>
      </c>
    </row>
    <row r="1170" spans="1:8" ht="13.5" x14ac:dyDescent="0.25">
      <c r="A1170" s="1"/>
      <c r="B1170" s="3">
        <v>44011</v>
      </c>
      <c r="C1170" s="4">
        <v>3.57</v>
      </c>
      <c r="D1170" s="4">
        <v>1.9952000000000001</v>
      </c>
      <c r="E1170" s="4">
        <v>3940</v>
      </c>
      <c r="F1170" s="4">
        <v>3.5089999999999999</v>
      </c>
      <c r="G1170" s="4">
        <v>13825.46</v>
      </c>
      <c r="H1170" s="5">
        <f t="shared" si="18"/>
        <v>5.6164311047588844E-2</v>
      </c>
    </row>
    <row r="1171" spans="1:8" ht="13.5" x14ac:dyDescent="0.25">
      <c r="A1171" s="1"/>
      <c r="B1171" s="3">
        <v>44012</v>
      </c>
      <c r="C1171" s="4">
        <v>3.67</v>
      </c>
      <c r="D1171" s="4">
        <v>2.0510999999999999</v>
      </c>
      <c r="E1171" s="4">
        <v>8314</v>
      </c>
      <c r="F1171" s="4">
        <v>3.67</v>
      </c>
      <c r="G1171" s="4">
        <v>30512.38</v>
      </c>
      <c r="H1171" s="5">
        <f t="shared" si="18"/>
        <v>2.8017241379310262E-2</v>
      </c>
    </row>
    <row r="1172" spans="1:8" ht="13.5" x14ac:dyDescent="0.25">
      <c r="A1172" s="1"/>
      <c r="B1172" s="3">
        <v>44013</v>
      </c>
      <c r="C1172" s="4">
        <v>3.77</v>
      </c>
      <c r="D1172" s="4">
        <v>2.1070000000000002</v>
      </c>
      <c r="E1172" s="4">
        <v>2365</v>
      </c>
      <c r="F1172" s="4">
        <v>3.7686999999999999</v>
      </c>
      <c r="G1172" s="4">
        <v>8912.9755000000005</v>
      </c>
      <c r="H1172" s="5">
        <f t="shared" si="18"/>
        <v>2.7253668763102864E-2</v>
      </c>
    </row>
    <row r="1173" spans="1:8" ht="13.5" x14ac:dyDescent="0.25">
      <c r="A1173" s="1"/>
      <c r="B1173" s="3">
        <v>44014</v>
      </c>
      <c r="C1173" s="4">
        <v>3.8</v>
      </c>
      <c r="D1173" s="4">
        <v>2.1238000000000001</v>
      </c>
      <c r="E1173" s="4">
        <v>1145</v>
      </c>
      <c r="F1173" s="4">
        <v>3.7576000000000001</v>
      </c>
      <c r="G1173" s="4">
        <v>4302.4520000000002</v>
      </c>
      <c r="H1173" s="5">
        <f t="shared" si="18"/>
        <v>7.9734219269102635E-3</v>
      </c>
    </row>
    <row r="1174" spans="1:8" ht="13.5" x14ac:dyDescent="0.25">
      <c r="A1174" s="1"/>
      <c r="B1174" s="3">
        <v>44015</v>
      </c>
      <c r="C1174" s="4">
        <v>3.79</v>
      </c>
      <c r="D1174" s="4">
        <v>2.1181999999999999</v>
      </c>
      <c r="E1174" s="4">
        <v>204</v>
      </c>
      <c r="F1174" s="4">
        <v>3.8031999999999999</v>
      </c>
      <c r="G1174" s="4">
        <v>775.8528</v>
      </c>
      <c r="H1174" s="5">
        <f t="shared" si="18"/>
        <v>-2.6367831245881304E-3</v>
      </c>
    </row>
    <row r="1175" spans="1:8" ht="13.5" x14ac:dyDescent="0.25">
      <c r="A1175" s="1"/>
      <c r="B1175" s="3">
        <v>44018</v>
      </c>
      <c r="C1175" s="4">
        <v>3.79</v>
      </c>
      <c r="D1175" s="4">
        <v>2.1181999999999999</v>
      </c>
      <c r="E1175" s="4">
        <v>204</v>
      </c>
      <c r="F1175" s="4">
        <v>3.7999000000000001</v>
      </c>
      <c r="G1175" s="4">
        <v>775.17960000000005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3.7</v>
      </c>
      <c r="D1176" s="4">
        <v>2.0678999999999998</v>
      </c>
      <c r="E1176" s="4">
        <v>140</v>
      </c>
      <c r="F1176" s="4">
        <v>3.7</v>
      </c>
      <c r="G1176" s="4">
        <v>518</v>
      </c>
      <c r="H1176" s="5">
        <f t="shared" si="18"/>
        <v>-2.3746577282598439E-2</v>
      </c>
    </row>
    <row r="1177" spans="1:8" ht="13.5" x14ac:dyDescent="0.25">
      <c r="A1177" s="1"/>
      <c r="B1177" s="3">
        <v>44020</v>
      </c>
      <c r="C1177" s="4">
        <v>3.6</v>
      </c>
      <c r="D1177" s="4">
        <v>2.012</v>
      </c>
      <c r="E1177" s="4">
        <v>200</v>
      </c>
      <c r="F1177" s="4">
        <v>3.6</v>
      </c>
      <c r="G1177" s="4">
        <v>720</v>
      </c>
      <c r="H1177" s="5">
        <f t="shared" si="18"/>
        <v>-2.7032254944629741E-2</v>
      </c>
    </row>
    <row r="1178" spans="1:8" ht="13.5" x14ac:dyDescent="0.25">
      <c r="A1178" s="1"/>
      <c r="B1178" s="3">
        <v>44021</v>
      </c>
      <c r="C1178" s="4">
        <v>3.7</v>
      </c>
      <c r="D1178" s="4">
        <v>2.0678999999999998</v>
      </c>
      <c r="E1178" s="4">
        <v>8493</v>
      </c>
      <c r="F1178" s="4">
        <v>3.6985000000000001</v>
      </c>
      <c r="G1178" s="4">
        <v>31411.360499999999</v>
      </c>
      <c r="H1178" s="5">
        <f t="shared" si="18"/>
        <v>2.7783300198807075E-2</v>
      </c>
    </row>
    <row r="1179" spans="1:8" ht="13.5" x14ac:dyDescent="0.25">
      <c r="A1179" s="1"/>
      <c r="B1179" s="3">
        <v>44022</v>
      </c>
      <c r="C1179" s="4">
        <v>3.7</v>
      </c>
      <c r="D1179" s="4">
        <v>2.0678999999999998</v>
      </c>
      <c r="E1179" s="4">
        <v>1290</v>
      </c>
      <c r="F1179" s="4">
        <v>3.6901999999999999</v>
      </c>
      <c r="G1179" s="4">
        <v>4760.3580000000002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3.68</v>
      </c>
      <c r="D1180" s="4">
        <v>2.0567000000000002</v>
      </c>
      <c r="E1180" s="4">
        <v>63</v>
      </c>
      <c r="F1180" s="4">
        <v>3.6974999999999998</v>
      </c>
      <c r="G1180" s="4">
        <v>232.9425</v>
      </c>
      <c r="H1180" s="5">
        <f t="shared" si="18"/>
        <v>-5.4161226364909595E-3</v>
      </c>
    </row>
    <row r="1181" spans="1:8" ht="13.5" x14ac:dyDescent="0.25">
      <c r="A1181" s="1"/>
      <c r="B1181" s="3">
        <v>44026</v>
      </c>
      <c r="C1181" s="4">
        <v>3.77</v>
      </c>
      <c r="D1181" s="4">
        <v>2.1070000000000002</v>
      </c>
      <c r="E1181" s="4">
        <v>10000</v>
      </c>
      <c r="F1181" s="4">
        <v>3.77</v>
      </c>
      <c r="G1181" s="4">
        <v>37700</v>
      </c>
      <c r="H1181" s="5">
        <f t="shared" si="18"/>
        <v>2.4456653862984394E-2</v>
      </c>
    </row>
    <row r="1182" spans="1:8" ht="13.5" x14ac:dyDescent="0.25">
      <c r="A1182" s="1"/>
      <c r="B1182" s="3">
        <v>44027</v>
      </c>
      <c r="C1182" s="4">
        <v>3.7</v>
      </c>
      <c r="D1182" s="4">
        <v>2.0678999999999998</v>
      </c>
      <c r="E1182" s="4">
        <v>1290</v>
      </c>
      <c r="F1182" s="4">
        <v>3.7</v>
      </c>
      <c r="G1182" s="4">
        <v>4773</v>
      </c>
      <c r="H1182" s="5">
        <f t="shared" si="18"/>
        <v>-1.8557190317987828E-2</v>
      </c>
    </row>
    <row r="1183" spans="1:8" ht="13.5" x14ac:dyDescent="0.25">
      <c r="A1183" s="1"/>
      <c r="B1183" s="3">
        <v>44028</v>
      </c>
      <c r="C1183" s="4">
        <v>3.6</v>
      </c>
      <c r="D1183" s="4">
        <v>2.012</v>
      </c>
      <c r="E1183" s="4">
        <v>340</v>
      </c>
      <c r="F1183" s="4">
        <v>3.6</v>
      </c>
      <c r="G1183" s="4">
        <v>1224</v>
      </c>
      <c r="H1183" s="5">
        <f t="shared" si="18"/>
        <v>-2.7032254944629741E-2</v>
      </c>
    </row>
    <row r="1184" spans="1:8" ht="13.5" x14ac:dyDescent="0.25">
      <c r="A1184" s="1"/>
      <c r="B1184" s="3">
        <v>44029</v>
      </c>
      <c r="C1184" s="4">
        <v>3.5</v>
      </c>
      <c r="D1184" s="4">
        <v>1.9560999999999999</v>
      </c>
      <c r="E1184" s="4">
        <v>40</v>
      </c>
      <c r="F1184" s="4">
        <v>3.5</v>
      </c>
      <c r="G1184" s="4">
        <v>140</v>
      </c>
      <c r="H1184" s="5">
        <f t="shared" si="18"/>
        <v>-2.7783300198807186E-2</v>
      </c>
    </row>
    <row r="1185" spans="1:8" ht="13.5" x14ac:dyDescent="0.25">
      <c r="A1185" s="1"/>
      <c r="B1185" s="3">
        <v>44032</v>
      </c>
      <c r="C1185" s="4">
        <v>3.4</v>
      </c>
      <c r="D1185" s="4">
        <v>1.9001999999999999</v>
      </c>
      <c r="E1185" s="4">
        <v>1150</v>
      </c>
      <c r="F1185" s="4">
        <v>3.4822000000000002</v>
      </c>
      <c r="G1185" s="4">
        <v>4004.53</v>
      </c>
      <c r="H1185" s="5">
        <f t="shared" si="18"/>
        <v>-2.8577271100659506E-2</v>
      </c>
    </row>
    <row r="1186" spans="1:8" ht="13.5" x14ac:dyDescent="0.25">
      <c r="A1186" s="1"/>
      <c r="B1186" s="3">
        <v>44033</v>
      </c>
      <c r="C1186" s="4">
        <v>3.3</v>
      </c>
      <c r="D1186" s="4">
        <v>1.8443000000000001</v>
      </c>
      <c r="E1186" s="4">
        <v>5</v>
      </c>
      <c r="F1186" s="4">
        <v>3.4</v>
      </c>
      <c r="G1186" s="4">
        <v>17</v>
      </c>
      <c r="H1186" s="5">
        <f t="shared" si="18"/>
        <v>-2.9417956004631009E-2</v>
      </c>
    </row>
    <row r="1187" spans="1:8" ht="13.5" x14ac:dyDescent="0.25">
      <c r="A1187" s="1"/>
      <c r="B1187" s="3">
        <v>44034</v>
      </c>
      <c r="C1187" s="4">
        <v>3.34</v>
      </c>
      <c r="D1187" s="4">
        <v>1.8667</v>
      </c>
      <c r="E1187" s="4">
        <v>500</v>
      </c>
      <c r="F1187" s="4">
        <v>3.34</v>
      </c>
      <c r="G1187" s="4">
        <v>1670</v>
      </c>
      <c r="H1187" s="5">
        <f t="shared" si="18"/>
        <v>1.2145529469175284E-2</v>
      </c>
    </row>
    <row r="1188" spans="1:8" ht="13.5" x14ac:dyDescent="0.25">
      <c r="A1188" s="1"/>
      <c r="B1188" s="3">
        <v>44035</v>
      </c>
      <c r="C1188" s="4">
        <v>3.44</v>
      </c>
      <c r="D1188" s="4">
        <v>1.9226000000000001</v>
      </c>
      <c r="E1188" s="4">
        <v>700</v>
      </c>
      <c r="F1188" s="4">
        <v>3.4377</v>
      </c>
      <c r="G1188" s="4">
        <v>2406.39</v>
      </c>
      <c r="H1188" s="5">
        <f t="shared" si="18"/>
        <v>2.9945893823324615E-2</v>
      </c>
    </row>
    <row r="1189" spans="1:8" ht="13.5" x14ac:dyDescent="0.25">
      <c r="A1189" s="1"/>
      <c r="B1189" s="3">
        <v>44036</v>
      </c>
      <c r="C1189" s="4">
        <v>3.6</v>
      </c>
      <c r="D1189" s="4">
        <v>2.012</v>
      </c>
      <c r="E1189" s="4">
        <v>2346</v>
      </c>
      <c r="F1189" s="4">
        <v>3.5615999999999999</v>
      </c>
      <c r="G1189" s="4">
        <v>8355.5136000000002</v>
      </c>
      <c r="H1189" s="5">
        <f t="shared" si="18"/>
        <v>4.6499531883907166E-2</v>
      </c>
    </row>
    <row r="1190" spans="1:8" ht="13.5" x14ac:dyDescent="0.25">
      <c r="A1190" s="1"/>
      <c r="B1190" s="3">
        <v>44039</v>
      </c>
      <c r="C1190" s="4">
        <v>3.6</v>
      </c>
      <c r="D1190" s="4">
        <v>2.012</v>
      </c>
      <c r="E1190" s="4">
        <v>132</v>
      </c>
      <c r="F1190" s="4">
        <v>3.6</v>
      </c>
      <c r="G1190" s="4">
        <v>475.2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3.7</v>
      </c>
      <c r="D1191" s="4">
        <v>2.0678999999999998</v>
      </c>
      <c r="E1191" s="4">
        <v>10</v>
      </c>
      <c r="F1191" s="4">
        <v>3.7</v>
      </c>
      <c r="G1191" s="4">
        <v>37</v>
      </c>
      <c r="H1191" s="5">
        <f t="shared" si="18"/>
        <v>2.7783300198807075E-2</v>
      </c>
    </row>
    <row r="1192" spans="1:8" ht="13.5" x14ac:dyDescent="0.25">
      <c r="A1192" s="1"/>
      <c r="B1192" s="3">
        <v>44041</v>
      </c>
      <c r="C1192" s="4">
        <v>3.7</v>
      </c>
      <c r="D1192" s="4">
        <v>2.0678999999999998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3.7</v>
      </c>
      <c r="D1193" s="4">
        <v>2.0678999999999998</v>
      </c>
      <c r="E1193" s="4">
        <v>1030</v>
      </c>
      <c r="F1193" s="4">
        <v>3.6903000000000001</v>
      </c>
      <c r="G1193" s="4">
        <v>3801.009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3.69</v>
      </c>
      <c r="D1194" s="4">
        <v>2.0623</v>
      </c>
      <c r="E1194" s="4">
        <v>1000</v>
      </c>
      <c r="F1194" s="4">
        <v>3.69</v>
      </c>
      <c r="G1194" s="4">
        <v>3690</v>
      </c>
      <c r="H1194" s="5">
        <f t="shared" si="18"/>
        <v>-2.7080613182454798E-3</v>
      </c>
    </row>
    <row r="1195" spans="1:8" ht="13.5" x14ac:dyDescent="0.25">
      <c r="A1195" s="1"/>
      <c r="B1195" s="3">
        <v>44047</v>
      </c>
      <c r="C1195" s="4">
        <v>3.58</v>
      </c>
      <c r="D1195" s="4">
        <v>2.0007999999999999</v>
      </c>
      <c r="E1195" s="4">
        <v>1913</v>
      </c>
      <c r="F1195" s="4">
        <v>3.58</v>
      </c>
      <c r="G1195" s="4">
        <v>6848.54</v>
      </c>
      <c r="H1195" s="5">
        <f t="shared" si="18"/>
        <v>-2.9821073558648166E-2</v>
      </c>
    </row>
    <row r="1196" spans="1:8" ht="13.5" x14ac:dyDescent="0.25">
      <c r="A1196" s="1"/>
      <c r="B1196" s="3">
        <v>44048</v>
      </c>
      <c r="C1196" s="4">
        <v>3.58</v>
      </c>
      <c r="D1196" s="4">
        <v>2.0007999999999999</v>
      </c>
      <c r="E1196" s="4">
        <v>2540</v>
      </c>
      <c r="F1196" s="4">
        <v>3.6114999999999999</v>
      </c>
      <c r="G1196" s="4">
        <v>9173.2099999999991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3.48</v>
      </c>
      <c r="D1197" s="4">
        <v>1.9449000000000001</v>
      </c>
      <c r="E1197" s="4">
        <v>10</v>
      </c>
      <c r="F1197" s="4">
        <v>3.48</v>
      </c>
      <c r="G1197" s="4">
        <v>34.799999999999997</v>
      </c>
      <c r="H1197" s="5">
        <f t="shared" si="18"/>
        <v>-2.7938824470211836E-2</v>
      </c>
    </row>
    <row r="1198" spans="1:8" ht="13.5" x14ac:dyDescent="0.25">
      <c r="A1198" s="1"/>
      <c r="B1198" s="3">
        <v>44050</v>
      </c>
      <c r="C1198" s="4">
        <v>3.53</v>
      </c>
      <c r="D1198" s="4">
        <v>1.9729000000000001</v>
      </c>
      <c r="E1198" s="4">
        <v>2152</v>
      </c>
      <c r="F1198" s="4">
        <v>3.53</v>
      </c>
      <c r="G1198" s="4">
        <v>7596.56</v>
      </c>
      <c r="H1198" s="5">
        <f t="shared" si="18"/>
        <v>1.439662707594222E-2</v>
      </c>
    </row>
    <row r="1199" spans="1:8" ht="13.5" x14ac:dyDescent="0.25">
      <c r="A1199" s="1"/>
      <c r="B1199" s="3">
        <v>44053</v>
      </c>
      <c r="C1199" s="4">
        <v>3.55</v>
      </c>
      <c r="D1199" s="4">
        <v>1.9841</v>
      </c>
      <c r="E1199" s="4">
        <v>3098</v>
      </c>
      <c r="F1199" s="4">
        <v>3.5434999999999999</v>
      </c>
      <c r="G1199" s="4">
        <v>10977.763000000001</v>
      </c>
      <c r="H1199" s="5">
        <f t="shared" si="18"/>
        <v>5.6769222971259957E-3</v>
      </c>
    </row>
    <row r="1200" spans="1:8" ht="13.5" x14ac:dyDescent="0.25">
      <c r="A1200" s="1"/>
      <c r="B1200" s="3">
        <v>44054</v>
      </c>
      <c r="C1200" s="4">
        <v>3.58</v>
      </c>
      <c r="D1200" s="4">
        <v>2.0007999999999999</v>
      </c>
      <c r="E1200" s="4">
        <v>2383</v>
      </c>
      <c r="F1200" s="4">
        <v>3.5928</v>
      </c>
      <c r="G1200" s="4">
        <v>8561.6424000000006</v>
      </c>
      <c r="H1200" s="5">
        <f t="shared" si="18"/>
        <v>8.4169144700367605E-3</v>
      </c>
    </row>
    <row r="1201" spans="1:8" ht="13.5" x14ac:dyDescent="0.25">
      <c r="A1201" s="1"/>
      <c r="B1201" s="3">
        <v>44055</v>
      </c>
      <c r="C1201" s="4">
        <v>3.58</v>
      </c>
      <c r="D1201" s="4">
        <v>2.0007999999999999</v>
      </c>
      <c r="E1201" s="4">
        <v>3111</v>
      </c>
      <c r="F1201" s="4">
        <v>3.58</v>
      </c>
      <c r="G1201" s="4">
        <v>11137.38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3.48</v>
      </c>
      <c r="D1202" s="4">
        <v>1.9449000000000001</v>
      </c>
      <c r="E1202" s="4">
        <v>208</v>
      </c>
      <c r="F1202" s="4">
        <v>3.5762</v>
      </c>
      <c r="G1202" s="4">
        <v>743.84960000000001</v>
      </c>
      <c r="H1202" s="5">
        <f t="shared" si="18"/>
        <v>-2.7938824470211836E-2</v>
      </c>
    </row>
    <row r="1203" spans="1:8" ht="13.5" x14ac:dyDescent="0.25">
      <c r="A1203" s="1"/>
      <c r="B1203" s="3">
        <v>44060</v>
      </c>
      <c r="C1203" s="4">
        <v>3.58</v>
      </c>
      <c r="D1203" s="4">
        <v>2.0007999999999999</v>
      </c>
      <c r="E1203" s="4">
        <v>1001</v>
      </c>
      <c r="F1203" s="4">
        <v>3.58</v>
      </c>
      <c r="G1203" s="4">
        <v>3583.58</v>
      </c>
      <c r="H1203" s="5">
        <f t="shared" si="18"/>
        <v>2.8741837626613108E-2</v>
      </c>
    </row>
    <row r="1204" spans="1:8" ht="13.5" x14ac:dyDescent="0.25">
      <c r="A1204" s="1"/>
      <c r="B1204" s="3">
        <v>44061</v>
      </c>
      <c r="C1204" s="4">
        <v>3.58</v>
      </c>
      <c r="D1204" s="4">
        <v>2.0007999999999999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3.53</v>
      </c>
      <c r="D1205" s="4">
        <v>1.9729000000000001</v>
      </c>
      <c r="E1205" s="4">
        <v>90</v>
      </c>
      <c r="F1205" s="4">
        <v>3.53</v>
      </c>
      <c r="G1205" s="4">
        <v>317.7</v>
      </c>
      <c r="H1205" s="5">
        <f t="shared" si="18"/>
        <v>-1.3944422231107464E-2</v>
      </c>
    </row>
    <row r="1206" spans="1:8" ht="13.5" x14ac:dyDescent="0.25">
      <c r="A1206" s="1"/>
      <c r="B1206" s="3">
        <v>44064</v>
      </c>
      <c r="C1206" s="4">
        <v>3.34</v>
      </c>
      <c r="D1206" s="4">
        <v>1.8667</v>
      </c>
      <c r="E1206" s="4">
        <v>427</v>
      </c>
      <c r="F1206" s="4">
        <v>3.3433999999999999</v>
      </c>
      <c r="G1206" s="4">
        <v>1427.6318000000001</v>
      </c>
      <c r="H1206" s="5">
        <f t="shared" si="18"/>
        <v>-5.3829388210248907E-2</v>
      </c>
    </row>
    <row r="1207" spans="1:8" ht="13.5" x14ac:dyDescent="0.25">
      <c r="A1207" s="1"/>
      <c r="B1207" s="3">
        <v>44067</v>
      </c>
      <c r="C1207" s="4">
        <v>3.4</v>
      </c>
      <c r="D1207" s="4">
        <v>1.9001999999999999</v>
      </c>
      <c r="E1207" s="4">
        <v>2400</v>
      </c>
      <c r="F1207" s="4">
        <v>3.3978999999999999</v>
      </c>
      <c r="G1207" s="4">
        <v>8154.96</v>
      </c>
      <c r="H1207" s="5">
        <f t="shared" si="18"/>
        <v>1.7946108105212334E-2</v>
      </c>
    </row>
    <row r="1208" spans="1:8" ht="13.5" x14ac:dyDescent="0.25">
      <c r="A1208" s="1"/>
      <c r="B1208" s="3">
        <v>44068</v>
      </c>
      <c r="C1208" s="4">
        <v>3.4</v>
      </c>
      <c r="D1208" s="4">
        <v>1.9001999999999999</v>
      </c>
      <c r="E1208" s="4">
        <v>3472</v>
      </c>
      <c r="F1208" s="4">
        <v>3.4</v>
      </c>
      <c r="G1208" s="4">
        <v>11804.8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3.5</v>
      </c>
      <c r="D1209" s="4">
        <v>1.9560999999999999</v>
      </c>
      <c r="E1209" s="4">
        <v>0</v>
      </c>
      <c r="F1209" s="4">
        <v>0</v>
      </c>
      <c r="G1209" s="4">
        <v>0</v>
      </c>
      <c r="H1209" s="5">
        <f t="shared" si="18"/>
        <v>2.9417956004631124E-2</v>
      </c>
    </row>
    <row r="1210" spans="1:8" ht="13.5" x14ac:dyDescent="0.25">
      <c r="A1210" s="1"/>
      <c r="B1210" s="3">
        <v>44070</v>
      </c>
      <c r="C1210" s="4">
        <v>3.58</v>
      </c>
      <c r="D1210" s="4">
        <v>2.0007999999999999</v>
      </c>
      <c r="E1210" s="4">
        <v>1570</v>
      </c>
      <c r="F1210" s="4">
        <v>3.58</v>
      </c>
      <c r="G1210" s="4">
        <v>5620.6</v>
      </c>
      <c r="H1210" s="5">
        <f t="shared" si="18"/>
        <v>2.285159245437348E-2</v>
      </c>
    </row>
    <row r="1211" spans="1:8" ht="13.5" x14ac:dyDescent="0.25">
      <c r="A1211" s="1"/>
      <c r="B1211" s="3">
        <v>44071</v>
      </c>
      <c r="C1211" s="4">
        <v>3.58</v>
      </c>
      <c r="D1211" s="4">
        <v>2.0007999999999999</v>
      </c>
      <c r="E1211" s="4">
        <v>701</v>
      </c>
      <c r="F1211" s="4">
        <v>3.58</v>
      </c>
      <c r="G1211" s="4">
        <v>2509.58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3.57</v>
      </c>
      <c r="D1212" s="4">
        <v>1.9952000000000001</v>
      </c>
      <c r="E1212" s="4">
        <v>1</v>
      </c>
      <c r="F1212" s="4">
        <v>3.57</v>
      </c>
      <c r="G1212" s="4">
        <v>3.57</v>
      </c>
      <c r="H1212" s="5">
        <f t="shared" si="18"/>
        <v>-2.7988804478207853E-3</v>
      </c>
    </row>
    <row r="1213" spans="1:8" ht="13.5" x14ac:dyDescent="0.25">
      <c r="A1213" s="1"/>
      <c r="B1213" s="3">
        <v>44075</v>
      </c>
      <c r="C1213" s="4">
        <v>3.57</v>
      </c>
      <c r="D1213" s="4">
        <v>1.9952000000000001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3.57</v>
      </c>
      <c r="D1214" s="4">
        <v>1.9952000000000001</v>
      </c>
      <c r="E1214" s="4">
        <v>4</v>
      </c>
      <c r="F1214" s="4">
        <v>3.57</v>
      </c>
      <c r="G1214" s="4">
        <v>14.28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3.57</v>
      </c>
      <c r="D1215" s="4">
        <v>1.9952000000000001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3.47</v>
      </c>
      <c r="D1216" s="4">
        <v>1.9394</v>
      </c>
      <c r="E1216" s="4">
        <v>50</v>
      </c>
      <c r="F1216" s="4">
        <v>3.47</v>
      </c>
      <c r="G1216" s="4">
        <v>173.5</v>
      </c>
      <c r="H1216" s="5">
        <f t="shared" si="18"/>
        <v>-2.7967121090617518E-2</v>
      </c>
    </row>
    <row r="1217" spans="1:8" ht="13.5" x14ac:dyDescent="0.25">
      <c r="A1217" s="1"/>
      <c r="B1217" s="3">
        <v>44081</v>
      </c>
      <c r="C1217" s="4">
        <v>3.45</v>
      </c>
      <c r="D1217" s="4">
        <v>1.9281999999999999</v>
      </c>
      <c r="E1217" s="4">
        <v>1012</v>
      </c>
      <c r="F1217" s="4">
        <v>3.4698000000000002</v>
      </c>
      <c r="G1217" s="4">
        <v>3511.4376000000002</v>
      </c>
      <c r="H1217" s="5">
        <f t="shared" si="18"/>
        <v>-5.7749819531814472E-3</v>
      </c>
    </row>
    <row r="1218" spans="1:8" ht="13.5" x14ac:dyDescent="0.25">
      <c r="A1218" s="1"/>
      <c r="B1218" s="3">
        <v>44082</v>
      </c>
      <c r="C1218" s="4">
        <v>3.42</v>
      </c>
      <c r="D1218" s="4">
        <v>1.9114</v>
      </c>
      <c r="E1218" s="4">
        <v>12</v>
      </c>
      <c r="F1218" s="4">
        <v>3.42</v>
      </c>
      <c r="G1218" s="4">
        <v>41.04</v>
      </c>
      <c r="H1218" s="5">
        <f t="shared" si="18"/>
        <v>-8.712789129758286E-3</v>
      </c>
    </row>
    <row r="1219" spans="1:8" ht="13.5" x14ac:dyDescent="0.25">
      <c r="A1219" s="1"/>
      <c r="B1219" s="3">
        <v>44083</v>
      </c>
      <c r="C1219" s="4">
        <v>3.44</v>
      </c>
      <c r="D1219" s="4">
        <v>1.9226000000000001</v>
      </c>
      <c r="E1219" s="4">
        <v>1130</v>
      </c>
      <c r="F1219" s="4">
        <v>3.4697</v>
      </c>
      <c r="G1219" s="4">
        <v>3920.761</v>
      </c>
      <c r="H1219" s="5">
        <f t="shared" si="18"/>
        <v>5.8595793659098564E-3</v>
      </c>
    </row>
    <row r="1220" spans="1:8" ht="13.5" x14ac:dyDescent="0.25">
      <c r="A1220" s="1"/>
      <c r="B1220" s="3">
        <v>44084</v>
      </c>
      <c r="C1220" s="4">
        <v>3.24</v>
      </c>
      <c r="D1220" s="4">
        <v>1.8108</v>
      </c>
      <c r="E1220" s="4">
        <v>2082</v>
      </c>
      <c r="F1220" s="4">
        <v>3.3384</v>
      </c>
      <c r="G1220" s="4">
        <v>6950.5487999999996</v>
      </c>
      <c r="H1220" s="5">
        <f t="shared" si="18"/>
        <v>-5.8150421304483571E-2</v>
      </c>
    </row>
    <row r="1221" spans="1:8" ht="13.5" x14ac:dyDescent="0.25">
      <c r="A1221" s="1"/>
      <c r="B1221" s="3">
        <v>44085</v>
      </c>
      <c r="C1221" s="4">
        <v>3.16</v>
      </c>
      <c r="D1221" s="4">
        <v>1.7661</v>
      </c>
      <c r="E1221" s="4">
        <v>110</v>
      </c>
      <c r="F1221" s="4">
        <v>3.3</v>
      </c>
      <c r="G1221" s="4">
        <v>363</v>
      </c>
      <c r="H1221" s="5">
        <f t="shared" si="18"/>
        <v>-2.468522200132536E-2</v>
      </c>
    </row>
    <row r="1222" spans="1:8" ht="13.5" x14ac:dyDescent="0.25">
      <c r="A1222" s="1"/>
      <c r="B1222" s="3">
        <v>44088</v>
      </c>
      <c r="C1222" s="4">
        <v>3.11</v>
      </c>
      <c r="D1222" s="4">
        <v>1.7382</v>
      </c>
      <c r="E1222" s="4">
        <v>1884</v>
      </c>
      <c r="F1222" s="4">
        <v>3.1110000000000002</v>
      </c>
      <c r="G1222" s="4">
        <v>5861.1239999999998</v>
      </c>
      <c r="H1222" s="5">
        <f t="shared" si="18"/>
        <v>-1.5797519959232228E-2</v>
      </c>
    </row>
    <row r="1223" spans="1:8" ht="13.5" x14ac:dyDescent="0.25">
      <c r="A1223" s="1"/>
      <c r="B1223" s="3">
        <v>44089</v>
      </c>
      <c r="C1223" s="4">
        <v>3.01</v>
      </c>
      <c r="D1223" s="4">
        <v>1.6822999999999999</v>
      </c>
      <c r="E1223" s="4">
        <v>2000</v>
      </c>
      <c r="F1223" s="4">
        <v>3.01</v>
      </c>
      <c r="G1223" s="4">
        <v>6020</v>
      </c>
      <c r="H1223" s="5">
        <f t="shared" ref="H1223:H1286" si="19">(D1223-D1222)/D1222</f>
        <v>-3.2159705442411729E-2</v>
      </c>
    </row>
    <row r="1224" spans="1:8" ht="13.5" x14ac:dyDescent="0.25">
      <c r="A1224" s="1"/>
      <c r="B1224" s="3">
        <v>44090</v>
      </c>
      <c r="C1224" s="4">
        <v>2.99</v>
      </c>
      <c r="D1224" s="4">
        <v>1.6711</v>
      </c>
      <c r="E1224" s="4">
        <v>1165</v>
      </c>
      <c r="F1224" s="4">
        <v>2.9935</v>
      </c>
      <c r="G1224" s="4">
        <v>3487.4274999999998</v>
      </c>
      <c r="H1224" s="5">
        <f t="shared" si="19"/>
        <v>-6.657552160732258E-3</v>
      </c>
    </row>
    <row r="1225" spans="1:8" ht="13.5" x14ac:dyDescent="0.25">
      <c r="A1225" s="1"/>
      <c r="B1225" s="3">
        <v>44091</v>
      </c>
      <c r="C1225" s="4">
        <v>2.9</v>
      </c>
      <c r="D1225" s="4">
        <v>1.6208</v>
      </c>
      <c r="E1225" s="4">
        <v>534</v>
      </c>
      <c r="F1225" s="4">
        <v>2.9003999999999999</v>
      </c>
      <c r="G1225" s="4">
        <v>1548.8136</v>
      </c>
      <c r="H1225" s="5">
        <f t="shared" si="19"/>
        <v>-3.0099934175094257E-2</v>
      </c>
    </row>
    <row r="1226" spans="1:8" ht="13.5" x14ac:dyDescent="0.25">
      <c r="A1226" s="1"/>
      <c r="B1226" s="3">
        <v>44092</v>
      </c>
      <c r="C1226" s="4">
        <v>2.91</v>
      </c>
      <c r="D1226" s="4">
        <v>1.6264000000000001</v>
      </c>
      <c r="E1226" s="4">
        <v>5759</v>
      </c>
      <c r="F1226" s="4">
        <v>2.9203000000000001</v>
      </c>
      <c r="G1226" s="4">
        <v>16818.007699999998</v>
      </c>
      <c r="H1226" s="5">
        <f t="shared" si="19"/>
        <v>3.455083909180682E-3</v>
      </c>
    </row>
    <row r="1227" spans="1:8" ht="13.5" x14ac:dyDescent="0.25">
      <c r="A1227" s="1"/>
      <c r="B1227" s="3">
        <v>44095</v>
      </c>
      <c r="C1227" s="4">
        <v>2.86</v>
      </c>
      <c r="D1227" s="4">
        <v>1.5984</v>
      </c>
      <c r="E1227" s="4">
        <v>9383</v>
      </c>
      <c r="F1227" s="4">
        <v>2.8767999999999998</v>
      </c>
      <c r="G1227" s="4">
        <v>26993.0144</v>
      </c>
      <c r="H1227" s="5">
        <f t="shared" si="19"/>
        <v>-1.7215937038858844E-2</v>
      </c>
    </row>
    <row r="1228" spans="1:8" ht="13.5" x14ac:dyDescent="0.25">
      <c r="A1228" s="1"/>
      <c r="B1228" s="3">
        <v>44096</v>
      </c>
      <c r="C1228" s="4">
        <v>2.86</v>
      </c>
      <c r="D1228" s="4">
        <v>1.5984</v>
      </c>
      <c r="E1228" s="4">
        <v>7434</v>
      </c>
      <c r="F1228" s="4">
        <v>2.8601999999999999</v>
      </c>
      <c r="G1228" s="4">
        <v>21262.7268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2.9</v>
      </c>
      <c r="D1229" s="4">
        <v>1.6208</v>
      </c>
      <c r="E1229" s="4">
        <v>19</v>
      </c>
      <c r="F1229" s="4">
        <v>2.9068000000000001</v>
      </c>
      <c r="G1229" s="4">
        <v>55.229199999999999</v>
      </c>
      <c r="H1229" s="5">
        <f t="shared" si="19"/>
        <v>1.4014014014013998E-2</v>
      </c>
    </row>
    <row r="1230" spans="1:8" ht="13.5" x14ac:dyDescent="0.25">
      <c r="A1230" s="1"/>
      <c r="B1230" s="3">
        <v>44098</v>
      </c>
      <c r="C1230" s="4">
        <v>2.86</v>
      </c>
      <c r="D1230" s="4">
        <v>1.5984</v>
      </c>
      <c r="E1230" s="4">
        <v>585</v>
      </c>
      <c r="F1230" s="4">
        <v>2.8601999999999999</v>
      </c>
      <c r="G1230" s="4">
        <v>1673.2170000000001</v>
      </c>
      <c r="H1230" s="5">
        <f t="shared" si="19"/>
        <v>-1.3820335636722591E-2</v>
      </c>
    </row>
    <row r="1231" spans="1:8" ht="13.5" x14ac:dyDescent="0.25">
      <c r="A1231" s="1"/>
      <c r="B1231" s="3">
        <v>44099</v>
      </c>
      <c r="C1231" s="4">
        <v>2.82</v>
      </c>
      <c r="D1231" s="4">
        <v>1.5761000000000001</v>
      </c>
      <c r="E1231" s="4">
        <v>21627</v>
      </c>
      <c r="F1231" s="4">
        <v>2.82</v>
      </c>
      <c r="G1231" s="4">
        <v>60988.14</v>
      </c>
      <c r="H1231" s="5">
        <f t="shared" si="19"/>
        <v>-1.3951451451451442E-2</v>
      </c>
    </row>
    <row r="1232" spans="1:8" ht="13.5" x14ac:dyDescent="0.25">
      <c r="A1232" s="1"/>
      <c r="B1232" s="3">
        <v>44102</v>
      </c>
      <c r="C1232" s="4">
        <v>2.77</v>
      </c>
      <c r="D1232" s="4">
        <v>1.5481</v>
      </c>
      <c r="E1232" s="4">
        <v>1</v>
      </c>
      <c r="F1232" s="4">
        <v>2.9</v>
      </c>
      <c r="G1232" s="4">
        <v>2.9</v>
      </c>
      <c r="H1232" s="5">
        <f t="shared" si="19"/>
        <v>-1.7765370217625802E-2</v>
      </c>
    </row>
    <row r="1233" spans="1:8" ht="13.5" x14ac:dyDescent="0.25">
      <c r="A1233" s="1"/>
      <c r="B1233" s="3">
        <v>44103</v>
      </c>
      <c r="C1233" s="4">
        <v>2.65</v>
      </c>
      <c r="D1233" s="4">
        <v>1.4811000000000001</v>
      </c>
      <c r="E1233" s="4">
        <v>1890</v>
      </c>
      <c r="F1233" s="4">
        <v>2.65</v>
      </c>
      <c r="G1233" s="4">
        <v>5008.5</v>
      </c>
      <c r="H1233" s="5">
        <f t="shared" si="19"/>
        <v>-4.3278857954912438E-2</v>
      </c>
    </row>
    <row r="1234" spans="1:8" ht="13.5" x14ac:dyDescent="0.25">
      <c r="A1234" s="1"/>
      <c r="B1234" s="3">
        <v>44104</v>
      </c>
      <c r="C1234" s="4">
        <v>2.66</v>
      </c>
      <c r="D1234" s="4">
        <v>1.4866999999999999</v>
      </c>
      <c r="E1234" s="4">
        <v>5268</v>
      </c>
      <c r="F1234" s="4">
        <v>2.6581999999999999</v>
      </c>
      <c r="G1234" s="4">
        <v>14003.3976</v>
      </c>
      <c r="H1234" s="5">
        <f t="shared" si="19"/>
        <v>3.780973600702064E-3</v>
      </c>
    </row>
    <row r="1235" spans="1:8" ht="13.5" x14ac:dyDescent="0.25">
      <c r="A1235" s="1"/>
      <c r="B1235" s="3">
        <v>44105</v>
      </c>
      <c r="C1235" s="4">
        <v>2.7</v>
      </c>
      <c r="D1235" s="4">
        <v>1.5089999999999999</v>
      </c>
      <c r="E1235" s="4">
        <v>1263</v>
      </c>
      <c r="F1235" s="4">
        <v>2.7</v>
      </c>
      <c r="G1235" s="4">
        <v>3410.1</v>
      </c>
      <c r="H1235" s="5">
        <f t="shared" si="19"/>
        <v>1.4999663684670738E-2</v>
      </c>
    </row>
    <row r="1236" spans="1:8" ht="13.5" x14ac:dyDescent="0.25">
      <c r="A1236" s="1"/>
      <c r="B1236" s="3">
        <v>44106</v>
      </c>
      <c r="C1236" s="4">
        <v>2.7</v>
      </c>
      <c r="D1236" s="4">
        <v>1.5089999999999999</v>
      </c>
      <c r="E1236" s="4">
        <v>416</v>
      </c>
      <c r="F1236" s="4">
        <v>2.7002000000000002</v>
      </c>
      <c r="G1236" s="4">
        <v>1123.2832000000001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2.85</v>
      </c>
      <c r="D1237" s="4">
        <v>1.5928</v>
      </c>
      <c r="E1237" s="4">
        <v>18</v>
      </c>
      <c r="F1237" s="4">
        <v>2.8422000000000001</v>
      </c>
      <c r="G1237" s="4">
        <v>51.159599999999998</v>
      </c>
      <c r="H1237" s="5">
        <f t="shared" si="19"/>
        <v>5.5533465871438106E-2</v>
      </c>
    </row>
    <row r="1238" spans="1:8" ht="13.5" x14ac:dyDescent="0.25">
      <c r="A1238" s="1"/>
      <c r="B1238" s="3">
        <v>44110</v>
      </c>
      <c r="C1238" s="4">
        <v>2.98</v>
      </c>
      <c r="D1238" s="4">
        <v>1.6655</v>
      </c>
      <c r="E1238" s="4">
        <v>63</v>
      </c>
      <c r="F1238" s="4">
        <v>2.9379</v>
      </c>
      <c r="G1238" s="4">
        <v>185.08770000000001</v>
      </c>
      <c r="H1238" s="5">
        <f t="shared" si="19"/>
        <v>4.5642893018583618E-2</v>
      </c>
    </row>
    <row r="1239" spans="1:8" ht="13.5" x14ac:dyDescent="0.25">
      <c r="A1239" s="1"/>
      <c r="B1239" s="3">
        <v>44111</v>
      </c>
      <c r="C1239" s="4">
        <v>2.85</v>
      </c>
      <c r="D1239" s="4">
        <v>1.5928</v>
      </c>
      <c r="E1239" s="4">
        <v>0</v>
      </c>
      <c r="F1239" s="4">
        <v>0</v>
      </c>
      <c r="G1239" s="4">
        <v>0</v>
      </c>
      <c r="H1239" s="5">
        <f t="shared" si="19"/>
        <v>-4.3650555388772133E-2</v>
      </c>
    </row>
    <row r="1240" spans="1:8" ht="13.5" x14ac:dyDescent="0.25">
      <c r="A1240" s="1"/>
      <c r="B1240" s="3">
        <v>44112</v>
      </c>
      <c r="C1240" s="4">
        <v>2.83</v>
      </c>
      <c r="D1240" s="4">
        <v>1.5817000000000001</v>
      </c>
      <c r="E1240" s="4">
        <v>940</v>
      </c>
      <c r="F1240" s="4">
        <v>2.7161</v>
      </c>
      <c r="G1240" s="4">
        <v>2553.134</v>
      </c>
      <c r="H1240" s="5">
        <f t="shared" si="19"/>
        <v>-6.9688598694122852E-3</v>
      </c>
    </row>
    <row r="1241" spans="1:8" ht="13.5" x14ac:dyDescent="0.25">
      <c r="A1241" s="1"/>
      <c r="B1241" s="3">
        <v>44113</v>
      </c>
      <c r="C1241" s="4">
        <v>2.74</v>
      </c>
      <c r="D1241" s="4">
        <v>1.5314000000000001</v>
      </c>
      <c r="E1241" s="4">
        <v>89</v>
      </c>
      <c r="F1241" s="4">
        <v>2.7490000000000001</v>
      </c>
      <c r="G1241" s="4">
        <v>244.661</v>
      </c>
      <c r="H1241" s="5">
        <f t="shared" si="19"/>
        <v>-3.1801226528418797E-2</v>
      </c>
    </row>
    <row r="1242" spans="1:8" ht="13.5" x14ac:dyDescent="0.25">
      <c r="A1242" s="1"/>
      <c r="B1242" s="3">
        <v>44116</v>
      </c>
      <c r="C1242" s="4">
        <v>2.84</v>
      </c>
      <c r="D1242" s="4">
        <v>1.5872999999999999</v>
      </c>
      <c r="E1242" s="4">
        <v>2</v>
      </c>
      <c r="F1242" s="4">
        <v>2.83</v>
      </c>
      <c r="G1242" s="4">
        <v>5.66</v>
      </c>
      <c r="H1242" s="5">
        <f t="shared" si="19"/>
        <v>3.6502546689303798E-2</v>
      </c>
    </row>
    <row r="1243" spans="1:8" ht="13.5" x14ac:dyDescent="0.25">
      <c r="A1243" s="1"/>
      <c r="B1243" s="3">
        <v>44117</v>
      </c>
      <c r="C1243" s="4">
        <v>2.85</v>
      </c>
      <c r="D1243" s="4">
        <v>1.5928</v>
      </c>
      <c r="E1243" s="4">
        <v>65</v>
      </c>
      <c r="F1243" s="4">
        <v>2.85</v>
      </c>
      <c r="G1243" s="4">
        <v>185.25</v>
      </c>
      <c r="H1243" s="5">
        <f t="shared" si="19"/>
        <v>3.4650034650035031E-3</v>
      </c>
    </row>
    <row r="1244" spans="1:8" ht="13.5" x14ac:dyDescent="0.25">
      <c r="A1244" s="1"/>
      <c r="B1244" s="3">
        <v>44118</v>
      </c>
      <c r="C1244" s="4">
        <v>2.73</v>
      </c>
      <c r="D1244" s="4">
        <v>1.5258</v>
      </c>
      <c r="E1244" s="4">
        <v>210</v>
      </c>
      <c r="F1244" s="4">
        <v>2.7357</v>
      </c>
      <c r="G1244" s="4">
        <v>574.49699999999996</v>
      </c>
      <c r="H1244" s="5">
        <f t="shared" si="19"/>
        <v>-4.2064289301858328E-2</v>
      </c>
    </row>
    <row r="1245" spans="1:8" ht="13.5" x14ac:dyDescent="0.25">
      <c r="A1245" s="1"/>
      <c r="B1245" s="3">
        <v>44120</v>
      </c>
      <c r="C1245" s="4">
        <v>2.81</v>
      </c>
      <c r="D1245" s="4">
        <v>1.5705</v>
      </c>
      <c r="E1245" s="4">
        <v>442</v>
      </c>
      <c r="F1245" s="4">
        <v>2.7057000000000002</v>
      </c>
      <c r="G1245" s="4">
        <v>1195.9194</v>
      </c>
      <c r="H1245" s="5">
        <f t="shared" si="19"/>
        <v>2.9296106960283105E-2</v>
      </c>
    </row>
    <row r="1246" spans="1:8" ht="13.5" x14ac:dyDescent="0.25">
      <c r="A1246" s="1"/>
      <c r="B1246" s="3">
        <v>44123</v>
      </c>
      <c r="C1246" s="4">
        <v>2.85</v>
      </c>
      <c r="D1246" s="4">
        <v>1.5928</v>
      </c>
      <c r="E1246" s="4">
        <v>60</v>
      </c>
      <c r="F1246" s="4">
        <v>2.85</v>
      </c>
      <c r="G1246" s="4">
        <v>171</v>
      </c>
      <c r="H1246" s="5">
        <f t="shared" si="19"/>
        <v>1.4199299586119062E-2</v>
      </c>
    </row>
    <row r="1247" spans="1:8" ht="13.5" x14ac:dyDescent="0.25">
      <c r="A1247" s="1"/>
      <c r="B1247" s="3">
        <v>44124</v>
      </c>
      <c r="C1247" s="4">
        <v>2.84</v>
      </c>
      <c r="D1247" s="4">
        <v>1.5872999999999999</v>
      </c>
      <c r="E1247" s="4">
        <v>650</v>
      </c>
      <c r="F1247" s="4">
        <v>2.84</v>
      </c>
      <c r="G1247" s="4">
        <v>1846</v>
      </c>
      <c r="H1247" s="5">
        <f t="shared" si="19"/>
        <v>-3.4530386740331872E-3</v>
      </c>
    </row>
    <row r="1248" spans="1:8" ht="13.5" x14ac:dyDescent="0.25">
      <c r="A1248" s="1"/>
      <c r="B1248" s="3">
        <v>44125</v>
      </c>
      <c r="C1248" s="4">
        <v>2.83</v>
      </c>
      <c r="D1248" s="4">
        <v>1.5817000000000001</v>
      </c>
      <c r="E1248" s="4">
        <v>926</v>
      </c>
      <c r="F1248" s="4">
        <v>2.7770000000000001</v>
      </c>
      <c r="G1248" s="4">
        <v>2571.502</v>
      </c>
      <c r="H1248" s="5">
        <f t="shared" si="19"/>
        <v>-3.5280035280034192E-3</v>
      </c>
    </row>
    <row r="1249" spans="1:8" ht="13.5" x14ac:dyDescent="0.25">
      <c r="A1249" s="1"/>
      <c r="B1249" s="3">
        <v>44126</v>
      </c>
      <c r="C1249" s="4">
        <v>2.71</v>
      </c>
      <c r="D1249" s="4">
        <v>1.5145999999999999</v>
      </c>
      <c r="E1249" s="4">
        <v>500</v>
      </c>
      <c r="F1249" s="4">
        <v>2.71</v>
      </c>
      <c r="G1249" s="4">
        <v>1355</v>
      </c>
      <c r="H1249" s="5">
        <f t="shared" si="19"/>
        <v>-4.2422709742682023E-2</v>
      </c>
    </row>
    <row r="1250" spans="1:8" ht="13.5" x14ac:dyDescent="0.25">
      <c r="A1250" s="1"/>
      <c r="B1250" s="3">
        <v>44127</v>
      </c>
      <c r="C1250" s="4">
        <v>2.71</v>
      </c>
      <c r="D1250" s="4">
        <v>1.5145999999999999</v>
      </c>
      <c r="E1250" s="4">
        <v>1800</v>
      </c>
      <c r="F1250" s="4">
        <v>2.7214999999999998</v>
      </c>
      <c r="G1250" s="4">
        <v>4898.7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2.83</v>
      </c>
      <c r="D1251" s="4">
        <v>1.5817000000000001</v>
      </c>
      <c r="E1251" s="4">
        <v>525</v>
      </c>
      <c r="F1251" s="4">
        <v>2.7915000000000001</v>
      </c>
      <c r="G1251" s="4">
        <v>1465.5374999999999</v>
      </c>
      <c r="H1251" s="5">
        <f t="shared" si="19"/>
        <v>4.4302125973854592E-2</v>
      </c>
    </row>
    <row r="1252" spans="1:8" ht="13.5" x14ac:dyDescent="0.25">
      <c r="A1252" s="1"/>
      <c r="B1252" s="3">
        <v>44131</v>
      </c>
      <c r="C1252" s="4">
        <v>2.71</v>
      </c>
      <c r="D1252" s="4">
        <v>1.5145999999999999</v>
      </c>
      <c r="E1252" s="4">
        <v>1318</v>
      </c>
      <c r="F1252" s="4">
        <v>2.7378999999999998</v>
      </c>
      <c r="G1252" s="4">
        <v>3608.5522000000001</v>
      </c>
      <c r="H1252" s="5">
        <f t="shared" si="19"/>
        <v>-4.2422709742682023E-2</v>
      </c>
    </row>
    <row r="1253" spans="1:8" ht="13.5" x14ac:dyDescent="0.25">
      <c r="A1253" s="1"/>
      <c r="B1253" s="3">
        <v>44132</v>
      </c>
      <c r="C1253" s="4">
        <v>2.71</v>
      </c>
      <c r="D1253" s="4">
        <v>1.5145999999999999</v>
      </c>
      <c r="E1253" s="4">
        <v>8610</v>
      </c>
      <c r="F1253" s="4">
        <v>2.71</v>
      </c>
      <c r="G1253" s="4">
        <v>23333.1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2.69</v>
      </c>
      <c r="D1254" s="4">
        <v>1.5034000000000001</v>
      </c>
      <c r="E1254" s="4">
        <v>4570</v>
      </c>
      <c r="F1254" s="4">
        <v>2.6934</v>
      </c>
      <c r="G1254" s="4">
        <v>12308.838</v>
      </c>
      <c r="H1254" s="5">
        <f t="shared" si="19"/>
        <v>-7.3946916677669859E-3</v>
      </c>
    </row>
    <row r="1255" spans="1:8" ht="13.5" x14ac:dyDescent="0.25">
      <c r="A1255" s="1"/>
      <c r="B1255" s="3">
        <v>44137</v>
      </c>
      <c r="C1255" s="4">
        <v>2.62</v>
      </c>
      <c r="D1255" s="4">
        <v>1.4642999999999999</v>
      </c>
      <c r="E1255" s="4">
        <v>2385</v>
      </c>
      <c r="F1255" s="4">
        <v>2.6107</v>
      </c>
      <c r="G1255" s="4">
        <v>6226.5195000000003</v>
      </c>
      <c r="H1255" s="5">
        <f t="shared" si="19"/>
        <v>-2.6007715844086825E-2</v>
      </c>
    </row>
    <row r="1256" spans="1:8" ht="13.5" x14ac:dyDescent="0.25">
      <c r="A1256" s="1"/>
      <c r="B1256" s="3">
        <v>44138</v>
      </c>
      <c r="C1256" s="4">
        <v>2.77</v>
      </c>
      <c r="D1256" s="4">
        <v>1.5481</v>
      </c>
      <c r="E1256" s="4">
        <v>2049</v>
      </c>
      <c r="F1256" s="4">
        <v>2.7261000000000002</v>
      </c>
      <c r="G1256" s="4">
        <v>5585.7789000000002</v>
      </c>
      <c r="H1256" s="5">
        <f t="shared" si="19"/>
        <v>5.7228709963805302E-2</v>
      </c>
    </row>
    <row r="1257" spans="1:8" ht="13.5" x14ac:dyDescent="0.25">
      <c r="A1257" s="1"/>
      <c r="B1257" s="3">
        <v>44139</v>
      </c>
      <c r="C1257" s="4">
        <v>2.9</v>
      </c>
      <c r="D1257" s="4">
        <v>1.6208</v>
      </c>
      <c r="E1257" s="4">
        <v>2175</v>
      </c>
      <c r="F1257" s="4">
        <v>2.8746999999999998</v>
      </c>
      <c r="G1257" s="4">
        <v>6252.4724999999999</v>
      </c>
      <c r="H1257" s="5">
        <f t="shared" si="19"/>
        <v>4.6960790646599047E-2</v>
      </c>
    </row>
    <row r="1258" spans="1:8" ht="13.5" x14ac:dyDescent="0.25">
      <c r="A1258" s="1"/>
      <c r="B1258" s="3">
        <v>44140</v>
      </c>
      <c r="C1258" s="4">
        <v>2.9</v>
      </c>
      <c r="D1258" s="4">
        <v>1.6208</v>
      </c>
      <c r="E1258" s="4">
        <v>1085</v>
      </c>
      <c r="F1258" s="4">
        <v>2.8866999999999998</v>
      </c>
      <c r="G1258" s="4">
        <v>3132.0695000000001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3.01</v>
      </c>
      <c r="D1259" s="4">
        <v>1.6822999999999999</v>
      </c>
      <c r="E1259" s="4">
        <v>3923</v>
      </c>
      <c r="F1259" s="4">
        <v>3.0055000000000001</v>
      </c>
      <c r="G1259" s="4">
        <v>11790.576499999999</v>
      </c>
      <c r="H1259" s="5">
        <f t="shared" si="19"/>
        <v>3.7944225074037441E-2</v>
      </c>
    </row>
    <row r="1260" spans="1:8" ht="13.5" x14ac:dyDescent="0.25">
      <c r="A1260" s="1"/>
      <c r="B1260" s="3">
        <v>44144</v>
      </c>
      <c r="C1260" s="4">
        <v>3.1</v>
      </c>
      <c r="D1260" s="4">
        <v>1.7325999999999999</v>
      </c>
      <c r="E1260" s="4">
        <v>1263</v>
      </c>
      <c r="F1260" s="4">
        <v>3.0992000000000002</v>
      </c>
      <c r="G1260" s="4">
        <v>3914.2896000000001</v>
      </c>
      <c r="H1260" s="5">
        <f t="shared" si="19"/>
        <v>2.9899542293288957E-2</v>
      </c>
    </row>
    <row r="1261" spans="1:8" ht="13.5" x14ac:dyDescent="0.25">
      <c r="A1261" s="1"/>
      <c r="B1261" s="3">
        <v>44145</v>
      </c>
      <c r="C1261" s="4">
        <v>3.1</v>
      </c>
      <c r="D1261" s="4">
        <v>1.7325999999999999</v>
      </c>
      <c r="E1261" s="4">
        <v>505</v>
      </c>
      <c r="F1261" s="4">
        <v>3.1040999999999999</v>
      </c>
      <c r="G1261" s="4">
        <v>1567.5705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3.01</v>
      </c>
      <c r="D1262" s="4">
        <v>1.6822999999999999</v>
      </c>
      <c r="E1262" s="4">
        <v>1277</v>
      </c>
      <c r="F1262" s="4">
        <v>3.0476999999999999</v>
      </c>
      <c r="G1262" s="4">
        <v>3891.9128999999998</v>
      </c>
      <c r="H1262" s="5">
        <f t="shared" si="19"/>
        <v>-2.9031513332563784E-2</v>
      </c>
    </row>
    <row r="1263" spans="1:8" ht="13.5" x14ac:dyDescent="0.25">
      <c r="A1263" s="1"/>
      <c r="B1263" s="3">
        <v>44147</v>
      </c>
      <c r="C1263" s="4">
        <v>3.1</v>
      </c>
      <c r="D1263" s="4">
        <v>1.7325999999999999</v>
      </c>
      <c r="E1263" s="4">
        <v>17139</v>
      </c>
      <c r="F1263" s="4">
        <v>3.0969000000000002</v>
      </c>
      <c r="G1263" s="4">
        <v>53077.769099999998</v>
      </c>
      <c r="H1263" s="5">
        <f t="shared" si="19"/>
        <v>2.9899542293288957E-2</v>
      </c>
    </row>
    <row r="1264" spans="1:8" ht="13.5" x14ac:dyDescent="0.25">
      <c r="A1264" s="1"/>
      <c r="B1264" s="3">
        <v>44148</v>
      </c>
      <c r="C1264" s="4">
        <v>3.1</v>
      </c>
      <c r="D1264" s="4">
        <v>1.7325999999999999</v>
      </c>
      <c r="E1264" s="4">
        <v>1097</v>
      </c>
      <c r="F1264" s="4">
        <v>3.1</v>
      </c>
      <c r="G1264" s="4">
        <v>3400.7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3.26</v>
      </c>
      <c r="D1265" s="4">
        <v>1.8220000000000001</v>
      </c>
      <c r="E1265" s="4">
        <v>1501</v>
      </c>
      <c r="F1265" s="4">
        <v>3.26</v>
      </c>
      <c r="G1265" s="4">
        <v>4893.26</v>
      </c>
      <c r="H1265" s="5">
        <f t="shared" si="19"/>
        <v>5.1598753318711853E-2</v>
      </c>
    </row>
    <row r="1266" spans="1:8" ht="13.5" x14ac:dyDescent="0.25">
      <c r="A1266" s="1"/>
      <c r="B1266" s="3">
        <v>44152</v>
      </c>
      <c r="C1266" s="4">
        <v>3.3</v>
      </c>
      <c r="D1266" s="4">
        <v>1.8443000000000001</v>
      </c>
      <c r="E1266" s="4">
        <v>5394</v>
      </c>
      <c r="F1266" s="4">
        <v>3.3007</v>
      </c>
      <c r="G1266" s="4">
        <v>17803.9758</v>
      </c>
      <c r="H1266" s="5">
        <f t="shared" si="19"/>
        <v>1.2239297475301858E-2</v>
      </c>
    </row>
    <row r="1267" spans="1:8" ht="13.5" x14ac:dyDescent="0.25">
      <c r="A1267" s="1"/>
      <c r="B1267" s="3">
        <v>44153</v>
      </c>
      <c r="C1267" s="4">
        <v>3.2</v>
      </c>
      <c r="D1267" s="4">
        <v>1.7885</v>
      </c>
      <c r="E1267" s="4">
        <v>882</v>
      </c>
      <c r="F1267" s="4">
        <v>3.2027999999999999</v>
      </c>
      <c r="G1267" s="4">
        <v>2824.8696</v>
      </c>
      <c r="H1267" s="5">
        <f t="shared" si="19"/>
        <v>-3.025538144553493E-2</v>
      </c>
    </row>
    <row r="1268" spans="1:8" ht="13.5" x14ac:dyDescent="0.25">
      <c r="A1268" s="1"/>
      <c r="B1268" s="3">
        <v>44154</v>
      </c>
      <c r="C1268" s="4">
        <v>3.11</v>
      </c>
      <c r="D1268" s="4">
        <v>1.7382</v>
      </c>
      <c r="E1268" s="4">
        <v>513</v>
      </c>
      <c r="F1268" s="4">
        <v>3.2</v>
      </c>
      <c r="G1268" s="4">
        <v>1641.6</v>
      </c>
      <c r="H1268" s="5">
        <f t="shared" si="19"/>
        <v>-2.8124126362873925E-2</v>
      </c>
    </row>
    <row r="1269" spans="1:8" ht="13.5" x14ac:dyDescent="0.25">
      <c r="A1269" s="1"/>
      <c r="B1269" s="3">
        <v>44155</v>
      </c>
      <c r="C1269" s="4">
        <v>3.25</v>
      </c>
      <c r="D1269" s="4">
        <v>1.8164</v>
      </c>
      <c r="E1269" s="4">
        <v>20000</v>
      </c>
      <c r="F1269" s="4">
        <v>3.2686999999999999</v>
      </c>
      <c r="G1269" s="4">
        <v>65374</v>
      </c>
      <c r="H1269" s="5">
        <f t="shared" si="19"/>
        <v>4.4989069151996346E-2</v>
      </c>
    </row>
    <row r="1270" spans="1:8" ht="13.5" x14ac:dyDescent="0.25">
      <c r="A1270" s="1"/>
      <c r="B1270" s="3">
        <v>44158</v>
      </c>
      <c r="C1270" s="4">
        <v>3.24</v>
      </c>
      <c r="D1270" s="4">
        <v>1.8108</v>
      </c>
      <c r="E1270" s="4">
        <v>21062</v>
      </c>
      <c r="F1270" s="4">
        <v>3.2791000000000001</v>
      </c>
      <c r="G1270" s="4">
        <v>69064.404200000004</v>
      </c>
      <c r="H1270" s="5">
        <f t="shared" si="19"/>
        <v>-3.0830213609337421E-3</v>
      </c>
    </row>
    <row r="1271" spans="1:8" ht="13.5" x14ac:dyDescent="0.25">
      <c r="A1271" s="1"/>
      <c r="B1271" s="3">
        <v>44159</v>
      </c>
      <c r="C1271" s="4">
        <v>1.9</v>
      </c>
      <c r="D1271" s="4">
        <v>1.0619000000000001</v>
      </c>
      <c r="E1271" s="4">
        <v>14464</v>
      </c>
      <c r="F1271" s="4">
        <v>1.9027000000000001</v>
      </c>
      <c r="G1271" s="4">
        <v>27520.6528</v>
      </c>
      <c r="H1271" s="5">
        <f t="shared" si="19"/>
        <v>-0.41357411089021423</v>
      </c>
    </row>
    <row r="1272" spans="1:8" ht="13.5" x14ac:dyDescent="0.25">
      <c r="A1272" s="1"/>
      <c r="B1272" s="3">
        <v>44160</v>
      </c>
      <c r="C1272" s="4">
        <v>1.89</v>
      </c>
      <c r="D1272" s="4">
        <v>1.8806</v>
      </c>
      <c r="E1272" s="4">
        <v>5181</v>
      </c>
      <c r="F1272" s="4">
        <v>1.8828</v>
      </c>
      <c r="G1272" s="4">
        <v>9754.7867999999999</v>
      </c>
      <c r="H1272" s="5">
        <f t="shared" si="19"/>
        <v>0.77097655146435629</v>
      </c>
    </row>
    <row r="1273" spans="1:8" ht="13.5" x14ac:dyDescent="0.25">
      <c r="A1273" s="1"/>
      <c r="B1273" s="3">
        <v>44161</v>
      </c>
      <c r="C1273" s="4">
        <v>1.89</v>
      </c>
      <c r="D1273" s="4">
        <v>1.8806</v>
      </c>
      <c r="E1273" s="4">
        <v>0</v>
      </c>
      <c r="F1273" s="4">
        <v>0</v>
      </c>
      <c r="G1273" s="4">
        <v>0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1.85</v>
      </c>
      <c r="D1274" s="4">
        <v>1.8408</v>
      </c>
      <c r="E1274" s="4">
        <v>5103</v>
      </c>
      <c r="F1274" s="4">
        <v>1.8499000000000001</v>
      </c>
      <c r="G1274" s="4">
        <v>9440.0396999999994</v>
      </c>
      <c r="H1274" s="5">
        <f t="shared" si="19"/>
        <v>-2.116345847070087E-2</v>
      </c>
    </row>
    <row r="1275" spans="1:8" ht="13.5" x14ac:dyDescent="0.25">
      <c r="A1275" s="1"/>
      <c r="B1275" s="3">
        <v>44165</v>
      </c>
      <c r="C1275" s="4">
        <v>1.9</v>
      </c>
      <c r="D1275" s="4">
        <v>1.8905000000000001</v>
      </c>
      <c r="E1275" s="4">
        <v>705</v>
      </c>
      <c r="F1275" s="4">
        <v>1.8504</v>
      </c>
      <c r="G1275" s="4">
        <v>1304.5319999999999</v>
      </c>
      <c r="H1275" s="5">
        <f t="shared" si="19"/>
        <v>2.6999130812690175E-2</v>
      </c>
    </row>
    <row r="1276" spans="1:8" ht="13.5" x14ac:dyDescent="0.25">
      <c r="A1276" s="1"/>
      <c r="B1276" s="3">
        <v>44166</v>
      </c>
      <c r="C1276" s="4">
        <v>1.98</v>
      </c>
      <c r="D1276" s="4">
        <v>1.9701</v>
      </c>
      <c r="E1276" s="4">
        <v>5500</v>
      </c>
      <c r="F1276" s="4">
        <v>1.9549000000000001</v>
      </c>
      <c r="G1276" s="4">
        <v>10751.95</v>
      </c>
      <c r="H1276" s="5">
        <f t="shared" si="19"/>
        <v>4.210526315789468E-2</v>
      </c>
    </row>
    <row r="1277" spans="1:8" ht="13.5" x14ac:dyDescent="0.25">
      <c r="A1277" s="1"/>
      <c r="B1277" s="3">
        <v>44167</v>
      </c>
      <c r="C1277" s="4">
        <v>2.0299999999999998</v>
      </c>
      <c r="D1277" s="4">
        <v>2.0198999999999998</v>
      </c>
      <c r="E1277" s="4">
        <v>4040</v>
      </c>
      <c r="F1277" s="4">
        <v>1.9805999999999999</v>
      </c>
      <c r="G1277" s="4">
        <v>8001.6239999999998</v>
      </c>
      <c r="H1277" s="5">
        <f t="shared" si="19"/>
        <v>2.527790467488952E-2</v>
      </c>
    </row>
    <row r="1278" spans="1:8" ht="13.5" x14ac:dyDescent="0.25">
      <c r="A1278" s="1"/>
      <c r="B1278" s="3">
        <v>44168</v>
      </c>
      <c r="C1278" s="4">
        <v>2.15</v>
      </c>
      <c r="D1278" s="4">
        <v>2.1393</v>
      </c>
      <c r="E1278" s="4">
        <v>20082</v>
      </c>
      <c r="F1278" s="4">
        <v>2.1438999999999999</v>
      </c>
      <c r="G1278" s="4">
        <v>43053.799800000001</v>
      </c>
      <c r="H1278" s="5">
        <f t="shared" si="19"/>
        <v>5.9111837219664433E-2</v>
      </c>
    </row>
    <row r="1279" spans="1:8" ht="13.5" x14ac:dyDescent="0.25">
      <c r="A1279" s="1"/>
      <c r="B1279" s="3">
        <v>44169</v>
      </c>
      <c r="C1279" s="4">
        <v>2.27</v>
      </c>
      <c r="D1279" s="4">
        <v>2.2587000000000002</v>
      </c>
      <c r="E1279" s="4">
        <v>10973</v>
      </c>
      <c r="F1279" s="4">
        <v>2.2639</v>
      </c>
      <c r="G1279" s="4">
        <v>24841.774700000002</v>
      </c>
      <c r="H1279" s="5">
        <f t="shared" si="19"/>
        <v>5.5812648997335658E-2</v>
      </c>
    </row>
    <row r="1280" spans="1:8" ht="13.5" x14ac:dyDescent="0.25">
      <c r="A1280" s="1"/>
      <c r="B1280" s="3">
        <v>44172</v>
      </c>
      <c r="C1280" s="4">
        <v>2.21</v>
      </c>
      <c r="D1280" s="4">
        <v>2.1989999999999998</v>
      </c>
      <c r="E1280" s="4">
        <v>9319</v>
      </c>
      <c r="F1280" s="4">
        <v>2.2199</v>
      </c>
      <c r="G1280" s="4">
        <v>20687.248100000001</v>
      </c>
      <c r="H1280" s="5">
        <f t="shared" si="19"/>
        <v>-2.643113295258348E-2</v>
      </c>
    </row>
    <row r="1281" spans="1:8" ht="13.5" x14ac:dyDescent="0.25">
      <c r="A1281" s="1"/>
      <c r="B1281" s="3">
        <v>44173</v>
      </c>
      <c r="C1281" s="4">
        <v>2.08</v>
      </c>
      <c r="D1281" s="4">
        <v>2.0695999999999999</v>
      </c>
      <c r="E1281" s="4">
        <v>1462</v>
      </c>
      <c r="F1281" s="4">
        <v>2.0952999999999999</v>
      </c>
      <c r="G1281" s="4">
        <v>3063.3285999999998</v>
      </c>
      <c r="H1281" s="5">
        <f t="shared" si="19"/>
        <v>-5.8844929513415176E-2</v>
      </c>
    </row>
    <row r="1282" spans="1:8" ht="13.5" x14ac:dyDescent="0.25">
      <c r="A1282" s="1"/>
      <c r="B1282" s="3">
        <v>44174</v>
      </c>
      <c r="C1282" s="4">
        <v>1.96</v>
      </c>
      <c r="D1282" s="4">
        <v>1.9501999999999999</v>
      </c>
      <c r="E1282" s="4">
        <v>3655</v>
      </c>
      <c r="F1282" s="4">
        <v>1.9674</v>
      </c>
      <c r="G1282" s="4">
        <v>7190.8469999999998</v>
      </c>
      <c r="H1282" s="5">
        <f t="shared" si="19"/>
        <v>-5.7692307692307675E-2</v>
      </c>
    </row>
    <row r="1283" spans="1:8" ht="13.5" x14ac:dyDescent="0.25">
      <c r="A1283" s="1"/>
      <c r="B1283" s="3">
        <v>44175</v>
      </c>
      <c r="C1283" s="4">
        <v>2.0699999999999998</v>
      </c>
      <c r="D1283" s="4">
        <v>2.0596999999999999</v>
      </c>
      <c r="E1283" s="4">
        <v>1025</v>
      </c>
      <c r="F1283" s="4">
        <v>2.0425</v>
      </c>
      <c r="G1283" s="4">
        <v>2093.5625</v>
      </c>
      <c r="H1283" s="5">
        <f t="shared" si="19"/>
        <v>5.6148087375653744E-2</v>
      </c>
    </row>
    <row r="1284" spans="1:8" ht="13.5" x14ac:dyDescent="0.25">
      <c r="A1284" s="1"/>
      <c r="B1284" s="3">
        <v>44176</v>
      </c>
      <c r="C1284" s="4">
        <v>2</v>
      </c>
      <c r="D1284" s="4">
        <v>1.99</v>
      </c>
      <c r="E1284" s="4">
        <v>6812</v>
      </c>
      <c r="F1284" s="4">
        <v>2.0005000000000002</v>
      </c>
      <c r="G1284" s="4">
        <v>13627.406000000001</v>
      </c>
      <c r="H1284" s="5">
        <f t="shared" si="19"/>
        <v>-3.3839879594115586E-2</v>
      </c>
    </row>
    <row r="1285" spans="1:8" ht="13.5" x14ac:dyDescent="0.25">
      <c r="A1285" s="1"/>
      <c r="B1285" s="3">
        <v>44179</v>
      </c>
      <c r="C1285" s="4">
        <v>2</v>
      </c>
      <c r="D1285" s="4">
        <v>1.99</v>
      </c>
      <c r="E1285" s="4">
        <v>114</v>
      </c>
      <c r="F1285" s="4">
        <v>1.9994000000000001</v>
      </c>
      <c r="G1285" s="4">
        <v>227.9316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1.94</v>
      </c>
      <c r="D1286" s="4">
        <v>1.9302999999999999</v>
      </c>
      <c r="E1286" s="4">
        <v>1000</v>
      </c>
      <c r="F1286" s="4">
        <v>1.94</v>
      </c>
      <c r="G1286" s="4">
        <v>1940</v>
      </c>
      <c r="H1286" s="5">
        <f t="shared" si="19"/>
        <v>-3.0000000000000044E-2</v>
      </c>
    </row>
    <row r="1287" spans="1:8" ht="13.5" x14ac:dyDescent="0.25">
      <c r="A1287" s="1"/>
      <c r="B1287" s="3">
        <v>44181</v>
      </c>
      <c r="C1287" s="4">
        <v>1.92</v>
      </c>
      <c r="D1287" s="4">
        <v>1.9104000000000001</v>
      </c>
      <c r="E1287" s="4">
        <v>50</v>
      </c>
      <c r="F1287" s="4">
        <v>1.95</v>
      </c>
      <c r="G1287" s="4">
        <v>97.5</v>
      </c>
      <c r="H1287" s="5">
        <f t="shared" ref="H1287:H1350" si="20">(D1287-D1286)/D1286</f>
        <v>-1.0309278350515365E-2</v>
      </c>
    </row>
    <row r="1288" spans="1:8" ht="13.5" x14ac:dyDescent="0.25">
      <c r="A1288" s="1"/>
      <c r="B1288" s="3">
        <v>44182</v>
      </c>
      <c r="C1288" s="4">
        <v>2.02</v>
      </c>
      <c r="D1288" s="4">
        <v>2.0099</v>
      </c>
      <c r="E1288" s="4">
        <v>475</v>
      </c>
      <c r="F1288" s="4">
        <v>1.9220999999999999</v>
      </c>
      <c r="G1288" s="4">
        <v>912.99749999999995</v>
      </c>
      <c r="H1288" s="5">
        <f t="shared" si="20"/>
        <v>5.2083333333333287E-2</v>
      </c>
    </row>
    <row r="1289" spans="1:8" ht="13.5" x14ac:dyDescent="0.25">
      <c r="A1289" s="1"/>
      <c r="B1289" s="3">
        <v>44183</v>
      </c>
      <c r="C1289" s="4">
        <v>1.91</v>
      </c>
      <c r="D1289" s="4">
        <v>1.9005000000000001</v>
      </c>
      <c r="E1289" s="4">
        <v>10</v>
      </c>
      <c r="F1289" s="4">
        <v>1.99</v>
      </c>
      <c r="G1289" s="4">
        <v>19.899999999999999</v>
      </c>
      <c r="H1289" s="5">
        <f t="shared" si="20"/>
        <v>-5.4430568685009173E-2</v>
      </c>
    </row>
    <row r="1290" spans="1:8" ht="13.5" x14ac:dyDescent="0.25">
      <c r="A1290" s="1"/>
      <c r="B1290" s="3">
        <v>44186</v>
      </c>
      <c r="C1290" s="4">
        <v>1.87</v>
      </c>
      <c r="D1290" s="4">
        <v>1.8607</v>
      </c>
      <c r="E1290" s="4">
        <v>60</v>
      </c>
      <c r="F1290" s="4">
        <v>1.95</v>
      </c>
      <c r="G1290" s="4">
        <v>117</v>
      </c>
      <c r="H1290" s="5">
        <f t="shared" si="20"/>
        <v>-2.0941857405945834E-2</v>
      </c>
    </row>
    <row r="1291" spans="1:8" ht="13.5" x14ac:dyDescent="0.25">
      <c r="A1291" s="1"/>
      <c r="B1291" s="3">
        <v>44187</v>
      </c>
      <c r="C1291" s="4">
        <v>1.9</v>
      </c>
      <c r="D1291" s="4">
        <v>1.8905000000000001</v>
      </c>
      <c r="E1291" s="4">
        <v>5581</v>
      </c>
      <c r="F1291" s="4">
        <v>1.8602000000000001</v>
      </c>
      <c r="G1291" s="4">
        <v>10381.7762</v>
      </c>
      <c r="H1291" s="5">
        <f t="shared" si="20"/>
        <v>1.6015478045896731E-2</v>
      </c>
    </row>
    <row r="1292" spans="1:8" ht="13.5" x14ac:dyDescent="0.25">
      <c r="A1292" s="1"/>
      <c r="B1292" s="3">
        <v>44188</v>
      </c>
      <c r="C1292" s="4">
        <v>1.9</v>
      </c>
      <c r="D1292" s="4">
        <v>1.8905000000000001</v>
      </c>
      <c r="E1292" s="4">
        <v>13177</v>
      </c>
      <c r="F1292" s="4">
        <v>1.8757999999999999</v>
      </c>
      <c r="G1292" s="4">
        <v>24717.4166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1.98</v>
      </c>
      <c r="D1293" s="4">
        <v>1.9701</v>
      </c>
      <c r="E1293" s="4">
        <v>0</v>
      </c>
      <c r="F1293" s="4">
        <v>0</v>
      </c>
      <c r="G1293" s="4">
        <v>0</v>
      </c>
      <c r="H1293" s="5">
        <f t="shared" si="20"/>
        <v>4.210526315789468E-2</v>
      </c>
    </row>
    <row r="1294" spans="1:8" ht="13.5" x14ac:dyDescent="0.25">
      <c r="A1294" s="1"/>
      <c r="B1294" s="3">
        <v>44190</v>
      </c>
      <c r="C1294" s="4">
        <v>1.93</v>
      </c>
      <c r="D1294" s="4">
        <v>1.9204000000000001</v>
      </c>
      <c r="E1294" s="4">
        <v>4724</v>
      </c>
      <c r="F1294" s="4">
        <v>1.98</v>
      </c>
      <c r="G1294" s="4">
        <v>9353.52</v>
      </c>
      <c r="H1294" s="5">
        <f t="shared" si="20"/>
        <v>-2.5227145830160832E-2</v>
      </c>
    </row>
    <row r="1295" spans="1:8" ht="13.5" x14ac:dyDescent="0.25">
      <c r="A1295" s="1"/>
      <c r="B1295" s="3">
        <v>44193</v>
      </c>
      <c r="C1295" s="4">
        <v>1.86</v>
      </c>
      <c r="D1295" s="4">
        <v>1.8507</v>
      </c>
      <c r="E1295" s="4">
        <v>9730</v>
      </c>
      <c r="F1295" s="4">
        <v>1.8573</v>
      </c>
      <c r="G1295" s="4">
        <v>18071.528999999999</v>
      </c>
      <c r="H1295" s="5">
        <f t="shared" si="20"/>
        <v>-3.6294521974588677E-2</v>
      </c>
    </row>
    <row r="1296" spans="1:8" ht="13.5" x14ac:dyDescent="0.25">
      <c r="A1296" s="1"/>
      <c r="B1296" s="3">
        <v>44194</v>
      </c>
      <c r="C1296" s="4">
        <v>1.96</v>
      </c>
      <c r="D1296" s="4">
        <v>1.9501999999999999</v>
      </c>
      <c r="E1296" s="4">
        <v>5173</v>
      </c>
      <c r="F1296" s="4">
        <v>1.9599</v>
      </c>
      <c r="G1296" s="4">
        <v>10138.5627</v>
      </c>
      <c r="H1296" s="5">
        <f t="shared" si="20"/>
        <v>5.3763440860215013E-2</v>
      </c>
    </row>
    <row r="1297" spans="1:8" ht="13.5" x14ac:dyDescent="0.25">
      <c r="A1297" s="1"/>
      <c r="B1297" s="3">
        <v>44195</v>
      </c>
      <c r="C1297" s="4">
        <v>1.93</v>
      </c>
      <c r="D1297" s="4">
        <v>1.9204000000000001</v>
      </c>
      <c r="E1297" s="4">
        <v>4802</v>
      </c>
      <c r="F1297" s="4">
        <v>1.9572000000000001</v>
      </c>
      <c r="G1297" s="4">
        <v>9398.4743999999992</v>
      </c>
      <c r="H1297" s="5">
        <f t="shared" si="20"/>
        <v>-1.5280484052917561E-2</v>
      </c>
    </row>
    <row r="1298" spans="1:8" ht="13.5" x14ac:dyDescent="0.25">
      <c r="A1298" s="1"/>
      <c r="B1298" s="3">
        <v>44196</v>
      </c>
      <c r="C1298" s="4">
        <v>2</v>
      </c>
      <c r="D1298" s="4">
        <v>1.99</v>
      </c>
      <c r="E1298" s="4">
        <v>2217</v>
      </c>
      <c r="F1298" s="4">
        <v>1.9371</v>
      </c>
      <c r="G1298" s="4">
        <v>4294.5506999999998</v>
      </c>
      <c r="H1298" s="5">
        <f t="shared" si="20"/>
        <v>3.6242449489689584E-2</v>
      </c>
    </row>
    <row r="1299" spans="1:8" ht="13.5" x14ac:dyDescent="0.25">
      <c r="A1299" s="1"/>
      <c r="B1299" s="3">
        <v>44200</v>
      </c>
      <c r="C1299" s="4">
        <v>1.99</v>
      </c>
      <c r="D1299" s="4">
        <v>1.9801</v>
      </c>
      <c r="E1299" s="4">
        <v>10</v>
      </c>
      <c r="F1299" s="4">
        <v>1.99</v>
      </c>
      <c r="G1299" s="4">
        <v>19.899999999999999</v>
      </c>
      <c r="H1299" s="5">
        <f t="shared" si="20"/>
        <v>-4.9748743718593062E-3</v>
      </c>
    </row>
    <row r="1300" spans="1:8" ht="13.5" x14ac:dyDescent="0.25">
      <c r="A1300" s="1"/>
      <c r="B1300" s="3">
        <v>44201</v>
      </c>
      <c r="C1300" s="4">
        <v>1.94</v>
      </c>
      <c r="D1300" s="4">
        <v>1.9302999999999999</v>
      </c>
      <c r="E1300" s="4">
        <v>0</v>
      </c>
      <c r="F1300" s="4">
        <v>0</v>
      </c>
      <c r="G1300" s="4">
        <v>0</v>
      </c>
      <c r="H1300" s="5">
        <f t="shared" si="20"/>
        <v>-2.5150244937124422E-2</v>
      </c>
    </row>
    <row r="1301" spans="1:8" ht="13.5" x14ac:dyDescent="0.25">
      <c r="A1301" s="1"/>
      <c r="B1301" s="3">
        <v>44202</v>
      </c>
      <c r="C1301" s="4">
        <v>1.86</v>
      </c>
      <c r="D1301" s="4">
        <v>1.8507</v>
      </c>
      <c r="E1301" s="4">
        <v>3494</v>
      </c>
      <c r="F1301" s="4">
        <v>1.86</v>
      </c>
      <c r="G1301" s="4">
        <v>6498.84</v>
      </c>
      <c r="H1301" s="5">
        <f t="shared" si="20"/>
        <v>-4.1237113402061799E-2</v>
      </c>
    </row>
    <row r="1302" spans="1:8" ht="13.5" x14ac:dyDescent="0.25">
      <c r="A1302" s="1"/>
      <c r="B1302" s="3">
        <v>44203</v>
      </c>
      <c r="C1302" s="4">
        <v>1.83</v>
      </c>
      <c r="D1302" s="4">
        <v>1.8209</v>
      </c>
      <c r="E1302" s="4">
        <v>4891</v>
      </c>
      <c r="F1302" s="4">
        <v>1.833</v>
      </c>
      <c r="G1302" s="4">
        <v>8965.2029999999995</v>
      </c>
      <c r="H1302" s="5">
        <f t="shared" si="20"/>
        <v>-1.6102015453612173E-2</v>
      </c>
    </row>
    <row r="1303" spans="1:8" ht="13.5" x14ac:dyDescent="0.25">
      <c r="A1303" s="1"/>
      <c r="B1303" s="3">
        <v>44204</v>
      </c>
      <c r="C1303" s="4">
        <v>1.85</v>
      </c>
      <c r="D1303" s="4">
        <v>1.8408</v>
      </c>
      <c r="E1303" s="4">
        <v>2006</v>
      </c>
      <c r="F1303" s="4">
        <v>1.8380000000000001</v>
      </c>
      <c r="G1303" s="4">
        <v>3687.0279999999998</v>
      </c>
      <c r="H1303" s="5">
        <f t="shared" si="20"/>
        <v>1.0928661650832023E-2</v>
      </c>
    </row>
    <row r="1304" spans="1:8" ht="13.5" x14ac:dyDescent="0.25">
      <c r="A1304" s="1"/>
      <c r="B1304" s="3">
        <v>44207</v>
      </c>
      <c r="C1304" s="4">
        <v>1.89</v>
      </c>
      <c r="D1304" s="4">
        <v>1.8806</v>
      </c>
      <c r="E1304" s="4">
        <v>2078</v>
      </c>
      <c r="F1304" s="4">
        <v>1.89</v>
      </c>
      <c r="G1304" s="4">
        <v>3927.42</v>
      </c>
      <c r="H1304" s="5">
        <f t="shared" si="20"/>
        <v>2.1621034332898772E-2</v>
      </c>
    </row>
    <row r="1305" spans="1:8" ht="13.5" x14ac:dyDescent="0.25">
      <c r="A1305" s="1"/>
      <c r="B1305" s="3">
        <v>44208</v>
      </c>
      <c r="C1305" s="4">
        <v>1.85</v>
      </c>
      <c r="D1305" s="4">
        <v>1.8408</v>
      </c>
      <c r="E1305" s="4">
        <v>2735</v>
      </c>
      <c r="F1305" s="4">
        <v>1.8559000000000001</v>
      </c>
      <c r="G1305" s="4">
        <v>5075.8864999999996</v>
      </c>
      <c r="H1305" s="5">
        <f t="shared" si="20"/>
        <v>-2.116345847070087E-2</v>
      </c>
    </row>
    <row r="1306" spans="1:8" ht="13.5" x14ac:dyDescent="0.25">
      <c r="A1306" s="1"/>
      <c r="B1306" s="3">
        <v>44209</v>
      </c>
      <c r="C1306" s="4">
        <v>1.85</v>
      </c>
      <c r="D1306" s="4">
        <v>1.8408</v>
      </c>
      <c r="E1306" s="4">
        <v>1630</v>
      </c>
      <c r="F1306" s="4">
        <v>1.8503000000000001</v>
      </c>
      <c r="G1306" s="4">
        <v>3015.989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1.8</v>
      </c>
      <c r="D1307" s="4">
        <v>1.7909999999999999</v>
      </c>
      <c r="E1307" s="4">
        <v>447</v>
      </c>
      <c r="F1307" s="4">
        <v>1.8</v>
      </c>
      <c r="G1307" s="4">
        <v>804.6</v>
      </c>
      <c r="H1307" s="5">
        <f t="shared" si="20"/>
        <v>-2.7053455019556749E-2</v>
      </c>
    </row>
    <row r="1308" spans="1:8" ht="13.5" x14ac:dyDescent="0.25">
      <c r="A1308" s="1"/>
      <c r="B1308" s="3">
        <v>44214</v>
      </c>
      <c r="C1308" s="4">
        <v>1.74</v>
      </c>
      <c r="D1308" s="4">
        <v>1.7313000000000001</v>
      </c>
      <c r="E1308" s="4">
        <v>4706</v>
      </c>
      <c r="F1308" s="4">
        <v>1.7745</v>
      </c>
      <c r="G1308" s="4">
        <v>8350.7970000000005</v>
      </c>
      <c r="H1308" s="5">
        <f t="shared" si="20"/>
        <v>-3.3333333333333257E-2</v>
      </c>
    </row>
    <row r="1309" spans="1:8" ht="13.5" x14ac:dyDescent="0.25">
      <c r="A1309" s="1"/>
      <c r="B1309" s="3">
        <v>44215</v>
      </c>
      <c r="C1309" s="4">
        <v>1.79</v>
      </c>
      <c r="D1309" s="4">
        <v>1.7810999999999999</v>
      </c>
      <c r="E1309" s="4">
        <v>9292</v>
      </c>
      <c r="F1309" s="4">
        <v>1.7504</v>
      </c>
      <c r="G1309" s="4">
        <v>16264.7168</v>
      </c>
      <c r="H1309" s="5">
        <f t="shared" si="20"/>
        <v>2.876451221625359E-2</v>
      </c>
    </row>
    <row r="1310" spans="1:8" ht="13.5" x14ac:dyDescent="0.25">
      <c r="A1310" s="1"/>
      <c r="B1310" s="3">
        <v>44216</v>
      </c>
      <c r="C1310" s="4">
        <v>1.79</v>
      </c>
      <c r="D1310" s="4">
        <v>1.7810999999999999</v>
      </c>
      <c r="E1310" s="4">
        <v>121</v>
      </c>
      <c r="F1310" s="4">
        <v>1.7904</v>
      </c>
      <c r="G1310" s="4">
        <v>216.63839999999999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1.77</v>
      </c>
      <c r="D1311" s="4">
        <v>1.7612000000000001</v>
      </c>
      <c r="E1311" s="4">
        <v>13400</v>
      </c>
      <c r="F1311" s="4">
        <v>1.7690999999999999</v>
      </c>
      <c r="G1311" s="4">
        <v>23705.94</v>
      </c>
      <c r="H1311" s="5">
        <f t="shared" si="20"/>
        <v>-1.1172870697883223E-2</v>
      </c>
    </row>
    <row r="1312" spans="1:8" ht="13.5" x14ac:dyDescent="0.25">
      <c r="A1312" s="1"/>
      <c r="B1312" s="3">
        <v>44218</v>
      </c>
      <c r="C1312" s="4">
        <v>1.76</v>
      </c>
      <c r="D1312" s="4">
        <v>1.7512000000000001</v>
      </c>
      <c r="E1312" s="4">
        <v>1599</v>
      </c>
      <c r="F1312" s="4">
        <v>1.76</v>
      </c>
      <c r="G1312" s="4">
        <v>2814.24</v>
      </c>
      <c r="H1312" s="5">
        <f t="shared" si="20"/>
        <v>-5.6779468544174471E-3</v>
      </c>
    </row>
    <row r="1313" spans="1:8" ht="13.5" x14ac:dyDescent="0.25">
      <c r="A1313" s="1"/>
      <c r="B1313" s="3">
        <v>44221</v>
      </c>
      <c r="C1313" s="4">
        <v>1.76</v>
      </c>
      <c r="D1313" s="4">
        <v>1.7512000000000001</v>
      </c>
      <c r="E1313" s="4">
        <v>2760</v>
      </c>
      <c r="F1313" s="4">
        <v>1.76</v>
      </c>
      <c r="G1313" s="4">
        <v>4857.6000000000004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1.78</v>
      </c>
      <c r="D1314" s="4">
        <v>1.7710999999999999</v>
      </c>
      <c r="E1314" s="4">
        <v>1226</v>
      </c>
      <c r="F1314" s="4">
        <v>1.7121999999999999</v>
      </c>
      <c r="G1314" s="4">
        <v>2099.1572000000001</v>
      </c>
      <c r="H1314" s="5">
        <f t="shared" si="20"/>
        <v>1.1363636363636253E-2</v>
      </c>
    </row>
    <row r="1315" spans="1:8" ht="13.5" x14ac:dyDescent="0.25">
      <c r="A1315" s="1"/>
      <c r="B1315" s="3">
        <v>44223</v>
      </c>
      <c r="C1315" s="4">
        <v>1.78</v>
      </c>
      <c r="D1315" s="4">
        <v>1.7710999999999999</v>
      </c>
      <c r="E1315" s="4">
        <v>2313</v>
      </c>
      <c r="F1315" s="4">
        <v>1.7847</v>
      </c>
      <c r="G1315" s="4">
        <v>4128.0110999999997</v>
      </c>
      <c r="H1315" s="5">
        <f t="shared" si="20"/>
        <v>0</v>
      </c>
    </row>
    <row r="1316" spans="1:8" ht="13.5" x14ac:dyDescent="0.25">
      <c r="A1316" s="1"/>
      <c r="B1316" s="3">
        <v>44224</v>
      </c>
      <c r="C1316" s="4">
        <v>1.78</v>
      </c>
      <c r="D1316" s="4">
        <v>1.7710999999999999</v>
      </c>
      <c r="E1316" s="4">
        <v>1015</v>
      </c>
      <c r="F1316" s="4">
        <v>1.7306999999999999</v>
      </c>
      <c r="G1316" s="4">
        <v>1756.6605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1.78</v>
      </c>
      <c r="D1317" s="4">
        <v>1.7710999999999999</v>
      </c>
      <c r="E1317" s="4">
        <v>1602</v>
      </c>
      <c r="F1317" s="4">
        <v>1.7803</v>
      </c>
      <c r="G1317" s="4">
        <v>2852.0405999999998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1.82</v>
      </c>
      <c r="D1318" s="4">
        <v>1.8109</v>
      </c>
      <c r="E1318" s="4">
        <v>510</v>
      </c>
      <c r="F1318" s="4">
        <v>1.8202</v>
      </c>
      <c r="G1318" s="4">
        <v>928.30200000000002</v>
      </c>
      <c r="H1318" s="5">
        <f t="shared" si="20"/>
        <v>2.2471910112359585E-2</v>
      </c>
    </row>
    <row r="1319" spans="1:8" ht="13.5" x14ac:dyDescent="0.25">
      <c r="A1319" s="1"/>
      <c r="B1319" s="3">
        <v>44229</v>
      </c>
      <c r="C1319" s="4">
        <v>1.83</v>
      </c>
      <c r="D1319" s="4">
        <v>1.8209</v>
      </c>
      <c r="E1319" s="4">
        <v>610</v>
      </c>
      <c r="F1319" s="4">
        <v>1.7903</v>
      </c>
      <c r="G1319" s="4">
        <v>1092.0830000000001</v>
      </c>
      <c r="H1319" s="5">
        <f t="shared" si="20"/>
        <v>5.5221160748798988E-3</v>
      </c>
    </row>
    <row r="1320" spans="1:8" ht="13.5" x14ac:dyDescent="0.25">
      <c r="A1320" s="1"/>
      <c r="B1320" s="3">
        <v>44230</v>
      </c>
      <c r="C1320" s="4">
        <v>1.78</v>
      </c>
      <c r="D1320" s="4">
        <v>1.7710999999999999</v>
      </c>
      <c r="E1320" s="4">
        <v>270</v>
      </c>
      <c r="F1320" s="4">
        <v>1.83</v>
      </c>
      <c r="G1320" s="4">
        <v>494.1</v>
      </c>
      <c r="H1320" s="5">
        <f t="shared" si="20"/>
        <v>-2.7349113075951489E-2</v>
      </c>
    </row>
    <row r="1321" spans="1:8" ht="13.5" x14ac:dyDescent="0.25">
      <c r="A1321" s="1"/>
      <c r="B1321" s="3">
        <v>44231</v>
      </c>
      <c r="C1321" s="4">
        <v>1.78</v>
      </c>
      <c r="D1321" s="4">
        <v>1.7710999999999999</v>
      </c>
      <c r="E1321" s="4">
        <v>69</v>
      </c>
      <c r="F1321" s="4">
        <v>1.83</v>
      </c>
      <c r="G1321" s="4">
        <v>126.27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1.7</v>
      </c>
      <c r="D1322" s="4">
        <v>1.6915</v>
      </c>
      <c r="E1322" s="4">
        <v>2225</v>
      </c>
      <c r="F1322" s="4">
        <v>1.7128000000000001</v>
      </c>
      <c r="G1322" s="4">
        <v>3810.98</v>
      </c>
      <c r="H1322" s="5">
        <f t="shared" si="20"/>
        <v>-4.4943820224719044E-2</v>
      </c>
    </row>
    <row r="1323" spans="1:8" ht="13.5" x14ac:dyDescent="0.25">
      <c r="A1323" s="1"/>
      <c r="B1323" s="3">
        <v>44235</v>
      </c>
      <c r="C1323" s="4">
        <v>1.77</v>
      </c>
      <c r="D1323" s="4">
        <v>1.7612000000000001</v>
      </c>
      <c r="E1323" s="4">
        <v>21</v>
      </c>
      <c r="F1323" s="4">
        <v>1.77</v>
      </c>
      <c r="G1323" s="4">
        <v>37.17</v>
      </c>
      <c r="H1323" s="5">
        <f t="shared" si="20"/>
        <v>4.1206030150753824E-2</v>
      </c>
    </row>
    <row r="1324" spans="1:8" ht="13.5" x14ac:dyDescent="0.25">
      <c r="A1324" s="1"/>
      <c r="B1324" s="3">
        <v>44236</v>
      </c>
      <c r="C1324" s="4">
        <v>1.73</v>
      </c>
      <c r="D1324" s="4">
        <v>1.7214</v>
      </c>
      <c r="E1324" s="4">
        <v>3554</v>
      </c>
      <c r="F1324" s="4">
        <v>1.7304999999999999</v>
      </c>
      <c r="G1324" s="4">
        <v>6150.1970000000001</v>
      </c>
      <c r="H1324" s="5">
        <f t="shared" si="20"/>
        <v>-2.2598228480581455E-2</v>
      </c>
    </row>
    <row r="1325" spans="1:8" ht="13.5" x14ac:dyDescent="0.25">
      <c r="A1325" s="1"/>
      <c r="B1325" s="3">
        <v>44237</v>
      </c>
      <c r="C1325" s="4">
        <v>1.83</v>
      </c>
      <c r="D1325" s="4">
        <v>1.8209</v>
      </c>
      <c r="E1325" s="4">
        <v>15</v>
      </c>
      <c r="F1325" s="4">
        <v>1.8132999999999999</v>
      </c>
      <c r="G1325" s="4">
        <v>27.1995</v>
      </c>
      <c r="H1325" s="5">
        <f t="shared" si="20"/>
        <v>5.7801789241315162E-2</v>
      </c>
    </row>
    <row r="1326" spans="1:8" ht="13.5" x14ac:dyDescent="0.25">
      <c r="A1326" s="1"/>
      <c r="B1326" s="3">
        <v>44238</v>
      </c>
      <c r="C1326" s="4">
        <v>1.8</v>
      </c>
      <c r="D1326" s="4">
        <v>1.7909999999999999</v>
      </c>
      <c r="E1326" s="4">
        <v>885</v>
      </c>
      <c r="F1326" s="4">
        <v>1.8007</v>
      </c>
      <c r="G1326" s="4">
        <v>1593.6195</v>
      </c>
      <c r="H1326" s="5">
        <f t="shared" si="20"/>
        <v>-1.6420451425119467E-2</v>
      </c>
    </row>
    <row r="1327" spans="1:8" ht="13.5" x14ac:dyDescent="0.25">
      <c r="A1327" s="1"/>
      <c r="B1327" s="3">
        <v>44239</v>
      </c>
      <c r="C1327" s="4">
        <v>1.8</v>
      </c>
      <c r="D1327" s="4">
        <v>1.7909999999999999</v>
      </c>
      <c r="E1327" s="4">
        <v>475</v>
      </c>
      <c r="F1327" s="4">
        <v>1.8</v>
      </c>
      <c r="G1327" s="4">
        <v>855</v>
      </c>
      <c r="H1327" s="5">
        <f t="shared" si="20"/>
        <v>0</v>
      </c>
    </row>
    <row r="1328" spans="1:8" ht="13.5" x14ac:dyDescent="0.25">
      <c r="A1328" s="1"/>
      <c r="B1328" s="3">
        <v>44242</v>
      </c>
      <c r="C1328" s="4">
        <v>1.8</v>
      </c>
      <c r="D1328" s="4">
        <v>1.7909999999999999</v>
      </c>
      <c r="E1328" s="4">
        <v>2107</v>
      </c>
      <c r="F1328" s="4">
        <v>1.8</v>
      </c>
      <c r="G1328" s="4">
        <v>3792.6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1.78</v>
      </c>
      <c r="D1329" s="4">
        <v>1.7710999999999999</v>
      </c>
      <c r="E1329" s="4">
        <v>5000</v>
      </c>
      <c r="F1329" s="4">
        <v>1.784</v>
      </c>
      <c r="G1329" s="4">
        <v>8920</v>
      </c>
      <c r="H1329" s="5">
        <f t="shared" si="20"/>
        <v>-1.1111111111111127E-2</v>
      </c>
    </row>
    <row r="1330" spans="1:8" ht="13.5" x14ac:dyDescent="0.25">
      <c r="A1330" s="1"/>
      <c r="B1330" s="3">
        <v>44244</v>
      </c>
      <c r="C1330" s="4">
        <v>1.76</v>
      </c>
      <c r="D1330" s="4">
        <v>1.7512000000000001</v>
      </c>
      <c r="E1330" s="4">
        <v>2445</v>
      </c>
      <c r="F1330" s="4">
        <v>1.76</v>
      </c>
      <c r="G1330" s="4">
        <v>4303.2</v>
      </c>
      <c r="H1330" s="5">
        <f t="shared" si="20"/>
        <v>-1.1235955056179667E-2</v>
      </c>
    </row>
    <row r="1331" spans="1:8" ht="13.5" x14ac:dyDescent="0.25">
      <c r="A1331" s="1"/>
      <c r="B1331" s="3">
        <v>44245</v>
      </c>
      <c r="C1331" s="4">
        <v>1.74</v>
      </c>
      <c r="D1331" s="4">
        <v>1.7313000000000001</v>
      </c>
      <c r="E1331" s="4">
        <v>4607</v>
      </c>
      <c r="F1331" s="4">
        <v>1.7403</v>
      </c>
      <c r="G1331" s="4">
        <v>8017.5621000000001</v>
      </c>
      <c r="H1331" s="5">
        <f t="shared" si="20"/>
        <v>-1.136363636363638E-2</v>
      </c>
    </row>
    <row r="1332" spans="1:8" ht="13.5" x14ac:dyDescent="0.25">
      <c r="A1332" s="1"/>
      <c r="B1332" s="3">
        <v>44246</v>
      </c>
      <c r="C1332" s="4">
        <v>1.78</v>
      </c>
      <c r="D1332" s="4">
        <v>1.7710999999999999</v>
      </c>
      <c r="E1332" s="4">
        <v>721</v>
      </c>
      <c r="F1332" s="4">
        <v>1.78</v>
      </c>
      <c r="G1332" s="4">
        <v>1283.3800000000001</v>
      </c>
      <c r="H1332" s="5">
        <f t="shared" si="20"/>
        <v>2.2988505747126339E-2</v>
      </c>
    </row>
    <row r="1333" spans="1:8" ht="13.5" x14ac:dyDescent="0.25">
      <c r="A1333" s="1"/>
      <c r="B1333" s="3">
        <v>44249</v>
      </c>
      <c r="C1333" s="4">
        <v>1.78</v>
      </c>
      <c r="D1333" s="4">
        <v>1.7710999999999999</v>
      </c>
      <c r="E1333" s="4">
        <v>1000</v>
      </c>
      <c r="F1333" s="4">
        <v>1.78</v>
      </c>
      <c r="G1333" s="4">
        <v>1780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1.78</v>
      </c>
      <c r="D1334" s="4">
        <v>1.7710999999999999</v>
      </c>
      <c r="E1334" s="4">
        <v>6461</v>
      </c>
      <c r="F1334" s="4">
        <v>1.7704</v>
      </c>
      <c r="G1334" s="4">
        <v>11438.554400000001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1.78</v>
      </c>
      <c r="D1335" s="4">
        <v>1.7710999999999999</v>
      </c>
      <c r="E1335" s="4">
        <v>2709</v>
      </c>
      <c r="F1335" s="4">
        <v>1.78</v>
      </c>
      <c r="G1335" s="4">
        <v>4822.0200000000004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1.78</v>
      </c>
      <c r="D1336" s="4">
        <v>1.7710999999999999</v>
      </c>
      <c r="E1336" s="4">
        <v>3460</v>
      </c>
      <c r="F1336" s="4">
        <v>1.78</v>
      </c>
      <c r="G1336" s="4">
        <v>6158.8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1.78</v>
      </c>
      <c r="D1337" s="4">
        <v>1.7710999999999999</v>
      </c>
      <c r="E1337" s="4">
        <v>15</v>
      </c>
      <c r="F1337" s="4">
        <v>1.78</v>
      </c>
      <c r="G1337" s="4">
        <v>26.7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1.78</v>
      </c>
      <c r="D1338" s="4">
        <v>1.7710999999999999</v>
      </c>
      <c r="E1338" s="4">
        <v>50</v>
      </c>
      <c r="F1338" s="4">
        <v>1.78</v>
      </c>
      <c r="G1338" s="4">
        <v>89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1.78</v>
      </c>
      <c r="D1339" s="4">
        <v>1.7710999999999999</v>
      </c>
      <c r="E1339" s="4">
        <v>805</v>
      </c>
      <c r="F1339" s="4">
        <v>1.78</v>
      </c>
      <c r="G1339" s="4">
        <v>1432.9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1.77</v>
      </c>
      <c r="D1340" s="4">
        <v>1.7612000000000001</v>
      </c>
      <c r="E1340" s="4">
        <v>471</v>
      </c>
      <c r="F1340" s="4">
        <v>1.7553000000000001</v>
      </c>
      <c r="G1340" s="4">
        <v>826.74630000000002</v>
      </c>
      <c r="H1340" s="5">
        <f t="shared" si="20"/>
        <v>-5.5897464852350505E-3</v>
      </c>
    </row>
    <row r="1341" spans="1:8" ht="13.5" x14ac:dyDescent="0.25">
      <c r="A1341" s="1"/>
      <c r="B1341" s="3">
        <v>44259</v>
      </c>
      <c r="C1341" s="4">
        <v>1.78</v>
      </c>
      <c r="D1341" s="4">
        <v>1.7710999999999999</v>
      </c>
      <c r="E1341" s="4">
        <v>287</v>
      </c>
      <c r="F1341" s="4">
        <v>1.78</v>
      </c>
      <c r="G1341" s="4">
        <v>510.86</v>
      </c>
      <c r="H1341" s="5">
        <f t="shared" si="20"/>
        <v>5.6211673858731527E-3</v>
      </c>
    </row>
    <row r="1342" spans="1:8" ht="13.5" x14ac:dyDescent="0.25">
      <c r="A1342" s="1"/>
      <c r="B1342" s="3">
        <v>44260</v>
      </c>
      <c r="C1342" s="4">
        <v>1.73</v>
      </c>
      <c r="D1342" s="4">
        <v>1.7214</v>
      </c>
      <c r="E1342" s="4">
        <v>3380</v>
      </c>
      <c r="F1342" s="4">
        <v>1.7301</v>
      </c>
      <c r="G1342" s="4">
        <v>5847.7380000000003</v>
      </c>
      <c r="H1342" s="5">
        <f t="shared" si="20"/>
        <v>-2.8061656597594634E-2</v>
      </c>
    </row>
    <row r="1343" spans="1:8" ht="13.5" x14ac:dyDescent="0.25">
      <c r="A1343" s="1"/>
      <c r="B1343" s="3">
        <v>44263</v>
      </c>
      <c r="C1343" s="4">
        <v>1.73</v>
      </c>
      <c r="D1343" s="4">
        <v>1.7214</v>
      </c>
      <c r="E1343" s="4">
        <v>3055</v>
      </c>
      <c r="F1343" s="4">
        <v>1.73</v>
      </c>
      <c r="G1343" s="4">
        <v>5285.15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1.83</v>
      </c>
      <c r="D1344" s="4">
        <v>1.8209</v>
      </c>
      <c r="E1344" s="4">
        <v>3911</v>
      </c>
      <c r="F1344" s="4">
        <v>1.7813000000000001</v>
      </c>
      <c r="G1344" s="4">
        <v>6966.6643000000004</v>
      </c>
      <c r="H1344" s="5">
        <f t="shared" si="20"/>
        <v>5.7801789241315162E-2</v>
      </c>
    </row>
    <row r="1345" spans="1:8" ht="13.5" x14ac:dyDescent="0.25">
      <c r="A1345" s="1"/>
      <c r="B1345" s="3">
        <v>44265</v>
      </c>
      <c r="C1345" s="4">
        <v>1.87</v>
      </c>
      <c r="D1345" s="4">
        <v>1.8607</v>
      </c>
      <c r="E1345" s="4">
        <v>988</v>
      </c>
      <c r="F1345" s="4">
        <v>1.8798999999999999</v>
      </c>
      <c r="G1345" s="4">
        <v>1857.3412000000001</v>
      </c>
      <c r="H1345" s="5">
        <f t="shared" si="20"/>
        <v>2.1857323301664046E-2</v>
      </c>
    </row>
    <row r="1346" spans="1:8" ht="13.5" x14ac:dyDescent="0.25">
      <c r="A1346" s="1"/>
      <c r="B1346" s="3">
        <v>44266</v>
      </c>
      <c r="C1346" s="4">
        <v>1.8</v>
      </c>
      <c r="D1346" s="4">
        <v>1.7909999999999999</v>
      </c>
      <c r="E1346" s="4">
        <v>3054</v>
      </c>
      <c r="F1346" s="4">
        <v>1.8</v>
      </c>
      <c r="G1346" s="4">
        <v>5497.2</v>
      </c>
      <c r="H1346" s="5">
        <f t="shared" si="20"/>
        <v>-3.7459020798624225E-2</v>
      </c>
    </row>
    <row r="1347" spans="1:8" ht="13.5" x14ac:dyDescent="0.25">
      <c r="A1347" s="1"/>
      <c r="B1347" s="3">
        <v>44267</v>
      </c>
      <c r="C1347" s="4">
        <v>1.8</v>
      </c>
      <c r="D1347" s="4">
        <v>1.7909999999999999</v>
      </c>
      <c r="E1347" s="4">
        <v>218</v>
      </c>
      <c r="F1347" s="4">
        <v>1.7787999999999999</v>
      </c>
      <c r="G1347" s="4">
        <v>387.77839999999998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1.77</v>
      </c>
      <c r="D1348" s="4">
        <v>1.7612000000000001</v>
      </c>
      <c r="E1348" s="4">
        <v>2095</v>
      </c>
      <c r="F1348" s="4">
        <v>1.77</v>
      </c>
      <c r="G1348" s="4">
        <v>3708.15</v>
      </c>
      <c r="H1348" s="5">
        <f t="shared" si="20"/>
        <v>-1.663874930206579E-2</v>
      </c>
    </row>
    <row r="1349" spans="1:8" ht="13.5" x14ac:dyDescent="0.25">
      <c r="A1349" s="1"/>
      <c r="B1349" s="3">
        <v>44271</v>
      </c>
      <c r="C1349" s="4">
        <v>1.75</v>
      </c>
      <c r="D1349" s="4">
        <v>1.7413000000000001</v>
      </c>
      <c r="E1349" s="4">
        <v>3848</v>
      </c>
      <c r="F1349" s="4">
        <v>1.7538</v>
      </c>
      <c r="G1349" s="4">
        <v>6748.6224000000002</v>
      </c>
      <c r="H1349" s="5">
        <f t="shared" si="20"/>
        <v>-1.1299114240290727E-2</v>
      </c>
    </row>
    <row r="1350" spans="1:8" ht="13.5" x14ac:dyDescent="0.25">
      <c r="A1350" s="1"/>
      <c r="B1350" s="3">
        <v>44272</v>
      </c>
      <c r="C1350" s="4">
        <v>1.68</v>
      </c>
      <c r="D1350" s="4">
        <v>1.6716</v>
      </c>
      <c r="E1350" s="4">
        <v>16615</v>
      </c>
      <c r="F1350" s="4">
        <v>1.6564000000000001</v>
      </c>
      <c r="G1350" s="4">
        <v>27521.085999999999</v>
      </c>
      <c r="H1350" s="5">
        <f t="shared" si="20"/>
        <v>-4.0027565611899206E-2</v>
      </c>
    </row>
    <row r="1351" spans="1:8" ht="13.5" x14ac:dyDescent="0.25">
      <c r="A1351" s="1"/>
      <c r="B1351" s="3">
        <v>44273</v>
      </c>
      <c r="C1351" s="4">
        <v>1.75</v>
      </c>
      <c r="D1351" s="4">
        <v>1.7413000000000001</v>
      </c>
      <c r="E1351" s="4">
        <v>154</v>
      </c>
      <c r="F1351" s="4">
        <v>1.75</v>
      </c>
      <c r="G1351" s="4">
        <v>269.5</v>
      </c>
      <c r="H1351" s="5">
        <f t="shared" ref="H1351:H1414" si="21">(D1351-D1350)/D1350</f>
        <v>4.169657812873899E-2</v>
      </c>
    </row>
    <row r="1352" spans="1:8" ht="13.5" x14ac:dyDescent="0.25">
      <c r="A1352" s="1"/>
      <c r="B1352" s="3">
        <v>44274</v>
      </c>
      <c r="C1352" s="4">
        <v>1.73</v>
      </c>
      <c r="D1352" s="4">
        <v>1.7214</v>
      </c>
      <c r="E1352" s="4">
        <v>3030</v>
      </c>
      <c r="F1352" s="4">
        <v>1.7330000000000001</v>
      </c>
      <c r="G1352" s="4">
        <v>5250.99</v>
      </c>
      <c r="H1352" s="5">
        <f t="shared" si="21"/>
        <v>-1.1428243266525025E-2</v>
      </c>
    </row>
    <row r="1353" spans="1:8" ht="13.5" x14ac:dyDescent="0.25">
      <c r="A1353" s="1"/>
      <c r="B1353" s="3">
        <v>44277</v>
      </c>
      <c r="C1353" s="4">
        <v>1.78</v>
      </c>
      <c r="D1353" s="4">
        <v>1.7710999999999999</v>
      </c>
      <c r="E1353" s="4">
        <v>3</v>
      </c>
      <c r="F1353" s="4">
        <v>1.78</v>
      </c>
      <c r="G1353" s="4">
        <v>5.34</v>
      </c>
      <c r="H1353" s="5">
        <f t="shared" si="21"/>
        <v>2.8871848495410628E-2</v>
      </c>
    </row>
    <row r="1354" spans="1:8" ht="13.5" x14ac:dyDescent="0.25">
      <c r="A1354" s="1"/>
      <c r="B1354" s="3">
        <v>44278</v>
      </c>
      <c r="C1354" s="4">
        <v>1.69</v>
      </c>
      <c r="D1354" s="4">
        <v>1.6816</v>
      </c>
      <c r="E1354" s="4">
        <v>8585</v>
      </c>
      <c r="F1354" s="4">
        <v>1.6912</v>
      </c>
      <c r="G1354" s="4">
        <v>14518.951999999999</v>
      </c>
      <c r="H1354" s="5">
        <f t="shared" si="21"/>
        <v>-5.0533566709954222E-2</v>
      </c>
    </row>
    <row r="1355" spans="1:8" ht="13.5" x14ac:dyDescent="0.25">
      <c r="A1355" s="1"/>
      <c r="B1355" s="3">
        <v>44279</v>
      </c>
      <c r="C1355" s="4">
        <v>1.73</v>
      </c>
      <c r="D1355" s="4">
        <v>1.7214</v>
      </c>
      <c r="E1355" s="4">
        <v>5012</v>
      </c>
      <c r="F1355" s="4">
        <v>1.6203000000000001</v>
      </c>
      <c r="G1355" s="4">
        <v>8120.9435999999996</v>
      </c>
      <c r="H1355" s="5">
        <f t="shared" si="21"/>
        <v>2.3667935299714591E-2</v>
      </c>
    </row>
    <row r="1356" spans="1:8" ht="13.5" x14ac:dyDescent="0.25">
      <c r="A1356" s="1"/>
      <c r="B1356" s="3">
        <v>44280</v>
      </c>
      <c r="C1356" s="4">
        <v>1.66</v>
      </c>
      <c r="D1356" s="4">
        <v>1.6516999999999999</v>
      </c>
      <c r="E1356" s="4">
        <v>610</v>
      </c>
      <c r="F1356" s="4">
        <v>1.66</v>
      </c>
      <c r="G1356" s="4">
        <v>1012.6</v>
      </c>
      <c r="H1356" s="5">
        <f t="shared" si="21"/>
        <v>-4.0490298594167591E-2</v>
      </c>
    </row>
    <row r="1357" spans="1:8" ht="13.5" x14ac:dyDescent="0.25">
      <c r="A1357" s="1"/>
      <c r="B1357" s="3">
        <v>44281</v>
      </c>
      <c r="C1357" s="4">
        <v>1.64</v>
      </c>
      <c r="D1357" s="4">
        <v>1.6317999999999999</v>
      </c>
      <c r="E1357" s="4">
        <v>4053</v>
      </c>
      <c r="F1357" s="4">
        <v>1.6205000000000001</v>
      </c>
      <c r="G1357" s="4">
        <v>6567.8864999999996</v>
      </c>
      <c r="H1357" s="5">
        <f t="shared" si="21"/>
        <v>-1.2048192771084355E-2</v>
      </c>
    </row>
    <row r="1358" spans="1:8" ht="13.5" x14ac:dyDescent="0.25">
      <c r="A1358" s="1"/>
      <c r="B1358" s="3">
        <v>44284</v>
      </c>
      <c r="C1358" s="4">
        <v>1.7</v>
      </c>
      <c r="D1358" s="4">
        <v>1.6915</v>
      </c>
      <c r="E1358" s="4">
        <v>115</v>
      </c>
      <c r="F1358" s="4">
        <v>1.7</v>
      </c>
      <c r="G1358" s="4">
        <v>195.5</v>
      </c>
      <c r="H1358" s="5">
        <f t="shared" si="21"/>
        <v>3.658536585365859E-2</v>
      </c>
    </row>
    <row r="1359" spans="1:8" ht="13.5" x14ac:dyDescent="0.25">
      <c r="A1359" s="1"/>
      <c r="B1359" s="3">
        <v>44285</v>
      </c>
      <c r="C1359" s="4">
        <v>1.7</v>
      </c>
      <c r="D1359" s="4">
        <v>1.6915</v>
      </c>
      <c r="E1359" s="4">
        <v>13443</v>
      </c>
      <c r="F1359" s="4">
        <v>1.7</v>
      </c>
      <c r="G1359" s="4">
        <v>22853.1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1.7</v>
      </c>
      <c r="D1360" s="4">
        <v>1.6915</v>
      </c>
      <c r="E1360" s="4">
        <v>2067</v>
      </c>
      <c r="F1360" s="4">
        <v>1.7</v>
      </c>
      <c r="G1360" s="4">
        <v>3513.9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1.66</v>
      </c>
      <c r="D1361" s="4">
        <v>1.6516999999999999</v>
      </c>
      <c r="E1361" s="4">
        <v>6816</v>
      </c>
      <c r="F1361" s="4">
        <v>1.6620999999999999</v>
      </c>
      <c r="G1361" s="4">
        <v>11328.873600000001</v>
      </c>
      <c r="H1361" s="5">
        <f t="shared" si="21"/>
        <v>-2.3529411764705917E-2</v>
      </c>
    </row>
    <row r="1362" spans="1:8" ht="13.5" x14ac:dyDescent="0.25">
      <c r="A1362" s="1"/>
      <c r="B1362" s="3">
        <v>44288</v>
      </c>
      <c r="C1362" s="4">
        <v>1.65</v>
      </c>
      <c r="D1362" s="4">
        <v>1.6417999999999999</v>
      </c>
      <c r="E1362" s="4">
        <v>6964</v>
      </c>
      <c r="F1362" s="4">
        <v>1.6503000000000001</v>
      </c>
      <c r="G1362" s="4">
        <v>11492.689200000001</v>
      </c>
      <c r="H1362" s="5">
        <f t="shared" si="21"/>
        <v>-5.9938245444088028E-3</v>
      </c>
    </row>
    <row r="1363" spans="1:8" ht="13.5" x14ac:dyDescent="0.25">
      <c r="A1363" s="1"/>
      <c r="B1363" s="3">
        <v>44291</v>
      </c>
      <c r="C1363" s="4">
        <v>1.64</v>
      </c>
      <c r="D1363" s="4">
        <v>1.6317999999999999</v>
      </c>
      <c r="E1363" s="4">
        <v>3552</v>
      </c>
      <c r="F1363" s="4">
        <v>1.6415999999999999</v>
      </c>
      <c r="G1363" s="4">
        <v>5830.9632000000001</v>
      </c>
      <c r="H1363" s="5">
        <f t="shared" si="21"/>
        <v>-6.090875867949817E-3</v>
      </c>
    </row>
    <row r="1364" spans="1:8" ht="13.5" x14ac:dyDescent="0.25">
      <c r="A1364" s="1"/>
      <c r="B1364" s="3">
        <v>44292</v>
      </c>
      <c r="C1364" s="4">
        <v>1.6</v>
      </c>
      <c r="D1364" s="4">
        <v>1.5920000000000001</v>
      </c>
      <c r="E1364" s="4">
        <v>11302</v>
      </c>
      <c r="F1364" s="4">
        <v>1.6152</v>
      </c>
      <c r="G1364" s="4">
        <v>18254.990399999999</v>
      </c>
      <c r="H1364" s="5">
        <f t="shared" si="21"/>
        <v>-2.4390243902438925E-2</v>
      </c>
    </row>
    <row r="1365" spans="1:8" ht="13.5" x14ac:dyDescent="0.25">
      <c r="A1365" s="1"/>
      <c r="B1365" s="3">
        <v>44293</v>
      </c>
      <c r="C1365" s="4">
        <v>1.59</v>
      </c>
      <c r="D1365" s="4">
        <v>1.5821000000000001</v>
      </c>
      <c r="E1365" s="4">
        <v>12627</v>
      </c>
      <c r="F1365" s="4">
        <v>1.591</v>
      </c>
      <c r="G1365" s="4">
        <v>20089.557000000001</v>
      </c>
      <c r="H1365" s="5">
        <f t="shared" si="21"/>
        <v>-6.2185929648241331E-3</v>
      </c>
    </row>
    <row r="1366" spans="1:8" ht="13.5" x14ac:dyDescent="0.25">
      <c r="A1366" s="1"/>
      <c r="B1366" s="3">
        <v>44294</v>
      </c>
      <c r="C1366" s="4">
        <v>1.59</v>
      </c>
      <c r="D1366" s="4">
        <v>1.5821000000000001</v>
      </c>
      <c r="E1366" s="4">
        <v>5914</v>
      </c>
      <c r="F1366" s="4">
        <v>1.5951</v>
      </c>
      <c r="G1366" s="4">
        <v>9433.4213999999993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1.59</v>
      </c>
      <c r="D1367" s="4">
        <v>1.5821000000000001</v>
      </c>
      <c r="E1367" s="4">
        <v>5732</v>
      </c>
      <c r="F1367" s="4">
        <v>1.59</v>
      </c>
      <c r="G1367" s="4">
        <v>9113.8799999999992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1.56</v>
      </c>
      <c r="D1368" s="4">
        <v>1.5522</v>
      </c>
      <c r="E1368" s="4">
        <v>11566</v>
      </c>
      <c r="F1368" s="4">
        <v>1.5709</v>
      </c>
      <c r="G1368" s="4">
        <v>18169.029399999999</v>
      </c>
      <c r="H1368" s="5">
        <f t="shared" si="21"/>
        <v>-1.8898931799507006E-2</v>
      </c>
    </row>
    <row r="1369" spans="1:8" ht="13.5" x14ac:dyDescent="0.25">
      <c r="A1369" s="1"/>
      <c r="B1369" s="3">
        <v>44300</v>
      </c>
      <c r="C1369" s="4">
        <v>1.6</v>
      </c>
      <c r="D1369" s="4">
        <v>1.5920000000000001</v>
      </c>
      <c r="E1369" s="4">
        <v>2566</v>
      </c>
      <c r="F1369" s="4">
        <v>1.6</v>
      </c>
      <c r="G1369" s="4">
        <v>4105.6000000000004</v>
      </c>
      <c r="H1369" s="5">
        <f t="shared" si="21"/>
        <v>2.5641025641025678E-2</v>
      </c>
    </row>
    <row r="1370" spans="1:8" ht="13.5" x14ac:dyDescent="0.25">
      <c r="A1370" s="1"/>
      <c r="B1370" s="3">
        <v>44301</v>
      </c>
      <c r="C1370" s="4">
        <v>1.66</v>
      </c>
      <c r="D1370" s="4">
        <v>1.6516999999999999</v>
      </c>
      <c r="E1370" s="4">
        <v>924</v>
      </c>
      <c r="F1370" s="4">
        <v>1.62</v>
      </c>
      <c r="G1370" s="4">
        <v>1496.88</v>
      </c>
      <c r="H1370" s="5">
        <f t="shared" si="21"/>
        <v>3.7499999999999915E-2</v>
      </c>
    </row>
    <row r="1371" spans="1:8" ht="13.5" x14ac:dyDescent="0.25">
      <c r="A1371" s="1"/>
      <c r="B1371" s="3">
        <v>44302</v>
      </c>
      <c r="C1371" s="4">
        <v>1.73</v>
      </c>
      <c r="D1371" s="4">
        <v>1.7214</v>
      </c>
      <c r="E1371" s="4">
        <v>20</v>
      </c>
      <c r="F1371" s="4">
        <v>1.73</v>
      </c>
      <c r="G1371" s="4">
        <v>34.6</v>
      </c>
      <c r="H1371" s="5">
        <f t="shared" si="21"/>
        <v>4.2198946539928617E-2</v>
      </c>
    </row>
    <row r="1372" spans="1:8" ht="13.5" x14ac:dyDescent="0.25">
      <c r="A1372" s="1"/>
      <c r="B1372" s="3">
        <v>44305</v>
      </c>
      <c r="C1372" s="4">
        <v>1.77</v>
      </c>
      <c r="D1372" s="4">
        <v>1.7612000000000001</v>
      </c>
      <c r="E1372" s="4">
        <v>220</v>
      </c>
      <c r="F1372" s="4">
        <v>1.77</v>
      </c>
      <c r="G1372" s="4">
        <v>389.4</v>
      </c>
      <c r="H1372" s="5">
        <f t="shared" si="21"/>
        <v>2.3120715696526115E-2</v>
      </c>
    </row>
    <row r="1373" spans="1:8" ht="13.5" x14ac:dyDescent="0.25">
      <c r="A1373" s="1"/>
      <c r="B1373" s="3">
        <v>44306</v>
      </c>
      <c r="C1373" s="4">
        <v>1.76</v>
      </c>
      <c r="D1373" s="4">
        <v>1.7512000000000001</v>
      </c>
      <c r="E1373" s="4">
        <v>2000</v>
      </c>
      <c r="F1373" s="4">
        <v>1.7649999999999999</v>
      </c>
      <c r="G1373" s="4">
        <v>3530</v>
      </c>
      <c r="H1373" s="5">
        <f t="shared" si="21"/>
        <v>-5.6779468544174471E-3</v>
      </c>
    </row>
    <row r="1374" spans="1:8" ht="13.5" x14ac:dyDescent="0.25">
      <c r="A1374" s="1"/>
      <c r="B1374" s="3">
        <v>44307</v>
      </c>
      <c r="C1374" s="4">
        <v>1.75</v>
      </c>
      <c r="D1374" s="4">
        <v>1.7413000000000001</v>
      </c>
      <c r="E1374" s="4">
        <v>864</v>
      </c>
      <c r="F1374" s="4">
        <v>1.7525999999999999</v>
      </c>
      <c r="G1374" s="4">
        <v>1514.2464</v>
      </c>
      <c r="H1374" s="5">
        <f t="shared" si="21"/>
        <v>-5.6532663316583029E-3</v>
      </c>
    </row>
    <row r="1375" spans="1:8" ht="13.5" x14ac:dyDescent="0.25">
      <c r="A1375" s="1"/>
      <c r="B1375" s="3">
        <v>44308</v>
      </c>
      <c r="C1375" s="4">
        <v>1.75</v>
      </c>
      <c r="D1375" s="4">
        <v>1.7413000000000001</v>
      </c>
      <c r="E1375" s="4">
        <v>3129</v>
      </c>
      <c r="F1375" s="4">
        <v>1.7516</v>
      </c>
      <c r="G1375" s="4">
        <v>5480.7564000000002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1.74</v>
      </c>
      <c r="D1376" s="4">
        <v>1.7313000000000001</v>
      </c>
      <c r="E1376" s="4">
        <v>7548</v>
      </c>
      <c r="F1376" s="4">
        <v>1.7425999999999999</v>
      </c>
      <c r="G1376" s="4">
        <v>13153.1448</v>
      </c>
      <c r="H1376" s="5">
        <f t="shared" si="21"/>
        <v>-5.7428358123241307E-3</v>
      </c>
    </row>
    <row r="1377" spans="1:8" ht="13.5" x14ac:dyDescent="0.25">
      <c r="A1377" s="1"/>
      <c r="B1377" s="3">
        <v>44312</v>
      </c>
      <c r="C1377" s="4">
        <v>1.73</v>
      </c>
      <c r="D1377" s="4">
        <v>1.7214</v>
      </c>
      <c r="E1377" s="4">
        <v>3000</v>
      </c>
      <c r="F1377" s="4">
        <v>1.7333000000000001</v>
      </c>
      <c r="G1377" s="4">
        <v>5199.8999999999996</v>
      </c>
      <c r="H1377" s="5">
        <f t="shared" si="21"/>
        <v>-5.7182464044359844E-3</v>
      </c>
    </row>
    <row r="1378" spans="1:8" ht="13.5" x14ac:dyDescent="0.25">
      <c r="A1378" s="1"/>
      <c r="B1378" s="3">
        <v>44313</v>
      </c>
      <c r="C1378" s="4">
        <v>1.71</v>
      </c>
      <c r="D1378" s="4">
        <v>1.7015</v>
      </c>
      <c r="E1378" s="4">
        <v>3864</v>
      </c>
      <c r="F1378" s="4">
        <v>1.71</v>
      </c>
      <c r="G1378" s="4">
        <v>6607.44</v>
      </c>
      <c r="H1378" s="5">
        <f t="shared" si="21"/>
        <v>-1.1560357848263057E-2</v>
      </c>
    </row>
    <row r="1379" spans="1:8" ht="13.5" x14ac:dyDescent="0.25">
      <c r="A1379" s="1"/>
      <c r="B1379" s="3">
        <v>44314</v>
      </c>
      <c r="C1379" s="4">
        <v>1.7</v>
      </c>
      <c r="D1379" s="4">
        <v>1.6915</v>
      </c>
      <c r="E1379" s="4">
        <v>10401</v>
      </c>
      <c r="F1379" s="4">
        <v>1.7034</v>
      </c>
      <c r="G1379" s="4">
        <v>17717.063399999999</v>
      </c>
      <c r="H1379" s="5">
        <f t="shared" si="21"/>
        <v>-5.8771672054069987E-3</v>
      </c>
    </row>
    <row r="1380" spans="1:8" ht="13.5" x14ac:dyDescent="0.25">
      <c r="A1380" s="1"/>
      <c r="B1380" s="3">
        <v>44315</v>
      </c>
      <c r="C1380" s="4">
        <v>1.7</v>
      </c>
      <c r="D1380" s="4">
        <v>1.6915</v>
      </c>
      <c r="E1380" s="4">
        <v>11381</v>
      </c>
      <c r="F1380" s="4">
        <v>1.7</v>
      </c>
      <c r="G1380" s="4">
        <v>19347.7</v>
      </c>
      <c r="H1380" s="5">
        <f t="shared" si="21"/>
        <v>0</v>
      </c>
    </row>
    <row r="1381" spans="1:8" ht="13.5" x14ac:dyDescent="0.25">
      <c r="A1381" s="1"/>
      <c r="B1381" s="3">
        <v>44316</v>
      </c>
      <c r="C1381" s="4">
        <v>1.72</v>
      </c>
      <c r="D1381" s="4">
        <v>1.7114</v>
      </c>
      <c r="E1381" s="4">
        <v>16340</v>
      </c>
      <c r="F1381" s="4">
        <v>1.7161</v>
      </c>
      <c r="G1381" s="4">
        <v>28041.074000000001</v>
      </c>
      <c r="H1381" s="5">
        <f t="shared" si="21"/>
        <v>1.1764705882352958E-2</v>
      </c>
    </row>
    <row r="1382" spans="1:8" ht="13.5" x14ac:dyDescent="0.25">
      <c r="A1382" s="1"/>
      <c r="B1382" s="3">
        <v>44319</v>
      </c>
      <c r="C1382" s="4">
        <v>1.82</v>
      </c>
      <c r="D1382" s="4">
        <v>1.8109</v>
      </c>
      <c r="E1382" s="4">
        <v>16578</v>
      </c>
      <c r="F1382" s="4">
        <v>1.8045</v>
      </c>
      <c r="G1382" s="4">
        <v>29915.001</v>
      </c>
      <c r="H1382" s="5">
        <f t="shared" si="21"/>
        <v>5.8139534883720881E-2</v>
      </c>
    </row>
    <row r="1383" spans="1:8" ht="13.5" x14ac:dyDescent="0.25">
      <c r="A1383" s="1"/>
      <c r="B1383" s="3">
        <v>44320</v>
      </c>
      <c r="C1383" s="4">
        <v>1.86</v>
      </c>
      <c r="D1383" s="4">
        <v>1.8507</v>
      </c>
      <c r="E1383" s="4">
        <v>9064</v>
      </c>
      <c r="F1383" s="4">
        <v>1.82</v>
      </c>
      <c r="G1383" s="4">
        <v>16496.48</v>
      </c>
      <c r="H1383" s="5">
        <f t="shared" si="21"/>
        <v>2.1978021978022011E-2</v>
      </c>
    </row>
    <row r="1384" spans="1:8" ht="13.5" x14ac:dyDescent="0.25">
      <c r="A1384" s="1"/>
      <c r="B1384" s="3">
        <v>44321</v>
      </c>
      <c r="C1384" s="4">
        <v>1.81</v>
      </c>
      <c r="D1384" s="4">
        <v>1.8009999999999999</v>
      </c>
      <c r="E1384" s="4">
        <v>5181</v>
      </c>
      <c r="F1384" s="4">
        <v>1.8102</v>
      </c>
      <c r="G1384" s="4">
        <v>9378.6461999999992</v>
      </c>
      <c r="H1384" s="5">
        <f t="shared" si="21"/>
        <v>-2.6854703625655198E-2</v>
      </c>
    </row>
    <row r="1385" spans="1:8" ht="13.5" x14ac:dyDescent="0.25">
      <c r="A1385" s="1"/>
      <c r="B1385" s="3">
        <v>44322</v>
      </c>
      <c r="C1385" s="4">
        <v>1.83</v>
      </c>
      <c r="D1385" s="4">
        <v>1.8209</v>
      </c>
      <c r="E1385" s="4">
        <v>35230</v>
      </c>
      <c r="F1385" s="4">
        <v>1.8293999999999999</v>
      </c>
      <c r="G1385" s="4">
        <v>64449.762000000002</v>
      </c>
      <c r="H1385" s="5">
        <f t="shared" si="21"/>
        <v>1.1049416990560817E-2</v>
      </c>
    </row>
    <row r="1386" spans="1:8" ht="13.5" x14ac:dyDescent="0.25">
      <c r="A1386" s="1"/>
      <c r="B1386" s="3">
        <v>44323</v>
      </c>
      <c r="C1386" s="4">
        <v>1.93</v>
      </c>
      <c r="D1386" s="4">
        <v>1.9204000000000001</v>
      </c>
      <c r="E1386" s="4">
        <v>106834</v>
      </c>
      <c r="F1386" s="4">
        <v>1.9202999999999999</v>
      </c>
      <c r="G1386" s="4">
        <v>205153.3302</v>
      </c>
      <c r="H1386" s="5">
        <f t="shared" si="21"/>
        <v>5.4643308254160111E-2</v>
      </c>
    </row>
    <row r="1387" spans="1:8" ht="13.5" x14ac:dyDescent="0.25">
      <c r="A1387" s="1"/>
      <c r="B1387" s="3">
        <v>44326</v>
      </c>
      <c r="C1387" s="4">
        <v>2.0099999999999998</v>
      </c>
      <c r="D1387" s="4">
        <v>1.9999</v>
      </c>
      <c r="E1387" s="4">
        <v>17271</v>
      </c>
      <c r="F1387" s="4">
        <v>2.0099999999999998</v>
      </c>
      <c r="G1387" s="4">
        <v>34714.71</v>
      </c>
      <c r="H1387" s="5">
        <f t="shared" si="21"/>
        <v>4.1397625494688554E-2</v>
      </c>
    </row>
    <row r="1388" spans="1:8" ht="13.5" x14ac:dyDescent="0.25">
      <c r="A1388" s="1"/>
      <c r="B1388" s="3">
        <v>44327</v>
      </c>
      <c r="C1388" s="4">
        <v>2.0699999999999998</v>
      </c>
      <c r="D1388" s="4">
        <v>2.0596999999999999</v>
      </c>
      <c r="E1388" s="4">
        <v>15892</v>
      </c>
      <c r="F1388" s="4">
        <v>2.0699999999999998</v>
      </c>
      <c r="G1388" s="4">
        <v>32896.44</v>
      </c>
      <c r="H1388" s="5">
        <f t="shared" si="21"/>
        <v>2.9901495074753665E-2</v>
      </c>
    </row>
    <row r="1389" spans="1:8" ht="13.5" x14ac:dyDescent="0.25">
      <c r="A1389" s="1"/>
      <c r="B1389" s="3">
        <v>44333</v>
      </c>
      <c r="C1389" s="4">
        <v>2.04</v>
      </c>
      <c r="D1389" s="4">
        <v>2.0297999999999998</v>
      </c>
      <c r="E1389" s="4">
        <v>8571</v>
      </c>
      <c r="F1389" s="4">
        <v>2.0813000000000001</v>
      </c>
      <c r="G1389" s="4">
        <v>17838.8223</v>
      </c>
      <c r="H1389" s="5">
        <f t="shared" si="21"/>
        <v>-1.451667718599798E-2</v>
      </c>
    </row>
    <row r="1390" spans="1:8" ht="13.5" x14ac:dyDescent="0.25">
      <c r="A1390" s="1"/>
      <c r="B1390" s="3">
        <v>44334</v>
      </c>
      <c r="C1390" s="4">
        <v>2</v>
      </c>
      <c r="D1390" s="4">
        <v>1.99</v>
      </c>
      <c r="E1390" s="4">
        <v>41642</v>
      </c>
      <c r="F1390" s="4">
        <v>2.0051999999999999</v>
      </c>
      <c r="G1390" s="4">
        <v>83500.538400000005</v>
      </c>
      <c r="H1390" s="5">
        <f t="shared" si="21"/>
        <v>-1.9607843137254822E-2</v>
      </c>
    </row>
    <row r="1391" spans="1:8" ht="13.5" x14ac:dyDescent="0.25">
      <c r="A1391" s="1"/>
      <c r="B1391" s="3">
        <v>44335</v>
      </c>
      <c r="C1391" s="4">
        <v>2.06</v>
      </c>
      <c r="D1391" s="4">
        <v>2.0497000000000001</v>
      </c>
      <c r="E1391" s="4">
        <v>41542</v>
      </c>
      <c r="F1391" s="4">
        <v>2.0097999999999998</v>
      </c>
      <c r="G1391" s="4">
        <v>83491.111600000004</v>
      </c>
      <c r="H1391" s="5">
        <f t="shared" si="21"/>
        <v>3.0000000000000044E-2</v>
      </c>
    </row>
    <row r="1392" spans="1:8" ht="13.5" x14ac:dyDescent="0.25">
      <c r="A1392" s="1"/>
      <c r="B1392" s="3">
        <v>44336</v>
      </c>
      <c r="C1392" s="4">
        <v>2.17</v>
      </c>
      <c r="D1392" s="4">
        <v>2.1591999999999998</v>
      </c>
      <c r="E1392" s="4">
        <v>10258</v>
      </c>
      <c r="F1392" s="4">
        <v>2.1202000000000001</v>
      </c>
      <c r="G1392" s="4">
        <v>21749.011600000002</v>
      </c>
      <c r="H1392" s="5">
        <f t="shared" si="21"/>
        <v>5.3422452066155882E-2</v>
      </c>
    </row>
    <row r="1393" spans="1:8" ht="13.5" x14ac:dyDescent="0.25">
      <c r="A1393" s="1"/>
      <c r="B1393" s="3">
        <v>44337</v>
      </c>
      <c r="C1393" s="4">
        <v>2.14</v>
      </c>
      <c r="D1393" s="4">
        <v>2.1293000000000002</v>
      </c>
      <c r="E1393" s="4">
        <v>7242</v>
      </c>
      <c r="F1393" s="4">
        <v>2.1423999999999999</v>
      </c>
      <c r="G1393" s="4">
        <v>15515.2608</v>
      </c>
      <c r="H1393" s="5">
        <f t="shared" si="21"/>
        <v>-1.3847721378288068E-2</v>
      </c>
    </row>
    <row r="1394" spans="1:8" ht="13.5" x14ac:dyDescent="0.25">
      <c r="A1394" s="1"/>
      <c r="B1394" s="3">
        <v>44340</v>
      </c>
      <c r="C1394" s="4">
        <v>2.08</v>
      </c>
      <c r="D1394" s="4">
        <v>2.0695999999999999</v>
      </c>
      <c r="E1394" s="4">
        <v>15650</v>
      </c>
      <c r="F1394" s="4">
        <v>2.1183000000000001</v>
      </c>
      <c r="G1394" s="4">
        <v>33151.394999999997</v>
      </c>
      <c r="H1394" s="5">
        <f t="shared" si="21"/>
        <v>-2.8037383177570235E-2</v>
      </c>
    </row>
    <row r="1395" spans="1:8" ht="13.5" x14ac:dyDescent="0.25">
      <c r="A1395" s="1"/>
      <c r="B1395" s="3">
        <v>44341</v>
      </c>
      <c r="C1395" s="4">
        <v>2.04</v>
      </c>
      <c r="D1395" s="4">
        <v>2.0297999999999998</v>
      </c>
      <c r="E1395" s="4">
        <v>3002</v>
      </c>
      <c r="F1395" s="4">
        <v>2.04</v>
      </c>
      <c r="G1395" s="4">
        <v>6124.08</v>
      </c>
      <c r="H1395" s="5">
        <f t="shared" si="21"/>
        <v>-1.923076923076926E-2</v>
      </c>
    </row>
    <row r="1396" spans="1:8" ht="13.5" x14ac:dyDescent="0.25">
      <c r="A1396" s="1"/>
      <c r="B1396" s="3">
        <v>44342</v>
      </c>
      <c r="C1396" s="4">
        <v>2.02</v>
      </c>
      <c r="D1396" s="4">
        <v>2.0099</v>
      </c>
      <c r="E1396" s="4">
        <v>4265</v>
      </c>
      <c r="F1396" s="4">
        <v>2.0204</v>
      </c>
      <c r="G1396" s="4">
        <v>8617.0059999999994</v>
      </c>
      <c r="H1396" s="5">
        <f t="shared" si="21"/>
        <v>-9.8039215686273572E-3</v>
      </c>
    </row>
    <row r="1397" spans="1:8" ht="13.5" x14ac:dyDescent="0.25">
      <c r="A1397" s="1"/>
      <c r="B1397" s="3">
        <v>44343</v>
      </c>
      <c r="C1397" s="4">
        <v>2</v>
      </c>
      <c r="D1397" s="4">
        <v>1.99</v>
      </c>
      <c r="E1397" s="4">
        <v>6171</v>
      </c>
      <c r="F1397" s="4">
        <v>2</v>
      </c>
      <c r="G1397" s="4">
        <v>12342</v>
      </c>
      <c r="H1397" s="5">
        <f t="shared" si="21"/>
        <v>-9.900990099009915E-3</v>
      </c>
    </row>
    <row r="1398" spans="1:8" ht="13.5" x14ac:dyDescent="0.25">
      <c r="A1398" s="1"/>
      <c r="B1398" s="3">
        <v>44344</v>
      </c>
      <c r="C1398" s="4">
        <v>2.0099999999999998</v>
      </c>
      <c r="D1398" s="4">
        <v>1.9999</v>
      </c>
      <c r="E1398" s="4">
        <v>27313</v>
      </c>
      <c r="F1398" s="4">
        <v>2.0093000000000001</v>
      </c>
      <c r="G1398" s="4">
        <v>54880.010900000001</v>
      </c>
      <c r="H1398" s="5">
        <f t="shared" si="21"/>
        <v>4.9748743718593062E-3</v>
      </c>
    </row>
    <row r="1399" spans="1:8" ht="13.5" x14ac:dyDescent="0.25">
      <c r="A1399" s="1"/>
      <c r="B1399" s="3">
        <v>44347</v>
      </c>
      <c r="C1399" s="4">
        <v>2</v>
      </c>
      <c r="D1399" s="4">
        <v>1.99</v>
      </c>
      <c r="E1399" s="4">
        <v>20273</v>
      </c>
      <c r="F1399" s="4">
        <v>2.0005999999999999</v>
      </c>
      <c r="G1399" s="4">
        <v>40558.163800000002</v>
      </c>
      <c r="H1399" s="5">
        <f t="shared" si="21"/>
        <v>-4.9502475123756285E-3</v>
      </c>
    </row>
    <row r="1400" spans="1:8" ht="13.5" x14ac:dyDescent="0.25">
      <c r="A1400" s="1"/>
      <c r="B1400" s="3">
        <v>44348</v>
      </c>
      <c r="C1400" s="4">
        <v>2</v>
      </c>
      <c r="D1400" s="4">
        <v>1.99</v>
      </c>
      <c r="E1400" s="4">
        <v>10370</v>
      </c>
      <c r="F1400" s="4">
        <v>2</v>
      </c>
      <c r="G1400" s="4">
        <v>20740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2</v>
      </c>
      <c r="D1401" s="4">
        <v>1.99</v>
      </c>
      <c r="E1401" s="4">
        <v>4301</v>
      </c>
      <c r="F1401" s="4">
        <v>2</v>
      </c>
      <c r="G1401" s="4">
        <v>8602</v>
      </c>
      <c r="H1401" s="5">
        <f t="shared" si="21"/>
        <v>0</v>
      </c>
    </row>
    <row r="1402" spans="1:8" ht="13.5" x14ac:dyDescent="0.25">
      <c r="A1402" s="1"/>
      <c r="B1402" s="3">
        <v>44350</v>
      </c>
      <c r="C1402" s="4">
        <v>2</v>
      </c>
      <c r="D1402" s="4">
        <v>1.99</v>
      </c>
      <c r="E1402" s="4">
        <v>22617</v>
      </c>
      <c r="F1402" s="4">
        <v>2</v>
      </c>
      <c r="G1402" s="4">
        <v>45234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2</v>
      </c>
      <c r="D1403" s="4">
        <v>1.99</v>
      </c>
      <c r="E1403" s="4">
        <v>3000</v>
      </c>
      <c r="F1403" s="4">
        <v>2</v>
      </c>
      <c r="G1403" s="4">
        <v>6000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2</v>
      </c>
      <c r="D1404" s="4">
        <v>1.99</v>
      </c>
      <c r="E1404" s="4">
        <v>609</v>
      </c>
      <c r="F1404" s="4">
        <v>2</v>
      </c>
      <c r="G1404" s="4">
        <v>1218</v>
      </c>
      <c r="H1404" s="5">
        <f t="shared" si="21"/>
        <v>0</v>
      </c>
    </row>
    <row r="1405" spans="1:8" ht="13.5" x14ac:dyDescent="0.25">
      <c r="A1405" s="1"/>
      <c r="B1405" s="3">
        <v>44355</v>
      </c>
      <c r="C1405" s="4">
        <v>2</v>
      </c>
      <c r="D1405" s="4">
        <v>1.99</v>
      </c>
      <c r="E1405" s="4">
        <v>121</v>
      </c>
      <c r="F1405" s="4">
        <v>2</v>
      </c>
      <c r="G1405" s="4">
        <v>242</v>
      </c>
      <c r="H1405" s="5">
        <f t="shared" si="21"/>
        <v>0</v>
      </c>
    </row>
    <row r="1406" spans="1:8" ht="13.5" x14ac:dyDescent="0.25">
      <c r="A1406" s="1"/>
      <c r="B1406" s="3">
        <v>44356</v>
      </c>
      <c r="C1406" s="4">
        <v>2</v>
      </c>
      <c r="D1406" s="4">
        <v>1.99</v>
      </c>
      <c r="E1406" s="4">
        <v>201</v>
      </c>
      <c r="F1406" s="4">
        <v>2</v>
      </c>
      <c r="G1406" s="4">
        <v>402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2</v>
      </c>
      <c r="D1407" s="4">
        <v>1.99</v>
      </c>
      <c r="E1407" s="4">
        <v>10399</v>
      </c>
      <c r="F1407" s="4">
        <v>1.9998</v>
      </c>
      <c r="G1407" s="4">
        <v>20795.9202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2.0099999999999998</v>
      </c>
      <c r="D1408" s="4">
        <v>1.9999</v>
      </c>
      <c r="E1408" s="4">
        <v>7452</v>
      </c>
      <c r="F1408" s="4">
        <v>2.0005999999999999</v>
      </c>
      <c r="G1408" s="4">
        <v>14908.4712</v>
      </c>
      <c r="H1408" s="5">
        <f t="shared" si="21"/>
        <v>4.9748743718593062E-3</v>
      </c>
    </row>
    <row r="1409" spans="1:8" ht="13.5" x14ac:dyDescent="0.25">
      <c r="A1409" s="1"/>
      <c r="B1409" s="3">
        <v>44361</v>
      </c>
      <c r="C1409" s="4">
        <v>2.0499999999999998</v>
      </c>
      <c r="D1409" s="4">
        <v>2.0396999999999998</v>
      </c>
      <c r="E1409" s="4">
        <v>2651</v>
      </c>
      <c r="F1409" s="4">
        <v>2.0383</v>
      </c>
      <c r="G1409" s="4">
        <v>5403.5333000000001</v>
      </c>
      <c r="H1409" s="5">
        <f t="shared" si="21"/>
        <v>1.9900995049752405E-2</v>
      </c>
    </row>
    <row r="1410" spans="1:8" ht="13.5" x14ac:dyDescent="0.25">
      <c r="A1410" s="1"/>
      <c r="B1410" s="3">
        <v>44362</v>
      </c>
      <c r="C1410" s="4">
        <v>2.08</v>
      </c>
      <c r="D1410" s="4">
        <v>2.0695999999999999</v>
      </c>
      <c r="E1410" s="4">
        <v>14014</v>
      </c>
      <c r="F1410" s="4">
        <v>2.0693000000000001</v>
      </c>
      <c r="G1410" s="4">
        <v>28999.1702</v>
      </c>
      <c r="H1410" s="5">
        <f t="shared" si="21"/>
        <v>1.465901848311028E-2</v>
      </c>
    </row>
    <row r="1411" spans="1:8" ht="13.5" x14ac:dyDescent="0.25">
      <c r="A1411" s="1"/>
      <c r="B1411" s="3">
        <v>44363</v>
      </c>
      <c r="C1411" s="4">
        <v>2.15</v>
      </c>
      <c r="D1411" s="4">
        <v>2.1393</v>
      </c>
      <c r="E1411" s="4">
        <v>3027</v>
      </c>
      <c r="F1411" s="4">
        <v>2.1168999999999998</v>
      </c>
      <c r="G1411" s="4">
        <v>6407.8563000000004</v>
      </c>
      <c r="H1411" s="5">
        <f t="shared" si="21"/>
        <v>3.3678005411673803E-2</v>
      </c>
    </row>
    <row r="1412" spans="1:8" ht="13.5" x14ac:dyDescent="0.25">
      <c r="A1412" s="1"/>
      <c r="B1412" s="3">
        <v>44364</v>
      </c>
      <c r="C1412" s="4">
        <v>2.19</v>
      </c>
      <c r="D1412" s="4">
        <v>2.1791</v>
      </c>
      <c r="E1412" s="4">
        <v>5677</v>
      </c>
      <c r="F1412" s="4">
        <v>2.173</v>
      </c>
      <c r="G1412" s="4">
        <v>12336.120999999999</v>
      </c>
      <c r="H1412" s="5">
        <f t="shared" si="21"/>
        <v>1.860421633244522E-2</v>
      </c>
    </row>
    <row r="1413" spans="1:8" ht="13.5" x14ac:dyDescent="0.25">
      <c r="A1413" s="1"/>
      <c r="B1413" s="3">
        <v>44365</v>
      </c>
      <c r="C1413" s="4">
        <v>2.15</v>
      </c>
      <c r="D1413" s="4">
        <v>2.1393</v>
      </c>
      <c r="E1413" s="4">
        <v>964</v>
      </c>
      <c r="F1413" s="4">
        <v>2.1501999999999999</v>
      </c>
      <c r="G1413" s="4">
        <v>2072.7928000000002</v>
      </c>
      <c r="H1413" s="5">
        <f t="shared" si="21"/>
        <v>-1.8264421091276239E-2</v>
      </c>
    </row>
    <row r="1414" spans="1:8" ht="13.5" x14ac:dyDescent="0.25">
      <c r="A1414" s="1"/>
      <c r="B1414" s="3">
        <v>44368</v>
      </c>
      <c r="C1414" s="4">
        <v>2.12</v>
      </c>
      <c r="D1414" s="4">
        <v>2.1093999999999999</v>
      </c>
      <c r="E1414" s="4">
        <v>1120</v>
      </c>
      <c r="F1414" s="4">
        <v>2.1204000000000001</v>
      </c>
      <c r="G1414" s="4">
        <v>2374.848</v>
      </c>
      <c r="H1414" s="5">
        <f t="shared" si="21"/>
        <v>-1.3976534380404823E-2</v>
      </c>
    </row>
    <row r="1415" spans="1:8" ht="13.5" x14ac:dyDescent="0.25">
      <c r="A1415" s="1"/>
      <c r="B1415" s="3">
        <v>44369</v>
      </c>
      <c r="C1415" s="4">
        <v>2.16</v>
      </c>
      <c r="D1415" s="4">
        <v>2.1492</v>
      </c>
      <c r="E1415" s="4">
        <v>76</v>
      </c>
      <c r="F1415" s="4">
        <v>2.1619999999999999</v>
      </c>
      <c r="G1415" s="4">
        <v>164.31200000000001</v>
      </c>
      <c r="H1415" s="5">
        <f t="shared" ref="H1415:H1478" si="22">(D1415-D1414)/D1414</f>
        <v>1.8867924528301914E-2</v>
      </c>
    </row>
    <row r="1416" spans="1:8" ht="13.5" x14ac:dyDescent="0.25">
      <c r="A1416" s="1"/>
      <c r="B1416" s="3">
        <v>44370</v>
      </c>
      <c r="C1416" s="4">
        <v>2.19</v>
      </c>
      <c r="D1416" s="4">
        <v>2.1791</v>
      </c>
      <c r="E1416" s="4">
        <v>1</v>
      </c>
      <c r="F1416" s="4">
        <v>2.19</v>
      </c>
      <c r="G1416" s="4">
        <v>2.19</v>
      </c>
      <c r="H1416" s="5">
        <f t="shared" si="22"/>
        <v>1.3912153359389558E-2</v>
      </c>
    </row>
    <row r="1417" spans="1:8" ht="13.5" x14ac:dyDescent="0.25">
      <c r="A1417" s="1"/>
      <c r="B1417" s="3">
        <v>44371</v>
      </c>
      <c r="C1417" s="4">
        <v>2.17</v>
      </c>
      <c r="D1417" s="4">
        <v>2.1591999999999998</v>
      </c>
      <c r="E1417" s="4">
        <v>35</v>
      </c>
      <c r="F1417" s="4">
        <v>2.17</v>
      </c>
      <c r="G1417" s="4">
        <v>75.95</v>
      </c>
      <c r="H1417" s="5">
        <f t="shared" si="22"/>
        <v>-9.1322105456382221E-3</v>
      </c>
    </row>
    <row r="1418" spans="1:8" ht="13.5" x14ac:dyDescent="0.25">
      <c r="A1418" s="1"/>
      <c r="B1418" s="3">
        <v>44372</v>
      </c>
      <c r="C1418" s="4">
        <v>2.11</v>
      </c>
      <c r="D1418" s="4">
        <v>2.0994999999999999</v>
      </c>
      <c r="E1418" s="4">
        <v>1</v>
      </c>
      <c r="F1418" s="4">
        <v>2.17</v>
      </c>
      <c r="G1418" s="4">
        <v>2.17</v>
      </c>
      <c r="H1418" s="5">
        <f t="shared" si="22"/>
        <v>-2.7649129307150737E-2</v>
      </c>
    </row>
    <row r="1419" spans="1:8" ht="13.5" x14ac:dyDescent="0.25">
      <c r="A1419" s="1"/>
      <c r="B1419" s="3">
        <v>44375</v>
      </c>
      <c r="C1419" s="4">
        <v>2.11</v>
      </c>
      <c r="D1419" s="4">
        <v>2.0994999999999999</v>
      </c>
      <c r="E1419" s="4">
        <v>129</v>
      </c>
      <c r="F1419" s="4">
        <v>2.1215999999999999</v>
      </c>
      <c r="G1419" s="4">
        <v>273.68639999999999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2.1</v>
      </c>
      <c r="D1420" s="4">
        <v>2.0895000000000001</v>
      </c>
      <c r="E1420" s="4">
        <v>82</v>
      </c>
      <c r="F1420" s="4">
        <v>2.1000999999999999</v>
      </c>
      <c r="G1420" s="4">
        <v>172.20820000000001</v>
      </c>
      <c r="H1420" s="5">
        <f t="shared" si="22"/>
        <v>-4.7630388187662716E-3</v>
      </c>
    </row>
    <row r="1421" spans="1:8" ht="13.5" x14ac:dyDescent="0.25">
      <c r="A1421" s="1"/>
      <c r="B1421" s="3">
        <v>44377</v>
      </c>
      <c r="C1421" s="4">
        <v>2.12</v>
      </c>
      <c r="D1421" s="4">
        <v>2.1093999999999999</v>
      </c>
      <c r="E1421" s="4">
        <v>8157</v>
      </c>
      <c r="F1421" s="4">
        <v>2.1124000000000001</v>
      </c>
      <c r="G1421" s="4">
        <v>17230.846799999999</v>
      </c>
      <c r="H1421" s="5">
        <f t="shared" si="22"/>
        <v>9.523809523809431E-3</v>
      </c>
    </row>
    <row r="1422" spans="1:8" ht="13.5" x14ac:dyDescent="0.25">
      <c r="A1422" s="1"/>
      <c r="B1422" s="3">
        <v>44378</v>
      </c>
      <c r="C1422" s="4">
        <v>2.17</v>
      </c>
      <c r="D1422" s="4">
        <v>2.1591999999999998</v>
      </c>
      <c r="E1422" s="4">
        <v>45</v>
      </c>
      <c r="F1422" s="4">
        <v>2.17</v>
      </c>
      <c r="G1422" s="4">
        <v>97.65</v>
      </c>
      <c r="H1422" s="5">
        <f t="shared" si="22"/>
        <v>2.3608609083151533E-2</v>
      </c>
    </row>
    <row r="1423" spans="1:8" ht="13.5" x14ac:dyDescent="0.25">
      <c r="A1423" s="1"/>
      <c r="B1423" s="3">
        <v>44379</v>
      </c>
      <c r="C1423" s="4">
        <v>2.11</v>
      </c>
      <c r="D1423" s="4">
        <v>2.0994999999999999</v>
      </c>
      <c r="E1423" s="4">
        <v>0</v>
      </c>
      <c r="F1423" s="4">
        <v>0</v>
      </c>
      <c r="G1423" s="4">
        <v>0</v>
      </c>
      <c r="H1423" s="5">
        <f t="shared" si="22"/>
        <v>-2.7649129307150737E-2</v>
      </c>
    </row>
    <row r="1424" spans="1:8" ht="13.5" x14ac:dyDescent="0.25">
      <c r="A1424" s="1"/>
      <c r="B1424" s="3">
        <v>44382</v>
      </c>
      <c r="C1424" s="4">
        <v>2.13</v>
      </c>
      <c r="D1424" s="4">
        <v>2.1194000000000002</v>
      </c>
      <c r="E1424" s="4">
        <v>65</v>
      </c>
      <c r="F1424" s="4">
        <v>2.13</v>
      </c>
      <c r="G1424" s="4">
        <v>138.44999999999999</v>
      </c>
      <c r="H1424" s="5">
        <f t="shared" si="22"/>
        <v>9.4784472493452017E-3</v>
      </c>
    </row>
    <row r="1425" spans="1:8" ht="13.5" x14ac:dyDescent="0.25">
      <c r="A1425" s="1"/>
      <c r="B1425" s="3">
        <v>44383</v>
      </c>
      <c r="C1425" s="4">
        <v>2.1</v>
      </c>
      <c r="D1425" s="4">
        <v>2.0895000000000001</v>
      </c>
      <c r="E1425" s="4">
        <v>150</v>
      </c>
      <c r="F1425" s="4">
        <v>2.1</v>
      </c>
      <c r="G1425" s="4">
        <v>315</v>
      </c>
      <c r="H1425" s="5">
        <f t="shared" si="22"/>
        <v>-1.4107766348966705E-2</v>
      </c>
    </row>
    <row r="1426" spans="1:8" ht="13.5" x14ac:dyDescent="0.25">
      <c r="A1426" s="1"/>
      <c r="B1426" s="3">
        <v>44384</v>
      </c>
      <c r="C1426" s="4">
        <v>2.1</v>
      </c>
      <c r="D1426" s="4">
        <v>2.0895000000000001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2.1</v>
      </c>
      <c r="D1427" s="4">
        <v>2.0895000000000001</v>
      </c>
      <c r="E1427" s="4">
        <v>41</v>
      </c>
      <c r="F1427" s="4">
        <v>2.1</v>
      </c>
      <c r="G1427" s="4">
        <v>86.1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2.1</v>
      </c>
      <c r="D1428" s="4">
        <v>2.0895000000000001</v>
      </c>
      <c r="E1428" s="4">
        <v>1312</v>
      </c>
      <c r="F1428" s="4">
        <v>2.1</v>
      </c>
      <c r="G1428" s="4">
        <v>2755.2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2.1</v>
      </c>
      <c r="D1429" s="4">
        <v>2.0895000000000001</v>
      </c>
      <c r="E1429" s="4">
        <v>5440</v>
      </c>
      <c r="F1429" s="4">
        <v>2.0945999999999998</v>
      </c>
      <c r="G1429" s="4">
        <v>11394.624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2.13</v>
      </c>
      <c r="D1430" s="4">
        <v>2.1194000000000002</v>
      </c>
      <c r="E1430" s="4">
        <v>2220</v>
      </c>
      <c r="F1430" s="4">
        <v>2.1303000000000001</v>
      </c>
      <c r="G1430" s="4">
        <v>4729.2659999999996</v>
      </c>
      <c r="H1430" s="5">
        <f t="shared" si="22"/>
        <v>1.4309643455372115E-2</v>
      </c>
    </row>
    <row r="1431" spans="1:8" ht="13.5" x14ac:dyDescent="0.25">
      <c r="A1431" s="1"/>
      <c r="B1431" s="3">
        <v>44391</v>
      </c>
      <c r="C1431" s="4">
        <v>2.14</v>
      </c>
      <c r="D1431" s="4">
        <v>2.1293000000000002</v>
      </c>
      <c r="E1431" s="4">
        <v>2456</v>
      </c>
      <c r="F1431" s="4">
        <v>2.1162999999999998</v>
      </c>
      <c r="G1431" s="4">
        <v>5197.6328000000003</v>
      </c>
      <c r="H1431" s="5">
        <f t="shared" si="22"/>
        <v>4.6711333396244311E-3</v>
      </c>
    </row>
    <row r="1432" spans="1:8" ht="13.5" x14ac:dyDescent="0.25">
      <c r="A1432" s="1"/>
      <c r="B1432" s="3">
        <v>44392</v>
      </c>
      <c r="C1432" s="4">
        <v>2.13</v>
      </c>
      <c r="D1432" s="4">
        <v>2.1194000000000002</v>
      </c>
      <c r="E1432" s="4">
        <v>91</v>
      </c>
      <c r="F1432" s="4">
        <v>2.13</v>
      </c>
      <c r="G1432" s="4">
        <v>193.83</v>
      </c>
      <c r="H1432" s="5">
        <f t="shared" si="22"/>
        <v>-4.6494153008030895E-3</v>
      </c>
    </row>
    <row r="1433" spans="1:8" ht="13.5" x14ac:dyDescent="0.25">
      <c r="A1433" s="1"/>
      <c r="B1433" s="3">
        <v>44393</v>
      </c>
      <c r="C1433" s="4">
        <v>2.1</v>
      </c>
      <c r="D1433" s="4">
        <v>2.0895000000000001</v>
      </c>
      <c r="E1433" s="4">
        <v>48220</v>
      </c>
      <c r="F1433" s="4">
        <v>2.1</v>
      </c>
      <c r="G1433" s="4">
        <v>101262</v>
      </c>
      <c r="H1433" s="5">
        <f t="shared" si="22"/>
        <v>-1.4107766348966705E-2</v>
      </c>
    </row>
    <row r="1434" spans="1:8" ht="13.5" x14ac:dyDescent="0.25">
      <c r="A1434" s="1"/>
      <c r="B1434" s="3">
        <v>44396</v>
      </c>
      <c r="C1434" s="4">
        <v>2.1</v>
      </c>
      <c r="D1434" s="4">
        <v>2.0895000000000001</v>
      </c>
      <c r="E1434" s="4">
        <v>400</v>
      </c>
      <c r="F1434" s="4">
        <v>2.1</v>
      </c>
      <c r="G1434" s="4">
        <v>840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2.1</v>
      </c>
      <c r="D1435" s="4">
        <v>2.0895000000000001</v>
      </c>
      <c r="E1435" s="4">
        <v>400</v>
      </c>
      <c r="F1435" s="4">
        <v>2.1</v>
      </c>
      <c r="G1435" s="4">
        <v>840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2.1</v>
      </c>
      <c r="D1436" s="4">
        <v>2.0895000000000001</v>
      </c>
      <c r="E1436" s="4">
        <v>1377</v>
      </c>
      <c r="F1436" s="4">
        <v>2.1</v>
      </c>
      <c r="G1436" s="4">
        <v>2891.7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2.0099999999999998</v>
      </c>
      <c r="D1437" s="4">
        <v>1.9999</v>
      </c>
      <c r="E1437" s="4">
        <v>0</v>
      </c>
      <c r="F1437" s="4">
        <v>0</v>
      </c>
      <c r="G1437" s="4">
        <v>0</v>
      </c>
      <c r="H1437" s="5">
        <f t="shared" si="22"/>
        <v>-4.2881072026800728E-2</v>
      </c>
    </row>
    <row r="1438" spans="1:8" ht="13.5" x14ac:dyDescent="0.25">
      <c r="A1438" s="1"/>
      <c r="B1438" s="3">
        <v>44404</v>
      </c>
      <c r="C1438" s="4">
        <v>2.0099999999999998</v>
      </c>
      <c r="D1438" s="4">
        <v>1.9999</v>
      </c>
      <c r="E1438" s="4">
        <v>4000</v>
      </c>
      <c r="F1438" s="4">
        <v>2.0049999999999999</v>
      </c>
      <c r="G1438" s="4">
        <v>8020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2.0099999999999998</v>
      </c>
      <c r="D1439" s="4">
        <v>1.9999</v>
      </c>
      <c r="E1439" s="4">
        <v>2283</v>
      </c>
      <c r="F1439" s="4">
        <v>2.0099999999999998</v>
      </c>
      <c r="G1439" s="4">
        <v>4588.83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2.0699999999999998</v>
      </c>
      <c r="D1440" s="4">
        <v>2.0596999999999999</v>
      </c>
      <c r="E1440" s="4">
        <v>260</v>
      </c>
      <c r="F1440" s="4">
        <v>2.0099999999999998</v>
      </c>
      <c r="G1440" s="4">
        <v>522.6</v>
      </c>
      <c r="H1440" s="5">
        <f t="shared" si="22"/>
        <v>2.9901495074753665E-2</v>
      </c>
    </row>
    <row r="1441" spans="1:8" ht="13.5" x14ac:dyDescent="0.25">
      <c r="A1441" s="1"/>
      <c r="B1441" s="3">
        <v>44407</v>
      </c>
      <c r="C1441" s="4">
        <v>2.1</v>
      </c>
      <c r="D1441" s="4">
        <v>2.0895000000000001</v>
      </c>
      <c r="E1441" s="4">
        <v>1</v>
      </c>
      <c r="F1441" s="4">
        <v>2.1</v>
      </c>
      <c r="G1441" s="4">
        <v>2.1</v>
      </c>
      <c r="H1441" s="5">
        <f t="shared" si="22"/>
        <v>1.4468126426178701E-2</v>
      </c>
    </row>
    <row r="1442" spans="1:8" ht="13.5" x14ac:dyDescent="0.25">
      <c r="A1442" s="1"/>
      <c r="B1442" s="3">
        <v>44410</v>
      </c>
      <c r="C1442" s="4">
        <v>2.1</v>
      </c>
      <c r="D1442" s="4">
        <v>2.0895000000000001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2.1</v>
      </c>
      <c r="D1443" s="4">
        <v>2.0895000000000001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2.04</v>
      </c>
      <c r="D1444" s="4">
        <v>2.0297999999999998</v>
      </c>
      <c r="E1444" s="4">
        <v>5662</v>
      </c>
      <c r="F1444" s="4">
        <v>2.04</v>
      </c>
      <c r="G1444" s="4">
        <v>11550.48</v>
      </c>
      <c r="H1444" s="5">
        <f t="shared" si="22"/>
        <v>-2.8571428571428716E-2</v>
      </c>
    </row>
    <row r="1445" spans="1:8" ht="13.5" x14ac:dyDescent="0.25">
      <c r="A1445" s="1"/>
      <c r="B1445" s="3">
        <v>44413</v>
      </c>
      <c r="C1445" s="4">
        <v>2</v>
      </c>
      <c r="D1445" s="4">
        <v>1.99</v>
      </c>
      <c r="E1445" s="4">
        <v>2727</v>
      </c>
      <c r="F1445" s="4">
        <v>2</v>
      </c>
      <c r="G1445" s="4">
        <v>5454</v>
      </c>
      <c r="H1445" s="5">
        <f t="shared" si="22"/>
        <v>-1.9607843137254822E-2</v>
      </c>
    </row>
    <row r="1446" spans="1:8" ht="13.5" x14ac:dyDescent="0.25">
      <c r="A1446" s="1"/>
      <c r="B1446" s="3">
        <v>44414</v>
      </c>
      <c r="C1446" s="4">
        <v>2.09</v>
      </c>
      <c r="D1446" s="4">
        <v>2.0794999999999999</v>
      </c>
      <c r="E1446" s="4">
        <v>2051</v>
      </c>
      <c r="F1446" s="4">
        <v>2.0893000000000002</v>
      </c>
      <c r="G1446" s="4">
        <v>4285.1543000000001</v>
      </c>
      <c r="H1446" s="5">
        <f t="shared" si="22"/>
        <v>4.497487437185925E-2</v>
      </c>
    </row>
    <row r="1447" spans="1:8" ht="13.5" x14ac:dyDescent="0.25">
      <c r="A1447" s="1"/>
      <c r="B1447" s="3">
        <v>44417</v>
      </c>
      <c r="C1447" s="4">
        <v>2.09</v>
      </c>
      <c r="D1447" s="4">
        <v>2.0794999999999999</v>
      </c>
      <c r="E1447" s="4">
        <v>402</v>
      </c>
      <c r="F1447" s="4">
        <v>2.09</v>
      </c>
      <c r="G1447" s="4">
        <v>840.18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2.09</v>
      </c>
      <c r="D1448" s="4">
        <v>2.0794999999999999</v>
      </c>
      <c r="E1448" s="4">
        <v>11</v>
      </c>
      <c r="F1448" s="4">
        <v>2.09</v>
      </c>
      <c r="G1448" s="4">
        <v>22.99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2.09</v>
      </c>
      <c r="D1449" s="4">
        <v>2.0794999999999999</v>
      </c>
      <c r="E1449" s="4">
        <v>61</v>
      </c>
      <c r="F1449" s="4">
        <v>2.09</v>
      </c>
      <c r="G1449" s="4">
        <v>127.49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2.1</v>
      </c>
      <c r="D1450" s="4">
        <v>2.0895000000000001</v>
      </c>
      <c r="E1450" s="4">
        <v>1</v>
      </c>
      <c r="F1450" s="4">
        <v>2.1</v>
      </c>
      <c r="G1450" s="4">
        <v>2.1</v>
      </c>
      <c r="H1450" s="5">
        <f t="shared" si="22"/>
        <v>4.8088482808368513E-3</v>
      </c>
    </row>
    <row r="1451" spans="1:8" ht="13.5" x14ac:dyDescent="0.25">
      <c r="A1451" s="1"/>
      <c r="B1451" s="3">
        <v>44425</v>
      </c>
      <c r="C1451" s="4">
        <v>2.08</v>
      </c>
      <c r="D1451" s="4">
        <v>2.0695999999999999</v>
      </c>
      <c r="E1451" s="4">
        <v>1</v>
      </c>
      <c r="F1451" s="4">
        <v>2.08</v>
      </c>
      <c r="G1451" s="4">
        <v>2.08</v>
      </c>
      <c r="H1451" s="5">
        <f t="shared" si="22"/>
        <v>-9.5238095238096426E-3</v>
      </c>
    </row>
    <row r="1452" spans="1:8" ht="13.5" x14ac:dyDescent="0.25">
      <c r="A1452" s="1"/>
      <c r="B1452" s="3">
        <v>44426</v>
      </c>
      <c r="C1452" s="4">
        <v>2.09</v>
      </c>
      <c r="D1452" s="4">
        <v>2.0794999999999999</v>
      </c>
      <c r="E1452" s="4">
        <v>22</v>
      </c>
      <c r="F1452" s="4">
        <v>2.0905</v>
      </c>
      <c r="G1452" s="4">
        <v>45.991</v>
      </c>
      <c r="H1452" s="5">
        <f t="shared" si="22"/>
        <v>4.7835330498647178E-3</v>
      </c>
    </row>
    <row r="1453" spans="1:8" ht="13.5" x14ac:dyDescent="0.25">
      <c r="A1453" s="1"/>
      <c r="B1453" s="3">
        <v>44427</v>
      </c>
      <c r="C1453" s="4">
        <v>2.09</v>
      </c>
      <c r="D1453" s="4">
        <v>2.0794999999999999</v>
      </c>
      <c r="E1453" s="4">
        <v>2014</v>
      </c>
      <c r="F1453" s="4">
        <v>2.09</v>
      </c>
      <c r="G1453" s="4">
        <v>4209.26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2.09</v>
      </c>
      <c r="D1454" s="4">
        <v>2.0794999999999999</v>
      </c>
      <c r="E1454" s="4">
        <v>7931</v>
      </c>
      <c r="F1454" s="4">
        <v>2.09</v>
      </c>
      <c r="G1454" s="4">
        <v>16575.79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2.1</v>
      </c>
      <c r="D1455" s="4">
        <v>2.0895000000000001</v>
      </c>
      <c r="E1455" s="4">
        <v>4471</v>
      </c>
      <c r="F1455" s="4">
        <v>2.1</v>
      </c>
      <c r="G1455" s="4">
        <v>9389.1</v>
      </c>
      <c r="H1455" s="5">
        <f t="shared" si="22"/>
        <v>4.8088482808368513E-3</v>
      </c>
    </row>
    <row r="1456" spans="1:8" ht="13.5" x14ac:dyDescent="0.25">
      <c r="A1456" s="1"/>
      <c r="B1456" s="3">
        <v>44432</v>
      </c>
      <c r="C1456" s="4">
        <v>2.09</v>
      </c>
      <c r="D1456" s="4">
        <v>2.0794999999999999</v>
      </c>
      <c r="E1456" s="4">
        <v>692</v>
      </c>
      <c r="F1456" s="4">
        <v>2.09</v>
      </c>
      <c r="G1456" s="4">
        <v>1446.28</v>
      </c>
      <c r="H1456" s="5">
        <f t="shared" si="22"/>
        <v>-4.7858339315626853E-3</v>
      </c>
    </row>
    <row r="1457" spans="1:8" ht="13.5" x14ac:dyDescent="0.25">
      <c r="A1457" s="1"/>
      <c r="B1457" s="3">
        <v>44433</v>
      </c>
      <c r="C1457" s="4">
        <v>2.1</v>
      </c>
      <c r="D1457" s="4">
        <v>2.0895000000000001</v>
      </c>
      <c r="E1457" s="4">
        <v>11769</v>
      </c>
      <c r="F1457" s="4">
        <v>2.1</v>
      </c>
      <c r="G1457" s="4">
        <v>24714.9</v>
      </c>
      <c r="H1457" s="5">
        <f t="shared" si="22"/>
        <v>4.8088482808368513E-3</v>
      </c>
    </row>
    <row r="1458" spans="1:8" ht="13.5" x14ac:dyDescent="0.25">
      <c r="A1458" s="1"/>
      <c r="B1458" s="3">
        <v>44434</v>
      </c>
      <c r="C1458" s="4">
        <v>2.09</v>
      </c>
      <c r="D1458" s="4">
        <v>2.0794999999999999</v>
      </c>
      <c r="E1458" s="4">
        <v>3080</v>
      </c>
      <c r="F1458" s="4">
        <v>2.0935000000000001</v>
      </c>
      <c r="G1458" s="4">
        <v>6447.98</v>
      </c>
      <c r="H1458" s="5">
        <f t="shared" si="22"/>
        <v>-4.7858339315626853E-3</v>
      </c>
    </row>
    <row r="1459" spans="1:8" ht="13.5" x14ac:dyDescent="0.25">
      <c r="A1459" s="1"/>
      <c r="B1459" s="3">
        <v>44435</v>
      </c>
      <c r="C1459" s="4">
        <v>2.09</v>
      </c>
      <c r="D1459" s="4">
        <v>2.0794999999999999</v>
      </c>
      <c r="E1459" s="4">
        <v>701</v>
      </c>
      <c r="F1459" s="4">
        <v>2.09</v>
      </c>
      <c r="G1459" s="4">
        <v>1465.09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2.09</v>
      </c>
      <c r="D1460" s="4">
        <v>2.0794999999999999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2.09</v>
      </c>
      <c r="D1461" s="4">
        <v>2.0794999999999999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2.08</v>
      </c>
      <c r="D1462" s="4">
        <v>2.0695999999999999</v>
      </c>
      <c r="E1462" s="4">
        <v>160</v>
      </c>
      <c r="F1462" s="4">
        <v>2.08</v>
      </c>
      <c r="G1462" s="4">
        <v>332.8</v>
      </c>
      <c r="H1462" s="5">
        <f t="shared" si="22"/>
        <v>-4.7607597980283819E-3</v>
      </c>
    </row>
    <row r="1463" spans="1:8" ht="13.5" x14ac:dyDescent="0.25">
      <c r="A1463" s="1"/>
      <c r="B1463" s="3">
        <v>44441</v>
      </c>
      <c r="C1463" s="4">
        <v>2.08</v>
      </c>
      <c r="D1463" s="4">
        <v>2.0695999999999999</v>
      </c>
      <c r="E1463" s="4">
        <v>20</v>
      </c>
      <c r="F1463" s="4">
        <v>2.08</v>
      </c>
      <c r="G1463" s="4">
        <v>41.6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2.08</v>
      </c>
      <c r="D1464" s="4">
        <v>2.0695999999999999</v>
      </c>
      <c r="E1464" s="4">
        <v>1061</v>
      </c>
      <c r="F1464" s="4">
        <v>2.08</v>
      </c>
      <c r="G1464" s="4">
        <v>2206.88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2.08</v>
      </c>
      <c r="D1465" s="4">
        <v>2.0695999999999999</v>
      </c>
      <c r="E1465" s="4">
        <v>1</v>
      </c>
      <c r="F1465" s="4">
        <v>2.08</v>
      </c>
      <c r="G1465" s="4">
        <v>2.08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2.02</v>
      </c>
      <c r="D1466" s="4">
        <v>2.0099</v>
      </c>
      <c r="E1466" s="4">
        <v>1500</v>
      </c>
      <c r="F1466" s="4">
        <v>2.02</v>
      </c>
      <c r="G1466" s="4">
        <v>3030</v>
      </c>
      <c r="H1466" s="5">
        <f t="shared" si="22"/>
        <v>-2.8846153846153782E-2</v>
      </c>
    </row>
    <row r="1467" spans="1:8" ht="13.5" x14ac:dyDescent="0.25">
      <c r="A1467" s="1"/>
      <c r="B1467" s="3">
        <v>44447</v>
      </c>
      <c r="C1467" s="4">
        <v>2.06</v>
      </c>
      <c r="D1467" s="4">
        <v>2.0497000000000001</v>
      </c>
      <c r="E1467" s="4">
        <v>10000</v>
      </c>
      <c r="F1467" s="4">
        <v>2.06</v>
      </c>
      <c r="G1467" s="4">
        <v>20600</v>
      </c>
      <c r="H1467" s="5">
        <f t="shared" si="22"/>
        <v>1.980198019801983E-2</v>
      </c>
    </row>
    <row r="1468" spans="1:8" ht="13.5" x14ac:dyDescent="0.25">
      <c r="A1468" s="1"/>
      <c r="B1468" s="3">
        <v>44448</v>
      </c>
      <c r="C1468" s="4">
        <v>2.06</v>
      </c>
      <c r="D1468" s="4">
        <v>2.0497000000000001</v>
      </c>
      <c r="E1468" s="4">
        <v>1500</v>
      </c>
      <c r="F1468" s="4">
        <v>2.06</v>
      </c>
      <c r="G1468" s="4">
        <v>3090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2</v>
      </c>
      <c r="D1469" s="4">
        <v>1.99</v>
      </c>
      <c r="E1469" s="4">
        <v>7614</v>
      </c>
      <c r="F1469" s="4">
        <v>2</v>
      </c>
      <c r="G1469" s="4">
        <v>15228</v>
      </c>
      <c r="H1469" s="5">
        <f t="shared" si="22"/>
        <v>-2.9126213592233052E-2</v>
      </c>
    </row>
    <row r="1470" spans="1:8" ht="13.5" x14ac:dyDescent="0.25">
      <c r="A1470" s="1"/>
      <c r="B1470" s="3">
        <v>44452</v>
      </c>
      <c r="C1470" s="4">
        <v>2</v>
      </c>
      <c r="D1470" s="4">
        <v>1.99</v>
      </c>
      <c r="E1470" s="4">
        <v>1300</v>
      </c>
      <c r="F1470" s="4">
        <v>2</v>
      </c>
      <c r="G1470" s="4">
        <v>2600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2</v>
      </c>
      <c r="D1471" s="4">
        <v>1.99</v>
      </c>
      <c r="E1471" s="4">
        <v>6</v>
      </c>
      <c r="F1471" s="4">
        <v>2</v>
      </c>
      <c r="G1471" s="4">
        <v>12</v>
      </c>
      <c r="H1471" s="5">
        <f t="shared" si="22"/>
        <v>0</v>
      </c>
    </row>
    <row r="1472" spans="1:8" ht="13.5" x14ac:dyDescent="0.25">
      <c r="A1472" s="1"/>
      <c r="B1472" s="3">
        <v>44454</v>
      </c>
      <c r="C1472" s="4">
        <v>2</v>
      </c>
      <c r="D1472" s="4">
        <v>1.99</v>
      </c>
      <c r="E1472" s="4">
        <v>2576</v>
      </c>
      <c r="F1472" s="4">
        <v>2</v>
      </c>
      <c r="G1472" s="4">
        <v>5152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2</v>
      </c>
      <c r="D1473" s="4">
        <v>1.99</v>
      </c>
      <c r="E1473" s="4">
        <v>5300</v>
      </c>
      <c r="F1473" s="4">
        <v>2</v>
      </c>
      <c r="G1473" s="4">
        <v>10600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2</v>
      </c>
      <c r="D1474" s="4">
        <v>1.99</v>
      </c>
      <c r="E1474" s="4">
        <v>1720</v>
      </c>
      <c r="F1474" s="4">
        <v>2</v>
      </c>
      <c r="G1474" s="4">
        <v>3440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2</v>
      </c>
      <c r="D1475" s="4">
        <v>1.99</v>
      </c>
      <c r="E1475" s="4">
        <v>15295</v>
      </c>
      <c r="F1475" s="4">
        <v>2</v>
      </c>
      <c r="G1475" s="4">
        <v>30590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2</v>
      </c>
      <c r="D1476" s="4">
        <v>1.99</v>
      </c>
      <c r="E1476" s="4">
        <v>8767</v>
      </c>
      <c r="F1476" s="4">
        <v>2</v>
      </c>
      <c r="G1476" s="4">
        <v>17534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2</v>
      </c>
      <c r="D1477" s="4">
        <v>2</v>
      </c>
      <c r="E1477" s="4">
        <v>3000</v>
      </c>
      <c r="F1477" s="4">
        <v>2</v>
      </c>
      <c r="G1477" s="4">
        <v>6000</v>
      </c>
      <c r="H1477" s="5">
        <f t="shared" si="22"/>
        <v>5.0251256281407079E-3</v>
      </c>
    </row>
    <row r="1478" spans="1:8" ht="13.5" x14ac:dyDescent="0.25">
      <c r="A1478" s="1"/>
      <c r="B1478" s="3">
        <v>44462</v>
      </c>
      <c r="C1478" s="4">
        <v>2</v>
      </c>
      <c r="D1478" s="4">
        <v>2</v>
      </c>
      <c r="E1478" s="4">
        <v>3000</v>
      </c>
      <c r="F1478" s="4">
        <v>2</v>
      </c>
      <c r="G1478" s="4">
        <v>6000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2</v>
      </c>
      <c r="D1479" s="4">
        <v>2</v>
      </c>
      <c r="E1479" s="4">
        <v>1233</v>
      </c>
      <c r="F1479" s="4">
        <v>2</v>
      </c>
      <c r="G1479" s="4">
        <v>2466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2</v>
      </c>
      <c r="D1480" s="4">
        <v>2</v>
      </c>
      <c r="E1480" s="4">
        <v>1960</v>
      </c>
      <c r="F1480" s="4">
        <v>2</v>
      </c>
      <c r="G1480" s="4">
        <v>3920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1.99</v>
      </c>
      <c r="D1481" s="4">
        <v>1.99</v>
      </c>
      <c r="E1481" s="4">
        <v>401</v>
      </c>
      <c r="F1481" s="4">
        <v>1.99</v>
      </c>
      <c r="G1481" s="4">
        <v>797.99</v>
      </c>
      <c r="H1481" s="5">
        <f t="shared" si="23"/>
        <v>-5.0000000000000044E-3</v>
      </c>
    </row>
    <row r="1482" spans="1:8" ht="13.5" x14ac:dyDescent="0.25">
      <c r="A1482" s="1"/>
      <c r="B1482" s="3">
        <v>44468</v>
      </c>
      <c r="C1482" s="4">
        <v>2</v>
      </c>
      <c r="D1482" s="4">
        <v>2</v>
      </c>
      <c r="E1482" s="4">
        <v>72</v>
      </c>
      <c r="F1482" s="4">
        <v>2</v>
      </c>
      <c r="G1482" s="4">
        <v>144</v>
      </c>
      <c r="H1482" s="5">
        <f t="shared" si="23"/>
        <v>5.0251256281407079E-3</v>
      </c>
    </row>
    <row r="1483" spans="1:8" ht="13.5" x14ac:dyDescent="0.25">
      <c r="A1483" s="1"/>
      <c r="B1483" s="3">
        <v>44469</v>
      </c>
      <c r="C1483" s="4">
        <v>2.06</v>
      </c>
      <c r="D1483" s="4">
        <v>2.06</v>
      </c>
      <c r="E1483" s="4">
        <v>0</v>
      </c>
      <c r="F1483" s="4">
        <v>0</v>
      </c>
      <c r="G1483" s="4">
        <v>0</v>
      </c>
      <c r="H1483" s="5">
        <f t="shared" si="23"/>
        <v>3.0000000000000027E-2</v>
      </c>
    </row>
    <row r="1484" spans="1:8" ht="13.5" x14ac:dyDescent="0.25">
      <c r="A1484" s="1"/>
      <c r="B1484" s="3">
        <v>44470</v>
      </c>
      <c r="C1484" s="4">
        <v>2.12</v>
      </c>
      <c r="D1484" s="4">
        <v>2.12</v>
      </c>
      <c r="E1484" s="4">
        <v>0</v>
      </c>
      <c r="F1484" s="4">
        <v>0</v>
      </c>
      <c r="G1484" s="4">
        <v>0</v>
      </c>
      <c r="H1484" s="5">
        <f t="shared" si="23"/>
        <v>2.9126213592233035E-2</v>
      </c>
    </row>
    <row r="1485" spans="1:8" ht="13.5" x14ac:dyDescent="0.25">
      <c r="A1485" s="1"/>
      <c r="B1485" s="3">
        <v>44473</v>
      </c>
      <c r="C1485" s="4">
        <v>2.06</v>
      </c>
      <c r="D1485" s="4">
        <v>2.06</v>
      </c>
      <c r="E1485" s="4">
        <v>51411</v>
      </c>
      <c r="F1485" s="4">
        <v>2.06</v>
      </c>
      <c r="G1485" s="4">
        <v>105906.66</v>
      </c>
      <c r="H1485" s="5">
        <f t="shared" si="23"/>
        <v>-2.8301886792452855E-2</v>
      </c>
    </row>
    <row r="1486" spans="1:8" ht="13.5" x14ac:dyDescent="0.25">
      <c r="A1486" s="1"/>
      <c r="B1486" s="3">
        <v>44474</v>
      </c>
      <c r="C1486" s="4">
        <v>2.1</v>
      </c>
      <c r="D1486" s="4">
        <v>2.1</v>
      </c>
      <c r="E1486" s="4">
        <v>12380</v>
      </c>
      <c r="F1486" s="4">
        <v>2.1</v>
      </c>
      <c r="G1486" s="4">
        <v>25998</v>
      </c>
      <c r="H1486" s="5">
        <f t="shared" si="23"/>
        <v>1.9417475728155355E-2</v>
      </c>
    </row>
    <row r="1487" spans="1:8" ht="13.5" x14ac:dyDescent="0.25">
      <c r="A1487" s="1"/>
      <c r="B1487" s="3">
        <v>44475</v>
      </c>
      <c r="C1487" s="4">
        <v>2.04</v>
      </c>
      <c r="D1487" s="4">
        <v>2.04</v>
      </c>
      <c r="E1487" s="4">
        <v>10467</v>
      </c>
      <c r="F1487" s="4">
        <v>2.04</v>
      </c>
      <c r="G1487" s="4">
        <v>21352.68</v>
      </c>
      <c r="H1487" s="5">
        <f t="shared" si="23"/>
        <v>-2.8571428571428595E-2</v>
      </c>
    </row>
    <row r="1488" spans="1:8" ht="13.5" x14ac:dyDescent="0.25">
      <c r="A1488" s="1"/>
      <c r="B1488" s="3">
        <v>44476</v>
      </c>
      <c r="C1488" s="4">
        <v>2.06</v>
      </c>
      <c r="D1488" s="4">
        <v>2.06</v>
      </c>
      <c r="E1488" s="4">
        <v>2400</v>
      </c>
      <c r="F1488" s="4">
        <v>2.06</v>
      </c>
      <c r="G1488" s="4">
        <v>4944</v>
      </c>
      <c r="H1488" s="5">
        <f t="shared" si="23"/>
        <v>9.8039215686274595E-3</v>
      </c>
    </row>
    <row r="1489" spans="1:8" ht="13.5" x14ac:dyDescent="0.25">
      <c r="A1489" s="1"/>
      <c r="B1489" s="3">
        <v>44477</v>
      </c>
      <c r="C1489" s="4">
        <v>2.04</v>
      </c>
      <c r="D1489" s="4">
        <v>2.04</v>
      </c>
      <c r="E1489" s="4">
        <v>20800</v>
      </c>
      <c r="F1489" s="4">
        <v>2.04</v>
      </c>
      <c r="G1489" s="4">
        <v>42432</v>
      </c>
      <c r="H1489" s="5">
        <f t="shared" si="23"/>
        <v>-9.7087378640776777E-3</v>
      </c>
    </row>
    <row r="1490" spans="1:8" ht="13.5" x14ac:dyDescent="0.25">
      <c r="A1490" s="1"/>
      <c r="B1490" s="3">
        <v>44480</v>
      </c>
      <c r="C1490" s="4">
        <v>2.08</v>
      </c>
      <c r="D1490" s="4">
        <v>2.08</v>
      </c>
      <c r="E1490" s="4">
        <v>27650</v>
      </c>
      <c r="F1490" s="4">
        <v>2.08</v>
      </c>
      <c r="G1490" s="4">
        <v>57512</v>
      </c>
      <c r="H1490" s="5">
        <f t="shared" si="23"/>
        <v>1.9607843137254919E-2</v>
      </c>
    </row>
    <row r="1491" spans="1:8" ht="13.5" x14ac:dyDescent="0.25">
      <c r="A1491" s="1"/>
      <c r="B1491" s="3">
        <v>44481</v>
      </c>
      <c r="C1491" s="4">
        <v>2.09</v>
      </c>
      <c r="D1491" s="4">
        <v>2.09</v>
      </c>
      <c r="E1491" s="4">
        <v>33780</v>
      </c>
      <c r="F1491" s="4">
        <v>2.09</v>
      </c>
      <c r="G1491" s="4">
        <v>70600.2</v>
      </c>
      <c r="H1491" s="5">
        <f t="shared" si="23"/>
        <v>4.8076923076922047E-3</v>
      </c>
    </row>
    <row r="1492" spans="1:8" ht="13.5" x14ac:dyDescent="0.25">
      <c r="A1492" s="1"/>
      <c r="B1492" s="3">
        <v>44482</v>
      </c>
      <c r="C1492" s="4">
        <v>2.04</v>
      </c>
      <c r="D1492" s="4">
        <v>2.04</v>
      </c>
      <c r="E1492" s="4">
        <v>30195</v>
      </c>
      <c r="F1492" s="4">
        <v>2.04</v>
      </c>
      <c r="G1492" s="4">
        <v>61597.8</v>
      </c>
      <c r="H1492" s="5">
        <f t="shared" si="23"/>
        <v>-2.3923444976076472E-2</v>
      </c>
    </row>
    <row r="1493" spans="1:8" ht="13.5" x14ac:dyDescent="0.25">
      <c r="A1493" s="1"/>
      <c r="B1493" s="3">
        <v>44483</v>
      </c>
      <c r="C1493" s="4">
        <v>2.04</v>
      </c>
      <c r="D1493" s="4">
        <v>2.04</v>
      </c>
      <c r="E1493" s="4">
        <v>36228</v>
      </c>
      <c r="F1493" s="4">
        <v>2.04</v>
      </c>
      <c r="G1493" s="4">
        <v>73905.119999999995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2.04</v>
      </c>
      <c r="D1494" s="4">
        <v>2.04</v>
      </c>
      <c r="E1494" s="4">
        <v>7598</v>
      </c>
      <c r="F1494" s="4">
        <v>2.04</v>
      </c>
      <c r="G1494" s="4">
        <v>15499.92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2.04</v>
      </c>
      <c r="D1495" s="4">
        <v>2.04</v>
      </c>
      <c r="E1495" s="4">
        <v>2841</v>
      </c>
      <c r="F1495" s="4">
        <v>2.04</v>
      </c>
      <c r="G1495" s="4">
        <v>5795.64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2.04</v>
      </c>
      <c r="D1496" s="4">
        <v>2.04</v>
      </c>
      <c r="E1496" s="4">
        <v>8</v>
      </c>
      <c r="F1496" s="4">
        <v>2.04</v>
      </c>
      <c r="G1496" s="4">
        <v>16.32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2.0699999999999998</v>
      </c>
      <c r="D1497" s="4">
        <v>2.0699999999999998</v>
      </c>
      <c r="E1497" s="4">
        <v>18856</v>
      </c>
      <c r="F1497" s="4">
        <v>2.0699999999999998</v>
      </c>
      <c r="G1497" s="4">
        <v>39031.919999999998</v>
      </c>
      <c r="H1497" s="5">
        <f t="shared" si="23"/>
        <v>1.4705882352941081E-2</v>
      </c>
    </row>
    <row r="1498" spans="1:8" ht="13.5" x14ac:dyDescent="0.25">
      <c r="A1498" s="1"/>
      <c r="B1498" s="3">
        <v>44494</v>
      </c>
      <c r="C1498" s="4">
        <v>2.13</v>
      </c>
      <c r="D1498" s="4">
        <v>2.13</v>
      </c>
      <c r="E1498" s="4">
        <v>28318</v>
      </c>
      <c r="F1498" s="4">
        <v>2.13</v>
      </c>
      <c r="G1498" s="4">
        <v>60317.34</v>
      </c>
      <c r="H1498" s="5">
        <f t="shared" si="23"/>
        <v>2.898550724637684E-2</v>
      </c>
    </row>
    <row r="1499" spans="1:8" ht="13.5" x14ac:dyDescent="0.25">
      <c r="A1499" s="1"/>
      <c r="B1499" s="3">
        <v>44495</v>
      </c>
      <c r="C1499" s="4">
        <v>2.14</v>
      </c>
      <c r="D1499" s="4">
        <v>2.14</v>
      </c>
      <c r="E1499" s="4">
        <v>14715</v>
      </c>
      <c r="F1499" s="4">
        <v>2.14</v>
      </c>
      <c r="G1499" s="4">
        <v>31490.1</v>
      </c>
      <c r="H1499" s="5">
        <f t="shared" si="23"/>
        <v>4.6948356807512822E-3</v>
      </c>
    </row>
    <row r="1500" spans="1:8" ht="13.5" x14ac:dyDescent="0.25">
      <c r="A1500" s="1"/>
      <c r="B1500" s="3">
        <v>44496</v>
      </c>
      <c r="C1500" s="4">
        <v>2.1800000000000002</v>
      </c>
      <c r="D1500" s="4">
        <v>2.1800000000000002</v>
      </c>
      <c r="E1500" s="4">
        <v>15974</v>
      </c>
      <c r="F1500" s="4">
        <v>2.1800000000000002</v>
      </c>
      <c r="G1500" s="4">
        <v>34823.32</v>
      </c>
      <c r="H1500" s="5">
        <f t="shared" si="23"/>
        <v>1.8691588785046745E-2</v>
      </c>
    </row>
    <row r="1501" spans="1:8" ht="13.5" x14ac:dyDescent="0.25">
      <c r="A1501" s="1"/>
      <c r="B1501" s="3">
        <v>44497</v>
      </c>
      <c r="C1501" s="4">
        <v>2.17</v>
      </c>
      <c r="D1501" s="4">
        <v>2.17</v>
      </c>
      <c r="E1501" s="4">
        <v>4645</v>
      </c>
      <c r="F1501" s="4">
        <v>2.17</v>
      </c>
      <c r="G1501" s="4">
        <v>10079.65</v>
      </c>
      <c r="H1501" s="5">
        <f t="shared" si="23"/>
        <v>-4.5871559633028575E-3</v>
      </c>
    </row>
    <row r="1502" spans="1:8" ht="13.5" x14ac:dyDescent="0.25">
      <c r="A1502" s="1"/>
      <c r="B1502" s="3">
        <v>44498</v>
      </c>
      <c r="C1502" s="4">
        <v>2.16</v>
      </c>
      <c r="D1502" s="4">
        <v>2.16</v>
      </c>
      <c r="E1502" s="4">
        <v>7440</v>
      </c>
      <c r="F1502" s="4">
        <v>2.16</v>
      </c>
      <c r="G1502" s="4">
        <v>16070.4</v>
      </c>
      <c r="H1502" s="5">
        <f t="shared" si="23"/>
        <v>-4.608294930875478E-3</v>
      </c>
    </row>
    <row r="1503" spans="1:8" ht="13.5" x14ac:dyDescent="0.25">
      <c r="A1503" s="1"/>
      <c r="B1503" s="3">
        <v>44501</v>
      </c>
      <c r="C1503" s="4">
        <v>2.1</v>
      </c>
      <c r="D1503" s="4">
        <v>2.1</v>
      </c>
      <c r="E1503" s="4">
        <v>19604</v>
      </c>
      <c r="F1503" s="4">
        <v>2.1</v>
      </c>
      <c r="G1503" s="4">
        <v>41168.400000000001</v>
      </c>
      <c r="H1503" s="5">
        <f t="shared" si="23"/>
        <v>-2.7777777777777801E-2</v>
      </c>
    </row>
    <row r="1504" spans="1:8" ht="13.5" x14ac:dyDescent="0.25">
      <c r="A1504" s="1"/>
      <c r="B1504" s="3">
        <v>44502</v>
      </c>
      <c r="C1504" s="4">
        <v>2.16</v>
      </c>
      <c r="D1504" s="4">
        <v>2.16</v>
      </c>
      <c r="E1504" s="4">
        <v>6381</v>
      </c>
      <c r="F1504" s="4">
        <v>2.16</v>
      </c>
      <c r="G1504" s="4">
        <v>13782.96</v>
      </c>
      <c r="H1504" s="5">
        <f t="shared" si="23"/>
        <v>2.8571428571428595E-2</v>
      </c>
    </row>
    <row r="1505" spans="1:8" ht="13.5" x14ac:dyDescent="0.25">
      <c r="A1505" s="1"/>
      <c r="B1505" s="3">
        <v>44503</v>
      </c>
      <c r="C1505" s="4">
        <v>2.16</v>
      </c>
      <c r="D1505" s="4">
        <v>2.16</v>
      </c>
      <c r="E1505" s="4">
        <v>24531</v>
      </c>
      <c r="F1505" s="4">
        <v>2.16</v>
      </c>
      <c r="G1505" s="4">
        <v>52986.96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2.13</v>
      </c>
      <c r="D1506" s="4">
        <v>2.13</v>
      </c>
      <c r="E1506" s="4">
        <v>22811</v>
      </c>
      <c r="F1506" s="4">
        <v>2.13</v>
      </c>
      <c r="G1506" s="4">
        <v>48587.43</v>
      </c>
      <c r="H1506" s="5">
        <f t="shared" si="23"/>
        <v>-1.3888888888889003E-2</v>
      </c>
    </row>
    <row r="1507" spans="1:8" ht="13.5" x14ac:dyDescent="0.25">
      <c r="A1507" s="1"/>
      <c r="B1507" s="3">
        <v>44505</v>
      </c>
      <c r="C1507" s="4">
        <v>2.13</v>
      </c>
      <c r="D1507" s="4">
        <v>2.13</v>
      </c>
      <c r="E1507" s="4">
        <v>5000</v>
      </c>
      <c r="F1507" s="4">
        <v>2.13</v>
      </c>
      <c r="G1507" s="4">
        <v>10650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2.15</v>
      </c>
      <c r="D1508" s="4">
        <v>2.15</v>
      </c>
      <c r="E1508" s="4">
        <v>21760</v>
      </c>
      <c r="F1508" s="4">
        <v>2.15</v>
      </c>
      <c r="G1508" s="4">
        <v>46784</v>
      </c>
      <c r="H1508" s="5">
        <f t="shared" si="23"/>
        <v>9.3896713615023563E-3</v>
      </c>
    </row>
    <row r="1509" spans="1:8" ht="13.5" x14ac:dyDescent="0.25">
      <c r="A1509" s="1"/>
      <c r="B1509" s="3">
        <v>44509</v>
      </c>
      <c r="C1509" s="4">
        <v>2.15</v>
      </c>
      <c r="D1509" s="4">
        <v>2.15</v>
      </c>
      <c r="E1509" s="4">
        <v>6491</v>
      </c>
      <c r="F1509" s="4">
        <v>2.15</v>
      </c>
      <c r="G1509" s="4">
        <v>13955.65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2.14</v>
      </c>
      <c r="D1510" s="4">
        <v>2.14</v>
      </c>
      <c r="E1510" s="4">
        <v>3643</v>
      </c>
      <c r="F1510" s="4">
        <v>2.14</v>
      </c>
      <c r="G1510" s="4">
        <v>7796.02</v>
      </c>
      <c r="H1510" s="5">
        <f t="shared" si="23"/>
        <v>-4.6511627906975755E-3</v>
      </c>
    </row>
    <row r="1511" spans="1:8" ht="13.5" x14ac:dyDescent="0.25">
      <c r="A1511" s="1"/>
      <c r="B1511" s="3">
        <v>44511</v>
      </c>
      <c r="C1511" s="4">
        <v>2.13</v>
      </c>
      <c r="D1511" s="4">
        <v>2.13</v>
      </c>
      <c r="E1511" s="4">
        <v>1052</v>
      </c>
      <c r="F1511" s="4">
        <v>2.13</v>
      </c>
      <c r="G1511" s="4">
        <v>2240.7600000000002</v>
      </c>
      <c r="H1511" s="5">
        <f t="shared" si="23"/>
        <v>-4.6728971962617903E-3</v>
      </c>
    </row>
    <row r="1512" spans="1:8" ht="13.5" x14ac:dyDescent="0.25">
      <c r="A1512" s="1"/>
      <c r="B1512" s="3">
        <v>44512</v>
      </c>
      <c r="C1512" s="4">
        <v>2.0699999999999998</v>
      </c>
      <c r="D1512" s="4">
        <v>2.0699999999999998</v>
      </c>
      <c r="E1512" s="4">
        <v>0</v>
      </c>
      <c r="F1512" s="4">
        <v>0</v>
      </c>
      <c r="G1512" s="4">
        <v>0</v>
      </c>
      <c r="H1512" s="5">
        <f t="shared" si="23"/>
        <v>-2.8169014084507067E-2</v>
      </c>
    </row>
    <row r="1513" spans="1:8" ht="13.5" x14ac:dyDescent="0.25">
      <c r="A1513" s="1"/>
      <c r="B1513" s="3">
        <v>44515</v>
      </c>
      <c r="C1513" s="4">
        <v>2.13</v>
      </c>
      <c r="D1513" s="4">
        <v>2.13</v>
      </c>
      <c r="E1513" s="4">
        <v>6122</v>
      </c>
      <c r="F1513" s="4">
        <v>2.13</v>
      </c>
      <c r="G1513" s="4">
        <v>13039.86</v>
      </c>
      <c r="H1513" s="5">
        <f t="shared" si="23"/>
        <v>2.898550724637684E-2</v>
      </c>
    </row>
    <row r="1514" spans="1:8" ht="13.5" x14ac:dyDescent="0.25">
      <c r="A1514" s="1"/>
      <c r="B1514" s="3">
        <v>44516</v>
      </c>
      <c r="C1514" s="4">
        <v>2.0699999999999998</v>
      </c>
      <c r="D1514" s="4">
        <v>2.0699999999999998</v>
      </c>
      <c r="E1514" s="4">
        <v>9383</v>
      </c>
      <c r="F1514" s="4">
        <v>2.0699999999999998</v>
      </c>
      <c r="G1514" s="4">
        <v>19422.810000000001</v>
      </c>
      <c r="H1514" s="5">
        <f t="shared" si="23"/>
        <v>-2.8169014084507067E-2</v>
      </c>
    </row>
    <row r="1515" spans="1:8" ht="13.5" x14ac:dyDescent="0.25">
      <c r="A1515" s="1"/>
      <c r="B1515" s="3">
        <v>44517</v>
      </c>
      <c r="C1515" s="4">
        <v>2.0299999999999998</v>
      </c>
      <c r="D1515" s="4">
        <v>2.0299999999999998</v>
      </c>
      <c r="E1515" s="4">
        <v>4088</v>
      </c>
      <c r="F1515" s="4">
        <v>2.0299999999999998</v>
      </c>
      <c r="G1515" s="4">
        <v>8298.64</v>
      </c>
      <c r="H1515" s="5">
        <f t="shared" si="23"/>
        <v>-1.9323671497584561E-2</v>
      </c>
    </row>
    <row r="1516" spans="1:8" ht="13.5" x14ac:dyDescent="0.25">
      <c r="A1516" s="1"/>
      <c r="B1516" s="3">
        <v>44518</v>
      </c>
      <c r="C1516" s="4">
        <v>2.0299999999999998</v>
      </c>
      <c r="D1516" s="4">
        <v>2.0299999999999998</v>
      </c>
      <c r="E1516" s="4">
        <v>5795</v>
      </c>
      <c r="F1516" s="4">
        <v>2.0299999999999998</v>
      </c>
      <c r="G1516" s="4">
        <v>11763.85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2.0299999999999998</v>
      </c>
      <c r="D1517" s="4">
        <v>2.0299999999999998</v>
      </c>
      <c r="E1517" s="4">
        <v>15759</v>
      </c>
      <c r="F1517" s="4">
        <v>2.0299999999999998</v>
      </c>
      <c r="G1517" s="4">
        <v>31990.77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2.0299999999999998</v>
      </c>
      <c r="D1518" s="4">
        <v>2.0299999999999998</v>
      </c>
      <c r="E1518" s="4">
        <v>35854</v>
      </c>
      <c r="F1518" s="4">
        <v>2.0299999999999998</v>
      </c>
      <c r="G1518" s="4">
        <v>72783.62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2.0299999999999998</v>
      </c>
      <c r="D1519" s="4">
        <v>2.0299999999999998</v>
      </c>
      <c r="E1519" s="4">
        <v>17312</v>
      </c>
      <c r="F1519" s="4">
        <v>2.0299999999999998</v>
      </c>
      <c r="G1519" s="4">
        <v>35143.360000000001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2.0699999999999998</v>
      </c>
      <c r="D1520" s="4">
        <v>2.0699999999999998</v>
      </c>
      <c r="E1520" s="4">
        <v>1910</v>
      </c>
      <c r="F1520" s="4">
        <v>2.0699999999999998</v>
      </c>
      <c r="G1520" s="4">
        <v>3953.7</v>
      </c>
      <c r="H1520" s="5">
        <f t="shared" si="23"/>
        <v>1.9704433497536967E-2</v>
      </c>
    </row>
    <row r="1521" spans="1:8" ht="13.5" x14ac:dyDescent="0.25">
      <c r="A1521" s="1"/>
      <c r="B1521" s="3">
        <v>44525</v>
      </c>
      <c r="C1521" s="4">
        <v>2.0699999999999998</v>
      </c>
      <c r="D1521" s="4">
        <v>2.0699999999999998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2.06</v>
      </c>
      <c r="D1522" s="4">
        <v>2.06</v>
      </c>
      <c r="E1522" s="4">
        <v>12631</v>
      </c>
      <c r="F1522" s="4">
        <v>2.06</v>
      </c>
      <c r="G1522" s="4">
        <v>26019.86</v>
      </c>
      <c r="H1522" s="5">
        <f t="shared" si="23"/>
        <v>-4.8309178743960327E-3</v>
      </c>
    </row>
    <row r="1523" spans="1:8" ht="13.5" x14ac:dyDescent="0.25">
      <c r="A1523" s="1"/>
      <c r="B1523" s="3">
        <v>44529</v>
      </c>
      <c r="C1523" s="4">
        <v>2.04</v>
      </c>
      <c r="D1523" s="4">
        <v>2.04</v>
      </c>
      <c r="E1523" s="4">
        <v>32621</v>
      </c>
      <c r="F1523" s="4">
        <v>2.04</v>
      </c>
      <c r="G1523" s="4">
        <v>66546.84</v>
      </c>
      <c r="H1523" s="5">
        <f t="shared" si="23"/>
        <v>-9.7087378640776777E-3</v>
      </c>
    </row>
    <row r="1524" spans="1:8" ht="13.5" x14ac:dyDescent="0.25">
      <c r="A1524" s="1"/>
      <c r="B1524" s="3">
        <v>44530</v>
      </c>
      <c r="C1524" s="4">
        <v>2.04</v>
      </c>
      <c r="D1524" s="4">
        <v>2.04</v>
      </c>
      <c r="E1524" s="4">
        <v>5</v>
      </c>
      <c r="F1524" s="4">
        <v>2.04</v>
      </c>
      <c r="G1524" s="4">
        <v>10.199999999999999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2.0299999999999998</v>
      </c>
      <c r="D1525" s="4">
        <v>2.0299999999999998</v>
      </c>
      <c r="E1525" s="4">
        <v>4260</v>
      </c>
      <c r="F1525" s="4">
        <v>2.0299999999999998</v>
      </c>
      <c r="G1525" s="4">
        <v>8647.7999999999993</v>
      </c>
      <c r="H1525" s="5">
        <f t="shared" si="23"/>
        <v>-4.9019607843138382E-3</v>
      </c>
    </row>
    <row r="1526" spans="1:8" ht="13.5" x14ac:dyDescent="0.25">
      <c r="A1526" s="1"/>
      <c r="B1526" s="3">
        <v>44532</v>
      </c>
      <c r="C1526" s="4">
        <v>2.0099999999999998</v>
      </c>
      <c r="D1526" s="4">
        <v>2.0099999999999998</v>
      </c>
      <c r="E1526" s="4">
        <v>1740</v>
      </c>
      <c r="F1526" s="4">
        <v>2.0099999999999998</v>
      </c>
      <c r="G1526" s="4">
        <v>3497.4</v>
      </c>
      <c r="H1526" s="5">
        <f t="shared" si="23"/>
        <v>-9.8522167487684834E-3</v>
      </c>
    </row>
    <row r="1527" spans="1:8" ht="13.5" x14ac:dyDescent="0.25">
      <c r="A1527" s="1"/>
      <c r="B1527" s="3">
        <v>44533</v>
      </c>
      <c r="C1527" s="4">
        <v>2.0099999999999998</v>
      </c>
      <c r="D1527" s="4">
        <v>2.0099999999999998</v>
      </c>
      <c r="E1527" s="4">
        <v>15700</v>
      </c>
      <c r="F1527" s="4">
        <v>2.0099999999999998</v>
      </c>
      <c r="G1527" s="4">
        <v>31557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1.99</v>
      </c>
      <c r="D1528" s="4">
        <v>1.99</v>
      </c>
      <c r="E1528" s="4">
        <v>14780</v>
      </c>
      <c r="F1528" s="4">
        <v>1.99</v>
      </c>
      <c r="G1528" s="4">
        <v>29412.2</v>
      </c>
      <c r="H1528" s="5">
        <f t="shared" si="23"/>
        <v>-9.9502487562188047E-3</v>
      </c>
    </row>
    <row r="1529" spans="1:8" ht="13.5" x14ac:dyDescent="0.25">
      <c r="A1529" s="1"/>
      <c r="B1529" s="3">
        <v>44537</v>
      </c>
      <c r="C1529" s="4">
        <v>1.96</v>
      </c>
      <c r="D1529" s="4">
        <v>1.96</v>
      </c>
      <c r="E1529" s="4">
        <v>6314</v>
      </c>
      <c r="F1529" s="4">
        <v>1.96</v>
      </c>
      <c r="G1529" s="4">
        <v>12375.44</v>
      </c>
      <c r="H1529" s="5">
        <f t="shared" si="23"/>
        <v>-1.5075376884422124E-2</v>
      </c>
    </row>
    <row r="1530" spans="1:8" ht="13.5" x14ac:dyDescent="0.25">
      <c r="A1530" s="1"/>
      <c r="B1530" s="3">
        <v>44538</v>
      </c>
      <c r="C1530" s="4">
        <v>2</v>
      </c>
      <c r="D1530" s="4">
        <v>2</v>
      </c>
      <c r="E1530" s="4">
        <v>15172</v>
      </c>
      <c r="F1530" s="4">
        <v>2</v>
      </c>
      <c r="G1530" s="4">
        <v>30344</v>
      </c>
      <c r="H1530" s="5">
        <f t="shared" si="23"/>
        <v>2.0408163265306142E-2</v>
      </c>
    </row>
    <row r="1531" spans="1:8" ht="13.5" x14ac:dyDescent="0.25">
      <c r="A1531" s="1"/>
      <c r="B1531" s="3">
        <v>44539</v>
      </c>
      <c r="C1531" s="4">
        <v>2</v>
      </c>
      <c r="D1531" s="4">
        <v>2</v>
      </c>
      <c r="E1531" s="4">
        <v>8682</v>
      </c>
      <c r="F1531" s="4">
        <v>2</v>
      </c>
      <c r="G1531" s="4">
        <v>17364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2</v>
      </c>
      <c r="D1532" s="4">
        <v>2</v>
      </c>
      <c r="E1532" s="4">
        <v>15885</v>
      </c>
      <c r="F1532" s="4">
        <v>2</v>
      </c>
      <c r="G1532" s="4">
        <v>31770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2</v>
      </c>
      <c r="D1533" s="4">
        <v>2</v>
      </c>
      <c r="E1533" s="4">
        <v>5120</v>
      </c>
      <c r="F1533" s="4">
        <v>2</v>
      </c>
      <c r="G1533" s="4">
        <v>10240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1.97</v>
      </c>
      <c r="D1534" s="4">
        <v>1.97</v>
      </c>
      <c r="E1534" s="4">
        <v>57231</v>
      </c>
      <c r="F1534" s="4">
        <v>1.97</v>
      </c>
      <c r="G1534" s="4">
        <v>112745.07</v>
      </c>
      <c r="H1534" s="5">
        <f t="shared" si="23"/>
        <v>-1.5000000000000013E-2</v>
      </c>
    </row>
    <row r="1535" spans="1:8" ht="13.5" x14ac:dyDescent="0.25">
      <c r="A1535" s="1"/>
      <c r="B1535" s="3">
        <v>44545</v>
      </c>
      <c r="C1535" s="4">
        <v>1.99</v>
      </c>
      <c r="D1535" s="4">
        <v>1.99</v>
      </c>
      <c r="E1535" s="4">
        <v>110</v>
      </c>
      <c r="F1535" s="4">
        <v>1.99</v>
      </c>
      <c r="G1535" s="4">
        <v>218.9</v>
      </c>
      <c r="H1535" s="5">
        <f t="shared" si="23"/>
        <v>1.01522842639594E-2</v>
      </c>
    </row>
    <row r="1536" spans="1:8" ht="13.5" x14ac:dyDescent="0.25">
      <c r="A1536" s="1"/>
      <c r="B1536" s="3">
        <v>44546</v>
      </c>
      <c r="C1536" s="4">
        <v>1.95</v>
      </c>
      <c r="D1536" s="4">
        <v>1.95</v>
      </c>
      <c r="E1536" s="4">
        <v>7896</v>
      </c>
      <c r="F1536" s="4">
        <v>1.95</v>
      </c>
      <c r="G1536" s="4">
        <v>15397.2</v>
      </c>
      <c r="H1536" s="5">
        <f t="shared" si="23"/>
        <v>-2.0100502512562832E-2</v>
      </c>
    </row>
    <row r="1537" spans="1:8" ht="13.5" x14ac:dyDescent="0.25">
      <c r="A1537" s="1"/>
      <c r="B1537" s="3">
        <v>44550</v>
      </c>
      <c r="C1537" s="4">
        <v>1.94</v>
      </c>
      <c r="D1537" s="4">
        <v>1.94</v>
      </c>
      <c r="E1537" s="4">
        <v>5000</v>
      </c>
      <c r="F1537" s="4">
        <v>1.94</v>
      </c>
      <c r="G1537" s="4">
        <v>9700</v>
      </c>
      <c r="H1537" s="5">
        <f t="shared" si="23"/>
        <v>-5.1282051282051325E-3</v>
      </c>
    </row>
    <row r="1538" spans="1:8" ht="13.5" x14ac:dyDescent="0.25">
      <c r="A1538" s="1"/>
      <c r="B1538" s="3">
        <v>44551</v>
      </c>
      <c r="C1538" s="4">
        <v>1.91</v>
      </c>
      <c r="D1538" s="4">
        <v>1.91</v>
      </c>
      <c r="E1538" s="4">
        <v>36872</v>
      </c>
      <c r="F1538" s="4">
        <v>1.91</v>
      </c>
      <c r="G1538" s="4">
        <v>70425.52</v>
      </c>
      <c r="H1538" s="5">
        <f t="shared" si="23"/>
        <v>-1.546391752577321E-2</v>
      </c>
    </row>
    <row r="1539" spans="1:8" ht="13.5" x14ac:dyDescent="0.25">
      <c r="A1539" s="1"/>
      <c r="B1539" s="3">
        <v>44552</v>
      </c>
      <c r="C1539" s="4">
        <v>1.91</v>
      </c>
      <c r="D1539" s="4">
        <v>1.91</v>
      </c>
      <c r="E1539" s="4">
        <v>2800</v>
      </c>
      <c r="F1539" s="4">
        <v>1.91</v>
      </c>
      <c r="G1539" s="4">
        <v>5348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1.86</v>
      </c>
      <c r="D1540" s="4">
        <v>1.86</v>
      </c>
      <c r="E1540" s="4">
        <v>0</v>
      </c>
      <c r="F1540" s="4">
        <v>0</v>
      </c>
      <c r="G1540" s="4">
        <v>0</v>
      </c>
      <c r="H1540" s="5">
        <f t="shared" si="23"/>
        <v>-2.6178010471204098E-2</v>
      </c>
    </row>
    <row r="1541" spans="1:8" ht="13.5" x14ac:dyDescent="0.25">
      <c r="A1541" s="1"/>
      <c r="B1541" s="3">
        <v>44554</v>
      </c>
      <c r="C1541" s="4">
        <v>1.9</v>
      </c>
      <c r="D1541" s="4">
        <v>1.9</v>
      </c>
      <c r="E1541" s="4">
        <v>54142</v>
      </c>
      <c r="F1541" s="4">
        <v>1.9</v>
      </c>
      <c r="G1541" s="4">
        <v>102869.8</v>
      </c>
      <c r="H1541" s="5">
        <f t="shared" si="23"/>
        <v>2.1505376344085919E-2</v>
      </c>
    </row>
    <row r="1542" spans="1:8" ht="13.5" x14ac:dyDescent="0.25">
      <c r="A1542" s="1"/>
      <c r="B1542" s="3">
        <v>44557</v>
      </c>
      <c r="C1542" s="4">
        <v>1.95</v>
      </c>
      <c r="D1542" s="4">
        <v>1.95</v>
      </c>
      <c r="E1542" s="4">
        <v>44370</v>
      </c>
      <c r="F1542" s="4">
        <v>1.95</v>
      </c>
      <c r="G1542" s="4">
        <v>86521.5</v>
      </c>
      <c r="H1542" s="5">
        <f t="shared" si="23"/>
        <v>2.6315789473684237E-2</v>
      </c>
    </row>
    <row r="1543" spans="1:8" ht="13.5" x14ac:dyDescent="0.25">
      <c r="A1543" s="1"/>
      <c r="B1543" s="3">
        <v>44558</v>
      </c>
      <c r="C1543" s="4">
        <v>2</v>
      </c>
      <c r="D1543" s="4">
        <v>2</v>
      </c>
      <c r="E1543" s="4">
        <v>65051</v>
      </c>
      <c r="F1543" s="4">
        <v>2</v>
      </c>
      <c r="G1543" s="4">
        <v>130102</v>
      </c>
      <c r="H1543" s="5">
        <f t="shared" ref="H1543:H1606" si="24">(D1543-D1542)/D1542</f>
        <v>2.5641025641025664E-2</v>
      </c>
    </row>
    <row r="1544" spans="1:8" ht="13.5" x14ac:dyDescent="0.25">
      <c r="A1544" s="1"/>
      <c r="B1544" s="3">
        <v>44559</v>
      </c>
      <c r="C1544" s="4">
        <v>2.04</v>
      </c>
      <c r="D1544" s="4">
        <v>2.04</v>
      </c>
      <c r="E1544" s="4">
        <v>45150</v>
      </c>
      <c r="F1544" s="4">
        <v>2.04</v>
      </c>
      <c r="G1544" s="4">
        <v>92106</v>
      </c>
      <c r="H1544" s="5">
        <f t="shared" si="24"/>
        <v>2.0000000000000018E-2</v>
      </c>
    </row>
    <row r="1545" spans="1:8" ht="13.5" x14ac:dyDescent="0.25">
      <c r="A1545" s="1"/>
      <c r="B1545" s="3">
        <v>44560</v>
      </c>
      <c r="C1545" s="4">
        <v>2.08</v>
      </c>
      <c r="D1545" s="4">
        <v>2.08</v>
      </c>
      <c r="E1545" s="4">
        <v>85000</v>
      </c>
      <c r="F1545" s="4">
        <v>2.08</v>
      </c>
      <c r="G1545" s="4">
        <v>176800</v>
      </c>
      <c r="H1545" s="5">
        <f t="shared" si="24"/>
        <v>1.9607843137254919E-2</v>
      </c>
    </row>
    <row r="1546" spans="1:8" ht="13.5" x14ac:dyDescent="0.25">
      <c r="A1546" s="1"/>
      <c r="B1546" s="3">
        <v>44561</v>
      </c>
      <c r="C1546" s="4">
        <v>2.02</v>
      </c>
      <c r="D1546" s="4">
        <v>2.02</v>
      </c>
      <c r="E1546" s="4">
        <v>0</v>
      </c>
      <c r="F1546" s="4">
        <v>0</v>
      </c>
      <c r="G1546" s="4">
        <v>0</v>
      </c>
      <c r="H1546" s="5">
        <f t="shared" si="24"/>
        <v>-2.8846153846153872E-2</v>
      </c>
    </row>
    <row r="1547" spans="1:8" ht="13.5" x14ac:dyDescent="0.25">
      <c r="A1547" s="1"/>
      <c r="B1547" s="3">
        <v>44564</v>
      </c>
      <c r="C1547" s="4">
        <v>2</v>
      </c>
      <c r="D1547" s="4">
        <v>2</v>
      </c>
      <c r="E1547" s="4">
        <v>3973</v>
      </c>
      <c r="F1547" s="4">
        <v>2</v>
      </c>
      <c r="G1547" s="4">
        <v>7946</v>
      </c>
      <c r="H1547" s="5">
        <f t="shared" si="24"/>
        <v>-9.9009900990099098E-3</v>
      </c>
    </row>
    <row r="1548" spans="1:8" ht="13.5" x14ac:dyDescent="0.25">
      <c r="A1548" s="1"/>
      <c r="B1548" s="3">
        <v>44565</v>
      </c>
      <c r="C1548" s="4">
        <v>2</v>
      </c>
      <c r="D1548" s="4">
        <v>2</v>
      </c>
      <c r="E1548" s="4">
        <v>1718</v>
      </c>
      <c r="F1548" s="4">
        <v>2</v>
      </c>
      <c r="G1548" s="4">
        <v>3436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2</v>
      </c>
      <c r="D1549" s="4">
        <v>2</v>
      </c>
      <c r="E1549" s="4">
        <v>8265</v>
      </c>
      <c r="F1549" s="4">
        <v>2</v>
      </c>
      <c r="G1549" s="4">
        <v>16530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1.98</v>
      </c>
      <c r="D1550" s="4">
        <v>1.98</v>
      </c>
      <c r="E1550" s="4">
        <v>1600</v>
      </c>
      <c r="F1550" s="4">
        <v>1.98</v>
      </c>
      <c r="G1550" s="4">
        <v>3168</v>
      </c>
      <c r="H1550" s="5">
        <f t="shared" si="24"/>
        <v>-1.0000000000000009E-2</v>
      </c>
    </row>
    <row r="1551" spans="1:8" ht="13.5" x14ac:dyDescent="0.25">
      <c r="A1551" s="1"/>
      <c r="B1551" s="3">
        <v>44568</v>
      </c>
      <c r="C1551" s="4">
        <v>1.98</v>
      </c>
      <c r="D1551" s="4">
        <v>1.98</v>
      </c>
      <c r="E1551" s="4">
        <v>12235</v>
      </c>
      <c r="F1551" s="4">
        <v>1.98</v>
      </c>
      <c r="G1551" s="4">
        <v>24225.3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1.98</v>
      </c>
      <c r="D1552" s="4">
        <v>1.98</v>
      </c>
      <c r="E1552" s="4">
        <v>2000</v>
      </c>
      <c r="F1552" s="4">
        <v>1.98</v>
      </c>
      <c r="G1552" s="4">
        <v>3960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1.95</v>
      </c>
      <c r="D1553" s="4">
        <v>1.95</v>
      </c>
      <c r="E1553" s="4">
        <v>10104</v>
      </c>
      <c r="F1553" s="4">
        <v>1.95</v>
      </c>
      <c r="G1553" s="4">
        <v>19702.8</v>
      </c>
      <c r="H1553" s="5">
        <f t="shared" si="24"/>
        <v>-1.5151515151515166E-2</v>
      </c>
    </row>
    <row r="1554" spans="1:8" ht="13.5" x14ac:dyDescent="0.25">
      <c r="A1554" s="1"/>
      <c r="B1554" s="3">
        <v>44573</v>
      </c>
      <c r="C1554" s="4">
        <v>1.99</v>
      </c>
      <c r="D1554" s="4">
        <v>1.99</v>
      </c>
      <c r="E1554" s="4">
        <v>18609</v>
      </c>
      <c r="F1554" s="4">
        <v>1.99</v>
      </c>
      <c r="G1554" s="4">
        <v>37031.910000000003</v>
      </c>
      <c r="H1554" s="5">
        <f t="shared" si="24"/>
        <v>2.051282051282053E-2</v>
      </c>
    </row>
    <row r="1555" spans="1:8" ht="13.5" x14ac:dyDescent="0.25">
      <c r="A1555" s="1"/>
      <c r="B1555" s="3">
        <v>44574</v>
      </c>
      <c r="C1555" s="4">
        <v>2</v>
      </c>
      <c r="D1555" s="4">
        <v>2</v>
      </c>
      <c r="E1555" s="4">
        <v>2700</v>
      </c>
      <c r="F1555" s="4">
        <v>2</v>
      </c>
      <c r="G1555" s="4">
        <v>5400</v>
      </c>
      <c r="H1555" s="5">
        <f t="shared" si="24"/>
        <v>5.0251256281407079E-3</v>
      </c>
    </row>
    <row r="1556" spans="1:8" ht="13.5" x14ac:dyDescent="0.25">
      <c r="A1556" s="1"/>
      <c r="B1556" s="3">
        <v>44575</v>
      </c>
      <c r="C1556" s="4">
        <v>1.97</v>
      </c>
      <c r="D1556" s="4">
        <v>1.97</v>
      </c>
      <c r="E1556" s="4">
        <v>5500</v>
      </c>
      <c r="F1556" s="4">
        <v>1.97</v>
      </c>
      <c r="G1556" s="4">
        <v>10835</v>
      </c>
      <c r="H1556" s="5">
        <f t="shared" si="24"/>
        <v>-1.5000000000000013E-2</v>
      </c>
    </row>
    <row r="1557" spans="1:8" ht="13.5" x14ac:dyDescent="0.25">
      <c r="A1557" s="1"/>
      <c r="B1557" s="3">
        <v>44578</v>
      </c>
      <c r="C1557" s="4">
        <v>1.97</v>
      </c>
      <c r="D1557" s="4">
        <v>1.97</v>
      </c>
      <c r="E1557" s="4">
        <v>3000</v>
      </c>
      <c r="F1557" s="4">
        <v>1.97</v>
      </c>
      <c r="G1557" s="4">
        <v>5910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1.97</v>
      </c>
      <c r="D1558" s="4">
        <v>1.97</v>
      </c>
      <c r="E1558" s="4">
        <v>10595</v>
      </c>
      <c r="F1558" s="4">
        <v>1.97</v>
      </c>
      <c r="G1558" s="4">
        <v>20872.150000000001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2</v>
      </c>
      <c r="D1559" s="4">
        <v>2</v>
      </c>
      <c r="E1559" s="4">
        <v>6900</v>
      </c>
      <c r="F1559" s="4">
        <v>2</v>
      </c>
      <c r="G1559" s="4">
        <v>13800</v>
      </c>
      <c r="H1559" s="5">
        <f t="shared" si="24"/>
        <v>1.5228426395939101E-2</v>
      </c>
    </row>
    <row r="1560" spans="1:8" ht="13.5" x14ac:dyDescent="0.25">
      <c r="A1560" s="1"/>
      <c r="B1560" s="3">
        <v>44581</v>
      </c>
      <c r="C1560" s="4">
        <v>2.02</v>
      </c>
      <c r="D1560" s="4">
        <v>2.02</v>
      </c>
      <c r="E1560" s="4">
        <v>3306</v>
      </c>
      <c r="F1560" s="4">
        <v>2.02</v>
      </c>
      <c r="G1560" s="4">
        <v>6678.12</v>
      </c>
      <c r="H1560" s="5">
        <f t="shared" si="24"/>
        <v>1.0000000000000009E-2</v>
      </c>
    </row>
    <row r="1561" spans="1:8" ht="13.5" x14ac:dyDescent="0.25">
      <c r="A1561" s="1"/>
      <c r="B1561" s="3">
        <v>44582</v>
      </c>
      <c r="C1561" s="4">
        <v>2.0699999999999998</v>
      </c>
      <c r="D1561" s="4">
        <v>2.0699999999999998</v>
      </c>
      <c r="E1561" s="4">
        <v>11944</v>
      </c>
      <c r="F1561" s="4">
        <v>2.0699999999999998</v>
      </c>
      <c r="G1561" s="4">
        <v>24724.080000000002</v>
      </c>
      <c r="H1561" s="5">
        <f t="shared" si="24"/>
        <v>2.4752475247524663E-2</v>
      </c>
    </row>
    <row r="1562" spans="1:8" ht="13.5" x14ac:dyDescent="0.25">
      <c r="A1562" s="1"/>
      <c r="B1562" s="3">
        <v>44585</v>
      </c>
      <c r="C1562" s="4">
        <v>2.0099999999999998</v>
      </c>
      <c r="D1562" s="4">
        <v>2.0099999999999998</v>
      </c>
      <c r="E1562" s="4">
        <v>0</v>
      </c>
      <c r="F1562" s="4">
        <v>0</v>
      </c>
      <c r="G1562" s="4">
        <v>0</v>
      </c>
      <c r="H1562" s="5">
        <f t="shared" si="24"/>
        <v>-2.898550724637684E-2</v>
      </c>
    </row>
    <row r="1563" spans="1:8" ht="13.5" x14ac:dyDescent="0.25">
      <c r="A1563" s="1"/>
      <c r="B1563" s="3">
        <v>44586</v>
      </c>
      <c r="C1563" s="4">
        <v>2.0099999999999998</v>
      </c>
      <c r="D1563" s="4">
        <v>2.0099999999999998</v>
      </c>
      <c r="E1563" s="4">
        <v>9100</v>
      </c>
      <c r="F1563" s="4">
        <v>2.0099999999999998</v>
      </c>
      <c r="G1563" s="4">
        <v>18291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1.99</v>
      </c>
      <c r="D1564" s="4">
        <v>1.99</v>
      </c>
      <c r="E1564" s="4">
        <v>13414</v>
      </c>
      <c r="F1564" s="4">
        <v>1.99</v>
      </c>
      <c r="G1564" s="4">
        <v>26693.86</v>
      </c>
      <c r="H1564" s="5">
        <f t="shared" si="24"/>
        <v>-9.9502487562188047E-3</v>
      </c>
    </row>
    <row r="1565" spans="1:8" ht="13.5" x14ac:dyDescent="0.25">
      <c r="A1565" s="1"/>
      <c r="B1565" s="3">
        <v>44588</v>
      </c>
      <c r="C1565" s="4">
        <v>1.98</v>
      </c>
      <c r="D1565" s="4">
        <v>1.98</v>
      </c>
      <c r="E1565" s="4">
        <v>47765</v>
      </c>
      <c r="F1565" s="4">
        <v>1.98</v>
      </c>
      <c r="G1565" s="4">
        <v>94574.7</v>
      </c>
      <c r="H1565" s="5">
        <f t="shared" si="24"/>
        <v>-5.0251256281407079E-3</v>
      </c>
    </row>
    <row r="1566" spans="1:8" ht="13.5" x14ac:dyDescent="0.25">
      <c r="A1566" s="1"/>
      <c r="B1566" s="3">
        <v>44589</v>
      </c>
      <c r="C1566" s="4">
        <v>1.97</v>
      </c>
      <c r="D1566" s="4">
        <v>1.97</v>
      </c>
      <c r="E1566" s="4">
        <v>15485</v>
      </c>
      <c r="F1566" s="4">
        <v>1.97</v>
      </c>
      <c r="G1566" s="4">
        <v>30505.45</v>
      </c>
      <c r="H1566" s="5">
        <f t="shared" si="24"/>
        <v>-5.0505050505050553E-3</v>
      </c>
    </row>
    <row r="1567" spans="1:8" ht="13.5" x14ac:dyDescent="0.25">
      <c r="A1567" s="1"/>
      <c r="B1567" s="3">
        <v>44592</v>
      </c>
      <c r="C1567" s="4">
        <v>1.97</v>
      </c>
      <c r="D1567" s="4">
        <v>1.97</v>
      </c>
      <c r="E1567" s="4">
        <v>3498</v>
      </c>
      <c r="F1567" s="4">
        <v>1.97</v>
      </c>
      <c r="G1567" s="4">
        <v>6891.06</v>
      </c>
      <c r="H1567" s="5">
        <f t="shared" si="24"/>
        <v>0</v>
      </c>
    </row>
    <row r="1568" spans="1:8" ht="13.5" x14ac:dyDescent="0.25">
      <c r="A1568" s="1"/>
      <c r="B1568" s="3">
        <v>44593</v>
      </c>
      <c r="C1568" s="4">
        <v>1.97</v>
      </c>
      <c r="D1568" s="4">
        <v>1.97</v>
      </c>
      <c r="E1568" s="4">
        <v>7180</v>
      </c>
      <c r="F1568" s="4">
        <v>1.97</v>
      </c>
      <c r="G1568" s="4">
        <v>14144.6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1.97</v>
      </c>
      <c r="D1569" s="4">
        <v>1.97</v>
      </c>
      <c r="E1569" s="4">
        <v>4850</v>
      </c>
      <c r="F1569" s="4">
        <v>1.97</v>
      </c>
      <c r="G1569" s="4">
        <v>9554.5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1.99</v>
      </c>
      <c r="D1570" s="4">
        <v>1.99</v>
      </c>
      <c r="E1570" s="4">
        <v>4000</v>
      </c>
      <c r="F1570" s="4">
        <v>1.99</v>
      </c>
      <c r="G1570" s="4">
        <v>7960</v>
      </c>
      <c r="H1570" s="5">
        <f t="shared" si="24"/>
        <v>1.01522842639594E-2</v>
      </c>
    </row>
    <row r="1571" spans="1:8" ht="13.5" x14ac:dyDescent="0.25">
      <c r="A1571" s="1"/>
      <c r="B1571" s="3">
        <v>44596</v>
      </c>
      <c r="C1571" s="4">
        <v>1.95</v>
      </c>
      <c r="D1571" s="4">
        <v>1.95</v>
      </c>
      <c r="E1571" s="4">
        <v>3622</v>
      </c>
      <c r="F1571" s="4">
        <v>1.95</v>
      </c>
      <c r="G1571" s="4">
        <v>7062.9</v>
      </c>
      <c r="H1571" s="5">
        <f t="shared" si="24"/>
        <v>-2.0100502512562832E-2</v>
      </c>
    </row>
    <row r="1572" spans="1:8" ht="13.5" x14ac:dyDescent="0.25">
      <c r="A1572" s="1"/>
      <c r="B1572" s="3">
        <v>44599</v>
      </c>
      <c r="C1572" s="4">
        <v>1.92</v>
      </c>
      <c r="D1572" s="4">
        <v>1.92</v>
      </c>
      <c r="E1572" s="4">
        <v>1698</v>
      </c>
      <c r="F1572" s="4">
        <v>1.92</v>
      </c>
      <c r="G1572" s="4">
        <v>3260.16</v>
      </c>
      <c r="H1572" s="5">
        <f t="shared" si="24"/>
        <v>-1.5384615384615399E-2</v>
      </c>
    </row>
    <row r="1573" spans="1:8" ht="13.5" x14ac:dyDescent="0.25">
      <c r="A1573" s="1"/>
      <c r="B1573" s="3">
        <v>44600</v>
      </c>
      <c r="C1573" s="4">
        <v>1.92</v>
      </c>
      <c r="D1573" s="4">
        <v>1.92</v>
      </c>
      <c r="E1573" s="4">
        <v>2750</v>
      </c>
      <c r="F1573" s="4">
        <v>1.92</v>
      </c>
      <c r="G1573" s="4">
        <v>5280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1.94</v>
      </c>
      <c r="D1574" s="4">
        <v>1.94</v>
      </c>
      <c r="E1574" s="4">
        <v>1505</v>
      </c>
      <c r="F1574" s="4">
        <v>1.94</v>
      </c>
      <c r="G1574" s="4">
        <v>2919.7</v>
      </c>
      <c r="H1574" s="5">
        <f t="shared" si="24"/>
        <v>1.0416666666666676E-2</v>
      </c>
    </row>
    <row r="1575" spans="1:8" ht="13.5" x14ac:dyDescent="0.25">
      <c r="A1575" s="1"/>
      <c r="B1575" s="3">
        <v>44602</v>
      </c>
      <c r="C1575" s="4">
        <v>1.99</v>
      </c>
      <c r="D1575" s="4">
        <v>1.99</v>
      </c>
      <c r="E1575" s="4">
        <v>600</v>
      </c>
      <c r="F1575" s="4">
        <v>1.99</v>
      </c>
      <c r="G1575" s="4">
        <v>1194</v>
      </c>
      <c r="H1575" s="5">
        <f t="shared" si="24"/>
        <v>2.5773195876288683E-2</v>
      </c>
    </row>
    <row r="1576" spans="1:8" ht="13.5" x14ac:dyDescent="0.25">
      <c r="A1576" s="1"/>
      <c r="B1576" s="3">
        <v>44603</v>
      </c>
      <c r="C1576" s="4">
        <v>1.95</v>
      </c>
      <c r="D1576" s="4">
        <v>1.95</v>
      </c>
      <c r="E1576" s="4">
        <v>19716</v>
      </c>
      <c r="F1576" s="4">
        <v>1.95</v>
      </c>
      <c r="G1576" s="4">
        <v>38446.199999999997</v>
      </c>
      <c r="H1576" s="5">
        <f t="shared" si="24"/>
        <v>-2.0100502512562832E-2</v>
      </c>
    </row>
    <row r="1577" spans="1:8" ht="13.5" x14ac:dyDescent="0.25">
      <c r="A1577" s="1"/>
      <c r="B1577" s="3">
        <v>44606</v>
      </c>
      <c r="C1577" s="4">
        <v>1.95</v>
      </c>
      <c r="D1577" s="4">
        <v>1.95</v>
      </c>
      <c r="E1577" s="4">
        <v>930</v>
      </c>
      <c r="F1577" s="4">
        <v>1.95</v>
      </c>
      <c r="G1577" s="4">
        <v>1813.5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1.96</v>
      </c>
      <c r="D1578" s="4">
        <v>1.96</v>
      </c>
      <c r="E1578" s="4">
        <v>3085</v>
      </c>
      <c r="F1578" s="4">
        <v>1.96</v>
      </c>
      <c r="G1578" s="4">
        <v>6046.6</v>
      </c>
      <c r="H1578" s="5">
        <f t="shared" si="24"/>
        <v>5.1282051282051325E-3</v>
      </c>
    </row>
    <row r="1579" spans="1:8" ht="13.5" x14ac:dyDescent="0.25">
      <c r="A1579" s="1"/>
      <c r="B1579" s="3">
        <v>44608</v>
      </c>
      <c r="C1579" s="4">
        <v>1.94</v>
      </c>
      <c r="D1579" s="4">
        <v>1.94</v>
      </c>
      <c r="E1579" s="4">
        <v>8489</v>
      </c>
      <c r="F1579" s="4">
        <v>1.94</v>
      </c>
      <c r="G1579" s="4">
        <v>16468.66</v>
      </c>
      <c r="H1579" s="5">
        <f t="shared" si="24"/>
        <v>-1.0204081632653071E-2</v>
      </c>
    </row>
    <row r="1580" spans="1:8" ht="13.5" x14ac:dyDescent="0.25">
      <c r="A1580" s="1"/>
      <c r="B1580" s="3">
        <v>44609</v>
      </c>
      <c r="C1580" s="4">
        <v>1.98</v>
      </c>
      <c r="D1580" s="4">
        <v>1.98</v>
      </c>
      <c r="E1580" s="4">
        <v>100</v>
      </c>
      <c r="F1580" s="4">
        <v>1.98</v>
      </c>
      <c r="G1580" s="4">
        <v>198</v>
      </c>
      <c r="H1580" s="5">
        <f t="shared" si="24"/>
        <v>2.0618556701030948E-2</v>
      </c>
    </row>
    <row r="1581" spans="1:8" ht="13.5" x14ac:dyDescent="0.25">
      <c r="A1581" s="1"/>
      <c r="B1581" s="3">
        <v>44610</v>
      </c>
      <c r="C1581" s="4">
        <v>1.98</v>
      </c>
      <c r="D1581" s="4">
        <v>1.98</v>
      </c>
      <c r="E1581" s="4">
        <v>5770</v>
      </c>
      <c r="F1581" s="4">
        <v>1.98</v>
      </c>
      <c r="G1581" s="4">
        <v>11424.6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2.0299999999999998</v>
      </c>
      <c r="D1582" s="4">
        <v>2.0299999999999998</v>
      </c>
      <c r="E1582" s="4">
        <v>11620</v>
      </c>
      <c r="F1582" s="4">
        <v>2.0299999999999998</v>
      </c>
      <c r="G1582" s="4">
        <v>23588.6</v>
      </c>
      <c r="H1582" s="5">
        <f t="shared" si="24"/>
        <v>2.5252525252525162E-2</v>
      </c>
    </row>
    <row r="1583" spans="1:8" ht="13.5" x14ac:dyDescent="0.25">
      <c r="A1583" s="1"/>
      <c r="B1583" s="3">
        <v>44614</v>
      </c>
      <c r="C1583" s="4">
        <v>2.04</v>
      </c>
      <c r="D1583" s="4">
        <v>2.04</v>
      </c>
      <c r="E1583" s="4">
        <v>2150</v>
      </c>
      <c r="F1583" s="4">
        <v>2.04</v>
      </c>
      <c r="G1583" s="4">
        <v>4386</v>
      </c>
      <c r="H1583" s="5">
        <f t="shared" si="24"/>
        <v>4.926108374384351E-3</v>
      </c>
    </row>
    <row r="1584" spans="1:8" ht="13.5" x14ac:dyDescent="0.25">
      <c r="A1584" s="1"/>
      <c r="B1584" s="3">
        <v>44615</v>
      </c>
      <c r="C1584" s="4">
        <v>2.04</v>
      </c>
      <c r="D1584" s="4">
        <v>2.04</v>
      </c>
      <c r="E1584" s="4">
        <v>2050</v>
      </c>
      <c r="F1584" s="4">
        <v>2.04</v>
      </c>
      <c r="G1584" s="4">
        <v>4182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2.0299999999999998</v>
      </c>
      <c r="D1585" s="4">
        <v>2.0299999999999998</v>
      </c>
      <c r="E1585" s="4">
        <v>5</v>
      </c>
      <c r="F1585" s="4">
        <v>2.0299999999999998</v>
      </c>
      <c r="G1585" s="4">
        <v>10.15</v>
      </c>
      <c r="H1585" s="5">
        <f t="shared" si="24"/>
        <v>-4.9019607843138382E-3</v>
      </c>
    </row>
    <row r="1586" spans="1:8" ht="13.5" x14ac:dyDescent="0.25">
      <c r="A1586" s="1"/>
      <c r="B1586" s="3">
        <v>44617</v>
      </c>
      <c r="C1586" s="4">
        <v>2</v>
      </c>
      <c r="D1586" s="4">
        <v>2</v>
      </c>
      <c r="E1586" s="4">
        <v>12221</v>
      </c>
      <c r="F1586" s="4">
        <v>2</v>
      </c>
      <c r="G1586" s="4">
        <v>24442</v>
      </c>
      <c r="H1586" s="5">
        <f t="shared" si="24"/>
        <v>-1.4778325123152615E-2</v>
      </c>
    </row>
    <row r="1587" spans="1:8" ht="13.5" x14ac:dyDescent="0.25">
      <c r="A1587" s="1"/>
      <c r="B1587" s="3">
        <v>44620</v>
      </c>
      <c r="C1587" s="4">
        <v>2</v>
      </c>
      <c r="D1587" s="4">
        <v>2</v>
      </c>
      <c r="E1587" s="4">
        <v>6442</v>
      </c>
      <c r="F1587" s="4">
        <v>2</v>
      </c>
      <c r="G1587" s="4">
        <v>12884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2</v>
      </c>
      <c r="D1588" s="4">
        <v>2</v>
      </c>
      <c r="E1588" s="4">
        <v>1000</v>
      </c>
      <c r="F1588" s="4">
        <v>2</v>
      </c>
      <c r="G1588" s="4">
        <v>2000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1.98</v>
      </c>
      <c r="D1589" s="4">
        <v>1.98</v>
      </c>
      <c r="E1589" s="4">
        <v>2760</v>
      </c>
      <c r="F1589" s="4">
        <v>1.98</v>
      </c>
      <c r="G1589" s="4">
        <v>5464.8</v>
      </c>
      <c r="H1589" s="5">
        <f t="shared" si="24"/>
        <v>-1.0000000000000009E-2</v>
      </c>
    </row>
    <row r="1590" spans="1:8" ht="13.5" x14ac:dyDescent="0.25">
      <c r="A1590" s="1"/>
      <c r="B1590" s="3">
        <v>44623</v>
      </c>
      <c r="C1590" s="4">
        <v>2</v>
      </c>
      <c r="D1590" s="4">
        <v>2</v>
      </c>
      <c r="E1590" s="4">
        <v>10356</v>
      </c>
      <c r="F1590" s="4">
        <v>2</v>
      </c>
      <c r="G1590" s="4">
        <v>20712</v>
      </c>
      <c r="H1590" s="5">
        <f t="shared" si="24"/>
        <v>1.0101010101010111E-2</v>
      </c>
    </row>
    <row r="1591" spans="1:8" ht="13.5" x14ac:dyDescent="0.25">
      <c r="A1591" s="1"/>
      <c r="B1591" s="3">
        <v>44624</v>
      </c>
      <c r="C1591" s="4">
        <v>2.0099999999999998</v>
      </c>
      <c r="D1591" s="4">
        <v>2.0099999999999998</v>
      </c>
      <c r="E1591" s="4">
        <v>6482</v>
      </c>
      <c r="F1591" s="4">
        <v>2.0099999999999998</v>
      </c>
      <c r="G1591" s="4">
        <v>13028.82</v>
      </c>
      <c r="H1591" s="5">
        <f t="shared" si="24"/>
        <v>4.9999999999998934E-3</v>
      </c>
    </row>
    <row r="1592" spans="1:8" ht="13.5" x14ac:dyDescent="0.25">
      <c r="A1592" s="1"/>
      <c r="B1592" s="3">
        <v>44627</v>
      </c>
      <c r="C1592" s="4">
        <v>2.04</v>
      </c>
      <c r="D1592" s="4">
        <v>2.04</v>
      </c>
      <c r="E1592" s="4">
        <v>19843</v>
      </c>
      <c r="F1592" s="4">
        <v>2.04</v>
      </c>
      <c r="G1592" s="4">
        <v>40479.72</v>
      </c>
      <c r="H1592" s="5">
        <f t="shared" si="24"/>
        <v>1.4925373134328483E-2</v>
      </c>
    </row>
    <row r="1593" spans="1:8" ht="13.5" x14ac:dyDescent="0.25">
      <c r="A1593" s="1"/>
      <c r="B1593" s="3">
        <v>44628</v>
      </c>
      <c r="C1593" s="4">
        <v>2</v>
      </c>
      <c r="D1593" s="4">
        <v>2</v>
      </c>
      <c r="E1593" s="4">
        <v>5314</v>
      </c>
      <c r="F1593" s="4">
        <v>2</v>
      </c>
      <c r="G1593" s="4">
        <v>10628</v>
      </c>
      <c r="H1593" s="5">
        <f t="shared" si="24"/>
        <v>-1.9607843137254919E-2</v>
      </c>
    </row>
    <row r="1594" spans="1:8" ht="13.5" x14ac:dyDescent="0.25">
      <c r="A1594" s="1"/>
      <c r="B1594" s="3">
        <v>44629</v>
      </c>
      <c r="C1594" s="4">
        <v>2.04</v>
      </c>
      <c r="D1594" s="4">
        <v>2.04</v>
      </c>
      <c r="E1594" s="4">
        <v>250</v>
      </c>
      <c r="F1594" s="4">
        <v>2.04</v>
      </c>
      <c r="G1594" s="4">
        <v>510</v>
      </c>
      <c r="H1594" s="5">
        <f t="shared" si="24"/>
        <v>2.0000000000000018E-2</v>
      </c>
    </row>
    <row r="1595" spans="1:8" ht="13.5" x14ac:dyDescent="0.25">
      <c r="A1595" s="1"/>
      <c r="B1595" s="3">
        <v>44630</v>
      </c>
      <c r="C1595" s="4">
        <v>2.0499999999999998</v>
      </c>
      <c r="D1595" s="4">
        <v>2.0499999999999998</v>
      </c>
      <c r="E1595" s="4">
        <v>3649</v>
      </c>
      <c r="F1595" s="4">
        <v>2.0499999999999998</v>
      </c>
      <c r="G1595" s="4">
        <v>7480.45</v>
      </c>
      <c r="H1595" s="5">
        <f t="shared" si="24"/>
        <v>4.9019607843136213E-3</v>
      </c>
    </row>
    <row r="1596" spans="1:8" ht="13.5" x14ac:dyDescent="0.25">
      <c r="A1596" s="1"/>
      <c r="B1596" s="3">
        <v>44631</v>
      </c>
      <c r="C1596" s="4">
        <v>2.0299999999999998</v>
      </c>
      <c r="D1596" s="4">
        <v>2.0299999999999998</v>
      </c>
      <c r="E1596" s="4">
        <v>1050</v>
      </c>
      <c r="F1596" s="4">
        <v>2.0299999999999998</v>
      </c>
      <c r="G1596" s="4">
        <v>2131.5</v>
      </c>
      <c r="H1596" s="5">
        <f t="shared" si="24"/>
        <v>-9.7560975609756184E-3</v>
      </c>
    </row>
    <row r="1597" spans="1:8" ht="13.5" x14ac:dyDescent="0.25">
      <c r="A1597" s="1"/>
      <c r="B1597" s="3">
        <v>44634</v>
      </c>
      <c r="C1597" s="4">
        <v>1.99</v>
      </c>
      <c r="D1597" s="4">
        <v>1.99</v>
      </c>
      <c r="E1597" s="4">
        <v>11050</v>
      </c>
      <c r="F1597" s="4">
        <v>1.99</v>
      </c>
      <c r="G1597" s="4">
        <v>21989.5</v>
      </c>
      <c r="H1597" s="5">
        <f t="shared" si="24"/>
        <v>-1.9704433497536856E-2</v>
      </c>
    </row>
    <row r="1598" spans="1:8" ht="13.5" x14ac:dyDescent="0.25">
      <c r="A1598" s="1"/>
      <c r="B1598" s="3">
        <v>44635</v>
      </c>
      <c r="C1598" s="4">
        <v>1.95</v>
      </c>
      <c r="D1598" s="4">
        <v>1.95</v>
      </c>
      <c r="E1598" s="4">
        <v>1847</v>
      </c>
      <c r="F1598" s="4">
        <v>1.95</v>
      </c>
      <c r="G1598" s="4">
        <v>3601.65</v>
      </c>
      <c r="H1598" s="5">
        <f t="shared" si="24"/>
        <v>-2.0100502512562832E-2</v>
      </c>
    </row>
    <row r="1599" spans="1:8" ht="13.5" x14ac:dyDescent="0.25">
      <c r="A1599" s="1"/>
      <c r="B1599" s="3">
        <v>44636</v>
      </c>
      <c r="C1599" s="4">
        <v>2</v>
      </c>
      <c r="D1599" s="4">
        <v>2</v>
      </c>
      <c r="E1599" s="4">
        <v>31618</v>
      </c>
      <c r="F1599" s="4">
        <v>2</v>
      </c>
      <c r="G1599" s="4">
        <v>63236</v>
      </c>
      <c r="H1599" s="5">
        <f t="shared" si="24"/>
        <v>2.5641025641025664E-2</v>
      </c>
    </row>
    <row r="1600" spans="1:8" ht="13.5" x14ac:dyDescent="0.25">
      <c r="A1600" s="1"/>
      <c r="B1600" s="3">
        <v>44637</v>
      </c>
      <c r="C1600" s="4">
        <v>2.0299999999999998</v>
      </c>
      <c r="D1600" s="4">
        <v>2.0299999999999998</v>
      </c>
      <c r="E1600" s="4">
        <v>600</v>
      </c>
      <c r="F1600" s="4">
        <v>2.0299999999999998</v>
      </c>
      <c r="G1600" s="4">
        <v>1218</v>
      </c>
      <c r="H1600" s="5">
        <f t="shared" si="24"/>
        <v>1.4999999999999902E-2</v>
      </c>
    </row>
    <row r="1601" spans="1:8" ht="13.5" x14ac:dyDescent="0.25">
      <c r="A1601" s="1"/>
      <c r="B1601" s="3">
        <v>44638</v>
      </c>
      <c r="C1601" s="4">
        <v>2.0499999999999998</v>
      </c>
      <c r="D1601" s="4">
        <v>2.0499999999999998</v>
      </c>
      <c r="E1601" s="4">
        <v>2710</v>
      </c>
      <c r="F1601" s="4">
        <v>2.0499999999999998</v>
      </c>
      <c r="G1601" s="4">
        <v>5555.5</v>
      </c>
      <c r="H1601" s="5">
        <f t="shared" si="24"/>
        <v>9.8522167487684834E-3</v>
      </c>
    </row>
    <row r="1602" spans="1:8" ht="13.5" x14ac:dyDescent="0.25">
      <c r="A1602" s="1"/>
      <c r="B1602" s="3">
        <v>44641</v>
      </c>
      <c r="C1602" s="4">
        <v>2.0099999999999998</v>
      </c>
      <c r="D1602" s="4">
        <v>2.0099999999999998</v>
      </c>
      <c r="E1602" s="4">
        <v>13126</v>
      </c>
      <c r="F1602" s="4">
        <v>2.0099999999999998</v>
      </c>
      <c r="G1602" s="4">
        <v>26383.26</v>
      </c>
      <c r="H1602" s="5">
        <f t="shared" si="24"/>
        <v>-1.9512195121951237E-2</v>
      </c>
    </row>
    <row r="1603" spans="1:8" ht="13.5" x14ac:dyDescent="0.25">
      <c r="A1603" s="1"/>
      <c r="B1603" s="3">
        <v>44642</v>
      </c>
      <c r="C1603" s="4">
        <v>2.0499999999999998</v>
      </c>
      <c r="D1603" s="4">
        <v>2.0499999999999998</v>
      </c>
      <c r="E1603" s="4">
        <v>27064</v>
      </c>
      <c r="F1603" s="4">
        <v>2.0499999999999998</v>
      </c>
      <c r="G1603" s="4">
        <v>55481.2</v>
      </c>
      <c r="H1603" s="5">
        <f t="shared" si="24"/>
        <v>1.9900497512437831E-2</v>
      </c>
    </row>
    <row r="1604" spans="1:8" ht="13.5" x14ac:dyDescent="0.25">
      <c r="A1604" s="1"/>
      <c r="B1604" s="3">
        <v>44643</v>
      </c>
      <c r="C1604" s="4">
        <v>2.0499999999999998</v>
      </c>
      <c r="D1604" s="4">
        <v>2.0499999999999998</v>
      </c>
      <c r="E1604" s="4">
        <v>43681</v>
      </c>
      <c r="F1604" s="4">
        <v>2.0499999999999998</v>
      </c>
      <c r="G1604" s="4">
        <v>89546.05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2.02</v>
      </c>
      <c r="D1605" s="4">
        <v>2.02</v>
      </c>
      <c r="E1605" s="4">
        <v>2500</v>
      </c>
      <c r="F1605" s="4">
        <v>2.02</v>
      </c>
      <c r="G1605" s="4">
        <v>5050</v>
      </c>
      <c r="H1605" s="5">
        <f t="shared" si="24"/>
        <v>-1.463414634146332E-2</v>
      </c>
    </row>
    <row r="1606" spans="1:8" ht="13.5" x14ac:dyDescent="0.25">
      <c r="A1606" s="1"/>
      <c r="B1606" s="3">
        <v>44645</v>
      </c>
      <c r="C1606" s="4">
        <v>2.0299999999999998</v>
      </c>
      <c r="D1606" s="4">
        <v>2.0299999999999998</v>
      </c>
      <c r="E1606" s="4">
        <v>30568</v>
      </c>
      <c r="F1606" s="4">
        <v>2.0299999999999998</v>
      </c>
      <c r="G1606" s="4">
        <v>62053.04</v>
      </c>
      <c r="H1606" s="5">
        <f t="shared" si="24"/>
        <v>4.9504950495048447E-3</v>
      </c>
    </row>
    <row r="1607" spans="1:8" ht="13.5" x14ac:dyDescent="0.25">
      <c r="A1607" s="1"/>
      <c r="B1607" s="3">
        <v>44648</v>
      </c>
      <c r="C1607" s="4">
        <v>2.0099999999999998</v>
      </c>
      <c r="D1607" s="4">
        <v>2.0099999999999998</v>
      </c>
      <c r="E1607" s="4">
        <v>22400</v>
      </c>
      <c r="F1607" s="4">
        <v>2.0099999999999998</v>
      </c>
      <c r="G1607" s="4">
        <v>45024</v>
      </c>
      <c r="H1607" s="5">
        <f t="shared" ref="H1607:H1670" si="25">(D1607-D1606)/D1606</f>
        <v>-9.8522167487684834E-3</v>
      </c>
    </row>
    <row r="1608" spans="1:8" ht="13.5" x14ac:dyDescent="0.25">
      <c r="A1608" s="1"/>
      <c r="B1608" s="3">
        <v>44649</v>
      </c>
      <c r="C1608" s="4">
        <v>2.0099999999999998</v>
      </c>
      <c r="D1608" s="4">
        <v>2.0099999999999998</v>
      </c>
      <c r="E1608" s="4">
        <v>1840</v>
      </c>
      <c r="F1608" s="4">
        <v>2.0099999999999998</v>
      </c>
      <c r="G1608" s="4">
        <v>3698.4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2</v>
      </c>
      <c r="D1609" s="4">
        <v>2</v>
      </c>
      <c r="E1609" s="4">
        <v>28721</v>
      </c>
      <c r="F1609" s="4">
        <v>2</v>
      </c>
      <c r="G1609" s="4">
        <v>57442</v>
      </c>
      <c r="H1609" s="5">
        <f t="shared" si="25"/>
        <v>-4.9751243781093468E-3</v>
      </c>
    </row>
    <row r="1610" spans="1:8" ht="13.5" x14ac:dyDescent="0.25">
      <c r="A1610" s="1"/>
      <c r="B1610" s="3">
        <v>44651</v>
      </c>
      <c r="C1610" s="4">
        <v>2</v>
      </c>
      <c r="D1610" s="4">
        <v>2</v>
      </c>
      <c r="E1610" s="4">
        <v>10001</v>
      </c>
      <c r="F1610" s="4">
        <v>2</v>
      </c>
      <c r="G1610" s="4">
        <v>20002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2</v>
      </c>
      <c r="D1611" s="4">
        <v>2</v>
      </c>
      <c r="E1611" s="4">
        <v>40000</v>
      </c>
      <c r="F1611" s="4">
        <v>2</v>
      </c>
      <c r="G1611" s="4">
        <v>80000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2.06</v>
      </c>
      <c r="D1612" s="4">
        <v>2.06</v>
      </c>
      <c r="E1612" s="4">
        <v>10</v>
      </c>
      <c r="F1612" s="4">
        <v>2.06</v>
      </c>
      <c r="G1612" s="4">
        <v>20.6</v>
      </c>
      <c r="H1612" s="5">
        <f t="shared" si="25"/>
        <v>3.0000000000000027E-2</v>
      </c>
    </row>
    <row r="1613" spans="1:8" ht="13.5" x14ac:dyDescent="0.25">
      <c r="A1613" s="1"/>
      <c r="B1613" s="3">
        <v>44656</v>
      </c>
      <c r="C1613" s="4">
        <v>2.0499999999999998</v>
      </c>
      <c r="D1613" s="4">
        <v>2.0499999999999998</v>
      </c>
      <c r="E1613" s="4">
        <v>3690</v>
      </c>
      <c r="F1613" s="4">
        <v>2.0499999999999998</v>
      </c>
      <c r="G1613" s="4">
        <v>7564.5</v>
      </c>
      <c r="H1613" s="5">
        <f t="shared" si="25"/>
        <v>-4.8543689320389473E-3</v>
      </c>
    </row>
    <row r="1614" spans="1:8" ht="13.5" x14ac:dyDescent="0.25">
      <c r="A1614" s="1"/>
      <c r="B1614" s="3">
        <v>44657</v>
      </c>
      <c r="C1614" s="4">
        <v>2.04</v>
      </c>
      <c r="D1614" s="4">
        <v>2.04</v>
      </c>
      <c r="E1614" s="4">
        <v>60</v>
      </c>
      <c r="F1614" s="4">
        <v>2.04</v>
      </c>
      <c r="G1614" s="4">
        <v>122.4</v>
      </c>
      <c r="H1614" s="5">
        <f t="shared" si="25"/>
        <v>-4.8780487804877017E-3</v>
      </c>
    </row>
    <row r="1615" spans="1:8" ht="13.5" x14ac:dyDescent="0.25">
      <c r="A1615" s="1"/>
      <c r="B1615" s="3">
        <v>44658</v>
      </c>
      <c r="C1615" s="4">
        <v>1.98</v>
      </c>
      <c r="D1615" s="4">
        <v>1.98</v>
      </c>
      <c r="E1615" s="4">
        <v>6500</v>
      </c>
      <c r="F1615" s="4">
        <v>1.98</v>
      </c>
      <c r="G1615" s="4">
        <v>12870</v>
      </c>
      <c r="H1615" s="5">
        <f t="shared" si="25"/>
        <v>-2.9411764705882377E-2</v>
      </c>
    </row>
    <row r="1616" spans="1:8" ht="13.5" x14ac:dyDescent="0.25">
      <c r="A1616" s="1"/>
      <c r="B1616" s="3">
        <v>44659</v>
      </c>
      <c r="C1616" s="4">
        <v>1.95</v>
      </c>
      <c r="D1616" s="4">
        <v>1.95</v>
      </c>
      <c r="E1616" s="4">
        <v>2551</v>
      </c>
      <c r="F1616" s="4">
        <v>1.95</v>
      </c>
      <c r="G1616" s="4">
        <v>4974.45</v>
      </c>
      <c r="H1616" s="5">
        <f t="shared" si="25"/>
        <v>-1.5151515151515166E-2</v>
      </c>
    </row>
    <row r="1617" spans="1:8" ht="13.5" x14ac:dyDescent="0.25">
      <c r="A1617" s="1"/>
      <c r="B1617" s="3">
        <v>44662</v>
      </c>
      <c r="C1617" s="4">
        <v>1.96</v>
      </c>
      <c r="D1617" s="4">
        <v>1.96</v>
      </c>
      <c r="E1617" s="4">
        <v>1819</v>
      </c>
      <c r="F1617" s="4">
        <v>1.96</v>
      </c>
      <c r="G1617" s="4">
        <v>3565.24</v>
      </c>
      <c r="H1617" s="5">
        <f t="shared" si="25"/>
        <v>5.1282051282051325E-3</v>
      </c>
    </row>
    <row r="1618" spans="1:8" ht="13.5" x14ac:dyDescent="0.25">
      <c r="A1618" s="1"/>
      <c r="B1618" s="3">
        <v>44663</v>
      </c>
      <c r="C1618" s="4">
        <v>2.0099999999999998</v>
      </c>
      <c r="D1618" s="4">
        <v>2.0099999999999998</v>
      </c>
      <c r="E1618" s="4">
        <v>50</v>
      </c>
      <c r="F1618" s="4">
        <v>2.0099999999999998</v>
      </c>
      <c r="G1618" s="4">
        <v>100.5</v>
      </c>
      <c r="H1618" s="5">
        <f t="shared" si="25"/>
        <v>2.5510204081632563E-2</v>
      </c>
    </row>
    <row r="1619" spans="1:8" ht="13.5" x14ac:dyDescent="0.25">
      <c r="A1619" s="1"/>
      <c r="B1619" s="3">
        <v>44664</v>
      </c>
      <c r="C1619" s="4">
        <v>2.0099999999999998</v>
      </c>
      <c r="D1619" s="4">
        <v>2.0099999999999998</v>
      </c>
      <c r="E1619" s="4">
        <v>1</v>
      </c>
      <c r="F1619" s="4">
        <v>2.0099999999999998</v>
      </c>
      <c r="G1619" s="4">
        <v>2.0099999999999998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1.97</v>
      </c>
      <c r="D1620" s="4">
        <v>1.97</v>
      </c>
      <c r="E1620" s="4">
        <v>1545</v>
      </c>
      <c r="F1620" s="4">
        <v>1.97</v>
      </c>
      <c r="G1620" s="4">
        <v>3043.65</v>
      </c>
      <c r="H1620" s="5">
        <f t="shared" si="25"/>
        <v>-1.990049751243772E-2</v>
      </c>
    </row>
    <row r="1621" spans="1:8" ht="13.5" x14ac:dyDescent="0.25">
      <c r="A1621" s="1"/>
      <c r="B1621" s="3">
        <v>44666</v>
      </c>
      <c r="C1621" s="4">
        <v>1.97</v>
      </c>
      <c r="D1621" s="4">
        <v>1.97</v>
      </c>
      <c r="E1621" s="4">
        <v>3380</v>
      </c>
      <c r="F1621" s="4">
        <v>1.97</v>
      </c>
      <c r="G1621" s="4">
        <v>6658.6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1.97</v>
      </c>
      <c r="D1622" s="4">
        <v>1.97</v>
      </c>
      <c r="E1622" s="4">
        <v>800</v>
      </c>
      <c r="F1622" s="4">
        <v>1.97</v>
      </c>
      <c r="G1622" s="4">
        <v>1576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1.95</v>
      </c>
      <c r="D1623" s="4">
        <v>1.95</v>
      </c>
      <c r="E1623" s="4">
        <v>12360</v>
      </c>
      <c r="F1623" s="4">
        <v>1.95</v>
      </c>
      <c r="G1623" s="4">
        <v>24102</v>
      </c>
      <c r="H1623" s="5">
        <f t="shared" si="25"/>
        <v>-1.01522842639594E-2</v>
      </c>
    </row>
    <row r="1624" spans="1:8" ht="13.5" x14ac:dyDescent="0.25">
      <c r="A1624" s="1"/>
      <c r="B1624" s="3">
        <v>44671</v>
      </c>
      <c r="C1624" s="4">
        <v>1.9</v>
      </c>
      <c r="D1624" s="4">
        <v>1.9</v>
      </c>
      <c r="E1624" s="4">
        <v>0</v>
      </c>
      <c r="F1624" s="4">
        <v>0</v>
      </c>
      <c r="G1624" s="4">
        <v>0</v>
      </c>
      <c r="H1624" s="5">
        <f t="shared" si="25"/>
        <v>-2.5641025641025664E-2</v>
      </c>
    </row>
    <row r="1625" spans="1:8" ht="13.5" x14ac:dyDescent="0.25">
      <c r="A1625" s="1"/>
      <c r="B1625" s="3">
        <v>44672</v>
      </c>
      <c r="C1625" s="4">
        <v>1.9</v>
      </c>
      <c r="D1625" s="4">
        <v>1.9</v>
      </c>
      <c r="E1625" s="4">
        <v>7149</v>
      </c>
      <c r="F1625" s="4">
        <v>1.9</v>
      </c>
      <c r="G1625" s="4">
        <v>13583.1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1.89</v>
      </c>
      <c r="D1626" s="4">
        <v>1.89</v>
      </c>
      <c r="E1626" s="4">
        <v>3300</v>
      </c>
      <c r="F1626" s="4">
        <v>1.89</v>
      </c>
      <c r="G1626" s="4">
        <v>6237</v>
      </c>
      <c r="H1626" s="5">
        <f t="shared" si="25"/>
        <v>-5.2631578947368472E-3</v>
      </c>
    </row>
    <row r="1627" spans="1:8" ht="13.5" x14ac:dyDescent="0.25">
      <c r="A1627" s="1"/>
      <c r="B1627" s="3">
        <v>44676</v>
      </c>
      <c r="C1627" s="4">
        <v>1.94</v>
      </c>
      <c r="D1627" s="4">
        <v>1.94</v>
      </c>
      <c r="E1627" s="4">
        <v>20000</v>
      </c>
      <c r="F1627" s="4">
        <v>1.94</v>
      </c>
      <c r="G1627" s="4">
        <v>38800</v>
      </c>
      <c r="H1627" s="5">
        <f t="shared" si="25"/>
        <v>2.6455026455026481E-2</v>
      </c>
    </row>
    <row r="1628" spans="1:8" ht="13.5" x14ac:dyDescent="0.25">
      <c r="A1628" s="1"/>
      <c r="B1628" s="3">
        <v>44677</v>
      </c>
      <c r="C1628" s="4">
        <v>1.89</v>
      </c>
      <c r="D1628" s="4">
        <v>1.89</v>
      </c>
      <c r="E1628" s="4">
        <v>14897</v>
      </c>
      <c r="F1628" s="4">
        <v>1.89</v>
      </c>
      <c r="G1628" s="4">
        <v>28155.33</v>
      </c>
      <c r="H1628" s="5">
        <f t="shared" si="25"/>
        <v>-2.5773195876288683E-2</v>
      </c>
    </row>
    <row r="1629" spans="1:8" ht="13.5" x14ac:dyDescent="0.25">
      <c r="A1629" s="1"/>
      <c r="B1629" s="3">
        <v>44678</v>
      </c>
      <c r="C1629" s="4">
        <v>1.89</v>
      </c>
      <c r="D1629" s="4">
        <v>1.89</v>
      </c>
      <c r="E1629" s="4">
        <v>10246</v>
      </c>
      <c r="F1629" s="4">
        <v>1.89</v>
      </c>
      <c r="G1629" s="4">
        <v>19364.939999999999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1.9</v>
      </c>
      <c r="D1630" s="4">
        <v>1.9</v>
      </c>
      <c r="E1630" s="4">
        <v>10550</v>
      </c>
      <c r="F1630" s="4">
        <v>1.9</v>
      </c>
      <c r="G1630" s="4">
        <v>20045</v>
      </c>
      <c r="H1630" s="5">
        <f t="shared" si="25"/>
        <v>5.2910052910052959E-3</v>
      </c>
    </row>
    <row r="1631" spans="1:8" ht="13.5" x14ac:dyDescent="0.25">
      <c r="A1631" s="1"/>
      <c r="B1631" s="3">
        <v>44680</v>
      </c>
      <c r="C1631" s="4">
        <v>1.95</v>
      </c>
      <c r="D1631" s="4">
        <v>1.95</v>
      </c>
      <c r="E1631" s="4">
        <v>14</v>
      </c>
      <c r="F1631" s="4">
        <v>1.95</v>
      </c>
      <c r="G1631" s="4">
        <v>27.3</v>
      </c>
      <c r="H1631" s="5">
        <f t="shared" si="25"/>
        <v>2.6315789473684237E-2</v>
      </c>
    </row>
    <row r="1632" spans="1:8" ht="13.5" x14ac:dyDescent="0.25">
      <c r="A1632" s="1"/>
      <c r="B1632" s="3">
        <v>44685</v>
      </c>
      <c r="C1632" s="4">
        <v>1.9</v>
      </c>
      <c r="D1632" s="4">
        <v>1.9</v>
      </c>
      <c r="E1632" s="4">
        <v>2051</v>
      </c>
      <c r="F1632" s="4">
        <v>1.9</v>
      </c>
      <c r="G1632" s="4">
        <v>3896.9</v>
      </c>
      <c r="H1632" s="5">
        <f t="shared" si="25"/>
        <v>-2.5641025641025664E-2</v>
      </c>
    </row>
    <row r="1633" spans="1:8" ht="13.5" x14ac:dyDescent="0.25">
      <c r="A1633" s="1"/>
      <c r="B1633" s="3">
        <v>44686</v>
      </c>
      <c r="C1633" s="4">
        <v>1.9</v>
      </c>
      <c r="D1633" s="4">
        <v>1.9</v>
      </c>
      <c r="E1633" s="4">
        <v>18635</v>
      </c>
      <c r="F1633" s="4">
        <v>1.9</v>
      </c>
      <c r="G1633" s="4">
        <v>35406.5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1.9</v>
      </c>
      <c r="D1634" s="4">
        <v>1.9</v>
      </c>
      <c r="E1634" s="4">
        <v>8675</v>
      </c>
      <c r="F1634" s="4">
        <v>1.9</v>
      </c>
      <c r="G1634" s="4">
        <v>16482.5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1.9</v>
      </c>
      <c r="D1635" s="4">
        <v>1.9</v>
      </c>
      <c r="E1635" s="4">
        <v>16300</v>
      </c>
      <c r="F1635" s="4">
        <v>1.9</v>
      </c>
      <c r="G1635" s="4">
        <v>30970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1.89</v>
      </c>
      <c r="D1636" s="4">
        <v>1.89</v>
      </c>
      <c r="E1636" s="4">
        <v>10367</v>
      </c>
      <c r="F1636" s="4">
        <v>1.89</v>
      </c>
      <c r="G1636" s="4">
        <v>19593.63</v>
      </c>
      <c r="H1636" s="5">
        <f t="shared" si="25"/>
        <v>-5.2631578947368472E-3</v>
      </c>
    </row>
    <row r="1637" spans="1:8" ht="13.5" x14ac:dyDescent="0.25">
      <c r="A1637" s="1"/>
      <c r="B1637" s="3">
        <v>44692</v>
      </c>
      <c r="C1637" s="4">
        <v>1.89</v>
      </c>
      <c r="D1637" s="4">
        <v>1.89</v>
      </c>
      <c r="E1637" s="4">
        <v>150</v>
      </c>
      <c r="F1637" s="4">
        <v>1.89</v>
      </c>
      <c r="G1637" s="4">
        <v>283.5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1.88</v>
      </c>
      <c r="D1638" s="4">
        <v>1.88</v>
      </c>
      <c r="E1638" s="4">
        <v>1480</v>
      </c>
      <c r="F1638" s="4">
        <v>1.88</v>
      </c>
      <c r="G1638" s="4">
        <v>2782.4</v>
      </c>
      <c r="H1638" s="5">
        <f t="shared" si="25"/>
        <v>-5.2910052910052959E-3</v>
      </c>
    </row>
    <row r="1639" spans="1:8" ht="13.5" x14ac:dyDescent="0.25">
      <c r="A1639" s="1"/>
      <c r="B1639" s="3">
        <v>44694</v>
      </c>
      <c r="C1639" s="4">
        <v>1.85</v>
      </c>
      <c r="D1639" s="4">
        <v>1.85</v>
      </c>
      <c r="E1639" s="4">
        <v>47484</v>
      </c>
      <c r="F1639" s="4">
        <v>1.85</v>
      </c>
      <c r="G1639" s="4">
        <v>87845.4</v>
      </c>
      <c r="H1639" s="5">
        <f t="shared" si="25"/>
        <v>-1.5957446808510536E-2</v>
      </c>
    </row>
    <row r="1640" spans="1:8" ht="13.5" x14ac:dyDescent="0.25">
      <c r="A1640" s="1"/>
      <c r="B1640" s="3">
        <v>44697</v>
      </c>
      <c r="C1640" s="4">
        <v>1.89</v>
      </c>
      <c r="D1640" s="4">
        <v>1.89</v>
      </c>
      <c r="E1640" s="4">
        <v>1100</v>
      </c>
      <c r="F1640" s="4">
        <v>1.89</v>
      </c>
      <c r="G1640" s="4">
        <v>2079</v>
      </c>
      <c r="H1640" s="5">
        <f t="shared" si="25"/>
        <v>2.1621621621621519E-2</v>
      </c>
    </row>
    <row r="1641" spans="1:8" ht="13.5" x14ac:dyDescent="0.25">
      <c r="A1641" s="1"/>
      <c r="B1641" s="3">
        <v>44698</v>
      </c>
      <c r="C1641" s="4">
        <v>1.94</v>
      </c>
      <c r="D1641" s="4">
        <v>1.94</v>
      </c>
      <c r="E1641" s="4">
        <v>2500</v>
      </c>
      <c r="F1641" s="4">
        <v>1.94</v>
      </c>
      <c r="G1641" s="4">
        <v>4850</v>
      </c>
      <c r="H1641" s="5">
        <f t="shared" si="25"/>
        <v>2.6455026455026481E-2</v>
      </c>
    </row>
    <row r="1642" spans="1:8" ht="13.5" x14ac:dyDescent="0.25">
      <c r="A1642" s="1"/>
      <c r="B1642" s="3">
        <v>44699</v>
      </c>
      <c r="C1642" s="4">
        <v>1.9</v>
      </c>
      <c r="D1642" s="4">
        <v>1.9</v>
      </c>
      <c r="E1642" s="4">
        <v>400</v>
      </c>
      <c r="F1642" s="4">
        <v>1.9</v>
      </c>
      <c r="G1642" s="4">
        <v>760</v>
      </c>
      <c r="H1642" s="5">
        <f t="shared" si="25"/>
        <v>-2.0618556701030948E-2</v>
      </c>
    </row>
    <row r="1643" spans="1:8" ht="13.5" x14ac:dyDescent="0.25">
      <c r="A1643" s="1"/>
      <c r="B1643" s="3">
        <v>44700</v>
      </c>
      <c r="C1643" s="4">
        <v>1.94</v>
      </c>
      <c r="D1643" s="4">
        <v>1.94</v>
      </c>
      <c r="E1643" s="4">
        <v>9818</v>
      </c>
      <c r="F1643" s="4">
        <v>1.94</v>
      </c>
      <c r="G1643" s="4">
        <v>19046.919999999998</v>
      </c>
      <c r="H1643" s="5">
        <f t="shared" si="25"/>
        <v>2.1052631578947389E-2</v>
      </c>
    </row>
    <row r="1644" spans="1:8" ht="13.5" x14ac:dyDescent="0.25">
      <c r="A1644" s="1"/>
      <c r="B1644" s="3">
        <v>44701</v>
      </c>
      <c r="C1644" s="4">
        <v>1.94</v>
      </c>
      <c r="D1644" s="4">
        <v>1.94</v>
      </c>
      <c r="E1644" s="4">
        <v>10000</v>
      </c>
      <c r="F1644" s="4">
        <v>1.94</v>
      </c>
      <c r="G1644" s="4">
        <v>19400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1.9</v>
      </c>
      <c r="D1645" s="4">
        <v>1.9</v>
      </c>
      <c r="E1645" s="4">
        <v>11311</v>
      </c>
      <c r="F1645" s="4">
        <v>1.9</v>
      </c>
      <c r="G1645" s="4">
        <v>21490.9</v>
      </c>
      <c r="H1645" s="5">
        <f t="shared" si="25"/>
        <v>-2.0618556701030948E-2</v>
      </c>
    </row>
    <row r="1646" spans="1:8" ht="13.5" x14ac:dyDescent="0.25">
      <c r="A1646" s="1"/>
      <c r="B1646" s="3">
        <v>44705</v>
      </c>
      <c r="C1646" s="4">
        <v>1.9</v>
      </c>
      <c r="D1646" s="4">
        <v>1.9</v>
      </c>
      <c r="E1646" s="4">
        <v>1350</v>
      </c>
      <c r="F1646" s="4">
        <v>1.9</v>
      </c>
      <c r="G1646" s="4">
        <v>2565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1.93</v>
      </c>
      <c r="D1647" s="4">
        <v>1.93</v>
      </c>
      <c r="E1647" s="4">
        <v>2200</v>
      </c>
      <c r="F1647" s="4">
        <v>1.93</v>
      </c>
      <c r="G1647" s="4">
        <v>4246</v>
      </c>
      <c r="H1647" s="5">
        <f t="shared" si="25"/>
        <v>1.5789473684210541E-2</v>
      </c>
    </row>
    <row r="1648" spans="1:8" ht="13.5" x14ac:dyDescent="0.25">
      <c r="A1648" s="1"/>
      <c r="B1648" s="3">
        <v>44707</v>
      </c>
      <c r="C1648" s="4">
        <v>1.94</v>
      </c>
      <c r="D1648" s="4">
        <v>1.94</v>
      </c>
      <c r="E1648" s="4">
        <v>14640</v>
      </c>
      <c r="F1648" s="4">
        <v>1.94</v>
      </c>
      <c r="G1648" s="4">
        <v>28401.599999999999</v>
      </c>
      <c r="H1648" s="5">
        <f t="shared" si="25"/>
        <v>5.1813471502590719E-3</v>
      </c>
    </row>
    <row r="1649" spans="1:8" ht="13.5" x14ac:dyDescent="0.25">
      <c r="A1649" s="1"/>
      <c r="B1649" s="3">
        <v>44708</v>
      </c>
      <c r="C1649" s="4">
        <v>1.94</v>
      </c>
      <c r="D1649" s="4">
        <v>1.94</v>
      </c>
      <c r="E1649" s="4">
        <v>8155</v>
      </c>
      <c r="F1649" s="4">
        <v>1.94</v>
      </c>
      <c r="G1649" s="4">
        <v>15820.7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1.98</v>
      </c>
      <c r="D1650" s="4">
        <v>1.98</v>
      </c>
      <c r="E1650" s="4">
        <v>9142</v>
      </c>
      <c r="F1650" s="4">
        <v>1.98</v>
      </c>
      <c r="G1650" s="4">
        <v>18101.16</v>
      </c>
      <c r="H1650" s="5">
        <f t="shared" si="25"/>
        <v>2.0618556701030948E-2</v>
      </c>
    </row>
    <row r="1651" spans="1:8" ht="13.5" x14ac:dyDescent="0.25">
      <c r="A1651" s="1"/>
      <c r="B1651" s="3">
        <v>44712</v>
      </c>
      <c r="C1651" s="4">
        <v>2.02</v>
      </c>
      <c r="D1651" s="4">
        <v>2.02</v>
      </c>
      <c r="E1651" s="4">
        <v>1200</v>
      </c>
      <c r="F1651" s="4">
        <v>2.02</v>
      </c>
      <c r="G1651" s="4">
        <v>2424</v>
      </c>
      <c r="H1651" s="5">
        <f t="shared" si="25"/>
        <v>2.0202020202020221E-2</v>
      </c>
    </row>
    <row r="1652" spans="1:8" ht="13.5" x14ac:dyDescent="0.25">
      <c r="A1652" s="1"/>
      <c r="B1652" s="3">
        <v>44713</v>
      </c>
      <c r="C1652" s="4">
        <v>2.0099999999999998</v>
      </c>
      <c r="D1652" s="4">
        <v>2.0099999999999998</v>
      </c>
      <c r="E1652" s="4">
        <v>410</v>
      </c>
      <c r="F1652" s="4">
        <v>2.0099999999999998</v>
      </c>
      <c r="G1652" s="4">
        <v>824.1</v>
      </c>
      <c r="H1652" s="5">
        <f t="shared" si="25"/>
        <v>-4.950495049505065E-3</v>
      </c>
    </row>
    <row r="1653" spans="1:8" ht="13.5" x14ac:dyDescent="0.25">
      <c r="A1653" s="1"/>
      <c r="B1653" s="3">
        <v>44714</v>
      </c>
      <c r="C1653" s="4">
        <v>2.0099999999999998</v>
      </c>
      <c r="D1653" s="4">
        <v>2.0099999999999998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2.0099999999999998</v>
      </c>
      <c r="D1654" s="4">
        <v>2.0099999999999998</v>
      </c>
      <c r="E1654" s="4">
        <v>0</v>
      </c>
      <c r="F1654" s="4">
        <v>0</v>
      </c>
      <c r="G1654" s="4">
        <v>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1.99</v>
      </c>
      <c r="D1655" s="4">
        <v>1.99</v>
      </c>
      <c r="E1655" s="4">
        <v>11080</v>
      </c>
      <c r="F1655" s="4">
        <v>1.99</v>
      </c>
      <c r="G1655" s="4">
        <v>22049.200000000001</v>
      </c>
      <c r="H1655" s="5">
        <f t="shared" si="25"/>
        <v>-9.9502487562188047E-3</v>
      </c>
    </row>
    <row r="1656" spans="1:8" ht="13.5" x14ac:dyDescent="0.25">
      <c r="A1656" s="1"/>
      <c r="B1656" s="3">
        <v>44719</v>
      </c>
      <c r="C1656" s="4">
        <v>2</v>
      </c>
      <c r="D1656" s="4">
        <v>2</v>
      </c>
      <c r="E1656" s="4">
        <v>9406</v>
      </c>
      <c r="F1656" s="4">
        <v>2</v>
      </c>
      <c r="G1656" s="4">
        <v>18812</v>
      </c>
      <c r="H1656" s="5">
        <f t="shared" si="25"/>
        <v>5.0251256281407079E-3</v>
      </c>
    </row>
    <row r="1657" spans="1:8" ht="13.5" x14ac:dyDescent="0.25">
      <c r="A1657" s="1"/>
      <c r="B1657" s="3">
        <v>44720</v>
      </c>
      <c r="C1657" s="4">
        <v>2</v>
      </c>
      <c r="D1657" s="4">
        <v>2</v>
      </c>
      <c r="E1657" s="4">
        <v>1791</v>
      </c>
      <c r="F1657" s="4">
        <v>2</v>
      </c>
      <c r="G1657" s="4">
        <v>3582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2</v>
      </c>
      <c r="D1658" s="4">
        <v>2</v>
      </c>
      <c r="E1658" s="4">
        <v>11000</v>
      </c>
      <c r="F1658" s="4">
        <v>2</v>
      </c>
      <c r="G1658" s="4">
        <v>22000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2.02</v>
      </c>
      <c r="D1659" s="4">
        <v>2.02</v>
      </c>
      <c r="E1659" s="4">
        <v>8061</v>
      </c>
      <c r="F1659" s="4">
        <v>2.02</v>
      </c>
      <c r="G1659" s="4">
        <v>16283.22</v>
      </c>
      <c r="H1659" s="5">
        <f t="shared" si="25"/>
        <v>1.0000000000000009E-2</v>
      </c>
    </row>
    <row r="1660" spans="1:8" ht="13.5" x14ac:dyDescent="0.25">
      <c r="A1660" s="1"/>
      <c r="B1660" s="3">
        <v>44725</v>
      </c>
      <c r="C1660" s="4">
        <v>2.02</v>
      </c>
      <c r="D1660" s="4">
        <v>2.02</v>
      </c>
      <c r="E1660" s="4">
        <v>16870</v>
      </c>
      <c r="F1660" s="4">
        <v>2.02</v>
      </c>
      <c r="G1660" s="4">
        <v>34077.4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2.02</v>
      </c>
      <c r="D1661" s="4">
        <v>2.02</v>
      </c>
      <c r="E1661" s="4">
        <v>476</v>
      </c>
      <c r="F1661" s="4">
        <v>2.02</v>
      </c>
      <c r="G1661" s="4">
        <v>961.52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2.02</v>
      </c>
      <c r="D1662" s="4">
        <v>2.02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2</v>
      </c>
      <c r="D1663" s="4">
        <v>2</v>
      </c>
      <c r="E1663" s="4">
        <v>1244</v>
      </c>
      <c r="F1663" s="4">
        <v>2</v>
      </c>
      <c r="G1663" s="4">
        <v>2488</v>
      </c>
      <c r="H1663" s="5">
        <f t="shared" si="25"/>
        <v>-9.9009900990099098E-3</v>
      </c>
    </row>
    <row r="1664" spans="1:8" ht="13.5" x14ac:dyDescent="0.25">
      <c r="A1664" s="1"/>
      <c r="B1664" s="3">
        <v>44729</v>
      </c>
      <c r="C1664" s="4">
        <v>2</v>
      </c>
      <c r="D1664" s="4">
        <v>2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2</v>
      </c>
      <c r="D1665" s="4">
        <v>2</v>
      </c>
      <c r="E1665" s="4">
        <v>11800</v>
      </c>
      <c r="F1665" s="4">
        <v>2</v>
      </c>
      <c r="G1665" s="4">
        <v>23600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2</v>
      </c>
      <c r="D1666" s="4">
        <v>2</v>
      </c>
      <c r="E1666" s="4">
        <v>16415</v>
      </c>
      <c r="F1666" s="4">
        <v>2</v>
      </c>
      <c r="G1666" s="4">
        <v>32830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2</v>
      </c>
      <c r="D1667" s="4">
        <v>2</v>
      </c>
      <c r="E1667" s="4">
        <v>2000</v>
      </c>
      <c r="F1667" s="4">
        <v>2</v>
      </c>
      <c r="G1667" s="4">
        <v>4000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2</v>
      </c>
      <c r="D1668" s="4">
        <v>2</v>
      </c>
      <c r="E1668" s="4">
        <v>5176</v>
      </c>
      <c r="F1668" s="4">
        <v>2</v>
      </c>
      <c r="G1668" s="4">
        <v>10352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2</v>
      </c>
      <c r="D1669" s="4">
        <v>2</v>
      </c>
      <c r="E1669" s="4">
        <v>5619</v>
      </c>
      <c r="F1669" s="4">
        <v>2</v>
      </c>
      <c r="G1669" s="4">
        <v>11238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2</v>
      </c>
      <c r="D1670" s="4">
        <v>2</v>
      </c>
      <c r="E1670" s="4">
        <v>4000</v>
      </c>
      <c r="F1670" s="4">
        <v>2</v>
      </c>
      <c r="G1670" s="4">
        <v>8000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1.99</v>
      </c>
      <c r="D1671" s="4">
        <v>1.99</v>
      </c>
      <c r="E1671" s="4">
        <v>6320</v>
      </c>
      <c r="F1671" s="4">
        <v>1.99</v>
      </c>
      <c r="G1671" s="4">
        <v>12576.8</v>
      </c>
      <c r="H1671" s="5">
        <f t="shared" ref="H1671:H1734" si="26">(D1671-D1670)/D1670</f>
        <v>-5.0000000000000044E-3</v>
      </c>
    </row>
    <row r="1672" spans="1:8" ht="13.5" x14ac:dyDescent="0.25">
      <c r="A1672" s="1"/>
      <c r="B1672" s="3">
        <v>44741</v>
      </c>
      <c r="C1672" s="4">
        <v>1.98</v>
      </c>
      <c r="D1672" s="4">
        <v>1.98</v>
      </c>
      <c r="E1672" s="4">
        <v>17366</v>
      </c>
      <c r="F1672" s="4">
        <v>1.98</v>
      </c>
      <c r="G1672" s="4">
        <v>34384.68</v>
      </c>
      <c r="H1672" s="5">
        <f t="shared" si="26"/>
        <v>-5.0251256281407079E-3</v>
      </c>
    </row>
    <row r="1673" spans="1:8" ht="13.5" x14ac:dyDescent="0.25">
      <c r="A1673" s="1"/>
      <c r="B1673" s="3">
        <v>44742</v>
      </c>
      <c r="C1673" s="4">
        <v>1.95</v>
      </c>
      <c r="D1673" s="4">
        <v>1.95</v>
      </c>
      <c r="E1673" s="4">
        <v>7450</v>
      </c>
      <c r="F1673" s="4">
        <v>1.95</v>
      </c>
      <c r="G1673" s="4">
        <v>14527.5</v>
      </c>
      <c r="H1673" s="5">
        <f t="shared" si="26"/>
        <v>-1.5151515151515166E-2</v>
      </c>
    </row>
    <row r="1674" spans="1:8" ht="13.5" x14ac:dyDescent="0.25">
      <c r="A1674" s="1"/>
      <c r="B1674" s="3">
        <v>44743</v>
      </c>
      <c r="C1674" s="4">
        <v>1.95</v>
      </c>
      <c r="D1674" s="4">
        <v>1.95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1.95</v>
      </c>
      <c r="D1675" s="4">
        <v>1.95</v>
      </c>
      <c r="E1675" s="4">
        <v>2950</v>
      </c>
      <c r="F1675" s="4">
        <v>1.95</v>
      </c>
      <c r="G1675" s="4">
        <v>5752.5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1.95</v>
      </c>
      <c r="D1676" s="4">
        <v>1.95</v>
      </c>
      <c r="E1676" s="4">
        <v>2000</v>
      </c>
      <c r="F1676" s="4">
        <v>1.95</v>
      </c>
      <c r="G1676" s="4">
        <v>3900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1.94</v>
      </c>
      <c r="D1677" s="4">
        <v>1.94</v>
      </c>
      <c r="E1677" s="4">
        <v>4000</v>
      </c>
      <c r="F1677" s="4">
        <v>1.94</v>
      </c>
      <c r="G1677" s="4">
        <v>7760</v>
      </c>
      <c r="H1677" s="5">
        <f t="shared" si="26"/>
        <v>-5.1282051282051325E-3</v>
      </c>
    </row>
    <row r="1678" spans="1:8" ht="13.5" x14ac:dyDescent="0.25">
      <c r="A1678" s="1"/>
      <c r="B1678" s="3">
        <v>44749</v>
      </c>
      <c r="C1678" s="4">
        <v>1.95</v>
      </c>
      <c r="D1678" s="4">
        <v>1.95</v>
      </c>
      <c r="E1678" s="4">
        <v>20</v>
      </c>
      <c r="F1678" s="4">
        <v>1.95</v>
      </c>
      <c r="G1678" s="4">
        <v>39</v>
      </c>
      <c r="H1678" s="5">
        <f t="shared" si="26"/>
        <v>5.1546391752577371E-3</v>
      </c>
    </row>
    <row r="1679" spans="1:8" ht="13.5" x14ac:dyDescent="0.25">
      <c r="A1679" s="1"/>
      <c r="B1679" s="3">
        <v>44750</v>
      </c>
      <c r="C1679" s="4">
        <v>1.94</v>
      </c>
      <c r="D1679" s="4">
        <v>1.94</v>
      </c>
      <c r="E1679" s="4">
        <v>257</v>
      </c>
      <c r="F1679" s="4">
        <v>1.94</v>
      </c>
      <c r="G1679" s="4">
        <v>498.58</v>
      </c>
      <c r="H1679" s="5">
        <f t="shared" si="26"/>
        <v>-5.1282051282051325E-3</v>
      </c>
    </row>
    <row r="1680" spans="1:8" ht="13.5" x14ac:dyDescent="0.25">
      <c r="A1680" s="1"/>
      <c r="B1680" s="3">
        <v>44753</v>
      </c>
      <c r="C1680" s="4">
        <v>1.94</v>
      </c>
      <c r="D1680" s="4">
        <v>1.94</v>
      </c>
      <c r="E1680" s="4">
        <v>8924</v>
      </c>
      <c r="F1680" s="4">
        <v>1.94</v>
      </c>
      <c r="G1680" s="4">
        <v>17312.560000000001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1.94</v>
      </c>
      <c r="D1681" s="4">
        <v>1.94</v>
      </c>
      <c r="E1681" s="4">
        <v>18500</v>
      </c>
      <c r="F1681" s="4">
        <v>1.94</v>
      </c>
      <c r="G1681" s="4">
        <v>35890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1.99</v>
      </c>
      <c r="D1682" s="4">
        <v>1.99</v>
      </c>
      <c r="E1682" s="4">
        <v>7189</v>
      </c>
      <c r="F1682" s="4">
        <v>1.99</v>
      </c>
      <c r="G1682" s="4">
        <v>14306.11</v>
      </c>
      <c r="H1682" s="5">
        <f t="shared" si="26"/>
        <v>2.5773195876288683E-2</v>
      </c>
    </row>
    <row r="1683" spans="1:8" ht="13.5" x14ac:dyDescent="0.25">
      <c r="A1683" s="1"/>
      <c r="B1683" s="3">
        <v>44756</v>
      </c>
      <c r="C1683" s="4">
        <v>2</v>
      </c>
      <c r="D1683" s="4">
        <v>2</v>
      </c>
      <c r="E1683" s="4">
        <v>29675</v>
      </c>
      <c r="F1683" s="4">
        <v>2</v>
      </c>
      <c r="G1683" s="4">
        <v>59350</v>
      </c>
      <c r="H1683" s="5">
        <f t="shared" si="26"/>
        <v>5.0251256281407079E-3</v>
      </c>
    </row>
    <row r="1684" spans="1:8" ht="13.5" x14ac:dyDescent="0.25">
      <c r="A1684" s="1"/>
      <c r="B1684" s="3">
        <v>44757</v>
      </c>
      <c r="C1684" s="4">
        <v>2</v>
      </c>
      <c r="D1684" s="4">
        <v>2</v>
      </c>
      <c r="E1684" s="4">
        <v>9615</v>
      </c>
      <c r="F1684" s="4">
        <v>2</v>
      </c>
      <c r="G1684" s="4">
        <v>19230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2.0099999999999998</v>
      </c>
      <c r="D1685" s="4">
        <v>2.0099999999999998</v>
      </c>
      <c r="E1685" s="4">
        <v>5160</v>
      </c>
      <c r="F1685" s="4">
        <v>2.0099999999999998</v>
      </c>
      <c r="G1685" s="4">
        <v>10371.6</v>
      </c>
      <c r="H1685" s="5">
        <f t="shared" si="26"/>
        <v>4.9999999999998934E-3</v>
      </c>
    </row>
    <row r="1686" spans="1:8" ht="13.5" x14ac:dyDescent="0.25">
      <c r="A1686" s="1"/>
      <c r="B1686" s="3">
        <v>44761</v>
      </c>
      <c r="C1686" s="4">
        <v>2.0099999999999998</v>
      </c>
      <c r="D1686" s="4">
        <v>2.0099999999999998</v>
      </c>
      <c r="E1686" s="4">
        <v>7840</v>
      </c>
      <c r="F1686" s="4">
        <v>2.0099999999999998</v>
      </c>
      <c r="G1686" s="4">
        <v>15758.4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2.0099999999999998</v>
      </c>
      <c r="D1687" s="4">
        <v>2.0099999999999998</v>
      </c>
      <c r="E1687" s="4">
        <v>2900</v>
      </c>
      <c r="F1687" s="4">
        <v>2.0099999999999998</v>
      </c>
      <c r="G1687" s="4">
        <v>5829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2.02</v>
      </c>
      <c r="D1688" s="4">
        <v>2.02</v>
      </c>
      <c r="E1688" s="4">
        <v>5500</v>
      </c>
      <c r="F1688" s="4">
        <v>2.02</v>
      </c>
      <c r="G1688" s="4">
        <v>11110</v>
      </c>
      <c r="H1688" s="5">
        <f t="shared" si="26"/>
        <v>4.975124378109568E-3</v>
      </c>
    </row>
    <row r="1689" spans="1:8" ht="13.5" x14ac:dyDescent="0.25">
      <c r="A1689" s="1"/>
      <c r="B1689" s="3">
        <v>44764</v>
      </c>
      <c r="C1689" s="4">
        <v>2.02</v>
      </c>
      <c r="D1689" s="4">
        <v>2.02</v>
      </c>
      <c r="E1689" s="4">
        <v>9721</v>
      </c>
      <c r="F1689" s="4">
        <v>2.02</v>
      </c>
      <c r="G1689" s="4">
        <v>19636.419999999998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2.0299999999999998</v>
      </c>
      <c r="D1690" s="4">
        <v>2.0299999999999998</v>
      </c>
      <c r="E1690" s="4">
        <v>13135</v>
      </c>
      <c r="F1690" s="4">
        <v>2.0299999999999998</v>
      </c>
      <c r="G1690" s="4">
        <v>26664.05</v>
      </c>
      <c r="H1690" s="5">
        <f t="shared" si="26"/>
        <v>4.9504950495048447E-3</v>
      </c>
    </row>
    <row r="1691" spans="1:8" ht="13.5" x14ac:dyDescent="0.25">
      <c r="A1691" s="1"/>
      <c r="B1691" s="3">
        <v>44769</v>
      </c>
      <c r="C1691" s="4">
        <v>2.02</v>
      </c>
      <c r="D1691" s="4">
        <v>2.02</v>
      </c>
      <c r="E1691" s="4">
        <v>2248</v>
      </c>
      <c r="F1691" s="4">
        <v>2.02</v>
      </c>
      <c r="G1691" s="4">
        <v>4540.96</v>
      </c>
      <c r="H1691" s="5">
        <f t="shared" si="26"/>
        <v>-4.9261083743841316E-3</v>
      </c>
    </row>
    <row r="1692" spans="1:8" ht="13.5" x14ac:dyDescent="0.25">
      <c r="A1692" s="1"/>
      <c r="B1692" s="3">
        <v>44770</v>
      </c>
      <c r="C1692" s="4">
        <v>2</v>
      </c>
      <c r="D1692" s="4">
        <v>2</v>
      </c>
      <c r="E1692" s="4">
        <v>8721</v>
      </c>
      <c r="F1692" s="4">
        <v>2</v>
      </c>
      <c r="G1692" s="4">
        <v>17442</v>
      </c>
      <c r="H1692" s="5">
        <f t="shared" si="26"/>
        <v>-9.9009900990099098E-3</v>
      </c>
    </row>
    <row r="1693" spans="1:8" ht="13.5" x14ac:dyDescent="0.25">
      <c r="A1693" s="1"/>
      <c r="B1693" s="3">
        <v>44771</v>
      </c>
      <c r="C1693" s="4">
        <v>2.0499999999999998</v>
      </c>
      <c r="D1693" s="4">
        <v>2.0499999999999998</v>
      </c>
      <c r="E1693" s="4">
        <v>30172</v>
      </c>
      <c r="F1693" s="4">
        <v>2.0499999999999998</v>
      </c>
      <c r="G1693" s="4">
        <v>61852.6</v>
      </c>
      <c r="H1693" s="5">
        <f t="shared" si="26"/>
        <v>2.4999999999999911E-2</v>
      </c>
    </row>
    <row r="1694" spans="1:8" ht="13.5" x14ac:dyDescent="0.25">
      <c r="A1694" s="1"/>
      <c r="B1694" s="3">
        <v>44774</v>
      </c>
      <c r="C1694" s="4">
        <v>2.06</v>
      </c>
      <c r="D1694" s="4">
        <v>2.06</v>
      </c>
      <c r="E1694" s="4">
        <v>2443</v>
      </c>
      <c r="F1694" s="4">
        <v>2.06</v>
      </c>
      <c r="G1694" s="4">
        <v>5032.58</v>
      </c>
      <c r="H1694" s="5">
        <f t="shared" si="26"/>
        <v>4.8780487804879176E-3</v>
      </c>
    </row>
    <row r="1695" spans="1:8" ht="13.5" x14ac:dyDescent="0.25">
      <c r="A1695" s="1"/>
      <c r="B1695" s="3">
        <v>44775</v>
      </c>
      <c r="C1695" s="4">
        <v>2.12</v>
      </c>
      <c r="D1695" s="4">
        <v>2.12</v>
      </c>
      <c r="E1695" s="4">
        <v>28600</v>
      </c>
      <c r="F1695" s="4">
        <v>2.12</v>
      </c>
      <c r="G1695" s="4">
        <v>60632</v>
      </c>
      <c r="H1695" s="5">
        <f t="shared" si="26"/>
        <v>2.9126213592233035E-2</v>
      </c>
    </row>
    <row r="1696" spans="1:8" ht="13.5" x14ac:dyDescent="0.25">
      <c r="A1696" s="1"/>
      <c r="B1696" s="3">
        <v>44776</v>
      </c>
      <c r="C1696" s="4">
        <v>2.14</v>
      </c>
      <c r="D1696" s="4">
        <v>2.14</v>
      </c>
      <c r="E1696" s="4">
        <v>6268</v>
      </c>
      <c r="F1696" s="4">
        <v>2.14</v>
      </c>
      <c r="G1696" s="4">
        <v>13413.52</v>
      </c>
      <c r="H1696" s="5">
        <f t="shared" si="26"/>
        <v>9.4339622641509517E-3</v>
      </c>
    </row>
    <row r="1697" spans="1:8" ht="13.5" x14ac:dyDescent="0.25">
      <c r="A1697" s="1"/>
      <c r="B1697" s="3">
        <v>44777</v>
      </c>
      <c r="C1697" s="4">
        <v>2.13</v>
      </c>
      <c r="D1697" s="4">
        <v>2.13</v>
      </c>
      <c r="E1697" s="4">
        <v>9830</v>
      </c>
      <c r="F1697" s="4">
        <v>2.13</v>
      </c>
      <c r="G1697" s="4">
        <v>20937.900000000001</v>
      </c>
      <c r="H1697" s="5">
        <f t="shared" si="26"/>
        <v>-4.6728971962617903E-3</v>
      </c>
    </row>
    <row r="1698" spans="1:8" ht="13.5" x14ac:dyDescent="0.25">
      <c r="A1698" s="1"/>
      <c r="B1698" s="3">
        <v>44778</v>
      </c>
      <c r="C1698" s="4">
        <v>2.11</v>
      </c>
      <c r="D1698" s="4">
        <v>2.11</v>
      </c>
      <c r="E1698" s="4">
        <v>6716</v>
      </c>
      <c r="F1698" s="4">
        <v>2.11</v>
      </c>
      <c r="G1698" s="4">
        <v>14170.76</v>
      </c>
      <c r="H1698" s="5">
        <f t="shared" si="26"/>
        <v>-9.3896713615023563E-3</v>
      </c>
    </row>
    <row r="1699" spans="1:8" ht="13.5" x14ac:dyDescent="0.25">
      <c r="A1699" s="1"/>
      <c r="B1699" s="3">
        <v>44781</v>
      </c>
      <c r="C1699" s="4">
        <v>2.11</v>
      </c>
      <c r="D1699" s="4">
        <v>2.11</v>
      </c>
      <c r="E1699" s="4">
        <v>23173</v>
      </c>
      <c r="F1699" s="4">
        <v>2.11</v>
      </c>
      <c r="G1699" s="4">
        <v>48895.03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2.11</v>
      </c>
      <c r="D1700" s="4">
        <v>2.11</v>
      </c>
      <c r="E1700" s="4">
        <v>4784</v>
      </c>
      <c r="F1700" s="4">
        <v>2.11</v>
      </c>
      <c r="G1700" s="4">
        <v>10094.24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2.11</v>
      </c>
      <c r="D1701" s="4">
        <v>2.11</v>
      </c>
      <c r="E1701" s="4">
        <v>2502</v>
      </c>
      <c r="F1701" s="4">
        <v>2.11</v>
      </c>
      <c r="G1701" s="4">
        <v>5279.22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2.11</v>
      </c>
      <c r="D1702" s="4">
        <v>2.11</v>
      </c>
      <c r="E1702" s="4">
        <v>9212</v>
      </c>
      <c r="F1702" s="4">
        <v>2.11</v>
      </c>
      <c r="G1702" s="4">
        <v>19437.32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2.11</v>
      </c>
      <c r="D1703" s="4">
        <v>2.11</v>
      </c>
      <c r="E1703" s="4">
        <v>11180</v>
      </c>
      <c r="F1703" s="4">
        <v>2.11</v>
      </c>
      <c r="G1703" s="4">
        <v>23589.8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2.14</v>
      </c>
      <c r="D1704" s="4">
        <v>2.14</v>
      </c>
      <c r="E1704" s="4">
        <v>500</v>
      </c>
      <c r="F1704" s="4">
        <v>2.14</v>
      </c>
      <c r="G1704" s="4">
        <v>1070</v>
      </c>
      <c r="H1704" s="5">
        <f t="shared" si="26"/>
        <v>1.4218009478673105E-2</v>
      </c>
    </row>
    <row r="1705" spans="1:8" ht="13.5" x14ac:dyDescent="0.25">
      <c r="A1705" s="1"/>
      <c r="B1705" s="3">
        <v>44789</v>
      </c>
      <c r="C1705" s="4">
        <v>2.14</v>
      </c>
      <c r="D1705" s="4">
        <v>2.14</v>
      </c>
      <c r="E1705" s="4">
        <v>9362</v>
      </c>
      <c r="F1705" s="4">
        <v>2.14</v>
      </c>
      <c r="G1705" s="4">
        <v>20034.68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2.15</v>
      </c>
      <c r="D1706" s="4">
        <v>2.15</v>
      </c>
      <c r="E1706" s="4">
        <v>17162</v>
      </c>
      <c r="F1706" s="4">
        <v>2.15</v>
      </c>
      <c r="G1706" s="4">
        <v>36898.300000000003</v>
      </c>
      <c r="H1706" s="5">
        <f t="shared" si="26"/>
        <v>4.6728971962615821E-3</v>
      </c>
    </row>
    <row r="1707" spans="1:8" ht="13.5" x14ac:dyDescent="0.25">
      <c r="A1707" s="1"/>
      <c r="B1707" s="3">
        <v>44791</v>
      </c>
      <c r="C1707" s="4">
        <v>2.15</v>
      </c>
      <c r="D1707" s="4">
        <v>2.15</v>
      </c>
      <c r="E1707" s="4">
        <v>4390</v>
      </c>
      <c r="F1707" s="4">
        <v>2.15</v>
      </c>
      <c r="G1707" s="4">
        <v>9438.5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2.15</v>
      </c>
      <c r="D1708" s="4">
        <v>2.15</v>
      </c>
      <c r="E1708" s="4">
        <v>10288</v>
      </c>
      <c r="F1708" s="4">
        <v>2.15</v>
      </c>
      <c r="G1708" s="4">
        <v>22119.200000000001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2.13</v>
      </c>
      <c r="D1709" s="4">
        <v>2.13</v>
      </c>
      <c r="E1709" s="4">
        <v>8710</v>
      </c>
      <c r="F1709" s="4">
        <v>2.13</v>
      </c>
      <c r="G1709" s="4">
        <v>18552.3</v>
      </c>
      <c r="H1709" s="5">
        <f t="shared" si="26"/>
        <v>-9.3023255813953574E-3</v>
      </c>
    </row>
    <row r="1710" spans="1:8" ht="13.5" x14ac:dyDescent="0.25">
      <c r="A1710" s="1"/>
      <c r="B1710" s="3">
        <v>44796</v>
      </c>
      <c r="C1710" s="4">
        <v>2.13</v>
      </c>
      <c r="D1710" s="4">
        <v>2.13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2.13</v>
      </c>
      <c r="D1711" s="4">
        <v>2.13</v>
      </c>
      <c r="E1711" s="4">
        <v>6390</v>
      </c>
      <c r="F1711" s="4">
        <v>2.13</v>
      </c>
      <c r="G1711" s="4">
        <v>13610.7</v>
      </c>
      <c r="H1711" s="5">
        <f t="shared" si="26"/>
        <v>0</v>
      </c>
    </row>
    <row r="1712" spans="1:8" ht="13.5" x14ac:dyDescent="0.25">
      <c r="A1712" s="1"/>
      <c r="B1712" s="3">
        <v>44798</v>
      </c>
      <c r="C1712" s="4">
        <v>2.13</v>
      </c>
      <c r="D1712" s="4">
        <v>2.13</v>
      </c>
      <c r="E1712" s="4">
        <v>190</v>
      </c>
      <c r="F1712" s="4">
        <v>2.13</v>
      </c>
      <c r="G1712" s="4">
        <v>404.7</v>
      </c>
      <c r="H1712" s="5">
        <f t="shared" si="26"/>
        <v>0</v>
      </c>
    </row>
    <row r="1713" spans="1:8" ht="13.5" x14ac:dyDescent="0.25">
      <c r="A1713" s="1"/>
      <c r="B1713" s="3">
        <v>44799</v>
      </c>
      <c r="C1713" s="4">
        <v>2.12</v>
      </c>
      <c r="D1713" s="4">
        <v>2.12</v>
      </c>
      <c r="E1713" s="4">
        <v>11188</v>
      </c>
      <c r="F1713" s="4">
        <v>2.12</v>
      </c>
      <c r="G1713" s="4">
        <v>23718.560000000001</v>
      </c>
      <c r="H1713" s="5">
        <f t="shared" si="26"/>
        <v>-4.6948356807510741E-3</v>
      </c>
    </row>
    <row r="1714" spans="1:8" ht="13.5" x14ac:dyDescent="0.25">
      <c r="A1714" s="1"/>
      <c r="B1714" s="3">
        <v>44802</v>
      </c>
      <c r="C1714" s="4">
        <v>2.13</v>
      </c>
      <c r="D1714" s="4">
        <v>2.13</v>
      </c>
      <c r="E1714" s="4">
        <v>1150</v>
      </c>
      <c r="F1714" s="4">
        <v>2.13</v>
      </c>
      <c r="G1714" s="4">
        <v>2449.5</v>
      </c>
      <c r="H1714" s="5">
        <f t="shared" si="26"/>
        <v>4.7169811320753709E-3</v>
      </c>
    </row>
    <row r="1715" spans="1:8" ht="13.5" x14ac:dyDescent="0.25">
      <c r="A1715" s="1"/>
      <c r="B1715" s="3">
        <v>44803</v>
      </c>
      <c r="C1715" s="4">
        <v>2.1</v>
      </c>
      <c r="D1715" s="4">
        <v>2.1</v>
      </c>
      <c r="E1715" s="4">
        <v>4030</v>
      </c>
      <c r="F1715" s="4">
        <v>2.1</v>
      </c>
      <c r="G1715" s="4">
        <v>8463</v>
      </c>
      <c r="H1715" s="5">
        <f t="shared" si="26"/>
        <v>-1.408450704225343E-2</v>
      </c>
    </row>
    <row r="1716" spans="1:8" ht="13.5" x14ac:dyDescent="0.25">
      <c r="A1716" s="1"/>
      <c r="B1716" s="3">
        <v>44804</v>
      </c>
      <c r="C1716" s="4">
        <v>2.09</v>
      </c>
      <c r="D1716" s="4">
        <v>2.09</v>
      </c>
      <c r="E1716" s="4">
        <v>3450</v>
      </c>
      <c r="F1716" s="4">
        <v>2.09</v>
      </c>
      <c r="G1716" s="4">
        <v>7210.5</v>
      </c>
      <c r="H1716" s="5">
        <f t="shared" si="26"/>
        <v>-4.7619047619048716E-3</v>
      </c>
    </row>
    <row r="1717" spans="1:8" ht="13.5" x14ac:dyDescent="0.25">
      <c r="A1717" s="1"/>
      <c r="B1717" s="3">
        <v>44805</v>
      </c>
      <c r="C1717" s="4">
        <v>2.08</v>
      </c>
      <c r="D1717" s="4">
        <v>2.08</v>
      </c>
      <c r="E1717" s="4">
        <v>8950</v>
      </c>
      <c r="F1717" s="4">
        <v>2.08</v>
      </c>
      <c r="G1717" s="4">
        <v>18616</v>
      </c>
      <c r="H1717" s="5">
        <f t="shared" si="26"/>
        <v>-4.7846889952152093E-3</v>
      </c>
    </row>
    <row r="1718" spans="1:8" ht="13.5" x14ac:dyDescent="0.25">
      <c r="A1718" s="1"/>
      <c r="B1718" s="3">
        <v>44806</v>
      </c>
      <c r="C1718" s="4">
        <v>2.08</v>
      </c>
      <c r="D1718" s="4">
        <v>2.08</v>
      </c>
      <c r="E1718" s="4">
        <v>8842</v>
      </c>
      <c r="F1718" s="4">
        <v>2.08</v>
      </c>
      <c r="G1718" s="4">
        <v>18391.36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2.09</v>
      </c>
      <c r="D1719" s="4">
        <v>2.09</v>
      </c>
      <c r="E1719" s="4">
        <v>24248</v>
      </c>
      <c r="F1719" s="4">
        <v>2.09</v>
      </c>
      <c r="G1719" s="4">
        <v>50678.32</v>
      </c>
      <c r="H1719" s="5">
        <f t="shared" si="26"/>
        <v>4.8076923076922047E-3</v>
      </c>
    </row>
    <row r="1720" spans="1:8" ht="13.5" x14ac:dyDescent="0.25">
      <c r="A1720" s="1"/>
      <c r="B1720" s="3">
        <v>44810</v>
      </c>
      <c r="C1720" s="4">
        <v>2.0299999999999998</v>
      </c>
      <c r="D1720" s="4">
        <v>2.0299999999999998</v>
      </c>
      <c r="E1720" s="4">
        <v>2170</v>
      </c>
      <c r="F1720" s="4">
        <v>2.0299999999999998</v>
      </c>
      <c r="G1720" s="4">
        <v>4405.1000000000004</v>
      </c>
      <c r="H1720" s="5">
        <f t="shared" si="26"/>
        <v>-2.8708133971291894E-2</v>
      </c>
    </row>
    <row r="1721" spans="1:8" ht="13.5" x14ac:dyDescent="0.25">
      <c r="A1721" s="1"/>
      <c r="B1721" s="3">
        <v>44811</v>
      </c>
      <c r="C1721" s="4">
        <v>2.0299999999999998</v>
      </c>
      <c r="D1721" s="4">
        <v>2.0299999999999998</v>
      </c>
      <c r="E1721" s="4">
        <v>1730</v>
      </c>
      <c r="F1721" s="4">
        <v>2.0299999999999998</v>
      </c>
      <c r="G1721" s="4">
        <v>3511.9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2.06</v>
      </c>
      <c r="D1722" s="4">
        <v>2.06</v>
      </c>
      <c r="E1722" s="4">
        <v>9100</v>
      </c>
      <c r="F1722" s="4">
        <v>2.06</v>
      </c>
      <c r="G1722" s="4">
        <v>18746</v>
      </c>
      <c r="H1722" s="5">
        <f t="shared" si="26"/>
        <v>1.4778325123152834E-2</v>
      </c>
    </row>
    <row r="1723" spans="1:8" ht="13.5" x14ac:dyDescent="0.25">
      <c r="A1723" s="1"/>
      <c r="B1723" s="3">
        <v>44813</v>
      </c>
      <c r="C1723" s="4">
        <v>2.06</v>
      </c>
      <c r="D1723" s="4">
        <v>2.06</v>
      </c>
      <c r="E1723" s="4">
        <v>6311</v>
      </c>
      <c r="F1723" s="4">
        <v>2.06</v>
      </c>
      <c r="G1723" s="4">
        <v>13000.66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2.1</v>
      </c>
      <c r="D1724" s="4">
        <v>2.1</v>
      </c>
      <c r="E1724" s="4">
        <v>465</v>
      </c>
      <c r="F1724" s="4">
        <v>2.1</v>
      </c>
      <c r="G1724" s="4">
        <v>976.5</v>
      </c>
      <c r="H1724" s="5">
        <f t="shared" si="26"/>
        <v>1.9417475728155355E-2</v>
      </c>
    </row>
    <row r="1725" spans="1:8" ht="13.5" x14ac:dyDescent="0.25">
      <c r="A1725" s="1"/>
      <c r="B1725" s="3">
        <v>44817</v>
      </c>
      <c r="C1725" s="4">
        <v>2.08</v>
      </c>
      <c r="D1725" s="4">
        <v>2.08</v>
      </c>
      <c r="E1725" s="4">
        <v>3236</v>
      </c>
      <c r="F1725" s="4">
        <v>2.08</v>
      </c>
      <c r="G1725" s="4">
        <v>6730.88</v>
      </c>
      <c r="H1725" s="5">
        <f t="shared" si="26"/>
        <v>-9.5238095238095316E-3</v>
      </c>
    </row>
    <row r="1726" spans="1:8" ht="13.5" x14ac:dyDescent="0.25">
      <c r="A1726" s="1"/>
      <c r="B1726" s="3">
        <v>44818</v>
      </c>
      <c r="C1726" s="4">
        <v>2.08</v>
      </c>
      <c r="D1726" s="4">
        <v>2.08</v>
      </c>
      <c r="E1726" s="4">
        <v>1600</v>
      </c>
      <c r="F1726" s="4">
        <v>2.08</v>
      </c>
      <c r="G1726" s="4">
        <v>3328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2.0699999999999998</v>
      </c>
      <c r="D1727" s="4">
        <v>2.0699999999999998</v>
      </c>
      <c r="E1727" s="4">
        <v>12316</v>
      </c>
      <c r="F1727" s="4">
        <v>2.0699999999999998</v>
      </c>
      <c r="G1727" s="4">
        <v>25494.12</v>
      </c>
      <c r="H1727" s="5">
        <f t="shared" si="26"/>
        <v>-4.807692307692419E-3</v>
      </c>
    </row>
    <row r="1728" spans="1:8" ht="13.5" x14ac:dyDescent="0.25">
      <c r="A1728" s="1"/>
      <c r="B1728" s="3">
        <v>44820</v>
      </c>
      <c r="C1728" s="4">
        <v>2.0499999999999998</v>
      </c>
      <c r="D1728" s="4">
        <v>2.0499999999999998</v>
      </c>
      <c r="E1728" s="4">
        <v>2620</v>
      </c>
      <c r="F1728" s="4">
        <v>2.0499999999999998</v>
      </c>
      <c r="G1728" s="4">
        <v>5371</v>
      </c>
      <c r="H1728" s="5">
        <f t="shared" si="26"/>
        <v>-9.6618357487922805E-3</v>
      </c>
    </row>
    <row r="1729" spans="1:8" ht="13.5" x14ac:dyDescent="0.25">
      <c r="A1729" s="1"/>
      <c r="B1729" s="3">
        <v>44823</v>
      </c>
      <c r="C1729" s="4">
        <v>2.0499999999999998</v>
      </c>
      <c r="D1729" s="4">
        <v>2.0499999999999998</v>
      </c>
      <c r="E1729" s="4">
        <v>3708</v>
      </c>
      <c r="F1729" s="4">
        <v>2.0499999999999998</v>
      </c>
      <c r="G1729" s="4">
        <v>7601.4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2.08</v>
      </c>
      <c r="D1730" s="4">
        <v>2.08</v>
      </c>
      <c r="E1730" s="4">
        <v>11112</v>
      </c>
      <c r="F1730" s="4">
        <v>2.08</v>
      </c>
      <c r="G1730" s="4">
        <v>23112.959999999999</v>
      </c>
      <c r="H1730" s="5">
        <f t="shared" si="26"/>
        <v>1.4634146341463537E-2</v>
      </c>
    </row>
    <row r="1731" spans="1:8" ht="13.5" x14ac:dyDescent="0.25">
      <c r="A1731" s="1"/>
      <c r="B1731" s="3">
        <v>44825</v>
      </c>
      <c r="C1731" s="4">
        <v>2.08</v>
      </c>
      <c r="D1731" s="4">
        <v>2.08</v>
      </c>
      <c r="E1731" s="4">
        <v>12718</v>
      </c>
      <c r="F1731" s="4">
        <v>2.08</v>
      </c>
      <c r="G1731" s="4">
        <v>26453.439999999999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2.02</v>
      </c>
      <c r="D1732" s="4">
        <v>2.02</v>
      </c>
      <c r="E1732" s="4">
        <v>14710</v>
      </c>
      <c r="F1732" s="4">
        <v>2.02</v>
      </c>
      <c r="G1732" s="4">
        <v>29714.2</v>
      </c>
      <c r="H1732" s="5">
        <f t="shared" si="26"/>
        <v>-2.8846153846153872E-2</v>
      </c>
    </row>
    <row r="1733" spans="1:8" ht="13.5" x14ac:dyDescent="0.25">
      <c r="A1733" s="1"/>
      <c r="B1733" s="3">
        <v>44827</v>
      </c>
      <c r="C1733" s="4">
        <v>2.02</v>
      </c>
      <c r="D1733" s="4">
        <v>2.02</v>
      </c>
      <c r="E1733" s="4">
        <v>12345</v>
      </c>
      <c r="F1733" s="4">
        <v>2.02</v>
      </c>
      <c r="G1733" s="4">
        <v>24936.9</v>
      </c>
      <c r="H1733" s="5">
        <f t="shared" si="26"/>
        <v>0</v>
      </c>
    </row>
    <row r="1734" spans="1:8" ht="13.5" x14ac:dyDescent="0.25">
      <c r="A1734" s="1"/>
      <c r="B1734" s="3">
        <v>44830</v>
      </c>
      <c r="C1734" s="4">
        <v>2.02</v>
      </c>
      <c r="D1734" s="4">
        <v>2.02</v>
      </c>
      <c r="E1734" s="4">
        <v>8989</v>
      </c>
      <c r="F1734" s="4">
        <v>2.02</v>
      </c>
      <c r="G1734" s="4">
        <v>18157.78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2.0099999999999998</v>
      </c>
      <c r="D1735" s="4">
        <v>2.0099999999999998</v>
      </c>
      <c r="E1735" s="4">
        <v>5420</v>
      </c>
      <c r="F1735" s="4">
        <v>2.0099999999999998</v>
      </c>
      <c r="G1735" s="4">
        <v>10894.2</v>
      </c>
      <c r="H1735" s="5">
        <f t="shared" ref="H1735:H1798" si="27">(D1735-D1734)/D1734</f>
        <v>-4.950495049505065E-3</v>
      </c>
    </row>
    <row r="1736" spans="1:8" ht="13.5" x14ac:dyDescent="0.25">
      <c r="A1736" s="1"/>
      <c r="B1736" s="3">
        <v>44832</v>
      </c>
      <c r="C1736" s="4">
        <v>2</v>
      </c>
      <c r="D1736" s="4">
        <v>2</v>
      </c>
      <c r="E1736" s="4">
        <v>18569</v>
      </c>
      <c r="F1736" s="4">
        <v>2</v>
      </c>
      <c r="G1736" s="4">
        <v>37138</v>
      </c>
      <c r="H1736" s="5">
        <f t="shared" si="27"/>
        <v>-4.9751243781093468E-3</v>
      </c>
    </row>
    <row r="1737" spans="1:8" ht="13.5" x14ac:dyDescent="0.25">
      <c r="A1737" s="1"/>
      <c r="B1737" s="3">
        <v>44833</v>
      </c>
      <c r="C1737" s="4">
        <v>2</v>
      </c>
      <c r="D1737" s="4">
        <v>2</v>
      </c>
      <c r="E1737" s="4">
        <v>15418</v>
      </c>
      <c r="F1737" s="4">
        <v>2</v>
      </c>
      <c r="G1737" s="4">
        <v>30836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2</v>
      </c>
      <c r="D1738" s="4">
        <v>2</v>
      </c>
      <c r="E1738" s="4">
        <v>694</v>
      </c>
      <c r="F1738" s="4">
        <v>2</v>
      </c>
      <c r="G1738" s="4">
        <v>1388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2.0099999999999998</v>
      </c>
      <c r="D1739" s="4">
        <v>2.0099999999999998</v>
      </c>
      <c r="E1739" s="4">
        <v>2957</v>
      </c>
      <c r="F1739" s="4">
        <v>2.0099999999999998</v>
      </c>
      <c r="G1739" s="4">
        <v>5943.57</v>
      </c>
      <c r="H1739" s="5">
        <f t="shared" si="27"/>
        <v>4.9999999999998934E-3</v>
      </c>
    </row>
    <row r="1740" spans="1:8" ht="13.5" x14ac:dyDescent="0.25">
      <c r="A1740" s="1"/>
      <c r="B1740" s="3">
        <v>44838</v>
      </c>
      <c r="C1740" s="4">
        <v>2.0699999999999998</v>
      </c>
      <c r="D1740" s="4">
        <v>2.0699999999999998</v>
      </c>
      <c r="E1740" s="4">
        <v>0</v>
      </c>
      <c r="F1740" s="4">
        <v>0</v>
      </c>
      <c r="G1740" s="4">
        <v>0</v>
      </c>
      <c r="H1740" s="5">
        <f t="shared" si="27"/>
        <v>2.9850746268656747E-2</v>
      </c>
    </row>
    <row r="1741" spans="1:8" ht="13.5" x14ac:dyDescent="0.25">
      <c r="A1741" s="1"/>
      <c r="B1741" s="3">
        <v>44839</v>
      </c>
      <c r="C1741" s="4">
        <v>2.12</v>
      </c>
      <c r="D1741" s="4">
        <v>2.12</v>
      </c>
      <c r="E1741" s="4">
        <v>7513</v>
      </c>
      <c r="F1741" s="4">
        <v>2.12</v>
      </c>
      <c r="G1741" s="4">
        <v>15927.56</v>
      </c>
      <c r="H1741" s="5">
        <f t="shared" si="27"/>
        <v>2.4154589371980808E-2</v>
      </c>
    </row>
    <row r="1742" spans="1:8" ht="13.5" x14ac:dyDescent="0.25">
      <c r="A1742" s="1"/>
      <c r="B1742" s="3">
        <v>44840</v>
      </c>
      <c r="C1742" s="4">
        <v>2.11</v>
      </c>
      <c r="D1742" s="4">
        <v>2.11</v>
      </c>
      <c r="E1742" s="4">
        <v>885</v>
      </c>
      <c r="F1742" s="4">
        <v>2.11</v>
      </c>
      <c r="G1742" s="4">
        <v>1867.35</v>
      </c>
      <c r="H1742" s="5">
        <f t="shared" si="27"/>
        <v>-4.7169811320755808E-3</v>
      </c>
    </row>
    <row r="1743" spans="1:8" ht="13.5" x14ac:dyDescent="0.25">
      <c r="A1743" s="1"/>
      <c r="B1743" s="3">
        <v>44841</v>
      </c>
      <c r="C1743" s="4">
        <v>2.1</v>
      </c>
      <c r="D1743" s="4">
        <v>2.1</v>
      </c>
      <c r="E1743" s="4">
        <v>1530</v>
      </c>
      <c r="F1743" s="4">
        <v>2.1</v>
      </c>
      <c r="G1743" s="4">
        <v>3213</v>
      </c>
      <c r="H1743" s="5">
        <f t="shared" si="27"/>
        <v>-4.7393364928908941E-3</v>
      </c>
    </row>
    <row r="1744" spans="1:8" ht="13.5" x14ac:dyDescent="0.25">
      <c r="A1744" s="1"/>
      <c r="B1744" s="3">
        <v>44844</v>
      </c>
      <c r="C1744" s="4">
        <v>2.1</v>
      </c>
      <c r="D1744" s="4">
        <v>2.1</v>
      </c>
      <c r="E1744" s="4">
        <v>1000</v>
      </c>
      <c r="F1744" s="4">
        <v>2.1</v>
      </c>
      <c r="G1744" s="4">
        <v>2100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2.09</v>
      </c>
      <c r="D1745" s="4">
        <v>2.09</v>
      </c>
      <c r="E1745" s="4">
        <v>515</v>
      </c>
      <c r="F1745" s="4">
        <v>2.09</v>
      </c>
      <c r="G1745" s="4">
        <v>1076.3499999999999</v>
      </c>
      <c r="H1745" s="5">
        <f t="shared" si="27"/>
        <v>-4.7619047619048716E-3</v>
      </c>
    </row>
    <row r="1746" spans="1:8" ht="13.5" x14ac:dyDescent="0.25">
      <c r="A1746" s="1"/>
      <c r="B1746" s="3">
        <v>44846</v>
      </c>
      <c r="C1746" s="4">
        <v>2.0299999999999998</v>
      </c>
      <c r="D1746" s="4">
        <v>2.0299999999999998</v>
      </c>
      <c r="E1746" s="4">
        <v>8360</v>
      </c>
      <c r="F1746" s="4">
        <v>2.0299999999999998</v>
      </c>
      <c r="G1746" s="4">
        <v>16970.8</v>
      </c>
      <c r="H1746" s="5">
        <f t="shared" si="27"/>
        <v>-2.8708133971291894E-2</v>
      </c>
    </row>
    <row r="1747" spans="1:8" ht="13.5" x14ac:dyDescent="0.25">
      <c r="A1747" s="1"/>
      <c r="B1747" s="3">
        <v>44847</v>
      </c>
      <c r="C1747" s="4">
        <v>2.0299999999999998</v>
      </c>
      <c r="D1747" s="4">
        <v>2.0299999999999998</v>
      </c>
      <c r="E1747" s="4">
        <v>12400</v>
      </c>
      <c r="F1747" s="4">
        <v>2.0299999999999998</v>
      </c>
      <c r="G1747" s="4">
        <v>25172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2.08</v>
      </c>
      <c r="D1748" s="4">
        <v>2.08</v>
      </c>
      <c r="E1748" s="4">
        <v>8995</v>
      </c>
      <c r="F1748" s="4">
        <v>2.08</v>
      </c>
      <c r="G1748" s="4">
        <v>18709.599999999999</v>
      </c>
      <c r="H1748" s="5">
        <f t="shared" si="27"/>
        <v>2.4630541871921315E-2</v>
      </c>
    </row>
    <row r="1749" spans="1:8" ht="13.5" x14ac:dyDescent="0.25">
      <c r="A1749" s="1"/>
      <c r="B1749" s="3">
        <v>44851</v>
      </c>
      <c r="C1749" s="4">
        <v>2.08</v>
      </c>
      <c r="D1749" s="4">
        <v>2.08</v>
      </c>
      <c r="E1749" s="4">
        <v>5563</v>
      </c>
      <c r="F1749" s="4">
        <v>2.08</v>
      </c>
      <c r="G1749" s="4">
        <v>11571.04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2.08</v>
      </c>
      <c r="D1750" s="4">
        <v>2.08</v>
      </c>
      <c r="E1750" s="4">
        <v>8879</v>
      </c>
      <c r="F1750" s="4">
        <v>2.08</v>
      </c>
      <c r="G1750" s="4">
        <v>18468.32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2.09</v>
      </c>
      <c r="D1751" s="4">
        <v>2.09</v>
      </c>
      <c r="E1751" s="4">
        <v>3772</v>
      </c>
      <c r="F1751" s="4">
        <v>2.09</v>
      </c>
      <c r="G1751" s="4">
        <v>7883.48</v>
      </c>
      <c r="H1751" s="5">
        <f t="shared" si="27"/>
        <v>4.8076923076922047E-3</v>
      </c>
    </row>
    <row r="1752" spans="1:8" ht="13.5" x14ac:dyDescent="0.25">
      <c r="A1752" s="1"/>
      <c r="B1752" s="3">
        <v>44854</v>
      </c>
      <c r="C1752" s="4">
        <v>2.1</v>
      </c>
      <c r="D1752" s="4">
        <v>2.1</v>
      </c>
      <c r="E1752" s="4">
        <v>17328</v>
      </c>
      <c r="F1752" s="4">
        <v>2.1</v>
      </c>
      <c r="G1752" s="4">
        <v>36388.800000000003</v>
      </c>
      <c r="H1752" s="5">
        <f t="shared" si="27"/>
        <v>4.7846889952154218E-3</v>
      </c>
    </row>
    <row r="1753" spans="1:8" ht="13.5" x14ac:dyDescent="0.25">
      <c r="A1753" s="1"/>
      <c r="B1753" s="3">
        <v>44855</v>
      </c>
      <c r="C1753" s="4">
        <v>2.1</v>
      </c>
      <c r="D1753" s="4">
        <v>2.1</v>
      </c>
      <c r="E1753" s="4">
        <v>29572</v>
      </c>
      <c r="F1753" s="4">
        <v>2.1</v>
      </c>
      <c r="G1753" s="4">
        <v>62101.2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2.1</v>
      </c>
      <c r="D1754" s="4">
        <v>2.1</v>
      </c>
      <c r="E1754" s="4">
        <v>20526</v>
      </c>
      <c r="F1754" s="4">
        <v>2.1</v>
      </c>
      <c r="G1754" s="4">
        <v>43104.6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2.1</v>
      </c>
      <c r="D1755" s="4">
        <v>2.1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2.09</v>
      </c>
      <c r="D1756" s="4">
        <v>2.09</v>
      </c>
      <c r="E1756" s="4">
        <v>1650</v>
      </c>
      <c r="F1756" s="4">
        <v>2.09</v>
      </c>
      <c r="G1756" s="4">
        <v>3448.5</v>
      </c>
      <c r="H1756" s="5">
        <f t="shared" si="27"/>
        <v>-4.7619047619048716E-3</v>
      </c>
    </row>
    <row r="1757" spans="1:8" ht="13.5" x14ac:dyDescent="0.25">
      <c r="A1757" s="1"/>
      <c r="B1757" s="3">
        <v>44861</v>
      </c>
      <c r="C1757" s="4">
        <v>2.08</v>
      </c>
      <c r="D1757" s="4">
        <v>2.08</v>
      </c>
      <c r="E1757" s="4">
        <v>890</v>
      </c>
      <c r="F1757" s="4">
        <v>2.08</v>
      </c>
      <c r="G1757" s="4">
        <v>1851.2</v>
      </c>
      <c r="H1757" s="5">
        <f t="shared" si="27"/>
        <v>-4.7846889952152093E-3</v>
      </c>
    </row>
    <row r="1758" spans="1:8" ht="13.5" x14ac:dyDescent="0.25">
      <c r="A1758" s="1"/>
      <c r="B1758" s="3">
        <v>44862</v>
      </c>
      <c r="C1758" s="4">
        <v>2.08</v>
      </c>
      <c r="D1758" s="4">
        <v>2.08</v>
      </c>
      <c r="E1758" s="4">
        <v>5580</v>
      </c>
      <c r="F1758" s="4">
        <v>2.08</v>
      </c>
      <c r="G1758" s="4">
        <v>11606.4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2.08</v>
      </c>
      <c r="D1759" s="4">
        <v>2.08</v>
      </c>
      <c r="E1759" s="4">
        <v>500</v>
      </c>
      <c r="F1759" s="4">
        <v>2.08</v>
      </c>
      <c r="G1759" s="4">
        <v>1040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2.02</v>
      </c>
      <c r="D1760" s="4">
        <v>2.02</v>
      </c>
      <c r="E1760" s="4">
        <v>0</v>
      </c>
      <c r="F1760" s="4">
        <v>0</v>
      </c>
      <c r="G1760" s="4">
        <v>0</v>
      </c>
      <c r="H1760" s="5">
        <f t="shared" si="27"/>
        <v>-2.8846153846153872E-2</v>
      </c>
    </row>
    <row r="1761" spans="1:8" ht="13.5" x14ac:dyDescent="0.25">
      <c r="A1761" s="1"/>
      <c r="B1761" s="3">
        <v>44867</v>
      </c>
      <c r="C1761" s="4">
        <v>2.02</v>
      </c>
      <c r="D1761" s="4">
        <v>2.02</v>
      </c>
      <c r="E1761" s="4">
        <v>7585</v>
      </c>
      <c r="F1761" s="4">
        <v>2.02</v>
      </c>
      <c r="G1761" s="4">
        <v>15321.7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2.0299999999999998</v>
      </c>
      <c r="D1762" s="4">
        <v>2.0299999999999998</v>
      </c>
      <c r="E1762" s="4">
        <v>3480</v>
      </c>
      <c r="F1762" s="4">
        <v>2.0299999999999998</v>
      </c>
      <c r="G1762" s="4">
        <v>7064.4</v>
      </c>
      <c r="H1762" s="5">
        <f t="shared" si="27"/>
        <v>4.9504950495048447E-3</v>
      </c>
    </row>
    <row r="1763" spans="1:8" ht="13.5" x14ac:dyDescent="0.25">
      <c r="A1763" s="1"/>
      <c r="B1763" s="3">
        <v>44869</v>
      </c>
      <c r="C1763" s="4">
        <v>2.0299999999999998</v>
      </c>
      <c r="D1763" s="4">
        <v>2.0299999999999998</v>
      </c>
      <c r="E1763" s="4">
        <v>2271</v>
      </c>
      <c r="F1763" s="4">
        <v>2.0299999999999998</v>
      </c>
      <c r="G1763" s="4">
        <v>4610.13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2.02</v>
      </c>
      <c r="D1764" s="4">
        <v>2.02</v>
      </c>
      <c r="E1764" s="4">
        <v>6500</v>
      </c>
      <c r="F1764" s="4">
        <v>2.02</v>
      </c>
      <c r="G1764" s="4">
        <v>13130</v>
      </c>
      <c r="H1764" s="5">
        <f t="shared" si="27"/>
        <v>-4.9261083743841316E-3</v>
      </c>
    </row>
    <row r="1765" spans="1:8" ht="13.5" x14ac:dyDescent="0.25">
      <c r="A1765" s="1"/>
      <c r="B1765" s="3">
        <v>44873</v>
      </c>
      <c r="C1765" s="4">
        <v>2.0099999999999998</v>
      </c>
      <c r="D1765" s="4">
        <v>2.0099999999999998</v>
      </c>
      <c r="E1765" s="4">
        <v>500</v>
      </c>
      <c r="F1765" s="4">
        <v>2.0099999999999998</v>
      </c>
      <c r="G1765" s="4">
        <v>1005</v>
      </c>
      <c r="H1765" s="5">
        <f t="shared" si="27"/>
        <v>-4.950495049505065E-3</v>
      </c>
    </row>
    <row r="1766" spans="1:8" ht="13.5" x14ac:dyDescent="0.25">
      <c r="A1766" s="1"/>
      <c r="B1766" s="3">
        <v>44874</v>
      </c>
      <c r="C1766" s="4">
        <v>2.0099999999999998</v>
      </c>
      <c r="D1766" s="4">
        <v>2.0099999999999998</v>
      </c>
      <c r="E1766" s="4">
        <v>5555</v>
      </c>
      <c r="F1766" s="4">
        <v>2.0099999999999998</v>
      </c>
      <c r="G1766" s="4">
        <v>11165.55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2.0099999999999998</v>
      </c>
      <c r="D1767" s="4">
        <v>2.0099999999999998</v>
      </c>
      <c r="E1767" s="4">
        <v>3190</v>
      </c>
      <c r="F1767" s="4">
        <v>2.0099999999999998</v>
      </c>
      <c r="G1767" s="4">
        <v>6411.9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2.0099999999999998</v>
      </c>
      <c r="D1768" s="4">
        <v>2.0099999999999998</v>
      </c>
      <c r="E1768" s="4">
        <v>2450</v>
      </c>
      <c r="F1768" s="4">
        <v>2.0099999999999998</v>
      </c>
      <c r="G1768" s="4">
        <v>4924.5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2.0299999999999998</v>
      </c>
      <c r="D1769" s="4">
        <v>2.0299999999999998</v>
      </c>
      <c r="E1769" s="4">
        <v>11360</v>
      </c>
      <c r="F1769" s="4">
        <v>2.0299999999999998</v>
      </c>
      <c r="G1769" s="4">
        <v>23060.799999999999</v>
      </c>
      <c r="H1769" s="5">
        <f t="shared" si="27"/>
        <v>9.9502487562189157E-3</v>
      </c>
    </row>
    <row r="1770" spans="1:8" ht="13.5" x14ac:dyDescent="0.25">
      <c r="A1770" s="1"/>
      <c r="B1770" s="3">
        <v>44880</v>
      </c>
      <c r="C1770" s="4">
        <v>2</v>
      </c>
      <c r="D1770" s="4">
        <v>2</v>
      </c>
      <c r="E1770" s="4">
        <v>9550</v>
      </c>
      <c r="F1770" s="4">
        <v>2</v>
      </c>
      <c r="G1770" s="4">
        <v>19100</v>
      </c>
      <c r="H1770" s="5">
        <f t="shared" si="27"/>
        <v>-1.4778325123152615E-2</v>
      </c>
    </row>
    <row r="1771" spans="1:8" ht="13.5" x14ac:dyDescent="0.25">
      <c r="A1771" s="1"/>
      <c r="B1771" s="3">
        <v>44881</v>
      </c>
      <c r="C1771" s="4">
        <v>2</v>
      </c>
      <c r="D1771" s="4">
        <v>2</v>
      </c>
      <c r="E1771" s="4">
        <v>4000</v>
      </c>
      <c r="F1771" s="4">
        <v>2</v>
      </c>
      <c r="G1771" s="4">
        <v>8000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2</v>
      </c>
      <c r="D1772" s="4">
        <v>2</v>
      </c>
      <c r="E1772" s="4">
        <v>1282</v>
      </c>
      <c r="F1772" s="4">
        <v>2</v>
      </c>
      <c r="G1772" s="4">
        <v>2564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2</v>
      </c>
      <c r="D1773" s="4">
        <v>2</v>
      </c>
      <c r="E1773" s="4">
        <v>4985</v>
      </c>
      <c r="F1773" s="4">
        <v>2</v>
      </c>
      <c r="G1773" s="4">
        <v>9970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2</v>
      </c>
      <c r="D1774" s="4">
        <v>2</v>
      </c>
      <c r="E1774" s="4">
        <v>3369</v>
      </c>
      <c r="F1774" s="4">
        <v>2</v>
      </c>
      <c r="G1774" s="4">
        <v>6738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2</v>
      </c>
      <c r="D1775" s="4">
        <v>2</v>
      </c>
      <c r="E1775" s="4">
        <v>214</v>
      </c>
      <c r="F1775" s="4">
        <v>2</v>
      </c>
      <c r="G1775" s="4">
        <v>428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2.06</v>
      </c>
      <c r="D1776" s="4">
        <v>2.06</v>
      </c>
      <c r="E1776" s="4">
        <v>2000</v>
      </c>
      <c r="F1776" s="4">
        <v>2.06</v>
      </c>
      <c r="G1776" s="4">
        <v>4120</v>
      </c>
      <c r="H1776" s="5">
        <f t="shared" si="27"/>
        <v>3.0000000000000027E-2</v>
      </c>
    </row>
    <row r="1777" spans="1:8" ht="13.5" x14ac:dyDescent="0.25">
      <c r="A1777" s="1"/>
      <c r="B1777" s="3">
        <v>44889</v>
      </c>
      <c r="C1777" s="4">
        <v>2.06</v>
      </c>
      <c r="D1777" s="4">
        <v>2.06</v>
      </c>
      <c r="E1777" s="4">
        <v>0</v>
      </c>
      <c r="F1777" s="4">
        <v>0</v>
      </c>
      <c r="G1777" s="4">
        <v>0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2.06</v>
      </c>
      <c r="D1778" s="4">
        <v>2.06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2.06</v>
      </c>
      <c r="D1779" s="4">
        <v>2.06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2.06</v>
      </c>
      <c r="D1780" s="4">
        <v>2.06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2</v>
      </c>
      <c r="D1781" s="4">
        <v>2</v>
      </c>
      <c r="E1781" s="4">
        <v>0</v>
      </c>
      <c r="F1781" s="4">
        <v>0</v>
      </c>
      <c r="G1781" s="4">
        <v>0</v>
      </c>
      <c r="H1781" s="5">
        <f t="shared" si="27"/>
        <v>-2.9126213592233035E-2</v>
      </c>
    </row>
    <row r="1782" spans="1:8" ht="13.5" x14ac:dyDescent="0.25">
      <c r="A1782" s="1"/>
      <c r="B1782" s="3">
        <v>44896</v>
      </c>
      <c r="C1782" s="4">
        <v>1.95</v>
      </c>
      <c r="D1782" s="4">
        <v>1.95</v>
      </c>
      <c r="E1782" s="4">
        <v>7100</v>
      </c>
      <c r="F1782" s="4">
        <v>1.95</v>
      </c>
      <c r="G1782" s="4">
        <v>13845</v>
      </c>
      <c r="H1782" s="5">
        <f t="shared" si="27"/>
        <v>-2.5000000000000022E-2</v>
      </c>
    </row>
    <row r="1783" spans="1:8" ht="13.5" x14ac:dyDescent="0.25">
      <c r="A1783" s="1"/>
      <c r="B1783" s="3">
        <v>44897</v>
      </c>
      <c r="C1783" s="4">
        <v>1.95</v>
      </c>
      <c r="D1783" s="4">
        <v>1.95</v>
      </c>
      <c r="E1783" s="4">
        <v>780</v>
      </c>
      <c r="F1783" s="4">
        <v>1.95</v>
      </c>
      <c r="G1783" s="4">
        <v>1521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1.95</v>
      </c>
      <c r="D1784" s="4">
        <v>1.95</v>
      </c>
      <c r="E1784" s="4">
        <v>42</v>
      </c>
      <c r="F1784" s="4">
        <v>1.95</v>
      </c>
      <c r="G1784" s="4">
        <v>81.900000000000006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1.9</v>
      </c>
      <c r="D1785" s="4">
        <v>1.9</v>
      </c>
      <c r="E1785" s="4">
        <v>7254</v>
      </c>
      <c r="F1785" s="4">
        <v>1.9</v>
      </c>
      <c r="G1785" s="4">
        <v>13782.6</v>
      </c>
      <c r="H1785" s="5">
        <f t="shared" si="27"/>
        <v>-2.5641025641025664E-2</v>
      </c>
    </row>
    <row r="1786" spans="1:8" ht="13.5" x14ac:dyDescent="0.25">
      <c r="A1786" s="1"/>
      <c r="B1786" s="3">
        <v>44902</v>
      </c>
      <c r="C1786" s="4">
        <v>1.9</v>
      </c>
      <c r="D1786" s="4">
        <v>1.9</v>
      </c>
      <c r="E1786" s="4">
        <v>4088</v>
      </c>
      <c r="F1786" s="4">
        <v>1.9</v>
      </c>
      <c r="G1786" s="4">
        <v>7767.2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1.95</v>
      </c>
      <c r="D1787" s="4">
        <v>1.95</v>
      </c>
      <c r="E1787" s="4">
        <v>200</v>
      </c>
      <c r="F1787" s="4">
        <v>1.95</v>
      </c>
      <c r="G1787" s="4">
        <v>390</v>
      </c>
      <c r="H1787" s="5">
        <f t="shared" si="27"/>
        <v>2.6315789473684237E-2</v>
      </c>
    </row>
    <row r="1788" spans="1:8" ht="13.5" x14ac:dyDescent="0.25">
      <c r="A1788" s="1"/>
      <c r="B1788" s="3">
        <v>44904</v>
      </c>
      <c r="C1788" s="4">
        <v>1.95</v>
      </c>
      <c r="D1788" s="4">
        <v>1.95</v>
      </c>
      <c r="E1788" s="4">
        <v>600</v>
      </c>
      <c r="F1788" s="4">
        <v>1.95</v>
      </c>
      <c r="G1788" s="4">
        <v>1170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1.98</v>
      </c>
      <c r="D1789" s="4">
        <v>1.98</v>
      </c>
      <c r="E1789" s="4">
        <v>105</v>
      </c>
      <c r="F1789" s="4">
        <v>1.98</v>
      </c>
      <c r="G1789" s="4">
        <v>207.9</v>
      </c>
      <c r="H1789" s="5">
        <f t="shared" si="27"/>
        <v>1.5384615384615399E-2</v>
      </c>
    </row>
    <row r="1790" spans="1:8" ht="13.5" x14ac:dyDescent="0.25">
      <c r="A1790" s="1"/>
      <c r="B1790" s="3">
        <v>44908</v>
      </c>
      <c r="C1790" s="4">
        <v>1.93</v>
      </c>
      <c r="D1790" s="4">
        <v>1.93</v>
      </c>
      <c r="E1790" s="4">
        <v>0</v>
      </c>
      <c r="F1790" s="4">
        <v>0</v>
      </c>
      <c r="G1790" s="4">
        <v>0</v>
      </c>
      <c r="H1790" s="5">
        <f t="shared" si="27"/>
        <v>-2.5252525252525276E-2</v>
      </c>
    </row>
    <row r="1791" spans="1:8" ht="13.5" x14ac:dyDescent="0.25">
      <c r="A1791" s="1"/>
      <c r="B1791" s="3">
        <v>44909</v>
      </c>
      <c r="C1791" s="4">
        <v>1.91</v>
      </c>
      <c r="D1791" s="4">
        <v>1.91</v>
      </c>
      <c r="E1791" s="4">
        <v>5154</v>
      </c>
      <c r="F1791" s="4">
        <v>1.91</v>
      </c>
      <c r="G1791" s="4">
        <v>9844.14</v>
      </c>
      <c r="H1791" s="5">
        <f t="shared" si="27"/>
        <v>-1.0362694300518144E-2</v>
      </c>
    </row>
    <row r="1792" spans="1:8" ht="13.5" x14ac:dyDescent="0.25">
      <c r="A1792" s="1"/>
      <c r="B1792" s="3">
        <v>44910</v>
      </c>
      <c r="C1792" s="4">
        <v>1.9</v>
      </c>
      <c r="D1792" s="4">
        <v>1.9</v>
      </c>
      <c r="E1792" s="4">
        <v>5070</v>
      </c>
      <c r="F1792" s="4">
        <v>1.9</v>
      </c>
      <c r="G1792" s="4">
        <v>9633</v>
      </c>
      <c r="H1792" s="5">
        <f t="shared" si="27"/>
        <v>-5.2356020942408424E-3</v>
      </c>
    </row>
    <row r="1793" spans="1:8" ht="13.5" x14ac:dyDescent="0.25">
      <c r="A1793" s="1"/>
      <c r="B1793" s="3">
        <v>44911</v>
      </c>
      <c r="C1793" s="4">
        <v>1.9</v>
      </c>
      <c r="D1793" s="4">
        <v>1.9</v>
      </c>
      <c r="E1793" s="4">
        <v>50700</v>
      </c>
      <c r="F1793" s="4">
        <v>1.9</v>
      </c>
      <c r="G1793" s="4">
        <v>96330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1.94</v>
      </c>
      <c r="D1794" s="4">
        <v>1.94</v>
      </c>
      <c r="E1794" s="4">
        <v>100</v>
      </c>
      <c r="F1794" s="4">
        <v>1.94</v>
      </c>
      <c r="G1794" s="4">
        <v>194</v>
      </c>
      <c r="H1794" s="5">
        <f t="shared" si="27"/>
        <v>2.1052631578947389E-2</v>
      </c>
    </row>
    <row r="1795" spans="1:8" ht="13.5" x14ac:dyDescent="0.25">
      <c r="A1795" s="1"/>
      <c r="B1795" s="3">
        <v>44915</v>
      </c>
      <c r="C1795" s="4">
        <v>1.9</v>
      </c>
      <c r="D1795" s="4">
        <v>1.9</v>
      </c>
      <c r="E1795" s="4">
        <v>40384</v>
      </c>
      <c r="F1795" s="4">
        <v>1.9</v>
      </c>
      <c r="G1795" s="4">
        <v>76729.600000000006</v>
      </c>
      <c r="H1795" s="5">
        <f t="shared" si="27"/>
        <v>-2.0618556701030948E-2</v>
      </c>
    </row>
    <row r="1796" spans="1:8" ht="13.5" x14ac:dyDescent="0.25">
      <c r="A1796" s="1"/>
      <c r="B1796" s="3">
        <v>44916</v>
      </c>
      <c r="C1796" s="4">
        <v>1.95</v>
      </c>
      <c r="D1796" s="4">
        <v>1.95</v>
      </c>
      <c r="E1796" s="4">
        <v>1000</v>
      </c>
      <c r="F1796" s="4">
        <v>1.95</v>
      </c>
      <c r="G1796" s="4">
        <v>1950</v>
      </c>
      <c r="H1796" s="5">
        <f t="shared" si="27"/>
        <v>2.6315789473684237E-2</v>
      </c>
    </row>
    <row r="1797" spans="1:8" ht="13.5" x14ac:dyDescent="0.25">
      <c r="A1797" s="1"/>
      <c r="B1797" s="3">
        <v>44917</v>
      </c>
      <c r="C1797" s="4">
        <v>1.98</v>
      </c>
      <c r="D1797" s="4">
        <v>1.98</v>
      </c>
      <c r="E1797" s="4">
        <v>1000</v>
      </c>
      <c r="F1797" s="4">
        <v>1.98</v>
      </c>
      <c r="G1797" s="4">
        <v>1980</v>
      </c>
      <c r="H1797" s="5">
        <f t="shared" si="27"/>
        <v>1.5384615384615399E-2</v>
      </c>
    </row>
    <row r="1798" spans="1:8" ht="13.5" x14ac:dyDescent="0.25">
      <c r="A1798" s="1"/>
      <c r="B1798" s="3">
        <v>44918</v>
      </c>
      <c r="C1798" s="4">
        <v>1.99</v>
      </c>
      <c r="D1798" s="4">
        <v>1.99</v>
      </c>
      <c r="E1798" s="4">
        <v>2900</v>
      </c>
      <c r="F1798" s="4">
        <v>1.99</v>
      </c>
      <c r="G1798" s="4">
        <v>5771</v>
      </c>
      <c r="H1798" s="5">
        <f t="shared" si="27"/>
        <v>5.0505050505050553E-3</v>
      </c>
    </row>
    <row r="1799" spans="1:8" ht="13.5" x14ac:dyDescent="0.25">
      <c r="A1799" s="1"/>
      <c r="B1799" s="3">
        <v>44921</v>
      </c>
      <c r="C1799" s="4">
        <v>1.97</v>
      </c>
      <c r="D1799" s="4">
        <v>1.97</v>
      </c>
      <c r="E1799" s="4">
        <v>6300</v>
      </c>
      <c r="F1799" s="4">
        <v>1.97</v>
      </c>
      <c r="G1799" s="4">
        <v>12411</v>
      </c>
      <c r="H1799" s="5">
        <f t="shared" ref="H1799:H1862" si="28">(D1799-D1798)/D1798</f>
        <v>-1.0050251256281416E-2</v>
      </c>
    </row>
    <row r="1800" spans="1:8" ht="13.5" x14ac:dyDescent="0.25">
      <c r="A1800" s="1"/>
      <c r="B1800" s="3">
        <v>44922</v>
      </c>
      <c r="C1800" s="4">
        <v>1.92</v>
      </c>
      <c r="D1800" s="4">
        <v>1.92</v>
      </c>
      <c r="E1800" s="4">
        <v>9325</v>
      </c>
      <c r="F1800" s="4">
        <v>1.92</v>
      </c>
      <c r="G1800" s="4">
        <v>17904</v>
      </c>
      <c r="H1800" s="5">
        <f t="shared" si="28"/>
        <v>-2.5380710659898501E-2</v>
      </c>
    </row>
    <row r="1801" spans="1:8" ht="13.5" x14ac:dyDescent="0.25">
      <c r="A1801" s="1"/>
      <c r="B1801" s="3">
        <v>44923</v>
      </c>
      <c r="C1801" s="4">
        <v>1.95</v>
      </c>
      <c r="D1801" s="4">
        <v>1.95</v>
      </c>
      <c r="E1801" s="4">
        <v>17267</v>
      </c>
      <c r="F1801" s="4">
        <v>1.95</v>
      </c>
      <c r="G1801" s="4">
        <v>33670.65</v>
      </c>
      <c r="H1801" s="5">
        <f t="shared" si="28"/>
        <v>1.5625000000000014E-2</v>
      </c>
    </row>
    <row r="1802" spans="1:8" ht="13.5" x14ac:dyDescent="0.25">
      <c r="A1802" s="1"/>
      <c r="B1802" s="3">
        <v>44924</v>
      </c>
      <c r="C1802" s="4">
        <v>1.97</v>
      </c>
      <c r="D1802" s="4">
        <v>1.97</v>
      </c>
      <c r="E1802" s="4">
        <v>11945</v>
      </c>
      <c r="F1802" s="4">
        <v>1.97</v>
      </c>
      <c r="G1802" s="4">
        <v>23531.65</v>
      </c>
      <c r="H1802" s="5">
        <f t="shared" si="28"/>
        <v>1.0256410256410265E-2</v>
      </c>
    </row>
    <row r="1803" spans="1:8" ht="13.5" x14ac:dyDescent="0.25">
      <c r="A1803" s="1"/>
      <c r="B1803" s="3">
        <v>44925</v>
      </c>
      <c r="C1803" s="4">
        <v>2.02</v>
      </c>
      <c r="D1803" s="4">
        <v>2.02</v>
      </c>
      <c r="E1803" s="4">
        <v>0</v>
      </c>
      <c r="F1803" s="4">
        <v>0</v>
      </c>
      <c r="G1803" s="4">
        <v>0</v>
      </c>
      <c r="H1803" s="5">
        <f t="shared" si="28"/>
        <v>2.5380710659898501E-2</v>
      </c>
    </row>
    <row r="1804" spans="1:8" ht="13.5" x14ac:dyDescent="0.25">
      <c r="A1804" s="1"/>
      <c r="B1804" s="3">
        <v>44928</v>
      </c>
      <c r="C1804" s="4">
        <v>1.96</v>
      </c>
      <c r="D1804" s="4">
        <v>1.96</v>
      </c>
      <c r="E1804" s="4">
        <v>0</v>
      </c>
      <c r="F1804" s="4">
        <v>0</v>
      </c>
      <c r="G1804" s="4">
        <v>0</v>
      </c>
      <c r="H1804" s="5">
        <f t="shared" si="28"/>
        <v>-2.9702970297029729E-2</v>
      </c>
    </row>
    <row r="1805" spans="1:8" ht="13.5" x14ac:dyDescent="0.25">
      <c r="A1805" s="1"/>
      <c r="B1805" s="3">
        <v>44929</v>
      </c>
      <c r="C1805" s="4">
        <v>1.91</v>
      </c>
      <c r="D1805" s="4">
        <v>1.91</v>
      </c>
      <c r="E1805" s="4">
        <v>7218</v>
      </c>
      <c r="F1805" s="4">
        <v>1.91</v>
      </c>
      <c r="G1805" s="4">
        <v>13786.38</v>
      </c>
      <c r="H1805" s="5">
        <f t="shared" si="28"/>
        <v>-2.5510204081632678E-2</v>
      </c>
    </row>
    <row r="1806" spans="1:8" ht="13.5" x14ac:dyDescent="0.25">
      <c r="A1806" s="1"/>
      <c r="B1806" s="3">
        <v>44930</v>
      </c>
      <c r="C1806" s="4">
        <v>1.9</v>
      </c>
      <c r="D1806" s="4">
        <v>1.9</v>
      </c>
      <c r="E1806" s="4">
        <v>17210</v>
      </c>
      <c r="F1806" s="4">
        <v>1.9</v>
      </c>
      <c r="G1806" s="4">
        <v>32699</v>
      </c>
      <c r="H1806" s="5">
        <f t="shared" si="28"/>
        <v>-5.2356020942408424E-3</v>
      </c>
    </row>
    <row r="1807" spans="1:8" ht="13.5" x14ac:dyDescent="0.25">
      <c r="A1807" s="1"/>
      <c r="B1807" s="3">
        <v>44931</v>
      </c>
      <c r="C1807" s="4">
        <v>1.9</v>
      </c>
      <c r="D1807" s="4">
        <v>1.9</v>
      </c>
      <c r="E1807" s="4">
        <v>11380</v>
      </c>
      <c r="F1807" s="4">
        <v>1.9</v>
      </c>
      <c r="G1807" s="4">
        <v>21622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1.87</v>
      </c>
      <c r="D1808" s="4">
        <v>1.87</v>
      </c>
      <c r="E1808" s="4">
        <v>21843</v>
      </c>
      <c r="F1808" s="4">
        <v>1.87</v>
      </c>
      <c r="G1808" s="4">
        <v>40846.410000000003</v>
      </c>
      <c r="H1808" s="5">
        <f t="shared" si="28"/>
        <v>-1.5789473684210423E-2</v>
      </c>
    </row>
    <row r="1809" spans="1:8" ht="13.5" x14ac:dyDescent="0.25">
      <c r="A1809" s="1"/>
      <c r="B1809" s="3">
        <v>44935</v>
      </c>
      <c r="C1809" s="4">
        <v>1.9</v>
      </c>
      <c r="D1809" s="4">
        <v>1.9</v>
      </c>
      <c r="E1809" s="4">
        <v>3025</v>
      </c>
      <c r="F1809" s="4">
        <v>1.9</v>
      </c>
      <c r="G1809" s="4">
        <v>5747.5</v>
      </c>
      <c r="H1809" s="5">
        <f t="shared" si="28"/>
        <v>1.6042780748662996E-2</v>
      </c>
    </row>
    <row r="1810" spans="1:8" ht="13.5" x14ac:dyDescent="0.25">
      <c r="A1810" s="1"/>
      <c r="B1810" s="3">
        <v>44936</v>
      </c>
      <c r="C1810" s="4">
        <v>1.9</v>
      </c>
      <c r="D1810" s="4">
        <v>1.9</v>
      </c>
      <c r="E1810" s="4">
        <v>5000</v>
      </c>
      <c r="F1810" s="4">
        <v>1.9</v>
      </c>
      <c r="G1810" s="4">
        <v>9500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1.85</v>
      </c>
      <c r="D1811" s="4">
        <v>1.85</v>
      </c>
      <c r="E1811" s="4">
        <v>19062</v>
      </c>
      <c r="F1811" s="4">
        <v>1.85</v>
      </c>
      <c r="G1811" s="4">
        <v>35264.699999999997</v>
      </c>
      <c r="H1811" s="5">
        <f t="shared" si="28"/>
        <v>-2.6315789473684119E-2</v>
      </c>
    </row>
    <row r="1812" spans="1:8" ht="13.5" x14ac:dyDescent="0.25">
      <c r="A1812" s="1"/>
      <c r="B1812" s="3">
        <v>44938</v>
      </c>
      <c r="C1812" s="4">
        <v>1.85</v>
      </c>
      <c r="D1812" s="4">
        <v>1.85</v>
      </c>
      <c r="E1812" s="4">
        <v>6611</v>
      </c>
      <c r="F1812" s="4">
        <v>1.85</v>
      </c>
      <c r="G1812" s="4">
        <v>12230.35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1.85</v>
      </c>
      <c r="D1813" s="4">
        <v>1.85</v>
      </c>
      <c r="E1813" s="4">
        <v>9710</v>
      </c>
      <c r="F1813" s="4">
        <v>1.85</v>
      </c>
      <c r="G1813" s="4">
        <v>17963.5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1.9</v>
      </c>
      <c r="D1814" s="4">
        <v>1.9</v>
      </c>
      <c r="E1814" s="4">
        <v>2600</v>
      </c>
      <c r="F1814" s="4">
        <v>1.9</v>
      </c>
      <c r="G1814" s="4">
        <v>4940</v>
      </c>
      <c r="H1814" s="5">
        <f t="shared" si="28"/>
        <v>2.7027027027026931E-2</v>
      </c>
    </row>
    <row r="1815" spans="1:8" ht="13.5" x14ac:dyDescent="0.25">
      <c r="A1815" s="1"/>
      <c r="B1815" s="3">
        <v>44943</v>
      </c>
      <c r="C1815" s="4">
        <v>1.85</v>
      </c>
      <c r="D1815" s="4">
        <v>1.85</v>
      </c>
      <c r="E1815" s="4">
        <v>5869</v>
      </c>
      <c r="F1815" s="4">
        <v>1.85</v>
      </c>
      <c r="G1815" s="4">
        <v>10857.65</v>
      </c>
      <c r="H1815" s="5">
        <f t="shared" si="28"/>
        <v>-2.6315789473684119E-2</v>
      </c>
    </row>
    <row r="1816" spans="1:8" ht="13.5" x14ac:dyDescent="0.25">
      <c r="A1816" s="1"/>
      <c r="B1816" s="3">
        <v>44944</v>
      </c>
      <c r="C1816" s="4">
        <v>1.8</v>
      </c>
      <c r="D1816" s="4">
        <v>1.8</v>
      </c>
      <c r="E1816" s="4">
        <v>9765</v>
      </c>
      <c r="F1816" s="4">
        <v>1.8</v>
      </c>
      <c r="G1816" s="4">
        <v>17577</v>
      </c>
      <c r="H1816" s="5">
        <f t="shared" si="28"/>
        <v>-2.7027027027027049E-2</v>
      </c>
    </row>
    <row r="1817" spans="1:8" ht="13.5" x14ac:dyDescent="0.25">
      <c r="A1817" s="1"/>
      <c r="B1817" s="3">
        <v>44945</v>
      </c>
      <c r="C1817" s="4">
        <v>1.8</v>
      </c>
      <c r="D1817" s="4">
        <v>1.8</v>
      </c>
      <c r="E1817" s="4">
        <v>5083</v>
      </c>
      <c r="F1817" s="4">
        <v>1.8</v>
      </c>
      <c r="G1817" s="4">
        <v>9149.4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1.85</v>
      </c>
      <c r="D1818" s="4">
        <v>1.85</v>
      </c>
      <c r="E1818" s="4">
        <v>14100</v>
      </c>
      <c r="F1818" s="4">
        <v>1.85</v>
      </c>
      <c r="G1818" s="4">
        <v>26085</v>
      </c>
      <c r="H1818" s="5">
        <f t="shared" si="28"/>
        <v>2.7777777777777801E-2</v>
      </c>
    </row>
    <row r="1819" spans="1:8" ht="13.5" x14ac:dyDescent="0.25">
      <c r="A1819" s="1"/>
      <c r="B1819" s="3">
        <v>44949</v>
      </c>
      <c r="C1819" s="4">
        <v>1.8</v>
      </c>
      <c r="D1819" s="4">
        <v>1.8</v>
      </c>
      <c r="E1819" s="4">
        <v>5530</v>
      </c>
      <c r="F1819" s="4">
        <v>1.8</v>
      </c>
      <c r="G1819" s="4">
        <v>9954</v>
      </c>
      <c r="H1819" s="5">
        <f t="shared" si="28"/>
        <v>-2.7027027027027049E-2</v>
      </c>
    </row>
    <row r="1820" spans="1:8" ht="13.5" x14ac:dyDescent="0.25">
      <c r="A1820" s="1"/>
      <c r="B1820" s="3">
        <v>44950</v>
      </c>
      <c r="C1820" s="4">
        <v>1.8</v>
      </c>
      <c r="D1820" s="4">
        <v>1.8</v>
      </c>
      <c r="E1820" s="4">
        <v>7647</v>
      </c>
      <c r="F1820" s="4">
        <v>1.8</v>
      </c>
      <c r="G1820" s="4">
        <v>13764.6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1.8</v>
      </c>
      <c r="D1821" s="4">
        <v>1.8</v>
      </c>
      <c r="E1821" s="4">
        <v>8382</v>
      </c>
      <c r="F1821" s="4">
        <v>1.8</v>
      </c>
      <c r="G1821" s="4">
        <v>15087.6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1.85</v>
      </c>
      <c r="D1822" s="4">
        <v>1.85</v>
      </c>
      <c r="E1822" s="4">
        <v>500</v>
      </c>
      <c r="F1822" s="4">
        <v>1.85</v>
      </c>
      <c r="G1822" s="4">
        <v>925</v>
      </c>
      <c r="H1822" s="5">
        <f t="shared" si="28"/>
        <v>2.7777777777777801E-2</v>
      </c>
    </row>
    <row r="1823" spans="1:8" ht="13.5" x14ac:dyDescent="0.25">
      <c r="A1823" s="1"/>
      <c r="B1823" s="3">
        <v>44953</v>
      </c>
      <c r="C1823" s="4">
        <v>1.85</v>
      </c>
      <c r="D1823" s="4">
        <v>1.85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1.85</v>
      </c>
      <c r="D1824" s="4">
        <v>1.85</v>
      </c>
      <c r="E1824" s="4">
        <v>3150</v>
      </c>
      <c r="F1824" s="4">
        <v>1.85</v>
      </c>
      <c r="G1824" s="4">
        <v>5827.5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1.85</v>
      </c>
      <c r="D1825" s="4">
        <v>1.85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1.8</v>
      </c>
      <c r="D1826" s="4">
        <v>1.8</v>
      </c>
      <c r="E1826" s="4">
        <v>2666</v>
      </c>
      <c r="F1826" s="4">
        <v>1.8</v>
      </c>
      <c r="G1826" s="4">
        <v>4798.8</v>
      </c>
      <c r="H1826" s="5">
        <f t="shared" si="28"/>
        <v>-2.7027027027027049E-2</v>
      </c>
    </row>
    <row r="1827" spans="1:8" ht="13.5" x14ac:dyDescent="0.25">
      <c r="A1827" s="1"/>
      <c r="B1827" s="3">
        <v>44959</v>
      </c>
      <c r="C1827" s="4">
        <v>1.75</v>
      </c>
      <c r="D1827" s="4">
        <v>1.75</v>
      </c>
      <c r="E1827" s="4">
        <v>4803</v>
      </c>
      <c r="F1827" s="4">
        <v>1.75</v>
      </c>
      <c r="G1827" s="4">
        <v>8405.25</v>
      </c>
      <c r="H1827" s="5">
        <f t="shared" si="28"/>
        <v>-2.7777777777777801E-2</v>
      </c>
    </row>
    <row r="1828" spans="1:8" ht="13.5" x14ac:dyDescent="0.25">
      <c r="A1828" s="1"/>
      <c r="B1828" s="3">
        <v>44960</v>
      </c>
      <c r="C1828" s="4">
        <v>1.8</v>
      </c>
      <c r="D1828" s="4">
        <v>1.8</v>
      </c>
      <c r="E1828" s="4">
        <v>1300</v>
      </c>
      <c r="F1828" s="4">
        <v>1.8</v>
      </c>
      <c r="G1828" s="4">
        <v>2340</v>
      </c>
      <c r="H1828" s="5">
        <f t="shared" si="28"/>
        <v>2.8571428571428598E-2</v>
      </c>
    </row>
    <row r="1829" spans="1:8" ht="13.5" x14ac:dyDescent="0.25">
      <c r="A1829" s="1"/>
      <c r="B1829" s="3">
        <v>44963</v>
      </c>
      <c r="C1829" s="4">
        <v>1.8</v>
      </c>
      <c r="D1829" s="4">
        <v>1.8</v>
      </c>
      <c r="E1829" s="4">
        <v>2600</v>
      </c>
      <c r="F1829" s="4">
        <v>1.8</v>
      </c>
      <c r="G1829" s="4">
        <v>4680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1.8</v>
      </c>
      <c r="D1830" s="4">
        <v>1.8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1.75</v>
      </c>
      <c r="D1831" s="4">
        <v>1.75</v>
      </c>
      <c r="E1831" s="4">
        <v>12860</v>
      </c>
      <c r="F1831" s="4">
        <v>1.75</v>
      </c>
      <c r="G1831" s="4">
        <v>22505</v>
      </c>
      <c r="H1831" s="5">
        <f t="shared" si="28"/>
        <v>-2.7777777777777801E-2</v>
      </c>
    </row>
    <row r="1832" spans="1:8" ht="13.5" x14ac:dyDescent="0.25">
      <c r="A1832" s="1"/>
      <c r="B1832" s="3">
        <v>44966</v>
      </c>
      <c r="C1832" s="4">
        <v>1.78</v>
      </c>
      <c r="D1832" s="4">
        <v>1.78</v>
      </c>
      <c r="E1832" s="4">
        <v>50</v>
      </c>
      <c r="F1832" s="4">
        <v>1.78</v>
      </c>
      <c r="G1832" s="4">
        <v>89</v>
      </c>
      <c r="H1832" s="5">
        <f t="shared" si="28"/>
        <v>1.7142857142857158E-2</v>
      </c>
    </row>
    <row r="1833" spans="1:8" ht="13.5" x14ac:dyDescent="0.25">
      <c r="A1833" s="1"/>
      <c r="B1833" s="3">
        <v>44967</v>
      </c>
      <c r="C1833" s="4">
        <v>1.75</v>
      </c>
      <c r="D1833" s="4">
        <v>1.75</v>
      </c>
      <c r="E1833" s="4">
        <v>3594</v>
      </c>
      <c r="F1833" s="4">
        <v>1.75</v>
      </c>
      <c r="G1833" s="4">
        <v>6289.5</v>
      </c>
      <c r="H1833" s="5">
        <f t="shared" si="28"/>
        <v>-1.6853932584269676E-2</v>
      </c>
    </row>
    <row r="1834" spans="1:8" ht="13.5" x14ac:dyDescent="0.25">
      <c r="A1834" s="1"/>
      <c r="B1834" s="3">
        <v>44970</v>
      </c>
      <c r="C1834" s="4">
        <v>1.75</v>
      </c>
      <c r="D1834" s="4">
        <v>1.75</v>
      </c>
      <c r="E1834" s="4">
        <v>1869</v>
      </c>
      <c r="F1834" s="4">
        <v>1.75</v>
      </c>
      <c r="G1834" s="4">
        <v>3270.75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1.75</v>
      </c>
      <c r="D1835" s="4">
        <v>1.75</v>
      </c>
      <c r="E1835" s="4">
        <v>2185</v>
      </c>
      <c r="F1835" s="4">
        <v>1.75</v>
      </c>
      <c r="G1835" s="4">
        <v>3823.75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1.75</v>
      </c>
      <c r="D1836" s="4">
        <v>1.75</v>
      </c>
      <c r="E1836" s="4">
        <v>7644</v>
      </c>
      <c r="F1836" s="4">
        <v>1.75</v>
      </c>
      <c r="G1836" s="4">
        <v>13377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1.74</v>
      </c>
      <c r="D1837" s="4">
        <v>1.74</v>
      </c>
      <c r="E1837" s="4">
        <v>15223</v>
      </c>
      <c r="F1837" s="4">
        <v>1.74</v>
      </c>
      <c r="G1837" s="4">
        <v>26488.02</v>
      </c>
      <c r="H1837" s="5">
        <f t="shared" si="28"/>
        <v>-5.7142857142857195E-3</v>
      </c>
    </row>
    <row r="1838" spans="1:8" ht="13.5" x14ac:dyDescent="0.25">
      <c r="A1838" s="1"/>
      <c r="B1838" s="3">
        <v>44974</v>
      </c>
      <c r="C1838" s="4">
        <v>1.75</v>
      </c>
      <c r="D1838" s="4">
        <v>1.75</v>
      </c>
      <c r="E1838" s="4">
        <v>1460</v>
      </c>
      <c r="F1838" s="4">
        <v>1.75</v>
      </c>
      <c r="G1838" s="4">
        <v>2555</v>
      </c>
      <c r="H1838" s="5">
        <f t="shared" si="28"/>
        <v>5.7471264367816143E-3</v>
      </c>
    </row>
    <row r="1839" spans="1:8" ht="13.5" x14ac:dyDescent="0.25">
      <c r="A1839" s="1"/>
      <c r="B1839" s="3">
        <v>44977</v>
      </c>
      <c r="C1839" s="4">
        <v>1.75</v>
      </c>
      <c r="D1839" s="4">
        <v>1.75</v>
      </c>
      <c r="E1839" s="4">
        <v>3692</v>
      </c>
      <c r="F1839" s="4">
        <v>1.75</v>
      </c>
      <c r="G1839" s="4">
        <v>6461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1.73</v>
      </c>
      <c r="D1840" s="4">
        <v>1.73</v>
      </c>
      <c r="E1840" s="4">
        <v>3930</v>
      </c>
      <c r="F1840" s="4">
        <v>1.73</v>
      </c>
      <c r="G1840" s="4">
        <v>6798.9</v>
      </c>
      <c r="H1840" s="5">
        <f t="shared" si="28"/>
        <v>-1.1428571428571439E-2</v>
      </c>
    </row>
    <row r="1841" spans="1:8" ht="13.5" x14ac:dyDescent="0.25">
      <c r="A1841" s="1"/>
      <c r="B1841" s="3">
        <v>44979</v>
      </c>
      <c r="C1841" s="4">
        <v>1.75</v>
      </c>
      <c r="D1841" s="4">
        <v>1.75</v>
      </c>
      <c r="E1841" s="4">
        <v>50</v>
      </c>
      <c r="F1841" s="4">
        <v>1.75</v>
      </c>
      <c r="G1841" s="4">
        <v>87.5</v>
      </c>
      <c r="H1841" s="5">
        <f t="shared" si="28"/>
        <v>1.1560693641618507E-2</v>
      </c>
    </row>
    <row r="1842" spans="1:8" ht="13.5" x14ac:dyDescent="0.25">
      <c r="A1842" s="1"/>
      <c r="B1842" s="3">
        <v>44980</v>
      </c>
      <c r="C1842" s="4">
        <v>1.74</v>
      </c>
      <c r="D1842" s="4">
        <v>1.74</v>
      </c>
      <c r="E1842" s="4">
        <v>2200</v>
      </c>
      <c r="F1842" s="4">
        <v>1.74</v>
      </c>
      <c r="G1842" s="4">
        <v>3828</v>
      </c>
      <c r="H1842" s="5">
        <f t="shared" si="28"/>
        <v>-5.7142857142857195E-3</v>
      </c>
    </row>
    <row r="1843" spans="1:8" ht="13.5" x14ac:dyDescent="0.25">
      <c r="A1843" s="1"/>
      <c r="B1843" s="3">
        <v>44981</v>
      </c>
      <c r="C1843" s="4">
        <v>1.73</v>
      </c>
      <c r="D1843" s="4">
        <v>1.73</v>
      </c>
      <c r="E1843" s="4">
        <v>13950</v>
      </c>
      <c r="F1843" s="4">
        <v>1.73</v>
      </c>
      <c r="G1843" s="4">
        <v>24133.5</v>
      </c>
      <c r="H1843" s="5">
        <f t="shared" si="28"/>
        <v>-5.7471264367816143E-3</v>
      </c>
    </row>
    <row r="1844" spans="1:8" ht="13.5" x14ac:dyDescent="0.25">
      <c r="A1844" s="1"/>
      <c r="B1844" s="3">
        <v>44984</v>
      </c>
      <c r="C1844" s="4">
        <v>1.72</v>
      </c>
      <c r="D1844" s="4">
        <v>1.72</v>
      </c>
      <c r="E1844" s="4">
        <v>2428</v>
      </c>
      <c r="F1844" s="4">
        <v>1.72</v>
      </c>
      <c r="G1844" s="4">
        <v>4176.16</v>
      </c>
      <c r="H1844" s="5">
        <f t="shared" si="28"/>
        <v>-5.7803468208092535E-3</v>
      </c>
    </row>
    <row r="1845" spans="1:8" ht="13.5" x14ac:dyDescent="0.25">
      <c r="A1845" s="1"/>
      <c r="B1845" s="3">
        <v>44985</v>
      </c>
      <c r="C1845" s="4">
        <v>1.7</v>
      </c>
      <c r="D1845" s="4">
        <v>1.7</v>
      </c>
      <c r="E1845" s="4">
        <v>10912</v>
      </c>
      <c r="F1845" s="4">
        <v>1.7</v>
      </c>
      <c r="G1845" s="4">
        <v>18550.400000000001</v>
      </c>
      <c r="H1845" s="5">
        <f t="shared" si="28"/>
        <v>-1.1627906976744196E-2</v>
      </c>
    </row>
    <row r="1846" spans="1:8" ht="13.5" x14ac:dyDescent="0.25">
      <c r="A1846" s="1"/>
      <c r="B1846" s="3">
        <v>44986</v>
      </c>
      <c r="C1846" s="4">
        <v>1.67</v>
      </c>
      <c r="D1846" s="4">
        <v>1.67</v>
      </c>
      <c r="E1846" s="4">
        <v>8354</v>
      </c>
      <c r="F1846" s="4">
        <v>1.67</v>
      </c>
      <c r="G1846" s="4">
        <v>13951.18</v>
      </c>
      <c r="H1846" s="5">
        <f t="shared" si="28"/>
        <v>-1.7647058823529429E-2</v>
      </c>
    </row>
    <row r="1847" spans="1:8" ht="13.5" x14ac:dyDescent="0.25">
      <c r="A1847" s="1"/>
      <c r="B1847" s="3">
        <v>44987</v>
      </c>
      <c r="C1847" s="4">
        <v>1.69</v>
      </c>
      <c r="D1847" s="4">
        <v>1.69</v>
      </c>
      <c r="E1847" s="4">
        <v>100</v>
      </c>
      <c r="F1847" s="4">
        <v>1.69</v>
      </c>
      <c r="G1847" s="4">
        <v>169</v>
      </c>
      <c r="H1847" s="5">
        <f t="shared" si="28"/>
        <v>1.1976047904191628E-2</v>
      </c>
    </row>
    <row r="1848" spans="1:8" ht="13.5" x14ac:dyDescent="0.25">
      <c r="A1848" s="1"/>
      <c r="B1848" s="3">
        <v>44988</v>
      </c>
      <c r="C1848" s="4">
        <v>1.68</v>
      </c>
      <c r="D1848" s="4">
        <v>1.68</v>
      </c>
      <c r="E1848" s="4">
        <v>9773</v>
      </c>
      <c r="F1848" s="4">
        <v>1.68</v>
      </c>
      <c r="G1848" s="4">
        <v>16418.64</v>
      </c>
      <c r="H1848" s="5">
        <f t="shared" si="28"/>
        <v>-5.9171597633136145E-3</v>
      </c>
    </row>
    <row r="1849" spans="1:8" ht="13.5" x14ac:dyDescent="0.25">
      <c r="A1849" s="1"/>
      <c r="B1849" s="3">
        <v>44991</v>
      </c>
      <c r="C1849" s="4">
        <v>1.7</v>
      </c>
      <c r="D1849" s="4">
        <v>1.7</v>
      </c>
      <c r="E1849" s="4">
        <v>1461</v>
      </c>
      <c r="F1849" s="4">
        <v>1.7</v>
      </c>
      <c r="G1849" s="4">
        <v>2483.6999999999998</v>
      </c>
      <c r="H1849" s="5">
        <f t="shared" si="28"/>
        <v>1.1904761904761916E-2</v>
      </c>
    </row>
    <row r="1850" spans="1:8" ht="13.5" x14ac:dyDescent="0.25">
      <c r="A1850" s="1"/>
      <c r="B1850" s="3">
        <v>44992</v>
      </c>
      <c r="C1850" s="4">
        <v>1.74</v>
      </c>
      <c r="D1850" s="4">
        <v>1.74</v>
      </c>
      <c r="E1850" s="4">
        <v>2178</v>
      </c>
      <c r="F1850" s="4">
        <v>1.74</v>
      </c>
      <c r="G1850" s="4">
        <v>3789.72</v>
      </c>
      <c r="H1850" s="5">
        <f t="shared" si="28"/>
        <v>2.3529411764705903E-2</v>
      </c>
    </row>
    <row r="1851" spans="1:8" ht="13.5" x14ac:dyDescent="0.25">
      <c r="A1851" s="1"/>
      <c r="B1851" s="3">
        <v>44993</v>
      </c>
      <c r="C1851" s="4">
        <v>1.74</v>
      </c>
      <c r="D1851" s="4">
        <v>1.74</v>
      </c>
      <c r="E1851" s="4">
        <v>7110</v>
      </c>
      <c r="F1851" s="4">
        <v>1.74</v>
      </c>
      <c r="G1851" s="4">
        <v>12371.4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1.73</v>
      </c>
      <c r="D1852" s="4">
        <v>1.73</v>
      </c>
      <c r="E1852" s="4">
        <v>3100</v>
      </c>
      <c r="F1852" s="4">
        <v>1.73</v>
      </c>
      <c r="G1852" s="4">
        <v>5363</v>
      </c>
      <c r="H1852" s="5">
        <f t="shared" si="28"/>
        <v>-5.7471264367816143E-3</v>
      </c>
    </row>
    <row r="1853" spans="1:8" ht="13.5" x14ac:dyDescent="0.25">
      <c r="A1853" s="1"/>
      <c r="B1853" s="3">
        <v>44995</v>
      </c>
      <c r="C1853" s="4">
        <v>1.72</v>
      </c>
      <c r="D1853" s="4">
        <v>1.72</v>
      </c>
      <c r="E1853" s="4">
        <v>2041</v>
      </c>
      <c r="F1853" s="4">
        <v>1.72</v>
      </c>
      <c r="G1853" s="4">
        <v>3510.52</v>
      </c>
      <c r="H1853" s="5">
        <f t="shared" si="28"/>
        <v>-5.7803468208092535E-3</v>
      </c>
    </row>
    <row r="1854" spans="1:8" ht="13.5" x14ac:dyDescent="0.25">
      <c r="A1854" s="1"/>
      <c r="B1854" s="3">
        <v>44998</v>
      </c>
      <c r="C1854" s="4">
        <v>1.7</v>
      </c>
      <c r="D1854" s="4">
        <v>1.7</v>
      </c>
      <c r="E1854" s="4">
        <v>2211</v>
      </c>
      <c r="F1854" s="4">
        <v>1.7</v>
      </c>
      <c r="G1854" s="4">
        <v>3758.7</v>
      </c>
      <c r="H1854" s="5">
        <f t="shared" si="28"/>
        <v>-1.1627906976744196E-2</v>
      </c>
    </row>
    <row r="1855" spans="1:8" ht="13.5" x14ac:dyDescent="0.25">
      <c r="A1855" s="1"/>
      <c r="B1855" s="3">
        <v>44999</v>
      </c>
      <c r="C1855" s="4">
        <v>1.65</v>
      </c>
      <c r="D1855" s="4">
        <v>1.65</v>
      </c>
      <c r="E1855" s="4">
        <v>14688</v>
      </c>
      <c r="F1855" s="4">
        <v>1.65</v>
      </c>
      <c r="G1855" s="4">
        <v>24235.200000000001</v>
      </c>
      <c r="H1855" s="5">
        <f t="shared" si="28"/>
        <v>-2.941176470588238E-2</v>
      </c>
    </row>
    <row r="1856" spans="1:8" ht="13.5" x14ac:dyDescent="0.25">
      <c r="A1856" s="1"/>
      <c r="B1856" s="3">
        <v>45000</v>
      </c>
      <c r="C1856" s="4">
        <v>1.64</v>
      </c>
      <c r="D1856" s="4">
        <v>1.64</v>
      </c>
      <c r="E1856" s="4">
        <v>4000</v>
      </c>
      <c r="F1856" s="4">
        <v>1.64</v>
      </c>
      <c r="G1856" s="4">
        <v>6560</v>
      </c>
      <c r="H1856" s="5">
        <f t="shared" si="28"/>
        <v>-6.0606060606060667E-3</v>
      </c>
    </row>
    <row r="1857" spans="1:8" ht="13.5" x14ac:dyDescent="0.25">
      <c r="A1857" s="1"/>
      <c r="B1857" s="3">
        <v>45001</v>
      </c>
      <c r="C1857" s="4">
        <v>1.65</v>
      </c>
      <c r="D1857" s="4">
        <v>1.65</v>
      </c>
      <c r="E1857" s="4">
        <v>1712</v>
      </c>
      <c r="F1857" s="4">
        <v>1.65</v>
      </c>
      <c r="G1857" s="4">
        <v>2824.8</v>
      </c>
      <c r="H1857" s="5">
        <f t="shared" si="28"/>
        <v>6.0975609756097615E-3</v>
      </c>
    </row>
    <row r="1858" spans="1:8" ht="13.5" x14ac:dyDescent="0.25">
      <c r="A1858" s="1"/>
      <c r="B1858" s="3">
        <v>45002</v>
      </c>
      <c r="C1858" s="4">
        <v>1.64</v>
      </c>
      <c r="D1858" s="4">
        <v>1.64</v>
      </c>
      <c r="E1858" s="4">
        <v>3758</v>
      </c>
      <c r="F1858" s="4">
        <v>1.64</v>
      </c>
      <c r="G1858" s="4">
        <v>6163.12</v>
      </c>
      <c r="H1858" s="5">
        <f t="shared" si="28"/>
        <v>-6.0606060606060667E-3</v>
      </c>
    </row>
    <row r="1859" spans="1:8" ht="13.5" x14ac:dyDescent="0.25">
      <c r="A1859" s="1"/>
      <c r="B1859" s="3">
        <v>45006</v>
      </c>
      <c r="C1859" s="4">
        <v>1.64</v>
      </c>
      <c r="D1859" s="4">
        <v>1.64</v>
      </c>
      <c r="E1859" s="4">
        <v>5085</v>
      </c>
      <c r="F1859" s="4">
        <v>1.64</v>
      </c>
      <c r="G1859" s="4">
        <v>8339.4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1.65</v>
      </c>
      <c r="D1860" s="4">
        <v>1.65</v>
      </c>
      <c r="E1860" s="4">
        <v>56</v>
      </c>
      <c r="F1860" s="4">
        <v>1.65</v>
      </c>
      <c r="G1860" s="4">
        <v>92.4</v>
      </c>
      <c r="H1860" s="5">
        <f t="shared" si="28"/>
        <v>6.0975609756097615E-3</v>
      </c>
    </row>
    <row r="1861" spans="1:8" ht="13.5" x14ac:dyDescent="0.25">
      <c r="A1861" s="1"/>
      <c r="B1861" s="3">
        <v>45008</v>
      </c>
      <c r="C1861" s="4">
        <v>1.65</v>
      </c>
      <c r="D1861" s="4">
        <v>1.65</v>
      </c>
      <c r="E1861" s="4">
        <v>1177</v>
      </c>
      <c r="F1861" s="4">
        <v>1.65</v>
      </c>
      <c r="G1861" s="4">
        <v>1942.05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1.65</v>
      </c>
      <c r="D1862" s="4">
        <v>1.65</v>
      </c>
      <c r="E1862" s="4">
        <v>1200</v>
      </c>
      <c r="F1862" s="4">
        <v>1.65</v>
      </c>
      <c r="G1862" s="4">
        <v>1980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1.61</v>
      </c>
      <c r="D1863" s="4">
        <v>1.61</v>
      </c>
      <c r="E1863" s="4">
        <v>3100</v>
      </c>
      <c r="F1863" s="4">
        <v>1.61</v>
      </c>
      <c r="G1863" s="4">
        <v>4991</v>
      </c>
      <c r="H1863" s="5">
        <f t="shared" ref="H1863:H1926" si="29">(D1863-D1862)/D1862</f>
        <v>-2.4242424242424131E-2</v>
      </c>
    </row>
    <row r="1864" spans="1:8" ht="13.5" x14ac:dyDescent="0.25">
      <c r="A1864" s="1"/>
      <c r="B1864" s="3">
        <v>45013</v>
      </c>
      <c r="C1864" s="4">
        <v>1.65</v>
      </c>
      <c r="D1864" s="4">
        <v>1.65</v>
      </c>
      <c r="E1864" s="4">
        <v>0</v>
      </c>
      <c r="F1864" s="4">
        <v>0</v>
      </c>
      <c r="G1864" s="4">
        <v>0</v>
      </c>
      <c r="H1864" s="5">
        <f t="shared" si="29"/>
        <v>2.4844720496894294E-2</v>
      </c>
    </row>
    <row r="1865" spans="1:8" ht="13.5" x14ac:dyDescent="0.25">
      <c r="A1865" s="1"/>
      <c r="B1865" s="3">
        <v>45014</v>
      </c>
      <c r="C1865" s="4">
        <v>1.63</v>
      </c>
      <c r="D1865" s="4">
        <v>1.63</v>
      </c>
      <c r="E1865" s="4">
        <v>750</v>
      </c>
      <c r="F1865" s="4">
        <v>1.63</v>
      </c>
      <c r="G1865" s="4">
        <v>1222.5</v>
      </c>
      <c r="H1865" s="5">
        <f t="shared" si="29"/>
        <v>-1.2121212121212133E-2</v>
      </c>
    </row>
    <row r="1866" spans="1:8" ht="13.5" x14ac:dyDescent="0.25">
      <c r="A1866" s="1"/>
      <c r="B1866" s="3">
        <v>45015</v>
      </c>
      <c r="C1866" s="4">
        <v>1.66</v>
      </c>
      <c r="D1866" s="4">
        <v>1.66</v>
      </c>
      <c r="E1866" s="4">
        <v>478</v>
      </c>
      <c r="F1866" s="4">
        <v>1.66</v>
      </c>
      <c r="G1866" s="4">
        <v>793.48</v>
      </c>
      <c r="H1866" s="5">
        <f t="shared" si="29"/>
        <v>1.8404907975460141E-2</v>
      </c>
    </row>
    <row r="1867" spans="1:8" ht="13.5" x14ac:dyDescent="0.25">
      <c r="A1867" s="1"/>
      <c r="B1867" s="3">
        <v>45016</v>
      </c>
      <c r="C1867" s="4">
        <v>1.7</v>
      </c>
      <c r="D1867" s="4">
        <v>1.7</v>
      </c>
      <c r="E1867" s="4">
        <v>1160</v>
      </c>
      <c r="F1867" s="4">
        <v>1.7</v>
      </c>
      <c r="G1867" s="4">
        <v>1972</v>
      </c>
      <c r="H1867" s="5">
        <f t="shared" si="29"/>
        <v>2.4096385542168697E-2</v>
      </c>
    </row>
    <row r="1868" spans="1:8" ht="13.5" x14ac:dyDescent="0.25">
      <c r="A1868" s="1"/>
      <c r="B1868" s="3">
        <v>45019</v>
      </c>
      <c r="C1868" s="4">
        <v>1.66</v>
      </c>
      <c r="D1868" s="4">
        <v>1.66</v>
      </c>
      <c r="E1868" s="4">
        <v>2125</v>
      </c>
      <c r="F1868" s="4">
        <v>1.66</v>
      </c>
      <c r="G1868" s="4">
        <v>3527.5</v>
      </c>
      <c r="H1868" s="5">
        <f t="shared" si="29"/>
        <v>-2.3529411764705903E-2</v>
      </c>
    </row>
    <row r="1869" spans="1:8" ht="13.5" x14ac:dyDescent="0.25">
      <c r="A1869" s="1"/>
      <c r="B1869" s="3">
        <v>45020</v>
      </c>
      <c r="C1869" s="4">
        <v>1.7</v>
      </c>
      <c r="D1869" s="4">
        <v>1.7</v>
      </c>
      <c r="E1869" s="4">
        <v>200</v>
      </c>
      <c r="F1869" s="4">
        <v>1.7</v>
      </c>
      <c r="G1869" s="4">
        <v>340</v>
      </c>
      <c r="H1869" s="5">
        <f t="shared" si="29"/>
        <v>2.4096385542168697E-2</v>
      </c>
    </row>
    <row r="1870" spans="1:8" ht="13.5" x14ac:dyDescent="0.25">
      <c r="A1870" s="1"/>
      <c r="B1870" s="3">
        <v>45021</v>
      </c>
      <c r="C1870" s="4">
        <v>1.73</v>
      </c>
      <c r="D1870" s="4">
        <v>1.73</v>
      </c>
      <c r="E1870" s="4">
        <v>650</v>
      </c>
      <c r="F1870" s="4">
        <v>1.73</v>
      </c>
      <c r="G1870" s="4">
        <v>1124.5</v>
      </c>
      <c r="H1870" s="5">
        <f t="shared" si="29"/>
        <v>1.7647058823529429E-2</v>
      </c>
    </row>
    <row r="1871" spans="1:8" ht="13.5" x14ac:dyDescent="0.25">
      <c r="A1871" s="1"/>
      <c r="B1871" s="3">
        <v>45022</v>
      </c>
      <c r="C1871" s="4">
        <v>1.73</v>
      </c>
      <c r="D1871" s="4">
        <v>1.73</v>
      </c>
      <c r="E1871" s="4">
        <v>5000</v>
      </c>
      <c r="F1871" s="4">
        <v>1.73</v>
      </c>
      <c r="G1871" s="4">
        <v>8650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1.74</v>
      </c>
      <c r="D1872" s="4">
        <v>1.74</v>
      </c>
      <c r="E1872" s="4">
        <v>1970</v>
      </c>
      <c r="F1872" s="4">
        <v>1.74</v>
      </c>
      <c r="G1872" s="4">
        <v>3427.8</v>
      </c>
      <c r="H1872" s="5">
        <f t="shared" si="29"/>
        <v>5.7803468208092535E-3</v>
      </c>
    </row>
    <row r="1873" spans="1:8" ht="13.5" x14ac:dyDescent="0.25">
      <c r="A1873" s="1"/>
      <c r="B1873" s="3">
        <v>45026</v>
      </c>
      <c r="C1873" s="4">
        <v>1.73</v>
      </c>
      <c r="D1873" s="4">
        <v>1.73</v>
      </c>
      <c r="E1873" s="4">
        <v>100</v>
      </c>
      <c r="F1873" s="4">
        <v>1.73</v>
      </c>
      <c r="G1873" s="4">
        <v>173</v>
      </c>
      <c r="H1873" s="5">
        <f t="shared" si="29"/>
        <v>-5.7471264367816143E-3</v>
      </c>
    </row>
    <row r="1874" spans="1:8" ht="13.5" x14ac:dyDescent="0.25">
      <c r="A1874" s="1"/>
      <c r="B1874" s="3">
        <v>45027</v>
      </c>
      <c r="C1874" s="4">
        <v>1.72</v>
      </c>
      <c r="D1874" s="4">
        <v>1.72</v>
      </c>
      <c r="E1874" s="4">
        <v>300</v>
      </c>
      <c r="F1874" s="4">
        <v>1.72</v>
      </c>
      <c r="G1874" s="4">
        <v>516</v>
      </c>
      <c r="H1874" s="5">
        <f t="shared" si="29"/>
        <v>-5.7803468208092535E-3</v>
      </c>
    </row>
    <row r="1875" spans="1:8" ht="13.5" x14ac:dyDescent="0.25">
      <c r="A1875" s="1"/>
      <c r="B1875" s="3">
        <v>45028</v>
      </c>
      <c r="C1875" s="4">
        <v>1.72</v>
      </c>
      <c r="D1875" s="4">
        <v>1.72</v>
      </c>
      <c r="E1875" s="4">
        <v>15093</v>
      </c>
      <c r="F1875" s="4">
        <v>1.72</v>
      </c>
      <c r="G1875" s="4">
        <v>25959.96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1.69</v>
      </c>
      <c r="D1876" s="4">
        <v>1.69</v>
      </c>
      <c r="E1876" s="4">
        <v>3885</v>
      </c>
      <c r="F1876" s="4">
        <v>1.69</v>
      </c>
      <c r="G1876" s="4">
        <v>6565.65</v>
      </c>
      <c r="H1876" s="5">
        <f t="shared" si="29"/>
        <v>-1.7441860465116296E-2</v>
      </c>
    </row>
    <row r="1877" spans="1:8" ht="13.5" x14ac:dyDescent="0.25">
      <c r="A1877" s="1"/>
      <c r="B1877" s="3">
        <v>45030</v>
      </c>
      <c r="C1877" s="4">
        <v>1.7</v>
      </c>
      <c r="D1877" s="4">
        <v>1.7</v>
      </c>
      <c r="E1877" s="4">
        <v>1590</v>
      </c>
      <c r="F1877" s="4">
        <v>1.7</v>
      </c>
      <c r="G1877" s="4">
        <v>2703</v>
      </c>
      <c r="H1877" s="5">
        <f t="shared" si="29"/>
        <v>5.9171597633136145E-3</v>
      </c>
    </row>
    <row r="1878" spans="1:8" ht="13.5" x14ac:dyDescent="0.25">
      <c r="A1878" s="1"/>
      <c r="B1878" s="3">
        <v>45033</v>
      </c>
      <c r="C1878" s="4">
        <v>1.68</v>
      </c>
      <c r="D1878" s="4">
        <v>1.68</v>
      </c>
      <c r="E1878" s="4">
        <v>4562</v>
      </c>
      <c r="F1878" s="4">
        <v>1.68</v>
      </c>
      <c r="G1878" s="4">
        <v>7664.16</v>
      </c>
      <c r="H1878" s="5">
        <f t="shared" si="29"/>
        <v>-1.1764705882352951E-2</v>
      </c>
    </row>
    <row r="1879" spans="1:8" ht="13.5" x14ac:dyDescent="0.25">
      <c r="A1879" s="1"/>
      <c r="B1879" s="3">
        <v>45034</v>
      </c>
      <c r="C1879" s="4">
        <v>1.65</v>
      </c>
      <c r="D1879" s="4">
        <v>1.65</v>
      </c>
      <c r="E1879" s="4">
        <v>5000</v>
      </c>
      <c r="F1879" s="4">
        <v>1.65</v>
      </c>
      <c r="G1879" s="4">
        <v>8250</v>
      </c>
      <c r="H1879" s="5">
        <f t="shared" si="29"/>
        <v>-1.7857142857142873E-2</v>
      </c>
    </row>
    <row r="1880" spans="1:8" ht="13.5" x14ac:dyDescent="0.25">
      <c r="A1880" s="1"/>
      <c r="B1880" s="3">
        <v>45035</v>
      </c>
      <c r="C1880" s="4">
        <v>1.69</v>
      </c>
      <c r="D1880" s="4">
        <v>1.69</v>
      </c>
      <c r="E1880" s="4">
        <v>0</v>
      </c>
      <c r="F1880" s="4">
        <v>0</v>
      </c>
      <c r="G1880" s="4">
        <v>0</v>
      </c>
      <c r="H1880" s="5">
        <f t="shared" si="29"/>
        <v>2.4242424242424267E-2</v>
      </c>
    </row>
    <row r="1881" spans="1:8" ht="13.5" x14ac:dyDescent="0.25">
      <c r="A1881" s="1"/>
      <c r="B1881" s="3">
        <v>45036</v>
      </c>
      <c r="C1881" s="4">
        <v>1.72</v>
      </c>
      <c r="D1881" s="4">
        <v>1.72</v>
      </c>
      <c r="E1881" s="4">
        <v>1611</v>
      </c>
      <c r="F1881" s="4">
        <v>1.72</v>
      </c>
      <c r="G1881" s="4">
        <v>2770.92</v>
      </c>
      <c r="H1881" s="5">
        <f t="shared" si="29"/>
        <v>1.7751479289940846E-2</v>
      </c>
    </row>
    <row r="1882" spans="1:8" ht="13.5" x14ac:dyDescent="0.25">
      <c r="A1882" s="1"/>
      <c r="B1882" s="3">
        <v>45040</v>
      </c>
      <c r="C1882" s="4">
        <v>1.73</v>
      </c>
      <c r="D1882" s="4">
        <v>1.73</v>
      </c>
      <c r="E1882" s="4">
        <v>2001</v>
      </c>
      <c r="F1882" s="4">
        <v>1.73</v>
      </c>
      <c r="G1882" s="4">
        <v>3461.73</v>
      </c>
      <c r="H1882" s="5">
        <f t="shared" si="29"/>
        <v>5.8139534883720981E-3</v>
      </c>
    </row>
    <row r="1883" spans="1:8" ht="13.5" x14ac:dyDescent="0.25">
      <c r="A1883" s="1"/>
      <c r="B1883" s="3">
        <v>45041</v>
      </c>
      <c r="C1883" s="4">
        <v>1.73</v>
      </c>
      <c r="D1883" s="4">
        <v>1.73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1.68</v>
      </c>
      <c r="D1884" s="4">
        <v>1.68</v>
      </c>
      <c r="E1884" s="4">
        <v>0</v>
      </c>
      <c r="F1884" s="4">
        <v>0</v>
      </c>
      <c r="G1884" s="4">
        <v>0</v>
      </c>
      <c r="H1884" s="5">
        <f t="shared" si="29"/>
        <v>-2.890173410404627E-2</v>
      </c>
    </row>
    <row r="1885" spans="1:8" ht="13.5" x14ac:dyDescent="0.25">
      <c r="A1885" s="1"/>
      <c r="B1885" s="3">
        <v>45043</v>
      </c>
      <c r="C1885" s="4">
        <v>1.73</v>
      </c>
      <c r="D1885" s="4">
        <v>1.73</v>
      </c>
      <c r="E1885" s="4">
        <v>3375</v>
      </c>
      <c r="F1885" s="4">
        <v>1.73</v>
      </c>
      <c r="G1885" s="4">
        <v>5838.75</v>
      </c>
      <c r="H1885" s="5">
        <f t="shared" si="29"/>
        <v>2.9761904761904788E-2</v>
      </c>
    </row>
    <row r="1886" spans="1:8" ht="13.5" x14ac:dyDescent="0.25">
      <c r="A1886" s="1"/>
      <c r="B1886" s="3">
        <v>45044</v>
      </c>
      <c r="C1886" s="4">
        <v>1.73</v>
      </c>
      <c r="D1886" s="4">
        <v>1.73</v>
      </c>
      <c r="E1886" s="4">
        <v>1000</v>
      </c>
      <c r="F1886" s="4">
        <v>1.73</v>
      </c>
      <c r="G1886" s="4">
        <v>1730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1.7</v>
      </c>
      <c r="D1887" s="4">
        <v>1.7</v>
      </c>
      <c r="E1887" s="4">
        <v>3100</v>
      </c>
      <c r="F1887" s="4">
        <v>1.7</v>
      </c>
      <c r="G1887" s="4">
        <v>5270</v>
      </c>
      <c r="H1887" s="5">
        <f t="shared" si="29"/>
        <v>-1.7341040462427761E-2</v>
      </c>
    </row>
    <row r="1888" spans="1:8" ht="13.5" x14ac:dyDescent="0.25">
      <c r="A1888" s="1"/>
      <c r="B1888" s="3">
        <v>45049</v>
      </c>
      <c r="C1888" s="4">
        <v>1.7</v>
      </c>
      <c r="D1888" s="4">
        <v>1.7</v>
      </c>
      <c r="E1888" s="4">
        <v>5000</v>
      </c>
      <c r="F1888" s="4">
        <v>1.7</v>
      </c>
      <c r="G1888" s="4">
        <v>8500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1.73</v>
      </c>
      <c r="D1889" s="4">
        <v>1.73</v>
      </c>
      <c r="E1889" s="4">
        <v>600</v>
      </c>
      <c r="F1889" s="4">
        <v>1.73</v>
      </c>
      <c r="G1889" s="4">
        <v>1038</v>
      </c>
      <c r="H1889" s="5">
        <f t="shared" si="29"/>
        <v>1.7647058823529429E-2</v>
      </c>
    </row>
    <row r="1890" spans="1:8" ht="13.5" x14ac:dyDescent="0.25">
      <c r="A1890" s="1"/>
      <c r="B1890" s="3">
        <v>45051</v>
      </c>
      <c r="C1890" s="4">
        <v>1.73</v>
      </c>
      <c r="D1890" s="4">
        <v>1.73</v>
      </c>
      <c r="E1890" s="4">
        <v>1000</v>
      </c>
      <c r="F1890" s="4">
        <v>1.73</v>
      </c>
      <c r="G1890" s="4">
        <v>1730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1.73</v>
      </c>
      <c r="D1891" s="4">
        <v>1.73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1.72</v>
      </c>
      <c r="D1892" s="4">
        <v>1.72</v>
      </c>
      <c r="E1892" s="4">
        <v>3190</v>
      </c>
      <c r="F1892" s="4">
        <v>1.72</v>
      </c>
      <c r="G1892" s="4">
        <v>5486.8</v>
      </c>
      <c r="H1892" s="5">
        <f t="shared" si="29"/>
        <v>-5.7803468208092535E-3</v>
      </c>
    </row>
    <row r="1893" spans="1:8" ht="13.5" x14ac:dyDescent="0.25">
      <c r="A1893" s="1"/>
      <c r="B1893" s="3">
        <v>45056</v>
      </c>
      <c r="C1893" s="4">
        <v>1.72</v>
      </c>
      <c r="D1893" s="4">
        <v>1.72</v>
      </c>
      <c r="E1893" s="4">
        <v>35</v>
      </c>
      <c r="F1893" s="4">
        <v>1.72</v>
      </c>
      <c r="G1893" s="4">
        <v>60.2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1.7</v>
      </c>
      <c r="D1894" s="4">
        <v>1.7</v>
      </c>
      <c r="E1894" s="4">
        <v>1758</v>
      </c>
      <c r="F1894" s="4">
        <v>1.7</v>
      </c>
      <c r="G1894" s="4">
        <v>2988.6</v>
      </c>
      <c r="H1894" s="5">
        <f t="shared" si="29"/>
        <v>-1.1627906976744196E-2</v>
      </c>
    </row>
    <row r="1895" spans="1:8" ht="13.5" x14ac:dyDescent="0.25">
      <c r="A1895" s="1"/>
      <c r="B1895" s="3">
        <v>45058</v>
      </c>
      <c r="C1895" s="4">
        <v>1.7</v>
      </c>
      <c r="D1895" s="4">
        <v>1.7</v>
      </c>
      <c r="E1895" s="4">
        <v>800</v>
      </c>
      <c r="F1895" s="4">
        <v>1.7</v>
      </c>
      <c r="G1895" s="4">
        <v>1360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1.7</v>
      </c>
      <c r="D1896" s="4">
        <v>1.7</v>
      </c>
      <c r="E1896" s="4">
        <v>3456</v>
      </c>
      <c r="F1896" s="4">
        <v>1.7</v>
      </c>
      <c r="G1896" s="4">
        <v>5875.2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1.69</v>
      </c>
      <c r="D1897" s="4">
        <v>1.69</v>
      </c>
      <c r="E1897" s="4">
        <v>11849</v>
      </c>
      <c r="F1897" s="4">
        <v>1.69</v>
      </c>
      <c r="G1897" s="4">
        <v>20024.810000000001</v>
      </c>
      <c r="H1897" s="5">
        <f t="shared" si="29"/>
        <v>-5.8823529411764757E-3</v>
      </c>
    </row>
    <row r="1898" spans="1:8" ht="13.5" x14ac:dyDescent="0.25">
      <c r="A1898" s="1"/>
      <c r="B1898" s="3">
        <v>45063</v>
      </c>
      <c r="C1898" s="4">
        <v>1.69</v>
      </c>
      <c r="D1898" s="4">
        <v>1.69</v>
      </c>
      <c r="E1898" s="4">
        <v>2400</v>
      </c>
      <c r="F1898" s="4">
        <v>1.69</v>
      </c>
      <c r="G1898" s="4">
        <v>4056</v>
      </c>
      <c r="H1898" s="5">
        <f t="shared" si="29"/>
        <v>0</v>
      </c>
    </row>
    <row r="1899" spans="1:8" ht="13.5" x14ac:dyDescent="0.25">
      <c r="A1899" s="1"/>
      <c r="B1899" s="3">
        <v>45064</v>
      </c>
      <c r="C1899" s="4">
        <v>1.69</v>
      </c>
      <c r="D1899" s="4">
        <v>1.69</v>
      </c>
      <c r="E1899" s="4">
        <v>200</v>
      </c>
      <c r="F1899" s="4">
        <v>1.69</v>
      </c>
      <c r="G1899" s="4">
        <v>338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1.7</v>
      </c>
      <c r="D1900" s="4">
        <v>1.7</v>
      </c>
      <c r="E1900" s="4">
        <v>5925</v>
      </c>
      <c r="F1900" s="4">
        <v>1.7</v>
      </c>
      <c r="G1900" s="4">
        <v>10072.5</v>
      </c>
      <c r="H1900" s="5">
        <f t="shared" si="29"/>
        <v>5.9171597633136145E-3</v>
      </c>
    </row>
    <row r="1901" spans="1:8" ht="13.5" x14ac:dyDescent="0.25">
      <c r="A1901" s="1"/>
      <c r="B1901" s="3">
        <v>45068</v>
      </c>
      <c r="C1901" s="4">
        <v>1.7</v>
      </c>
      <c r="D1901" s="4">
        <v>1.7</v>
      </c>
      <c r="E1901" s="4">
        <v>3300</v>
      </c>
      <c r="F1901" s="4">
        <v>1.7</v>
      </c>
      <c r="G1901" s="4">
        <v>5610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1.7</v>
      </c>
      <c r="D1902" s="4">
        <v>1.7</v>
      </c>
      <c r="E1902" s="4">
        <v>141</v>
      </c>
      <c r="F1902" s="4">
        <v>1.7</v>
      </c>
      <c r="G1902" s="4">
        <v>239.7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1.68</v>
      </c>
      <c r="D1903" s="4">
        <v>1.68</v>
      </c>
      <c r="E1903" s="4">
        <v>1050</v>
      </c>
      <c r="F1903" s="4">
        <v>1.68</v>
      </c>
      <c r="G1903" s="4">
        <v>1764</v>
      </c>
      <c r="H1903" s="5">
        <f t="shared" si="29"/>
        <v>-1.1764705882352951E-2</v>
      </c>
    </row>
    <row r="1904" spans="1:8" ht="13.5" x14ac:dyDescent="0.25">
      <c r="A1904" s="1"/>
      <c r="B1904" s="3">
        <v>45071</v>
      </c>
      <c r="C1904" s="4">
        <v>1.67</v>
      </c>
      <c r="D1904" s="4">
        <v>1.67</v>
      </c>
      <c r="E1904" s="4">
        <v>5444</v>
      </c>
      <c r="F1904" s="4">
        <v>1.67</v>
      </c>
      <c r="G1904" s="4">
        <v>9091.48</v>
      </c>
      <c r="H1904" s="5">
        <f t="shared" si="29"/>
        <v>-5.9523809523809581E-3</v>
      </c>
    </row>
    <row r="1905" spans="1:8" ht="13.5" x14ac:dyDescent="0.25">
      <c r="A1905" s="1"/>
      <c r="B1905" s="3">
        <v>45072</v>
      </c>
      <c r="C1905" s="4">
        <v>1.7</v>
      </c>
      <c r="D1905" s="4">
        <v>1.7</v>
      </c>
      <c r="E1905" s="4">
        <v>1750</v>
      </c>
      <c r="F1905" s="4">
        <v>1.7</v>
      </c>
      <c r="G1905" s="4">
        <v>2975</v>
      </c>
      <c r="H1905" s="5">
        <f t="shared" si="29"/>
        <v>1.7964071856287442E-2</v>
      </c>
    </row>
    <row r="1906" spans="1:8" ht="13.5" x14ac:dyDescent="0.25">
      <c r="A1906" s="1"/>
      <c r="B1906" s="3">
        <v>45075</v>
      </c>
      <c r="C1906" s="4">
        <v>1.7</v>
      </c>
      <c r="D1906" s="4">
        <v>1.7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1.65</v>
      </c>
      <c r="D1907" s="4">
        <v>1.65</v>
      </c>
      <c r="E1907" s="4">
        <v>16743</v>
      </c>
      <c r="F1907" s="4">
        <v>1.65</v>
      </c>
      <c r="G1907" s="4">
        <v>27625.95</v>
      </c>
      <c r="H1907" s="5">
        <f t="shared" si="29"/>
        <v>-2.941176470588238E-2</v>
      </c>
    </row>
    <row r="1908" spans="1:8" ht="13.5" x14ac:dyDescent="0.25">
      <c r="A1908" s="1"/>
      <c r="B1908" s="3">
        <v>45077</v>
      </c>
      <c r="C1908" s="4">
        <v>1.69</v>
      </c>
      <c r="D1908" s="4">
        <v>1.69</v>
      </c>
      <c r="E1908" s="4">
        <v>0</v>
      </c>
      <c r="F1908" s="4">
        <v>0</v>
      </c>
      <c r="G1908" s="4">
        <v>0</v>
      </c>
      <c r="H1908" s="5">
        <f t="shared" si="29"/>
        <v>2.4242424242424267E-2</v>
      </c>
    </row>
    <row r="1909" spans="1:8" ht="13.5" x14ac:dyDescent="0.25">
      <c r="A1909" s="1"/>
      <c r="B1909" s="3">
        <v>45078</v>
      </c>
      <c r="C1909" s="4">
        <v>1.69</v>
      </c>
      <c r="D1909" s="4">
        <v>1.69</v>
      </c>
      <c r="E1909" s="4">
        <v>9022</v>
      </c>
      <c r="F1909" s="4">
        <v>1.69</v>
      </c>
      <c r="G1909" s="4">
        <v>15247.18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1.74</v>
      </c>
      <c r="D1910" s="4">
        <v>1.74</v>
      </c>
      <c r="E1910" s="4">
        <v>43190</v>
      </c>
      <c r="F1910" s="4">
        <v>1.74</v>
      </c>
      <c r="G1910" s="4">
        <v>75150.600000000006</v>
      </c>
      <c r="H1910" s="5">
        <f t="shared" si="29"/>
        <v>2.9585798816568074E-2</v>
      </c>
    </row>
    <row r="1911" spans="1:8" ht="13.5" x14ac:dyDescent="0.25">
      <c r="A1911" s="1"/>
      <c r="B1911" s="3">
        <v>45082</v>
      </c>
      <c r="C1911" s="4">
        <v>1.76</v>
      </c>
      <c r="D1911" s="4">
        <v>1.76</v>
      </c>
      <c r="E1911" s="4">
        <v>949</v>
      </c>
      <c r="F1911" s="4">
        <v>1.76</v>
      </c>
      <c r="G1911" s="4">
        <v>1670.24</v>
      </c>
      <c r="H1911" s="5">
        <f t="shared" si="29"/>
        <v>1.1494252873563229E-2</v>
      </c>
    </row>
    <row r="1912" spans="1:8" ht="13.5" x14ac:dyDescent="0.25">
      <c r="A1912" s="1"/>
      <c r="B1912" s="3">
        <v>45083</v>
      </c>
      <c r="C1912" s="4">
        <v>1.77</v>
      </c>
      <c r="D1912" s="4">
        <v>1.77</v>
      </c>
      <c r="E1912" s="4">
        <v>19275</v>
      </c>
      <c r="F1912" s="4">
        <v>1.77</v>
      </c>
      <c r="G1912" s="4">
        <v>34116.75</v>
      </c>
      <c r="H1912" s="5">
        <f t="shared" si="29"/>
        <v>5.6818181818181872E-3</v>
      </c>
    </row>
    <row r="1913" spans="1:8" ht="13.5" x14ac:dyDescent="0.25">
      <c r="A1913" s="1"/>
      <c r="B1913" s="3">
        <v>45084</v>
      </c>
      <c r="C1913" s="4">
        <v>1.8</v>
      </c>
      <c r="D1913" s="4">
        <v>1.8</v>
      </c>
      <c r="E1913" s="4">
        <v>10650</v>
      </c>
      <c r="F1913" s="4">
        <v>1.8</v>
      </c>
      <c r="G1913" s="4">
        <v>19170</v>
      </c>
      <c r="H1913" s="5">
        <f t="shared" si="29"/>
        <v>1.6949152542372895E-2</v>
      </c>
    </row>
    <row r="1914" spans="1:8" ht="13.5" x14ac:dyDescent="0.25">
      <c r="A1914" s="1"/>
      <c r="B1914" s="3">
        <v>45085</v>
      </c>
      <c r="C1914" s="4">
        <v>1.85</v>
      </c>
      <c r="D1914" s="4">
        <v>1.85</v>
      </c>
      <c r="E1914" s="4">
        <v>0</v>
      </c>
      <c r="F1914" s="4">
        <v>0</v>
      </c>
      <c r="G1914" s="4">
        <v>0</v>
      </c>
      <c r="H1914" s="5">
        <f t="shared" si="29"/>
        <v>2.7777777777777801E-2</v>
      </c>
    </row>
    <row r="1915" spans="1:8" ht="13.5" x14ac:dyDescent="0.25">
      <c r="A1915" s="1"/>
      <c r="B1915" s="3">
        <v>45086</v>
      </c>
      <c r="C1915" s="4">
        <v>1.9</v>
      </c>
      <c r="D1915" s="4">
        <v>1.9</v>
      </c>
      <c r="E1915" s="4">
        <v>0</v>
      </c>
      <c r="F1915" s="4">
        <v>0</v>
      </c>
      <c r="G1915" s="4">
        <v>0</v>
      </c>
      <c r="H1915" s="5">
        <f t="shared" si="29"/>
        <v>2.7027027027026931E-2</v>
      </c>
    </row>
    <row r="1916" spans="1:8" ht="13.5" x14ac:dyDescent="0.25">
      <c r="A1916" s="1"/>
      <c r="B1916" s="3">
        <v>45089</v>
      </c>
      <c r="C1916" s="4">
        <v>1.95</v>
      </c>
      <c r="D1916" s="4">
        <v>1.95</v>
      </c>
      <c r="E1916" s="4">
        <v>28979</v>
      </c>
      <c r="F1916" s="4">
        <v>1.95</v>
      </c>
      <c r="G1916" s="4">
        <v>56509.05</v>
      </c>
      <c r="H1916" s="5">
        <f t="shared" si="29"/>
        <v>2.6315789473684237E-2</v>
      </c>
    </row>
    <row r="1917" spans="1:8" ht="13.5" x14ac:dyDescent="0.25">
      <c r="A1917" s="1"/>
      <c r="B1917" s="3">
        <v>45090</v>
      </c>
      <c r="C1917" s="4">
        <v>1.95</v>
      </c>
      <c r="D1917" s="4">
        <v>1.95</v>
      </c>
      <c r="E1917" s="4">
        <v>2330</v>
      </c>
      <c r="F1917" s="4">
        <v>1.95</v>
      </c>
      <c r="G1917" s="4">
        <v>4543.5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1.94</v>
      </c>
      <c r="D1918" s="4">
        <v>1.94</v>
      </c>
      <c r="E1918" s="4">
        <v>3764</v>
      </c>
      <c r="F1918" s="4">
        <v>1.94</v>
      </c>
      <c r="G1918" s="4">
        <v>7302.16</v>
      </c>
      <c r="H1918" s="5">
        <f t="shared" si="29"/>
        <v>-5.1282051282051325E-3</v>
      </c>
    </row>
    <row r="1919" spans="1:8" ht="13.5" x14ac:dyDescent="0.25">
      <c r="A1919" s="1"/>
      <c r="B1919" s="3">
        <v>45092</v>
      </c>
      <c r="C1919" s="4">
        <v>1.9</v>
      </c>
      <c r="D1919" s="4">
        <v>1.9</v>
      </c>
      <c r="E1919" s="4">
        <v>1630</v>
      </c>
      <c r="F1919" s="4">
        <v>1.9</v>
      </c>
      <c r="G1919" s="4">
        <v>3097</v>
      </c>
      <c r="H1919" s="5">
        <f t="shared" si="29"/>
        <v>-2.0618556701030948E-2</v>
      </c>
    </row>
    <row r="1920" spans="1:8" ht="13.5" x14ac:dyDescent="0.25">
      <c r="A1920" s="1"/>
      <c r="B1920" s="3">
        <v>45093</v>
      </c>
      <c r="C1920" s="4">
        <v>1.85</v>
      </c>
      <c r="D1920" s="4">
        <v>1.85</v>
      </c>
      <c r="E1920" s="4">
        <v>24863</v>
      </c>
      <c r="F1920" s="4">
        <v>1.85</v>
      </c>
      <c r="G1920" s="4">
        <v>45996.55</v>
      </c>
      <c r="H1920" s="5">
        <f t="shared" si="29"/>
        <v>-2.6315789473684119E-2</v>
      </c>
    </row>
    <row r="1921" spans="1:8" ht="13.5" x14ac:dyDescent="0.25">
      <c r="A1921" s="1"/>
      <c r="B1921" s="3">
        <v>45096</v>
      </c>
      <c r="C1921" s="4">
        <v>1.9</v>
      </c>
      <c r="D1921" s="4">
        <v>1.9</v>
      </c>
      <c r="E1921" s="4">
        <v>3365</v>
      </c>
      <c r="F1921" s="4">
        <v>1.9</v>
      </c>
      <c r="G1921" s="4">
        <v>6393.5</v>
      </c>
      <c r="H1921" s="5">
        <f t="shared" si="29"/>
        <v>2.7027027027026931E-2</v>
      </c>
    </row>
    <row r="1922" spans="1:8" ht="13.5" x14ac:dyDescent="0.25">
      <c r="A1922" s="1"/>
      <c r="B1922" s="3">
        <v>45097</v>
      </c>
      <c r="C1922" s="4">
        <v>1.94</v>
      </c>
      <c r="D1922" s="4">
        <v>1.94</v>
      </c>
      <c r="E1922" s="4">
        <v>10</v>
      </c>
      <c r="F1922" s="4">
        <v>1.94</v>
      </c>
      <c r="G1922" s="4">
        <v>19.399999999999999</v>
      </c>
      <c r="H1922" s="5">
        <f t="shared" si="29"/>
        <v>2.1052631578947389E-2</v>
      </c>
    </row>
    <row r="1923" spans="1:8" ht="13.5" x14ac:dyDescent="0.25">
      <c r="A1923" s="1"/>
      <c r="B1923" s="3">
        <v>45098</v>
      </c>
      <c r="C1923" s="4">
        <v>1.89</v>
      </c>
      <c r="D1923" s="4">
        <v>1.89</v>
      </c>
      <c r="E1923" s="4">
        <v>1000</v>
      </c>
      <c r="F1923" s="4">
        <v>1.89</v>
      </c>
      <c r="G1923" s="4">
        <v>1890</v>
      </c>
      <c r="H1923" s="5">
        <f t="shared" si="29"/>
        <v>-2.5773195876288683E-2</v>
      </c>
    </row>
    <row r="1924" spans="1:8" ht="13.5" x14ac:dyDescent="0.25">
      <c r="A1924" s="1"/>
      <c r="B1924" s="3">
        <v>45099</v>
      </c>
      <c r="C1924" s="4">
        <v>1.84</v>
      </c>
      <c r="D1924" s="4">
        <v>1.84</v>
      </c>
      <c r="E1924" s="4">
        <v>12190</v>
      </c>
      <c r="F1924" s="4">
        <v>1.84</v>
      </c>
      <c r="G1924" s="4">
        <v>22429.599999999999</v>
      </c>
      <c r="H1924" s="5">
        <f t="shared" si="29"/>
        <v>-2.6455026455026363E-2</v>
      </c>
    </row>
    <row r="1925" spans="1:8" ht="13.5" x14ac:dyDescent="0.25">
      <c r="A1925" s="1"/>
      <c r="B1925" s="3">
        <v>45100</v>
      </c>
      <c r="C1925" s="4">
        <v>1.89</v>
      </c>
      <c r="D1925" s="4">
        <v>1.89</v>
      </c>
      <c r="E1925" s="4">
        <v>5686</v>
      </c>
      <c r="F1925" s="4">
        <v>1.89</v>
      </c>
      <c r="G1925" s="4">
        <v>10746.54</v>
      </c>
      <c r="H1925" s="5">
        <f t="shared" si="29"/>
        <v>2.7173913043478163E-2</v>
      </c>
    </row>
    <row r="1926" spans="1:8" ht="13.5" x14ac:dyDescent="0.25">
      <c r="A1926" s="1"/>
      <c r="B1926" s="3">
        <v>45103</v>
      </c>
      <c r="C1926" s="4">
        <v>1.89</v>
      </c>
      <c r="D1926" s="4">
        <v>1.89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1.84</v>
      </c>
      <c r="D1927" s="4">
        <v>1.84</v>
      </c>
      <c r="E1927" s="4">
        <v>15200</v>
      </c>
      <c r="F1927" s="4">
        <v>1.84</v>
      </c>
      <c r="G1927" s="4">
        <v>27968</v>
      </c>
      <c r="H1927" s="5">
        <f t="shared" ref="H1927:H1990" si="30">(D1927-D1926)/D1926</f>
        <v>-2.6455026455026363E-2</v>
      </c>
    </row>
    <row r="1928" spans="1:8" ht="13.5" x14ac:dyDescent="0.25">
      <c r="A1928" s="1"/>
      <c r="B1928" s="3">
        <v>45107</v>
      </c>
      <c r="C1928" s="4">
        <v>1.82</v>
      </c>
      <c r="D1928" s="4">
        <v>1.82</v>
      </c>
      <c r="E1928" s="4">
        <v>500</v>
      </c>
      <c r="F1928" s="4">
        <v>1.82</v>
      </c>
      <c r="G1928" s="4">
        <v>910</v>
      </c>
      <c r="H1928" s="5">
        <f t="shared" si="30"/>
        <v>-1.0869565217391313E-2</v>
      </c>
    </row>
    <row r="1929" spans="1:8" ht="13.5" x14ac:dyDescent="0.25">
      <c r="A1929" s="1"/>
      <c r="B1929" s="3">
        <v>45110</v>
      </c>
      <c r="C1929" s="4">
        <v>1.84</v>
      </c>
      <c r="D1929" s="4">
        <v>1.84</v>
      </c>
      <c r="E1929" s="4">
        <v>50</v>
      </c>
      <c r="F1929" s="4">
        <v>1.84</v>
      </c>
      <c r="G1929" s="4">
        <v>92</v>
      </c>
      <c r="H1929" s="5">
        <f t="shared" si="30"/>
        <v>1.0989010989010999E-2</v>
      </c>
    </row>
    <row r="1930" spans="1:8" ht="13.5" x14ac:dyDescent="0.25">
      <c r="A1930" s="1"/>
      <c r="B1930" s="3">
        <v>45111</v>
      </c>
      <c r="C1930" s="4">
        <v>1.8</v>
      </c>
      <c r="D1930" s="4">
        <v>1.8</v>
      </c>
      <c r="E1930" s="4">
        <v>3690</v>
      </c>
      <c r="F1930" s="4">
        <v>1.8</v>
      </c>
      <c r="G1930" s="4">
        <v>6642</v>
      </c>
      <c r="H1930" s="5">
        <f t="shared" si="30"/>
        <v>-2.1739130434782625E-2</v>
      </c>
    </row>
    <row r="1931" spans="1:8" ht="13.5" x14ac:dyDescent="0.25">
      <c r="A1931" s="1"/>
      <c r="B1931" s="3">
        <v>45112</v>
      </c>
      <c r="C1931" s="4">
        <v>1.77</v>
      </c>
      <c r="D1931" s="4">
        <v>1.77</v>
      </c>
      <c r="E1931" s="4">
        <v>10182</v>
      </c>
      <c r="F1931" s="4">
        <v>1.77</v>
      </c>
      <c r="G1931" s="4">
        <v>18022.14</v>
      </c>
      <c r="H1931" s="5">
        <f t="shared" si="30"/>
        <v>-1.666666666666668E-2</v>
      </c>
    </row>
    <row r="1932" spans="1:8" ht="13.5" x14ac:dyDescent="0.25">
      <c r="A1932" s="1"/>
      <c r="B1932" s="3">
        <v>45113</v>
      </c>
      <c r="C1932" s="4">
        <v>1.79</v>
      </c>
      <c r="D1932" s="4">
        <v>1.79</v>
      </c>
      <c r="E1932" s="4">
        <v>3674</v>
      </c>
      <c r="F1932" s="4">
        <v>1.79</v>
      </c>
      <c r="G1932" s="4">
        <v>6576.46</v>
      </c>
      <c r="H1932" s="5">
        <f t="shared" si="30"/>
        <v>1.1299435028248598E-2</v>
      </c>
    </row>
    <row r="1933" spans="1:8" ht="13.5" x14ac:dyDescent="0.25">
      <c r="A1933" s="1"/>
      <c r="B1933" s="3">
        <v>45114</v>
      </c>
      <c r="C1933" s="4">
        <v>1.78</v>
      </c>
      <c r="D1933" s="4">
        <v>1.78</v>
      </c>
      <c r="E1933" s="4">
        <v>200</v>
      </c>
      <c r="F1933" s="4">
        <v>1.78</v>
      </c>
      <c r="G1933" s="4">
        <v>356</v>
      </c>
      <c r="H1933" s="5">
        <f t="shared" si="30"/>
        <v>-5.5865921787709542E-3</v>
      </c>
    </row>
    <row r="1934" spans="1:8" ht="13.5" x14ac:dyDescent="0.25">
      <c r="A1934" s="1"/>
      <c r="B1934" s="3">
        <v>45117</v>
      </c>
      <c r="C1934" s="4">
        <v>1.78</v>
      </c>
      <c r="D1934" s="4">
        <v>1.78</v>
      </c>
      <c r="E1934" s="4">
        <v>6005</v>
      </c>
      <c r="F1934" s="4">
        <v>1.78</v>
      </c>
      <c r="G1934" s="4">
        <v>10688.9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1.78</v>
      </c>
      <c r="D1935" s="4">
        <v>1.78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1.76</v>
      </c>
      <c r="D1936" s="4">
        <v>1.76</v>
      </c>
      <c r="E1936" s="4">
        <v>2615</v>
      </c>
      <c r="F1936" s="4">
        <v>1.76</v>
      </c>
      <c r="G1936" s="4">
        <v>4602.3999999999996</v>
      </c>
      <c r="H1936" s="5">
        <f t="shared" si="30"/>
        <v>-1.1235955056179785E-2</v>
      </c>
    </row>
    <row r="1937" spans="1:8" ht="13.5" x14ac:dyDescent="0.25">
      <c r="A1937" s="1"/>
      <c r="B1937" s="3">
        <v>45120</v>
      </c>
      <c r="C1937" s="4">
        <v>1.71</v>
      </c>
      <c r="D1937" s="4">
        <v>1.71</v>
      </c>
      <c r="E1937" s="4">
        <v>0</v>
      </c>
      <c r="F1937" s="4">
        <v>0</v>
      </c>
      <c r="G1937" s="4">
        <v>0</v>
      </c>
      <c r="H1937" s="5">
        <f t="shared" si="30"/>
        <v>-2.8409090909090936E-2</v>
      </c>
    </row>
    <row r="1938" spans="1:8" ht="13.5" x14ac:dyDescent="0.25">
      <c r="A1938" s="1"/>
      <c r="B1938" s="3">
        <v>45121</v>
      </c>
      <c r="C1938" s="4">
        <v>1.75</v>
      </c>
      <c r="D1938" s="4">
        <v>1.75</v>
      </c>
      <c r="E1938" s="4">
        <v>25550</v>
      </c>
      <c r="F1938" s="4">
        <v>1.75</v>
      </c>
      <c r="G1938" s="4">
        <v>44712.5</v>
      </c>
      <c r="H1938" s="5">
        <f t="shared" si="30"/>
        <v>2.3391812865497099E-2</v>
      </c>
    </row>
    <row r="1939" spans="1:8" ht="13.5" x14ac:dyDescent="0.25">
      <c r="A1939" s="1"/>
      <c r="B1939" s="3">
        <v>45124</v>
      </c>
      <c r="C1939" s="4">
        <v>1.72</v>
      </c>
      <c r="D1939" s="4">
        <v>1.72</v>
      </c>
      <c r="E1939" s="4">
        <v>110</v>
      </c>
      <c r="F1939" s="4">
        <v>1.72</v>
      </c>
      <c r="G1939" s="4">
        <v>189.2</v>
      </c>
      <c r="H1939" s="5">
        <f t="shared" si="30"/>
        <v>-1.7142857142857158E-2</v>
      </c>
    </row>
    <row r="1940" spans="1:8" ht="13.5" x14ac:dyDescent="0.25">
      <c r="A1940" s="1"/>
      <c r="B1940" s="3">
        <v>45125</v>
      </c>
      <c r="C1940" s="4">
        <v>1.76</v>
      </c>
      <c r="D1940" s="4">
        <v>1.76</v>
      </c>
      <c r="E1940" s="4">
        <v>850</v>
      </c>
      <c r="F1940" s="4">
        <v>1.76</v>
      </c>
      <c r="G1940" s="4">
        <v>1496</v>
      </c>
      <c r="H1940" s="5">
        <f t="shared" si="30"/>
        <v>2.3255813953488393E-2</v>
      </c>
    </row>
    <row r="1941" spans="1:8" ht="13.5" x14ac:dyDescent="0.25">
      <c r="A1941" s="1"/>
      <c r="B1941" s="3">
        <v>45127</v>
      </c>
      <c r="C1941" s="4">
        <v>1.78</v>
      </c>
      <c r="D1941" s="4">
        <v>1.78</v>
      </c>
      <c r="E1941" s="4">
        <v>56</v>
      </c>
      <c r="F1941" s="4">
        <v>1.78</v>
      </c>
      <c r="G1941" s="4">
        <v>99.68</v>
      </c>
      <c r="H1941" s="5">
        <f t="shared" si="30"/>
        <v>1.1363636363636374E-2</v>
      </c>
    </row>
    <row r="1942" spans="1:8" ht="13.5" x14ac:dyDescent="0.25">
      <c r="A1942" s="1"/>
      <c r="B1942" s="3">
        <v>45128</v>
      </c>
      <c r="C1942" s="4">
        <v>1.78</v>
      </c>
      <c r="D1942" s="4">
        <v>1.78</v>
      </c>
      <c r="E1942" s="4">
        <v>8169</v>
      </c>
      <c r="F1942" s="4">
        <v>1.78</v>
      </c>
      <c r="G1942" s="4">
        <v>14540.82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1.78</v>
      </c>
      <c r="D1943" s="4">
        <v>1.78</v>
      </c>
      <c r="E1943" s="4">
        <v>25</v>
      </c>
      <c r="F1943" s="4">
        <v>1.78</v>
      </c>
      <c r="G1943" s="4">
        <v>44.5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1.78</v>
      </c>
      <c r="D1944" s="4">
        <v>1.78</v>
      </c>
      <c r="E1944" s="4">
        <v>40</v>
      </c>
      <c r="F1944" s="4">
        <v>1.78</v>
      </c>
      <c r="G1944" s="4">
        <v>71.2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1.76</v>
      </c>
      <c r="D1945" s="4">
        <v>1.76</v>
      </c>
      <c r="E1945" s="4">
        <v>230</v>
      </c>
      <c r="F1945" s="4">
        <v>1.76</v>
      </c>
      <c r="G1945" s="4">
        <v>404.8</v>
      </c>
      <c r="H1945" s="5">
        <f t="shared" si="30"/>
        <v>-1.1235955056179785E-2</v>
      </c>
    </row>
    <row r="1946" spans="1:8" ht="13.5" x14ac:dyDescent="0.25">
      <c r="A1946" s="1"/>
      <c r="B1946" s="3">
        <v>45135</v>
      </c>
      <c r="C1946" s="4">
        <v>1.71</v>
      </c>
      <c r="D1946" s="4">
        <v>1.71</v>
      </c>
      <c r="E1946" s="4">
        <v>3220</v>
      </c>
      <c r="F1946" s="4">
        <v>1.71</v>
      </c>
      <c r="G1946" s="4">
        <v>5506.2</v>
      </c>
      <c r="H1946" s="5">
        <f t="shared" si="30"/>
        <v>-2.8409090909090936E-2</v>
      </c>
    </row>
    <row r="1947" spans="1:8" ht="13.5" x14ac:dyDescent="0.25">
      <c r="A1947" s="1"/>
      <c r="B1947" s="3">
        <v>45138</v>
      </c>
      <c r="C1947" s="4">
        <v>1.7</v>
      </c>
      <c r="D1947" s="4">
        <v>1.7</v>
      </c>
      <c r="E1947" s="4">
        <v>2300</v>
      </c>
      <c r="F1947" s="4">
        <v>1.7</v>
      </c>
      <c r="G1947" s="4">
        <v>3910</v>
      </c>
      <c r="H1947" s="5">
        <f t="shared" si="30"/>
        <v>-5.8479532163742748E-3</v>
      </c>
    </row>
    <row r="1948" spans="1:8" ht="13.5" x14ac:dyDescent="0.25">
      <c r="A1948" s="1"/>
      <c r="B1948" s="3">
        <v>45139</v>
      </c>
      <c r="C1948" s="4">
        <v>1.69</v>
      </c>
      <c r="D1948" s="4">
        <v>1.69</v>
      </c>
      <c r="E1948" s="4">
        <v>200</v>
      </c>
      <c r="F1948" s="4">
        <v>1.69</v>
      </c>
      <c r="G1948" s="4">
        <v>338</v>
      </c>
      <c r="H1948" s="5">
        <f t="shared" si="30"/>
        <v>-5.8823529411764757E-3</v>
      </c>
    </row>
    <row r="1949" spans="1:8" ht="13.5" x14ac:dyDescent="0.25">
      <c r="A1949" s="1"/>
      <c r="B1949" s="3">
        <v>45140</v>
      </c>
      <c r="C1949" s="4">
        <v>1.7</v>
      </c>
      <c r="D1949" s="4">
        <v>1.7</v>
      </c>
      <c r="E1949" s="4">
        <v>340</v>
      </c>
      <c r="F1949" s="4">
        <v>1.7</v>
      </c>
      <c r="G1949" s="4">
        <v>578</v>
      </c>
      <c r="H1949" s="5">
        <f t="shared" si="30"/>
        <v>5.9171597633136145E-3</v>
      </c>
    </row>
    <row r="1950" spans="1:8" ht="13.5" x14ac:dyDescent="0.25">
      <c r="A1950" s="1"/>
      <c r="B1950" s="3">
        <v>45141</v>
      </c>
      <c r="C1950" s="4">
        <v>1.69</v>
      </c>
      <c r="D1950" s="4">
        <v>1.69</v>
      </c>
      <c r="E1950" s="4">
        <v>2140</v>
      </c>
      <c r="F1950" s="4">
        <v>1.69</v>
      </c>
      <c r="G1950" s="4">
        <v>3616.6</v>
      </c>
      <c r="H1950" s="5">
        <f t="shared" si="30"/>
        <v>-5.8823529411764757E-3</v>
      </c>
    </row>
    <row r="1951" spans="1:8" ht="13.5" x14ac:dyDescent="0.25">
      <c r="A1951" s="1"/>
      <c r="B1951" s="3">
        <v>45142</v>
      </c>
      <c r="C1951" s="4">
        <v>1.7</v>
      </c>
      <c r="D1951" s="4">
        <v>1.7</v>
      </c>
      <c r="E1951" s="4">
        <v>520</v>
      </c>
      <c r="F1951" s="4">
        <v>1.7</v>
      </c>
      <c r="G1951" s="4">
        <v>884</v>
      </c>
      <c r="H1951" s="5">
        <f t="shared" si="30"/>
        <v>5.9171597633136145E-3</v>
      </c>
    </row>
    <row r="1952" spans="1:8" ht="13.5" x14ac:dyDescent="0.25">
      <c r="A1952" s="1"/>
      <c r="B1952" s="3">
        <v>45145</v>
      </c>
      <c r="C1952" s="4">
        <v>1.69</v>
      </c>
      <c r="D1952" s="4">
        <v>1.69</v>
      </c>
      <c r="E1952" s="4">
        <v>300</v>
      </c>
      <c r="F1952" s="4">
        <v>1.69</v>
      </c>
      <c r="G1952" s="4">
        <v>507</v>
      </c>
      <c r="H1952" s="5">
        <f t="shared" si="30"/>
        <v>-5.8823529411764757E-3</v>
      </c>
    </row>
    <row r="1953" spans="1:8" ht="13.5" x14ac:dyDescent="0.25">
      <c r="A1953" s="1"/>
      <c r="B1953" s="3">
        <v>45146</v>
      </c>
      <c r="C1953" s="4">
        <v>1.64</v>
      </c>
      <c r="D1953" s="4">
        <v>1.64</v>
      </c>
      <c r="E1953" s="4">
        <v>0</v>
      </c>
      <c r="F1953" s="4">
        <v>0</v>
      </c>
      <c r="G1953" s="4">
        <v>0</v>
      </c>
      <c r="H1953" s="5">
        <f t="shared" si="30"/>
        <v>-2.9585798816568074E-2</v>
      </c>
    </row>
    <row r="1954" spans="1:8" ht="13.5" x14ac:dyDescent="0.25">
      <c r="A1954" s="1"/>
      <c r="B1954" s="3">
        <v>45147</v>
      </c>
      <c r="C1954" s="4">
        <v>1.65</v>
      </c>
      <c r="D1954" s="4">
        <v>1.65</v>
      </c>
      <c r="E1954" s="4">
        <v>1000</v>
      </c>
      <c r="F1954" s="4">
        <v>1.65</v>
      </c>
      <c r="G1954" s="4">
        <v>1650</v>
      </c>
      <c r="H1954" s="5">
        <f t="shared" si="30"/>
        <v>6.0975609756097615E-3</v>
      </c>
    </row>
    <row r="1955" spans="1:8" ht="13.5" x14ac:dyDescent="0.25">
      <c r="A1955" s="1"/>
      <c r="B1955" s="3">
        <v>45148</v>
      </c>
      <c r="C1955" s="4">
        <v>1.65</v>
      </c>
      <c r="D1955" s="4">
        <v>1.65</v>
      </c>
      <c r="E1955" s="4">
        <v>1074</v>
      </c>
      <c r="F1955" s="4">
        <v>1.65</v>
      </c>
      <c r="G1955" s="4">
        <v>1772.1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1.69</v>
      </c>
      <c r="D1956" s="4">
        <v>1.69</v>
      </c>
      <c r="E1956" s="4">
        <v>1207</v>
      </c>
      <c r="F1956" s="4">
        <v>1.69</v>
      </c>
      <c r="G1956" s="4">
        <v>2039.83</v>
      </c>
      <c r="H1956" s="5">
        <f t="shared" si="30"/>
        <v>2.4242424242424267E-2</v>
      </c>
    </row>
    <row r="1957" spans="1:8" ht="13.5" x14ac:dyDescent="0.25">
      <c r="A1957" s="1"/>
      <c r="B1957" s="3">
        <v>45152</v>
      </c>
      <c r="C1957" s="4">
        <v>1.69</v>
      </c>
      <c r="D1957" s="4">
        <v>1.69</v>
      </c>
      <c r="E1957" s="4">
        <v>4</v>
      </c>
      <c r="F1957" s="4">
        <v>1.69</v>
      </c>
      <c r="G1957" s="4">
        <v>6.76</v>
      </c>
      <c r="H1957" s="5">
        <f t="shared" si="30"/>
        <v>0</v>
      </c>
    </row>
    <row r="1958" spans="1:8" ht="13.5" x14ac:dyDescent="0.25">
      <c r="A1958" s="1"/>
      <c r="B1958" s="3">
        <v>45153</v>
      </c>
      <c r="C1958" s="4">
        <v>1.69</v>
      </c>
      <c r="D1958" s="4">
        <v>1.69</v>
      </c>
      <c r="E1958" s="4">
        <v>20</v>
      </c>
      <c r="F1958" s="4">
        <v>1.69</v>
      </c>
      <c r="G1958" s="4">
        <v>33.799999999999997</v>
      </c>
      <c r="H1958" s="5">
        <f t="shared" si="30"/>
        <v>0</v>
      </c>
    </row>
    <row r="1959" spans="1:8" ht="13.5" x14ac:dyDescent="0.25">
      <c r="A1959" s="1"/>
      <c r="B1959" s="3">
        <v>45154</v>
      </c>
      <c r="C1959" s="4">
        <v>1.64</v>
      </c>
      <c r="D1959" s="4">
        <v>1.64</v>
      </c>
      <c r="E1959" s="4">
        <v>8470</v>
      </c>
      <c r="F1959" s="4">
        <v>1.64</v>
      </c>
      <c r="G1959" s="4">
        <v>13890.8</v>
      </c>
      <c r="H1959" s="5">
        <f t="shared" si="30"/>
        <v>-2.9585798816568074E-2</v>
      </c>
    </row>
    <row r="1960" spans="1:8" ht="13.5" x14ac:dyDescent="0.25">
      <c r="A1960" s="1"/>
      <c r="B1960" s="3">
        <v>45155</v>
      </c>
      <c r="C1960" s="4">
        <v>1.66</v>
      </c>
      <c r="D1960" s="4">
        <v>1.66</v>
      </c>
      <c r="E1960" s="4">
        <v>8728</v>
      </c>
      <c r="F1960" s="4">
        <v>1.66</v>
      </c>
      <c r="G1960" s="4">
        <v>14488.48</v>
      </c>
      <c r="H1960" s="5">
        <f t="shared" si="30"/>
        <v>1.2195121951219523E-2</v>
      </c>
    </row>
    <row r="1961" spans="1:8" ht="13.5" x14ac:dyDescent="0.25">
      <c r="A1961" s="1"/>
      <c r="B1961" s="3">
        <v>45156</v>
      </c>
      <c r="C1961" s="4">
        <v>1.68</v>
      </c>
      <c r="D1961" s="4">
        <v>1.68</v>
      </c>
      <c r="E1961" s="4">
        <v>1350</v>
      </c>
      <c r="F1961" s="4">
        <v>1.68</v>
      </c>
      <c r="G1961" s="4">
        <v>2268</v>
      </c>
      <c r="H1961" s="5">
        <f t="shared" si="30"/>
        <v>1.2048192771084348E-2</v>
      </c>
    </row>
    <row r="1962" spans="1:8" ht="13.5" x14ac:dyDescent="0.25">
      <c r="A1962" s="1"/>
      <c r="B1962" s="3">
        <v>45159</v>
      </c>
      <c r="C1962" s="4">
        <v>1.69</v>
      </c>
      <c r="D1962" s="4">
        <v>1.69</v>
      </c>
      <c r="E1962" s="4">
        <v>3</v>
      </c>
      <c r="F1962" s="4">
        <v>1.69</v>
      </c>
      <c r="G1962" s="4">
        <v>5.07</v>
      </c>
      <c r="H1962" s="5">
        <f t="shared" si="30"/>
        <v>5.9523809523809581E-3</v>
      </c>
    </row>
    <row r="1963" spans="1:8" ht="13.5" x14ac:dyDescent="0.25">
      <c r="A1963" s="1"/>
      <c r="B1963" s="3">
        <v>45160</v>
      </c>
      <c r="C1963" s="4">
        <v>1.69</v>
      </c>
      <c r="D1963" s="4">
        <v>1.69</v>
      </c>
      <c r="E1963" s="4">
        <v>2000</v>
      </c>
      <c r="F1963" s="4">
        <v>1.69</v>
      </c>
      <c r="G1963" s="4">
        <v>3380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1.69</v>
      </c>
      <c r="D1964" s="4">
        <v>1.69</v>
      </c>
      <c r="E1964" s="4">
        <v>60</v>
      </c>
      <c r="F1964" s="4">
        <v>1.69</v>
      </c>
      <c r="G1964" s="4">
        <v>101.4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1.69</v>
      </c>
      <c r="D1965" s="4">
        <v>1.69</v>
      </c>
      <c r="E1965" s="4">
        <v>60</v>
      </c>
      <c r="F1965" s="4">
        <v>1.69</v>
      </c>
      <c r="G1965" s="4">
        <v>101.4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1.65</v>
      </c>
      <c r="D1966" s="4">
        <v>1.65</v>
      </c>
      <c r="E1966" s="4">
        <v>396</v>
      </c>
      <c r="F1966" s="4">
        <v>1.65</v>
      </c>
      <c r="G1966" s="4">
        <v>653.4</v>
      </c>
      <c r="H1966" s="5">
        <f t="shared" si="30"/>
        <v>-2.3668639053254458E-2</v>
      </c>
    </row>
    <row r="1967" spans="1:8" ht="13.5" x14ac:dyDescent="0.25">
      <c r="A1967" s="1"/>
      <c r="B1967" s="3">
        <v>45166</v>
      </c>
      <c r="C1967" s="4">
        <v>1.61</v>
      </c>
      <c r="D1967" s="4">
        <v>1.61</v>
      </c>
      <c r="E1967" s="4">
        <v>60</v>
      </c>
      <c r="F1967" s="4">
        <v>1.61</v>
      </c>
      <c r="G1967" s="4">
        <v>96.6</v>
      </c>
      <c r="H1967" s="5">
        <f t="shared" si="30"/>
        <v>-2.4242424242424131E-2</v>
      </c>
    </row>
    <row r="1968" spans="1:8" ht="13.5" x14ac:dyDescent="0.25">
      <c r="A1968" s="1"/>
      <c r="B1968" s="3">
        <v>45167</v>
      </c>
      <c r="C1968" s="4">
        <v>1.65</v>
      </c>
      <c r="D1968" s="4">
        <v>1.65</v>
      </c>
      <c r="E1968" s="4">
        <v>925</v>
      </c>
      <c r="F1968" s="4">
        <v>1.65</v>
      </c>
      <c r="G1968" s="4">
        <v>1526.25</v>
      </c>
      <c r="H1968" s="5">
        <f t="shared" si="30"/>
        <v>2.4844720496894294E-2</v>
      </c>
    </row>
    <row r="1969" spans="1:8" ht="13.5" x14ac:dyDescent="0.25">
      <c r="A1969" s="1"/>
      <c r="B1969" s="3">
        <v>45168</v>
      </c>
      <c r="C1969" s="4">
        <v>1.65</v>
      </c>
      <c r="D1969" s="4">
        <v>1.65</v>
      </c>
      <c r="E1969" s="4">
        <v>0</v>
      </c>
      <c r="F1969" s="4">
        <v>0</v>
      </c>
      <c r="G1969" s="4">
        <v>0</v>
      </c>
      <c r="H1969" s="5">
        <f t="shared" si="30"/>
        <v>0</v>
      </c>
    </row>
    <row r="1970" spans="1:8" ht="13.5" x14ac:dyDescent="0.25">
      <c r="A1970" s="1"/>
      <c r="B1970" s="3">
        <v>45169</v>
      </c>
      <c r="C1970" s="4">
        <v>1.62</v>
      </c>
      <c r="D1970" s="4">
        <v>1.62</v>
      </c>
      <c r="E1970" s="4">
        <v>1910</v>
      </c>
      <c r="F1970" s="4">
        <v>1.62</v>
      </c>
      <c r="G1970" s="4">
        <v>3094.2</v>
      </c>
      <c r="H1970" s="5">
        <f t="shared" si="30"/>
        <v>-1.8181818181818063E-2</v>
      </c>
    </row>
    <row r="1971" spans="1:8" ht="13.5" x14ac:dyDescent="0.25">
      <c r="A1971" s="1"/>
      <c r="B1971" s="3">
        <v>45170</v>
      </c>
      <c r="C1971" s="4">
        <v>1.6</v>
      </c>
      <c r="D1971" s="4">
        <v>1.6</v>
      </c>
      <c r="E1971" s="4">
        <v>4000</v>
      </c>
      <c r="F1971" s="4">
        <v>1.6</v>
      </c>
      <c r="G1971" s="4">
        <v>6400</v>
      </c>
      <c r="H1971" s="5">
        <f t="shared" si="30"/>
        <v>-1.2345679012345689E-2</v>
      </c>
    </row>
    <row r="1972" spans="1:8" ht="13.5" x14ac:dyDescent="0.25">
      <c r="A1972" s="1"/>
      <c r="B1972" s="3">
        <v>45173</v>
      </c>
      <c r="C1972" s="4">
        <v>1.61</v>
      </c>
      <c r="D1972" s="4">
        <v>1.61</v>
      </c>
      <c r="E1972" s="4">
        <v>1050</v>
      </c>
      <c r="F1972" s="4">
        <v>1.61</v>
      </c>
      <c r="G1972" s="4">
        <v>1690.5</v>
      </c>
      <c r="H1972" s="5">
        <f t="shared" si="30"/>
        <v>6.2500000000000056E-3</v>
      </c>
    </row>
    <row r="1973" spans="1:8" ht="13.5" x14ac:dyDescent="0.25">
      <c r="A1973" s="1"/>
      <c r="B1973" s="3">
        <v>45174</v>
      </c>
      <c r="C1973" s="4">
        <v>1.65</v>
      </c>
      <c r="D1973" s="4">
        <v>1.65</v>
      </c>
      <c r="E1973" s="4">
        <v>75</v>
      </c>
      <c r="F1973" s="4">
        <v>1.65</v>
      </c>
      <c r="G1973" s="4">
        <v>123.75</v>
      </c>
      <c r="H1973" s="5">
        <f t="shared" si="30"/>
        <v>2.4844720496894294E-2</v>
      </c>
    </row>
    <row r="1974" spans="1:8" ht="13.5" x14ac:dyDescent="0.25">
      <c r="A1974" s="1"/>
      <c r="B1974" s="3">
        <v>45175</v>
      </c>
      <c r="C1974" s="4">
        <v>1.61</v>
      </c>
      <c r="D1974" s="4">
        <v>1.61</v>
      </c>
      <c r="E1974" s="4">
        <v>0</v>
      </c>
      <c r="F1974" s="4">
        <v>0</v>
      </c>
      <c r="G1974" s="4">
        <v>0</v>
      </c>
      <c r="H1974" s="5">
        <f t="shared" si="30"/>
        <v>-2.4242424242424131E-2</v>
      </c>
    </row>
    <row r="1975" spans="1:8" ht="13.5" x14ac:dyDescent="0.25">
      <c r="A1975" s="1"/>
      <c r="B1975" s="3">
        <v>45176</v>
      </c>
      <c r="C1975" s="4">
        <v>1.61</v>
      </c>
      <c r="D1975" s="4">
        <v>1.61</v>
      </c>
      <c r="E1975" s="4">
        <v>6052</v>
      </c>
      <c r="F1975" s="4">
        <v>1.61</v>
      </c>
      <c r="G1975" s="4">
        <v>9743.7199999999993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1.6</v>
      </c>
      <c r="D1976" s="4">
        <v>1.6</v>
      </c>
      <c r="E1976" s="4">
        <v>3911</v>
      </c>
      <c r="F1976" s="4">
        <v>1.6</v>
      </c>
      <c r="G1976" s="4">
        <v>6257.6</v>
      </c>
      <c r="H1976" s="5">
        <f t="shared" si="30"/>
        <v>-6.2111801242236073E-3</v>
      </c>
    </row>
    <row r="1977" spans="1:8" ht="13.5" x14ac:dyDescent="0.25">
      <c r="A1977" s="1"/>
      <c r="B1977" s="3">
        <v>45180</v>
      </c>
      <c r="C1977" s="4">
        <v>1.63</v>
      </c>
      <c r="D1977" s="4">
        <v>1.63</v>
      </c>
      <c r="E1977" s="4">
        <v>630</v>
      </c>
      <c r="F1977" s="4">
        <v>1.63</v>
      </c>
      <c r="G1977" s="4">
        <v>1026.9000000000001</v>
      </c>
      <c r="H1977" s="5">
        <f t="shared" si="30"/>
        <v>1.8749999999999878E-2</v>
      </c>
    </row>
    <row r="1978" spans="1:8" ht="13.5" x14ac:dyDescent="0.25">
      <c r="A1978" s="1"/>
      <c r="B1978" s="3">
        <v>45181</v>
      </c>
      <c r="C1978" s="4">
        <v>1.67</v>
      </c>
      <c r="D1978" s="4">
        <v>1.67</v>
      </c>
      <c r="E1978" s="4">
        <v>0</v>
      </c>
      <c r="F1978" s="4">
        <v>0</v>
      </c>
      <c r="G1978" s="4">
        <v>0</v>
      </c>
      <c r="H1978" s="5">
        <f t="shared" si="30"/>
        <v>2.4539877300613522E-2</v>
      </c>
    </row>
    <row r="1979" spans="1:8" ht="13.5" x14ac:dyDescent="0.25">
      <c r="A1979" s="1"/>
      <c r="B1979" s="3">
        <v>45182</v>
      </c>
      <c r="C1979" s="4">
        <v>1.65</v>
      </c>
      <c r="D1979" s="4">
        <v>1.65</v>
      </c>
      <c r="E1979" s="4">
        <v>18789</v>
      </c>
      <c r="F1979" s="4">
        <v>1.65</v>
      </c>
      <c r="G1979" s="4">
        <v>31001.85</v>
      </c>
      <c r="H1979" s="5">
        <f t="shared" si="30"/>
        <v>-1.1976047904191628E-2</v>
      </c>
    </row>
    <row r="1980" spans="1:8" ht="13.5" x14ac:dyDescent="0.25">
      <c r="A1980" s="1"/>
      <c r="B1980" s="3">
        <v>45183</v>
      </c>
      <c r="C1980" s="4">
        <v>1.65</v>
      </c>
      <c r="D1980" s="4">
        <v>1.65</v>
      </c>
      <c r="E1980" s="4">
        <v>500</v>
      </c>
      <c r="F1980" s="4">
        <v>1.65</v>
      </c>
      <c r="G1980" s="4">
        <v>825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1.65</v>
      </c>
      <c r="D1981" s="4">
        <v>1.65</v>
      </c>
      <c r="E1981" s="4">
        <v>4144</v>
      </c>
      <c r="F1981" s="4">
        <v>1.65</v>
      </c>
      <c r="G1981" s="4">
        <v>6837.6</v>
      </c>
      <c r="H1981" s="5">
        <f t="shared" si="30"/>
        <v>0</v>
      </c>
    </row>
    <row r="1982" spans="1:8" ht="13.5" x14ac:dyDescent="0.25">
      <c r="A1982" s="1"/>
      <c r="B1982" s="3">
        <v>45187</v>
      </c>
      <c r="C1982" s="4">
        <v>1.63</v>
      </c>
      <c r="D1982" s="4">
        <v>1.63</v>
      </c>
      <c r="E1982" s="4">
        <v>1872</v>
      </c>
      <c r="F1982" s="4">
        <v>1.63</v>
      </c>
      <c r="G1982" s="4">
        <v>3051.36</v>
      </c>
      <c r="H1982" s="5">
        <f t="shared" si="30"/>
        <v>-1.2121212121212133E-2</v>
      </c>
    </row>
    <row r="1983" spans="1:8" ht="13.5" x14ac:dyDescent="0.25">
      <c r="A1983" s="1"/>
      <c r="B1983" s="3">
        <v>45188</v>
      </c>
      <c r="C1983" s="4">
        <v>1.63</v>
      </c>
      <c r="D1983" s="4">
        <v>1.63</v>
      </c>
      <c r="E1983" s="4">
        <v>150</v>
      </c>
      <c r="F1983" s="4">
        <v>1.63</v>
      </c>
      <c r="G1983" s="4">
        <v>244.5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1.63</v>
      </c>
      <c r="D1984" s="4">
        <v>1.63</v>
      </c>
      <c r="E1984" s="4">
        <v>2606</v>
      </c>
      <c r="F1984" s="4">
        <v>1.63</v>
      </c>
      <c r="G1984" s="4">
        <v>4247.78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1.63</v>
      </c>
      <c r="D1985" s="4">
        <v>1.63</v>
      </c>
      <c r="E1985" s="4">
        <v>6749</v>
      </c>
      <c r="F1985" s="4">
        <v>1.63</v>
      </c>
      <c r="G1985" s="4">
        <v>11000.87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1.64</v>
      </c>
      <c r="D1986" s="4">
        <v>1.64</v>
      </c>
      <c r="E1986" s="4">
        <v>130</v>
      </c>
      <c r="F1986" s="4">
        <v>1.64</v>
      </c>
      <c r="G1986" s="4">
        <v>213.2</v>
      </c>
      <c r="H1986" s="5">
        <f t="shared" si="30"/>
        <v>6.1349693251533804E-3</v>
      </c>
    </row>
    <row r="1987" spans="1:8" ht="13.5" x14ac:dyDescent="0.25">
      <c r="A1987" s="1"/>
      <c r="B1987" s="3">
        <v>45194</v>
      </c>
      <c r="C1987" s="4">
        <v>1.63</v>
      </c>
      <c r="D1987" s="4">
        <v>1.63</v>
      </c>
      <c r="E1987" s="4">
        <v>10793</v>
      </c>
      <c r="F1987" s="4">
        <v>1.63</v>
      </c>
      <c r="G1987" s="4">
        <v>17592.59</v>
      </c>
      <c r="H1987" s="5">
        <f t="shared" si="30"/>
        <v>-6.0975609756097615E-3</v>
      </c>
    </row>
    <row r="1988" spans="1:8" ht="13.5" x14ac:dyDescent="0.25">
      <c r="A1988" s="1"/>
      <c r="B1988" s="3">
        <v>45195</v>
      </c>
      <c r="C1988" s="4">
        <v>1.64</v>
      </c>
      <c r="D1988" s="4">
        <v>1.64</v>
      </c>
      <c r="E1988" s="4">
        <v>2</v>
      </c>
      <c r="F1988" s="4">
        <v>1.64</v>
      </c>
      <c r="G1988" s="4">
        <v>3.28</v>
      </c>
      <c r="H1988" s="5">
        <f t="shared" si="30"/>
        <v>6.1349693251533804E-3</v>
      </c>
    </row>
    <row r="1989" spans="1:8" ht="13.5" x14ac:dyDescent="0.25">
      <c r="A1989" s="1"/>
      <c r="B1989" s="3">
        <v>45197</v>
      </c>
      <c r="C1989" s="4">
        <v>1.64</v>
      </c>
      <c r="D1989" s="4">
        <v>1.64</v>
      </c>
      <c r="E1989" s="4">
        <v>330</v>
      </c>
      <c r="F1989" s="4">
        <v>1.64</v>
      </c>
      <c r="G1989" s="4">
        <v>541.20000000000005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1.65</v>
      </c>
      <c r="D1990" s="4">
        <v>1.65</v>
      </c>
      <c r="E1990" s="4">
        <v>8585</v>
      </c>
      <c r="F1990" s="4">
        <v>1.65</v>
      </c>
      <c r="G1990" s="4">
        <v>14165.25</v>
      </c>
      <c r="H1990" s="5">
        <f t="shared" si="30"/>
        <v>6.0975609756097615E-3</v>
      </c>
    </row>
    <row r="1991" spans="1:8" ht="13.5" x14ac:dyDescent="0.25">
      <c r="A1991" s="1"/>
      <c r="B1991" s="3">
        <v>45201</v>
      </c>
      <c r="C1991" s="4">
        <v>1.65</v>
      </c>
      <c r="D1991" s="4">
        <v>1.65</v>
      </c>
      <c r="E1991" s="4">
        <v>1441</v>
      </c>
      <c r="F1991" s="4">
        <v>1.65</v>
      </c>
      <c r="G1991" s="4">
        <v>2377.65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1.69</v>
      </c>
      <c r="D1992" s="4">
        <v>1.69</v>
      </c>
      <c r="E1992" s="4">
        <v>1000</v>
      </c>
      <c r="F1992" s="4">
        <v>1.69</v>
      </c>
      <c r="G1992" s="4">
        <v>1690</v>
      </c>
      <c r="H1992" s="5">
        <f t="shared" si="31"/>
        <v>2.4242424242424267E-2</v>
      </c>
    </row>
    <row r="1993" spans="1:8" ht="13.5" x14ac:dyDescent="0.25">
      <c r="A1993" s="1"/>
      <c r="B1993" s="3">
        <v>45203</v>
      </c>
      <c r="C1993" s="4">
        <v>1.71</v>
      </c>
      <c r="D1993" s="4">
        <v>1.71</v>
      </c>
      <c r="E1993" s="4">
        <v>8023</v>
      </c>
      <c r="F1993" s="4">
        <v>1.71</v>
      </c>
      <c r="G1993" s="4">
        <v>13719.33</v>
      </c>
      <c r="H1993" s="5">
        <f t="shared" si="31"/>
        <v>1.1834319526627229E-2</v>
      </c>
    </row>
    <row r="1994" spans="1:8" ht="13.5" x14ac:dyDescent="0.25">
      <c r="A1994" s="1"/>
      <c r="B1994" s="3">
        <v>45204</v>
      </c>
      <c r="C1994" s="4">
        <v>1.73</v>
      </c>
      <c r="D1994" s="4">
        <v>1.73</v>
      </c>
      <c r="E1994" s="4">
        <v>6849</v>
      </c>
      <c r="F1994" s="4">
        <v>1.73</v>
      </c>
      <c r="G1994" s="4">
        <v>11848.77</v>
      </c>
      <c r="H1994" s="5">
        <f t="shared" si="31"/>
        <v>1.169590643274855E-2</v>
      </c>
    </row>
    <row r="1995" spans="1:8" ht="13.5" x14ac:dyDescent="0.25">
      <c r="A1995" s="1"/>
      <c r="B1995" s="3">
        <v>45205</v>
      </c>
      <c r="C1995" s="4">
        <v>1.78</v>
      </c>
      <c r="D1995" s="4">
        <v>1.78</v>
      </c>
      <c r="E1995" s="4">
        <v>21196</v>
      </c>
      <c r="F1995" s="4">
        <v>1.78</v>
      </c>
      <c r="G1995" s="4">
        <v>37728.879999999997</v>
      </c>
      <c r="H1995" s="5">
        <f t="shared" si="31"/>
        <v>2.890173410404627E-2</v>
      </c>
    </row>
    <row r="1996" spans="1:8" ht="13.5" x14ac:dyDescent="0.25">
      <c r="A1996" s="1"/>
      <c r="B1996" s="3">
        <v>45208</v>
      </c>
      <c r="C1996" s="4">
        <v>1.83</v>
      </c>
      <c r="D1996" s="4">
        <v>1.83</v>
      </c>
      <c r="E1996" s="4">
        <v>17382</v>
      </c>
      <c r="F1996" s="4">
        <v>1.83</v>
      </c>
      <c r="G1996" s="4">
        <v>31809.06</v>
      </c>
      <c r="H1996" s="5">
        <f t="shared" si="31"/>
        <v>2.8089887640449462E-2</v>
      </c>
    </row>
    <row r="1997" spans="1:8" ht="13.5" x14ac:dyDescent="0.25">
      <c r="A1997" s="1"/>
      <c r="B1997" s="3">
        <v>45209</v>
      </c>
      <c r="C1997" s="4">
        <v>1.88</v>
      </c>
      <c r="D1997" s="4">
        <v>1.88</v>
      </c>
      <c r="E1997" s="4">
        <v>0</v>
      </c>
      <c r="F1997" s="4">
        <v>0</v>
      </c>
      <c r="G1997" s="4">
        <v>0</v>
      </c>
      <c r="H1997" s="5">
        <f t="shared" si="31"/>
        <v>2.7322404371584601E-2</v>
      </c>
    </row>
    <row r="1998" spans="1:8" ht="13.5" x14ac:dyDescent="0.25">
      <c r="A1998" s="1"/>
      <c r="B1998" s="3">
        <v>45210</v>
      </c>
      <c r="C1998" s="4">
        <v>1.83</v>
      </c>
      <c r="D1998" s="4">
        <v>1.83</v>
      </c>
      <c r="E1998" s="4">
        <v>0</v>
      </c>
      <c r="F1998" s="4">
        <v>0</v>
      </c>
      <c r="G1998" s="4">
        <v>0</v>
      </c>
      <c r="H1998" s="5">
        <f t="shared" si="31"/>
        <v>-2.659574468085097E-2</v>
      </c>
    </row>
    <row r="1999" spans="1:8" ht="13.5" x14ac:dyDescent="0.25">
      <c r="A1999" s="1"/>
      <c r="B1999" s="3">
        <v>45211</v>
      </c>
      <c r="C1999" s="4">
        <v>1.88</v>
      </c>
      <c r="D1999" s="4">
        <v>1.88</v>
      </c>
      <c r="E1999" s="4">
        <v>64632</v>
      </c>
      <c r="F1999" s="4">
        <v>1.88</v>
      </c>
      <c r="G1999" s="4">
        <v>121508.16</v>
      </c>
      <c r="H1999" s="5">
        <f t="shared" si="31"/>
        <v>2.7322404371584601E-2</v>
      </c>
    </row>
    <row r="2000" spans="1:8" ht="13.5" x14ac:dyDescent="0.25">
      <c r="A2000" s="1"/>
      <c r="B2000" s="3">
        <v>45212</v>
      </c>
      <c r="C2000" s="4">
        <v>1.84</v>
      </c>
      <c r="D2000" s="4">
        <v>1.84</v>
      </c>
      <c r="E2000" s="4">
        <v>1941</v>
      </c>
      <c r="F2000" s="4">
        <v>1.84</v>
      </c>
      <c r="G2000" s="4">
        <v>3571.44</v>
      </c>
      <c r="H2000" s="5">
        <f t="shared" si="31"/>
        <v>-2.1276595744680753E-2</v>
      </c>
    </row>
    <row r="2001" spans="1:8" ht="13.5" x14ac:dyDescent="0.25">
      <c r="A2001" s="1"/>
      <c r="B2001" s="3">
        <v>45215</v>
      </c>
      <c r="C2001" s="4">
        <v>1.79</v>
      </c>
      <c r="D2001" s="4">
        <v>1.79</v>
      </c>
      <c r="E2001" s="4">
        <v>0</v>
      </c>
      <c r="F2001" s="4">
        <v>0</v>
      </c>
      <c r="G2001" s="4">
        <v>0</v>
      </c>
      <c r="H2001" s="5">
        <f t="shared" si="31"/>
        <v>-2.7173913043478284E-2</v>
      </c>
    </row>
    <row r="2002" spans="1:8" ht="13.5" x14ac:dyDescent="0.25">
      <c r="A2002" s="1"/>
      <c r="B2002" s="3">
        <v>45216</v>
      </c>
      <c r="C2002" s="4">
        <v>1.74</v>
      </c>
      <c r="D2002" s="4">
        <v>1.74</v>
      </c>
      <c r="E2002" s="4">
        <v>4234</v>
      </c>
      <c r="F2002" s="4">
        <v>1.74</v>
      </c>
      <c r="G2002" s="4">
        <v>7367.16</v>
      </c>
      <c r="H2002" s="5">
        <f t="shared" si="31"/>
        <v>-2.7932960893854771E-2</v>
      </c>
    </row>
    <row r="2003" spans="1:8" ht="13.5" x14ac:dyDescent="0.25">
      <c r="A2003" s="1"/>
      <c r="B2003" s="3">
        <v>45217</v>
      </c>
      <c r="C2003" s="4">
        <v>1.74</v>
      </c>
      <c r="D2003" s="4">
        <v>1.74</v>
      </c>
      <c r="E2003" s="4">
        <v>0</v>
      </c>
      <c r="F2003" s="4">
        <v>0</v>
      </c>
      <c r="G2003" s="4">
        <v>0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1.71</v>
      </c>
      <c r="D2004" s="4">
        <v>1.71</v>
      </c>
      <c r="E2004" s="4">
        <v>1430</v>
      </c>
      <c r="F2004" s="4">
        <v>1.71</v>
      </c>
      <c r="G2004" s="4">
        <v>2445.3000000000002</v>
      </c>
      <c r="H2004" s="5">
        <f t="shared" si="31"/>
        <v>-1.7241379310344845E-2</v>
      </c>
    </row>
    <row r="2005" spans="1:8" ht="13.5" x14ac:dyDescent="0.25">
      <c r="A2005" s="1"/>
      <c r="B2005" s="3">
        <v>45219</v>
      </c>
      <c r="C2005" s="4">
        <v>1.66</v>
      </c>
      <c r="D2005" s="4">
        <v>1.66</v>
      </c>
      <c r="E2005" s="4">
        <v>600</v>
      </c>
      <c r="F2005" s="4">
        <v>1.66</v>
      </c>
      <c r="G2005" s="4">
        <v>996</v>
      </c>
      <c r="H2005" s="5">
        <f t="shared" si="31"/>
        <v>-2.9239766081871371E-2</v>
      </c>
    </row>
    <row r="2006" spans="1:8" ht="13.5" x14ac:dyDescent="0.25">
      <c r="A2006" s="1"/>
      <c r="B2006" s="3">
        <v>45222</v>
      </c>
      <c r="C2006" s="4">
        <v>1.69</v>
      </c>
      <c r="D2006" s="4">
        <v>1.69</v>
      </c>
      <c r="E2006" s="4">
        <v>1400</v>
      </c>
      <c r="F2006" s="4">
        <v>1.69</v>
      </c>
      <c r="G2006" s="4">
        <v>2366</v>
      </c>
      <c r="H2006" s="5">
        <f t="shared" si="31"/>
        <v>1.8072289156626523E-2</v>
      </c>
    </row>
    <row r="2007" spans="1:8" ht="13.5" x14ac:dyDescent="0.25">
      <c r="A2007" s="1"/>
      <c r="B2007" s="3">
        <v>45223</v>
      </c>
      <c r="C2007" s="4">
        <v>1.66</v>
      </c>
      <c r="D2007" s="4">
        <v>1.66</v>
      </c>
      <c r="E2007" s="4">
        <v>1550</v>
      </c>
      <c r="F2007" s="4">
        <v>1.66</v>
      </c>
      <c r="G2007" s="4">
        <v>2573</v>
      </c>
      <c r="H2007" s="5">
        <f t="shared" si="31"/>
        <v>-1.7751479289940846E-2</v>
      </c>
    </row>
    <row r="2008" spans="1:8" ht="13.5" x14ac:dyDescent="0.25">
      <c r="A2008" s="1"/>
      <c r="B2008" s="3">
        <v>45224</v>
      </c>
      <c r="C2008" s="4">
        <v>1.66</v>
      </c>
      <c r="D2008" s="4">
        <v>1.66</v>
      </c>
      <c r="E2008" s="4">
        <v>2279</v>
      </c>
      <c r="F2008" s="4">
        <v>1.66</v>
      </c>
      <c r="G2008" s="4">
        <v>3783.14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1.68</v>
      </c>
      <c r="D2009" s="4">
        <v>1.68</v>
      </c>
      <c r="E2009" s="4">
        <v>3275</v>
      </c>
      <c r="F2009" s="4">
        <v>1.68</v>
      </c>
      <c r="G2009" s="4">
        <v>5502</v>
      </c>
      <c r="H2009" s="5">
        <f t="shared" si="31"/>
        <v>1.2048192771084348E-2</v>
      </c>
    </row>
    <row r="2010" spans="1:8" ht="13.5" x14ac:dyDescent="0.25">
      <c r="A2010" s="1"/>
      <c r="B2010" s="3">
        <v>45226</v>
      </c>
      <c r="C2010" s="4">
        <v>1.69</v>
      </c>
      <c r="D2010" s="4">
        <v>1.69</v>
      </c>
      <c r="E2010" s="4">
        <v>7634</v>
      </c>
      <c r="F2010" s="4">
        <v>1.69</v>
      </c>
      <c r="G2010" s="4">
        <v>12901.46</v>
      </c>
      <c r="H2010" s="5">
        <f t="shared" si="31"/>
        <v>5.9523809523809581E-3</v>
      </c>
    </row>
    <row r="2011" spans="1:8" ht="13.5" x14ac:dyDescent="0.25">
      <c r="A2011" s="1"/>
      <c r="B2011" s="3">
        <v>45229</v>
      </c>
      <c r="C2011" s="4">
        <v>1.73</v>
      </c>
      <c r="D2011" s="4">
        <v>1.73</v>
      </c>
      <c r="E2011" s="4">
        <v>1090</v>
      </c>
      <c r="F2011" s="4">
        <v>1.73</v>
      </c>
      <c r="G2011" s="4">
        <v>1885.7</v>
      </c>
      <c r="H2011" s="5">
        <f t="shared" si="31"/>
        <v>2.3668639053254458E-2</v>
      </c>
    </row>
    <row r="2012" spans="1:8" ht="13.5" x14ac:dyDescent="0.25">
      <c r="A2012" s="1"/>
      <c r="B2012" s="3">
        <v>45230</v>
      </c>
      <c r="C2012" s="4">
        <v>1.74</v>
      </c>
      <c r="D2012" s="4">
        <v>1.74</v>
      </c>
      <c r="E2012" s="4">
        <v>2925</v>
      </c>
      <c r="F2012" s="4">
        <v>1.74</v>
      </c>
      <c r="G2012" s="4">
        <v>5089.5</v>
      </c>
      <c r="H2012" s="5">
        <f t="shared" si="31"/>
        <v>5.7803468208092535E-3</v>
      </c>
    </row>
    <row r="2013" spans="1:8" ht="13.5" x14ac:dyDescent="0.25">
      <c r="A2013" s="1"/>
      <c r="B2013" s="3">
        <v>45231</v>
      </c>
      <c r="C2013" s="4">
        <v>1.74</v>
      </c>
      <c r="D2013" s="4">
        <v>1.74</v>
      </c>
      <c r="E2013" s="4">
        <v>0</v>
      </c>
      <c r="F2013" s="4">
        <v>0</v>
      </c>
      <c r="G2013" s="4">
        <v>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1.79</v>
      </c>
      <c r="D2014" s="4">
        <v>1.79</v>
      </c>
      <c r="E2014" s="4">
        <v>7577</v>
      </c>
      <c r="F2014" s="4">
        <v>1.79</v>
      </c>
      <c r="G2014" s="4">
        <v>13562.83</v>
      </c>
      <c r="H2014" s="5">
        <f t="shared" si="31"/>
        <v>2.8735632183908073E-2</v>
      </c>
    </row>
    <row r="2015" spans="1:8" ht="13.5" x14ac:dyDescent="0.25">
      <c r="A2015" s="1"/>
      <c r="B2015" s="3">
        <v>45233</v>
      </c>
      <c r="C2015" s="4">
        <v>1.84</v>
      </c>
      <c r="D2015" s="4">
        <v>1.84</v>
      </c>
      <c r="E2015" s="4">
        <v>10495</v>
      </c>
      <c r="F2015" s="4">
        <v>1.84</v>
      </c>
      <c r="G2015" s="4">
        <v>19310.8</v>
      </c>
      <c r="H2015" s="5">
        <f t="shared" si="31"/>
        <v>2.7932960893854771E-2</v>
      </c>
    </row>
    <row r="2016" spans="1:8" ht="13.5" x14ac:dyDescent="0.25">
      <c r="A2016" s="1"/>
      <c r="B2016" s="3">
        <v>45236</v>
      </c>
      <c r="C2016" s="4">
        <v>1.79</v>
      </c>
      <c r="D2016" s="4">
        <v>1.79</v>
      </c>
      <c r="E2016" s="4">
        <v>0</v>
      </c>
      <c r="F2016" s="4">
        <v>0</v>
      </c>
      <c r="G2016" s="4">
        <v>0</v>
      </c>
      <c r="H2016" s="5">
        <f t="shared" si="31"/>
        <v>-2.7173913043478284E-2</v>
      </c>
    </row>
    <row r="2017" spans="1:8" ht="13.5" x14ac:dyDescent="0.25">
      <c r="A2017" s="1"/>
      <c r="B2017" s="3">
        <v>45237</v>
      </c>
      <c r="C2017" s="4">
        <v>1.8</v>
      </c>
      <c r="D2017" s="4">
        <v>1.8</v>
      </c>
      <c r="E2017" s="4">
        <v>7044</v>
      </c>
      <c r="F2017" s="4">
        <v>1.8</v>
      </c>
      <c r="G2017" s="4">
        <v>12679.2</v>
      </c>
      <c r="H2017" s="5">
        <f t="shared" si="31"/>
        <v>5.5865921787709542E-3</v>
      </c>
    </row>
    <row r="2018" spans="1:8" ht="13.5" x14ac:dyDescent="0.25">
      <c r="A2018" s="1"/>
      <c r="B2018" s="3">
        <v>45238</v>
      </c>
      <c r="C2018" s="4">
        <v>1.8</v>
      </c>
      <c r="D2018" s="4">
        <v>1.8</v>
      </c>
      <c r="E2018" s="4">
        <v>3190</v>
      </c>
      <c r="F2018" s="4">
        <v>1.8</v>
      </c>
      <c r="G2018" s="4">
        <v>5742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1.8</v>
      </c>
      <c r="D2019" s="4">
        <v>1.8</v>
      </c>
      <c r="E2019" s="4">
        <v>2347</v>
      </c>
      <c r="F2019" s="4">
        <v>1.8</v>
      </c>
      <c r="G2019" s="4">
        <v>4224.6000000000004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1.8</v>
      </c>
      <c r="D2020" s="4">
        <v>1.8</v>
      </c>
      <c r="E2020" s="4">
        <v>1000</v>
      </c>
      <c r="F2020" s="4">
        <v>1.8</v>
      </c>
      <c r="G2020" s="4">
        <v>1800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1.77</v>
      </c>
      <c r="D2021" s="4">
        <v>1.77</v>
      </c>
      <c r="E2021" s="4">
        <v>1725</v>
      </c>
      <c r="F2021" s="4">
        <v>1.77</v>
      </c>
      <c r="G2021" s="4">
        <v>3053.25</v>
      </c>
      <c r="H2021" s="5">
        <f t="shared" si="31"/>
        <v>-1.666666666666668E-2</v>
      </c>
    </row>
    <row r="2022" spans="1:8" ht="13.5" x14ac:dyDescent="0.25">
      <c r="A2022" s="1"/>
      <c r="B2022" s="3">
        <v>45244</v>
      </c>
      <c r="C2022" s="4">
        <v>1.72</v>
      </c>
      <c r="D2022" s="4">
        <v>1.72</v>
      </c>
      <c r="E2022" s="4">
        <v>1556</v>
      </c>
      <c r="F2022" s="4">
        <v>1.72</v>
      </c>
      <c r="G2022" s="4">
        <v>2676.32</v>
      </c>
      <c r="H2022" s="5">
        <f t="shared" si="31"/>
        <v>-2.8248587570621493E-2</v>
      </c>
    </row>
    <row r="2023" spans="1:8" ht="13.5" x14ac:dyDescent="0.25">
      <c r="A2023" s="1"/>
      <c r="B2023" s="3">
        <v>45245</v>
      </c>
      <c r="C2023" s="4">
        <v>1.7</v>
      </c>
      <c r="D2023" s="4">
        <v>1.7</v>
      </c>
      <c r="E2023" s="4">
        <v>920</v>
      </c>
      <c r="F2023" s="4">
        <v>1.7</v>
      </c>
      <c r="G2023" s="4">
        <v>1564</v>
      </c>
      <c r="H2023" s="5">
        <f t="shared" si="31"/>
        <v>-1.1627906976744196E-2</v>
      </c>
    </row>
    <row r="2024" spans="1:8" ht="13.5" x14ac:dyDescent="0.25">
      <c r="A2024" s="1"/>
      <c r="B2024" s="3">
        <v>45246</v>
      </c>
      <c r="C2024" s="4">
        <v>1.73</v>
      </c>
      <c r="D2024" s="4">
        <v>1.73</v>
      </c>
      <c r="E2024" s="4">
        <v>1847</v>
      </c>
      <c r="F2024" s="4">
        <v>1.73</v>
      </c>
      <c r="G2024" s="4">
        <v>3195.31</v>
      </c>
      <c r="H2024" s="5">
        <f t="shared" si="31"/>
        <v>1.7647058823529429E-2</v>
      </c>
    </row>
    <row r="2025" spans="1:8" ht="13.5" x14ac:dyDescent="0.25">
      <c r="A2025" s="1"/>
      <c r="B2025" s="3">
        <v>45247</v>
      </c>
      <c r="C2025" s="4">
        <v>1.77</v>
      </c>
      <c r="D2025" s="4">
        <v>1.77</v>
      </c>
      <c r="E2025" s="4">
        <v>2164</v>
      </c>
      <c r="F2025" s="4">
        <v>1.77</v>
      </c>
      <c r="G2025" s="4">
        <v>3830.28</v>
      </c>
      <c r="H2025" s="5">
        <f t="shared" si="31"/>
        <v>2.3121387283237014E-2</v>
      </c>
    </row>
    <row r="2026" spans="1:8" ht="13.5" x14ac:dyDescent="0.25">
      <c r="A2026" s="1"/>
      <c r="B2026" s="3">
        <v>45250</v>
      </c>
      <c r="C2026" s="4">
        <v>1.77</v>
      </c>
      <c r="D2026" s="4">
        <v>1.77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1.72</v>
      </c>
      <c r="D2027" s="4">
        <v>1.72</v>
      </c>
      <c r="E2027" s="4">
        <v>0</v>
      </c>
      <c r="F2027" s="4">
        <v>0</v>
      </c>
      <c r="G2027" s="4">
        <v>0</v>
      </c>
      <c r="H2027" s="5">
        <f t="shared" si="31"/>
        <v>-2.8248587570621493E-2</v>
      </c>
    </row>
    <row r="2028" spans="1:8" ht="13.5" x14ac:dyDescent="0.25">
      <c r="A2028" s="1"/>
      <c r="B2028" s="3">
        <v>45252</v>
      </c>
      <c r="C2028" s="4">
        <v>1.67</v>
      </c>
      <c r="D2028" s="4">
        <v>1.67</v>
      </c>
      <c r="E2028" s="4">
        <v>8516</v>
      </c>
      <c r="F2028" s="4">
        <v>1.67</v>
      </c>
      <c r="G2028" s="4">
        <v>14221.72</v>
      </c>
      <c r="H2028" s="5">
        <f t="shared" si="31"/>
        <v>-2.9069767441860492E-2</v>
      </c>
    </row>
    <row r="2029" spans="1:8" ht="13.5" x14ac:dyDescent="0.25">
      <c r="A2029" s="1"/>
      <c r="B2029" s="3">
        <v>45253</v>
      </c>
      <c r="C2029" s="4">
        <v>1.68</v>
      </c>
      <c r="D2029" s="4">
        <v>1.68</v>
      </c>
      <c r="E2029" s="4">
        <v>3257</v>
      </c>
      <c r="F2029" s="4">
        <v>1.68</v>
      </c>
      <c r="G2029" s="4">
        <v>5471.76</v>
      </c>
      <c r="H2029" s="5">
        <f t="shared" si="31"/>
        <v>5.988023952095814E-3</v>
      </c>
    </row>
    <row r="2030" spans="1:8" ht="13.5" x14ac:dyDescent="0.25">
      <c r="A2030" s="1"/>
      <c r="B2030" s="3">
        <v>45254</v>
      </c>
      <c r="C2030" s="4">
        <v>1.65</v>
      </c>
      <c r="D2030" s="4">
        <v>1.65</v>
      </c>
      <c r="E2030" s="4">
        <v>18476</v>
      </c>
      <c r="F2030" s="4">
        <v>1.65</v>
      </c>
      <c r="G2030" s="4">
        <v>30485.4</v>
      </c>
      <c r="H2030" s="5">
        <f t="shared" si="31"/>
        <v>-1.7857142857142873E-2</v>
      </c>
    </row>
    <row r="2031" spans="1:8" ht="13.5" x14ac:dyDescent="0.25">
      <c r="A2031" s="1"/>
      <c r="B2031" s="3">
        <v>45257</v>
      </c>
      <c r="C2031" s="4">
        <v>1.69</v>
      </c>
      <c r="D2031" s="4">
        <v>1.69</v>
      </c>
      <c r="E2031" s="4">
        <v>500</v>
      </c>
      <c r="F2031" s="4">
        <v>1.69</v>
      </c>
      <c r="G2031" s="4">
        <v>845</v>
      </c>
      <c r="H2031" s="5">
        <f t="shared" si="31"/>
        <v>2.4242424242424267E-2</v>
      </c>
    </row>
    <row r="2032" spans="1:8" ht="13.5" x14ac:dyDescent="0.25">
      <c r="A2032" s="1"/>
      <c r="B2032" s="3">
        <v>45258</v>
      </c>
      <c r="C2032" s="4">
        <v>1.69</v>
      </c>
      <c r="D2032" s="4">
        <v>1.69</v>
      </c>
      <c r="E2032" s="4">
        <v>1650</v>
      </c>
      <c r="F2032" s="4">
        <v>1.69</v>
      </c>
      <c r="G2032" s="4">
        <v>2788.5</v>
      </c>
      <c r="H2032" s="5">
        <f t="shared" si="31"/>
        <v>0</v>
      </c>
    </row>
    <row r="2033" spans="1:8" ht="13.5" x14ac:dyDescent="0.25">
      <c r="A2033" s="1"/>
      <c r="B2033" s="3">
        <v>45259</v>
      </c>
      <c r="C2033" s="4">
        <v>1.69</v>
      </c>
      <c r="D2033" s="4">
        <v>1.69</v>
      </c>
      <c r="E2033" s="4">
        <v>500</v>
      </c>
      <c r="F2033" s="4">
        <v>1.69</v>
      </c>
      <c r="G2033" s="4">
        <v>845</v>
      </c>
      <c r="H2033" s="5">
        <f t="shared" si="31"/>
        <v>0</v>
      </c>
    </row>
    <row r="2034" spans="1:8" ht="13.5" x14ac:dyDescent="0.25">
      <c r="A2034" s="1"/>
      <c r="B2034" s="3">
        <v>45260</v>
      </c>
      <c r="C2034" s="4">
        <v>1.69</v>
      </c>
      <c r="D2034" s="4">
        <v>1.69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1.66</v>
      </c>
      <c r="D2035" s="4">
        <v>1.66</v>
      </c>
      <c r="E2035" s="4">
        <v>500</v>
      </c>
      <c r="F2035" s="4">
        <v>1.66</v>
      </c>
      <c r="G2035" s="4">
        <v>830</v>
      </c>
      <c r="H2035" s="5">
        <f t="shared" si="31"/>
        <v>-1.7751479289940846E-2</v>
      </c>
    </row>
    <row r="2036" spans="1:8" ht="13.5" x14ac:dyDescent="0.25">
      <c r="A2036" s="1"/>
      <c r="B2036" s="3">
        <v>45264</v>
      </c>
      <c r="C2036" s="4">
        <v>1.7</v>
      </c>
      <c r="D2036" s="4">
        <v>1.7</v>
      </c>
      <c r="E2036" s="4">
        <v>0</v>
      </c>
      <c r="F2036" s="4">
        <v>0</v>
      </c>
      <c r="G2036" s="4">
        <v>0</v>
      </c>
      <c r="H2036" s="5">
        <f t="shared" si="31"/>
        <v>2.4096385542168697E-2</v>
      </c>
    </row>
    <row r="2037" spans="1:8" ht="13.5" x14ac:dyDescent="0.25">
      <c r="A2037" s="1"/>
      <c r="B2037" s="3">
        <v>45265</v>
      </c>
      <c r="C2037" s="4">
        <v>1.75</v>
      </c>
      <c r="D2037" s="4">
        <v>1.75</v>
      </c>
      <c r="E2037" s="4">
        <v>3500</v>
      </c>
      <c r="F2037" s="4">
        <v>1.75</v>
      </c>
      <c r="G2037" s="4">
        <v>6125</v>
      </c>
      <c r="H2037" s="5">
        <f t="shared" si="31"/>
        <v>2.941176470588238E-2</v>
      </c>
    </row>
    <row r="2038" spans="1:8" ht="13.5" x14ac:dyDescent="0.25">
      <c r="A2038" s="1"/>
      <c r="B2038" s="3">
        <v>45266</v>
      </c>
      <c r="C2038" s="4">
        <v>1.77</v>
      </c>
      <c r="D2038" s="4">
        <v>1.77</v>
      </c>
      <c r="E2038" s="4">
        <v>2500</v>
      </c>
      <c r="F2038" s="4">
        <v>1.77</v>
      </c>
      <c r="G2038" s="4">
        <v>4425</v>
      </c>
      <c r="H2038" s="5">
        <f t="shared" si="31"/>
        <v>1.1428571428571439E-2</v>
      </c>
    </row>
    <row r="2039" spans="1:8" ht="13.5" x14ac:dyDescent="0.25">
      <c r="A2039" s="1"/>
      <c r="B2039" s="3">
        <v>45267</v>
      </c>
      <c r="C2039" s="4">
        <v>1.77</v>
      </c>
      <c r="D2039" s="4">
        <v>1.77</v>
      </c>
      <c r="E2039" s="4">
        <v>11500</v>
      </c>
      <c r="F2039" s="4">
        <v>1.77</v>
      </c>
      <c r="G2039" s="4">
        <v>20355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1.77</v>
      </c>
      <c r="D2040" s="4">
        <v>1.77</v>
      </c>
      <c r="E2040" s="4">
        <v>9000</v>
      </c>
      <c r="F2040" s="4">
        <v>1.77</v>
      </c>
      <c r="G2040" s="4">
        <v>15930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1.77</v>
      </c>
      <c r="D2041" s="4">
        <v>1.77</v>
      </c>
      <c r="E2041" s="4">
        <v>900</v>
      </c>
      <c r="F2041" s="4">
        <v>1.77</v>
      </c>
      <c r="G2041" s="4">
        <v>1593</v>
      </c>
      <c r="H2041" s="5">
        <f t="shared" si="31"/>
        <v>0</v>
      </c>
    </row>
    <row r="2042" spans="1:8" ht="13.5" x14ac:dyDescent="0.25">
      <c r="A2042" s="1"/>
      <c r="B2042" s="3">
        <v>45272</v>
      </c>
      <c r="C2042" s="4">
        <v>1.77</v>
      </c>
      <c r="D2042" s="4">
        <v>1.77</v>
      </c>
      <c r="E2042" s="4">
        <v>1304</v>
      </c>
      <c r="F2042" s="4">
        <v>1.77</v>
      </c>
      <c r="G2042" s="4">
        <v>2308.08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1.75</v>
      </c>
      <c r="D2043" s="4">
        <v>1.75</v>
      </c>
      <c r="E2043" s="4">
        <v>5000</v>
      </c>
      <c r="F2043" s="4">
        <v>1.75</v>
      </c>
      <c r="G2043" s="4">
        <v>8750</v>
      </c>
      <c r="H2043" s="5">
        <f t="shared" si="31"/>
        <v>-1.1299435028248598E-2</v>
      </c>
    </row>
    <row r="2044" spans="1:8" ht="13.5" x14ac:dyDescent="0.25">
      <c r="A2044" s="1"/>
      <c r="B2044" s="3">
        <v>45274</v>
      </c>
      <c r="C2044" s="4">
        <v>1.77</v>
      </c>
      <c r="D2044" s="4">
        <v>1.77</v>
      </c>
      <c r="E2044" s="4">
        <v>5000</v>
      </c>
      <c r="F2044" s="4">
        <v>1.77</v>
      </c>
      <c r="G2044" s="4">
        <v>8850</v>
      </c>
      <c r="H2044" s="5">
        <f t="shared" si="31"/>
        <v>1.1428571428571439E-2</v>
      </c>
    </row>
    <row r="2045" spans="1:8" ht="13.5" x14ac:dyDescent="0.25">
      <c r="A2045" s="1"/>
      <c r="B2045" s="3">
        <v>45275</v>
      </c>
      <c r="C2045" s="4">
        <v>1.75</v>
      </c>
      <c r="D2045" s="4">
        <v>1.75</v>
      </c>
      <c r="E2045" s="4">
        <v>7000</v>
      </c>
      <c r="F2045" s="4">
        <v>1.75</v>
      </c>
      <c r="G2045" s="4">
        <v>12250</v>
      </c>
      <c r="H2045" s="5">
        <f t="shared" si="31"/>
        <v>-1.1299435028248598E-2</v>
      </c>
    </row>
    <row r="2046" spans="1:8" ht="13.5" x14ac:dyDescent="0.25">
      <c r="A2046" s="1"/>
      <c r="B2046" s="3">
        <v>45278</v>
      </c>
      <c r="C2046" s="4">
        <v>1.77</v>
      </c>
      <c r="D2046" s="4">
        <v>1.77</v>
      </c>
      <c r="E2046" s="4">
        <v>11000</v>
      </c>
      <c r="F2046" s="4">
        <v>1.77</v>
      </c>
      <c r="G2046" s="4">
        <v>19470</v>
      </c>
      <c r="H2046" s="5">
        <f t="shared" si="31"/>
        <v>1.1428571428571439E-2</v>
      </c>
    </row>
    <row r="2047" spans="1:8" ht="13.5" x14ac:dyDescent="0.25">
      <c r="A2047" s="1"/>
      <c r="B2047" s="3">
        <v>45279</v>
      </c>
      <c r="C2047" s="4">
        <v>1.78</v>
      </c>
      <c r="D2047" s="4">
        <v>1.78</v>
      </c>
      <c r="E2047" s="4">
        <v>16750</v>
      </c>
      <c r="F2047" s="4">
        <v>1.78</v>
      </c>
      <c r="G2047" s="4">
        <v>29815</v>
      </c>
      <c r="H2047" s="5">
        <f t="shared" si="31"/>
        <v>5.649717514124299E-3</v>
      </c>
    </row>
    <row r="2048" spans="1:8" ht="13.5" x14ac:dyDescent="0.25">
      <c r="A2048" s="1"/>
      <c r="B2048" s="3">
        <v>45280</v>
      </c>
      <c r="C2048" s="4">
        <v>1.78</v>
      </c>
      <c r="D2048" s="4">
        <v>1.78</v>
      </c>
      <c r="E2048" s="4">
        <v>5580</v>
      </c>
      <c r="F2048" s="4">
        <v>1.78</v>
      </c>
      <c r="G2048" s="4">
        <v>9932.4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1.78</v>
      </c>
      <c r="D2049" s="4">
        <v>1.78</v>
      </c>
      <c r="E2049" s="4">
        <v>12370</v>
      </c>
      <c r="F2049" s="4">
        <v>1.78</v>
      </c>
      <c r="G2049" s="4">
        <v>22018.6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1.78</v>
      </c>
      <c r="D2050" s="4">
        <v>1.78</v>
      </c>
      <c r="E2050" s="4">
        <v>11800</v>
      </c>
      <c r="F2050" s="4">
        <v>1.78</v>
      </c>
      <c r="G2050" s="4">
        <v>21004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1.77</v>
      </c>
      <c r="D2051" s="4">
        <v>1.77</v>
      </c>
      <c r="E2051" s="4">
        <v>12544</v>
      </c>
      <c r="F2051" s="4">
        <v>1.77</v>
      </c>
      <c r="G2051" s="4">
        <v>22202.880000000001</v>
      </c>
      <c r="H2051" s="5">
        <f t="shared" si="31"/>
        <v>-5.6179775280898927E-3</v>
      </c>
    </row>
    <row r="2052" spans="1:8" ht="13.5" x14ac:dyDescent="0.25">
      <c r="A2052" s="1"/>
      <c r="B2052" s="3">
        <v>45286</v>
      </c>
      <c r="C2052" s="4">
        <v>1.79</v>
      </c>
      <c r="D2052" s="4">
        <v>1.79</v>
      </c>
      <c r="E2052" s="4">
        <v>18705</v>
      </c>
      <c r="F2052" s="4">
        <v>1.79</v>
      </c>
      <c r="G2052" s="4">
        <v>33481.949999999997</v>
      </c>
      <c r="H2052" s="5">
        <f t="shared" si="31"/>
        <v>1.1299435028248598E-2</v>
      </c>
    </row>
    <row r="2053" spans="1:8" ht="13.5" x14ac:dyDescent="0.25">
      <c r="A2053" s="1"/>
      <c r="B2053" s="3">
        <v>45287</v>
      </c>
      <c r="C2053" s="4">
        <v>1.8</v>
      </c>
      <c r="D2053" s="4">
        <v>1.8</v>
      </c>
      <c r="E2053" s="4">
        <v>17140</v>
      </c>
      <c r="F2053" s="4">
        <v>1.8</v>
      </c>
      <c r="G2053" s="4">
        <v>30852</v>
      </c>
      <c r="H2053" s="5">
        <f t="shared" si="31"/>
        <v>5.5865921787709542E-3</v>
      </c>
    </row>
    <row r="2054" spans="1:8" ht="13.5" x14ac:dyDescent="0.25">
      <c r="A2054" s="1"/>
      <c r="B2054" s="3">
        <v>45288</v>
      </c>
      <c r="C2054" s="4">
        <v>1.84</v>
      </c>
      <c r="D2054" s="4">
        <v>1.84</v>
      </c>
      <c r="E2054" s="4">
        <v>29950</v>
      </c>
      <c r="F2054" s="4">
        <v>1.84</v>
      </c>
      <c r="G2054" s="4">
        <v>55108</v>
      </c>
      <c r="H2054" s="5">
        <f t="shared" si="31"/>
        <v>2.222222222222224E-2</v>
      </c>
    </row>
    <row r="2055" spans="1:8" ht="13.5" x14ac:dyDescent="0.25">
      <c r="A2055" s="1"/>
      <c r="B2055" s="3">
        <v>45289</v>
      </c>
      <c r="C2055" s="4">
        <v>1.89</v>
      </c>
      <c r="D2055" s="4">
        <v>1.89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2.7173913043478163E-2</v>
      </c>
    </row>
    <row r="2056" spans="1:8" ht="13.5" x14ac:dyDescent="0.25">
      <c r="A2056" s="1"/>
      <c r="B2056" s="3">
        <v>45293</v>
      </c>
      <c r="C2056" s="4">
        <v>1.84</v>
      </c>
      <c r="D2056" s="4">
        <v>1.84</v>
      </c>
      <c r="E2056" s="4">
        <v>0</v>
      </c>
      <c r="F2056" s="4">
        <v>0</v>
      </c>
      <c r="G2056" s="4">
        <v>0</v>
      </c>
      <c r="H2056" s="5">
        <f t="shared" si="32"/>
        <v>-2.6455026455026363E-2</v>
      </c>
    </row>
    <row r="2057" spans="1:8" ht="13.5" x14ac:dyDescent="0.25">
      <c r="A2057" s="1"/>
      <c r="B2057" s="3">
        <v>45294</v>
      </c>
      <c r="C2057" s="4">
        <v>1.81</v>
      </c>
      <c r="D2057" s="4">
        <v>1.81</v>
      </c>
      <c r="E2057" s="4">
        <v>4150</v>
      </c>
      <c r="F2057" s="4">
        <v>1.81</v>
      </c>
      <c r="G2057" s="4">
        <v>7511.5</v>
      </c>
      <c r="H2057" s="5">
        <f t="shared" si="32"/>
        <v>-1.630434782608697E-2</v>
      </c>
    </row>
    <row r="2058" spans="1:8" ht="13.5" x14ac:dyDescent="0.25">
      <c r="A2058" s="1"/>
      <c r="B2058" s="3">
        <v>45295</v>
      </c>
      <c r="C2058" s="4">
        <v>1.76</v>
      </c>
      <c r="D2058" s="4">
        <v>1.76</v>
      </c>
      <c r="E2058" s="4">
        <v>0</v>
      </c>
      <c r="F2058" s="4">
        <v>0</v>
      </c>
      <c r="G2058" s="4">
        <v>0</v>
      </c>
      <c r="H2058" s="5">
        <f t="shared" si="32"/>
        <v>-2.7624309392265217E-2</v>
      </c>
    </row>
    <row r="2059" spans="1:8" ht="13.5" x14ac:dyDescent="0.25">
      <c r="A2059" s="1"/>
      <c r="B2059" s="3">
        <v>45296</v>
      </c>
      <c r="C2059" s="4">
        <v>1.76</v>
      </c>
      <c r="D2059" s="4">
        <v>1.76</v>
      </c>
      <c r="E2059" s="4">
        <v>4545</v>
      </c>
      <c r="F2059" s="4">
        <v>1.76</v>
      </c>
      <c r="G2059" s="4">
        <v>7999.2</v>
      </c>
      <c r="H2059" s="5">
        <f t="shared" si="32"/>
        <v>0</v>
      </c>
    </row>
    <row r="2060" spans="1:8" ht="13.5" x14ac:dyDescent="0.25">
      <c r="A2060" s="1"/>
      <c r="B2060" s="3">
        <v>45299</v>
      </c>
      <c r="C2060" s="4">
        <v>1.76</v>
      </c>
      <c r="D2060" s="4">
        <v>1.76</v>
      </c>
      <c r="E2060" s="4">
        <v>28000</v>
      </c>
      <c r="F2060" s="4">
        <v>1.76</v>
      </c>
      <c r="G2060" s="4">
        <v>49280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1.71</v>
      </c>
      <c r="D2061" s="4">
        <v>1.71</v>
      </c>
      <c r="E2061" s="4">
        <v>8918</v>
      </c>
      <c r="F2061" s="4">
        <v>1.71</v>
      </c>
      <c r="G2061" s="4">
        <v>15249.78</v>
      </c>
      <c r="H2061" s="5">
        <f t="shared" si="32"/>
        <v>-2.8409090909090936E-2</v>
      </c>
    </row>
    <row r="2062" spans="1:8" ht="13.5" x14ac:dyDescent="0.25">
      <c r="A2062" s="1"/>
      <c r="B2062" s="3">
        <v>45301</v>
      </c>
      <c r="C2062" s="4">
        <v>1.76</v>
      </c>
      <c r="D2062" s="4">
        <v>1.76</v>
      </c>
      <c r="E2062" s="4">
        <v>0</v>
      </c>
      <c r="F2062" s="4">
        <v>0</v>
      </c>
      <c r="G2062" s="4">
        <v>0</v>
      </c>
      <c r="H2062" s="5">
        <f t="shared" si="32"/>
        <v>2.9239766081871371E-2</v>
      </c>
    </row>
    <row r="2063" spans="1:8" ht="13.5" x14ac:dyDescent="0.25">
      <c r="A2063" s="1"/>
      <c r="B2063" s="3">
        <v>45302</v>
      </c>
      <c r="C2063" s="4">
        <v>1.71</v>
      </c>
      <c r="D2063" s="4">
        <v>1.71</v>
      </c>
      <c r="E2063" s="4">
        <v>870</v>
      </c>
      <c r="F2063" s="4">
        <v>1.71</v>
      </c>
      <c r="G2063" s="4">
        <v>1487.7</v>
      </c>
      <c r="H2063" s="5">
        <f t="shared" si="32"/>
        <v>-2.8409090909090936E-2</v>
      </c>
    </row>
    <row r="2064" spans="1:8" ht="13.5" x14ac:dyDescent="0.25">
      <c r="A2064" s="1"/>
      <c r="B2064" s="3">
        <v>45303</v>
      </c>
      <c r="C2064" s="4">
        <v>1.76</v>
      </c>
      <c r="D2064" s="4">
        <v>1.76</v>
      </c>
      <c r="E2064" s="4">
        <v>50</v>
      </c>
      <c r="F2064" s="4">
        <v>1.76</v>
      </c>
      <c r="G2064" s="4">
        <v>88</v>
      </c>
      <c r="H2064" s="5">
        <f t="shared" si="32"/>
        <v>2.9239766081871371E-2</v>
      </c>
    </row>
    <row r="2065" spans="1:8" ht="13.5" x14ac:dyDescent="0.25">
      <c r="A2065" s="1"/>
      <c r="B2065" s="3">
        <v>45306</v>
      </c>
      <c r="C2065" s="4">
        <v>1.76</v>
      </c>
      <c r="D2065" s="4">
        <v>1.76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1.76</v>
      </c>
      <c r="D2066" s="4">
        <v>1.76</v>
      </c>
      <c r="E2066" s="4">
        <v>7080</v>
      </c>
      <c r="F2066" s="4">
        <v>1.76</v>
      </c>
      <c r="G2066" s="4">
        <v>12460.8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1.76</v>
      </c>
      <c r="D2067" s="4">
        <v>1.76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1.76</v>
      </c>
      <c r="D2068" s="4">
        <v>1.76</v>
      </c>
      <c r="E2068" s="4">
        <v>326</v>
      </c>
      <c r="F2068" s="4">
        <v>1.76</v>
      </c>
      <c r="G2068" s="4">
        <v>573.76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1.76</v>
      </c>
      <c r="D2069" s="4">
        <v>1.76</v>
      </c>
      <c r="E2069" s="4">
        <v>500</v>
      </c>
      <c r="F2069" s="4">
        <v>1.76</v>
      </c>
      <c r="G2069" s="4">
        <v>880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1.71</v>
      </c>
      <c r="D2070" s="4">
        <v>1.71</v>
      </c>
      <c r="E2070" s="4">
        <v>4355</v>
      </c>
      <c r="F2070" s="4">
        <v>1.71</v>
      </c>
      <c r="G2070" s="4">
        <v>7447.05</v>
      </c>
      <c r="H2070" s="5">
        <f t="shared" si="32"/>
        <v>-2.8409090909090936E-2</v>
      </c>
    </row>
    <row r="2071" spans="1:8" ht="13.5" x14ac:dyDescent="0.25">
      <c r="A2071" s="1"/>
      <c r="B2071" s="3">
        <v>45314</v>
      </c>
      <c r="C2071" s="4">
        <v>1.66</v>
      </c>
      <c r="D2071" s="4">
        <v>1.66</v>
      </c>
      <c r="E2071" s="4">
        <v>400</v>
      </c>
      <c r="F2071" s="4">
        <v>1.66</v>
      </c>
      <c r="G2071" s="4">
        <v>664</v>
      </c>
      <c r="H2071" s="5">
        <f t="shared" si="32"/>
        <v>-2.9239766081871371E-2</v>
      </c>
    </row>
    <row r="2072" spans="1:8" ht="13.5" x14ac:dyDescent="0.25">
      <c r="A2072" s="1"/>
      <c r="B2072" s="3">
        <v>45315</v>
      </c>
      <c r="C2072" s="4">
        <v>1.7</v>
      </c>
      <c r="D2072" s="4">
        <v>1.7</v>
      </c>
      <c r="E2072" s="4">
        <v>400</v>
      </c>
      <c r="F2072" s="4">
        <v>1.7</v>
      </c>
      <c r="G2072" s="4">
        <v>680</v>
      </c>
      <c r="H2072" s="5">
        <f t="shared" si="32"/>
        <v>2.4096385542168697E-2</v>
      </c>
    </row>
    <row r="2073" spans="1:8" ht="13.5" x14ac:dyDescent="0.25">
      <c r="A2073" s="1"/>
      <c r="B2073" s="3">
        <v>45316</v>
      </c>
      <c r="C2073" s="4">
        <v>1.75</v>
      </c>
      <c r="D2073" s="4">
        <v>1.75</v>
      </c>
      <c r="E2073" s="4">
        <v>50</v>
      </c>
      <c r="F2073" s="4">
        <v>1.75</v>
      </c>
      <c r="G2073" s="4">
        <v>87.5</v>
      </c>
      <c r="H2073" s="5">
        <f t="shared" si="32"/>
        <v>2.941176470588238E-2</v>
      </c>
    </row>
    <row r="2074" spans="1:8" ht="13.5" x14ac:dyDescent="0.25">
      <c r="A2074" s="1"/>
      <c r="B2074" s="3">
        <v>45317</v>
      </c>
      <c r="C2074" s="4">
        <v>1.74</v>
      </c>
      <c r="D2074" s="4">
        <v>1.74</v>
      </c>
      <c r="E2074" s="4">
        <v>962</v>
      </c>
      <c r="F2074" s="4">
        <v>1.74</v>
      </c>
      <c r="G2074" s="4">
        <v>1673.88</v>
      </c>
      <c r="H2074" s="5">
        <f t="shared" si="32"/>
        <v>-5.7142857142857195E-3</v>
      </c>
    </row>
    <row r="2075" spans="1:8" ht="13.5" x14ac:dyDescent="0.25">
      <c r="A2075" s="1"/>
      <c r="B2075" s="3">
        <v>45320</v>
      </c>
      <c r="C2075" s="4">
        <v>1.7</v>
      </c>
      <c r="D2075" s="4">
        <v>1.7</v>
      </c>
      <c r="E2075" s="4">
        <v>1273</v>
      </c>
      <c r="F2075" s="4">
        <v>1.7</v>
      </c>
      <c r="G2075" s="4">
        <v>2164.1</v>
      </c>
      <c r="H2075" s="5">
        <f t="shared" si="32"/>
        <v>-2.2988505747126457E-2</v>
      </c>
    </row>
    <row r="2076" spans="1:8" ht="13.5" x14ac:dyDescent="0.25">
      <c r="A2076" s="1"/>
      <c r="B2076" s="3">
        <v>45321</v>
      </c>
      <c r="C2076" s="4">
        <v>1.7</v>
      </c>
      <c r="D2076" s="4">
        <v>1.7</v>
      </c>
      <c r="E2076" s="4">
        <v>1000</v>
      </c>
      <c r="F2076" s="4">
        <v>1.7</v>
      </c>
      <c r="G2076" s="4">
        <v>1700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1.67</v>
      </c>
      <c r="D2077" s="4">
        <v>1.67</v>
      </c>
      <c r="E2077" s="4">
        <v>2862</v>
      </c>
      <c r="F2077" s="4">
        <v>1.67</v>
      </c>
      <c r="G2077" s="4">
        <v>4779.54</v>
      </c>
      <c r="H2077" s="5">
        <f t="shared" si="32"/>
        <v>-1.7647058823529429E-2</v>
      </c>
    </row>
    <row r="2078" spans="1:8" ht="13.5" x14ac:dyDescent="0.25">
      <c r="A2078" s="1"/>
      <c r="B2078" s="3">
        <v>45323</v>
      </c>
      <c r="C2078" s="4">
        <v>1.67</v>
      </c>
      <c r="D2078" s="4">
        <v>1.67</v>
      </c>
      <c r="E2078" s="4">
        <v>2179</v>
      </c>
      <c r="F2078" s="4">
        <v>1.67</v>
      </c>
      <c r="G2078" s="4">
        <v>3638.93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1.67</v>
      </c>
      <c r="D2079" s="4">
        <v>1.67</v>
      </c>
      <c r="E2079" s="4">
        <v>10600</v>
      </c>
      <c r="F2079" s="4">
        <v>1.67</v>
      </c>
      <c r="G2079" s="4">
        <v>17702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1.67</v>
      </c>
      <c r="D2080" s="4">
        <v>1.67</v>
      </c>
      <c r="E2080" s="4">
        <v>3169</v>
      </c>
      <c r="F2080" s="4">
        <v>1.67</v>
      </c>
      <c r="G2080" s="4">
        <v>5292.23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1.67</v>
      </c>
      <c r="D2081" s="4">
        <v>1.67</v>
      </c>
      <c r="E2081" s="4">
        <v>3704</v>
      </c>
      <c r="F2081" s="4">
        <v>1.67</v>
      </c>
      <c r="G2081" s="4">
        <v>6185.68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1.68</v>
      </c>
      <c r="D2082" s="4">
        <v>1.68</v>
      </c>
      <c r="E2082" s="4">
        <v>3276</v>
      </c>
      <c r="F2082" s="4">
        <v>1.68</v>
      </c>
      <c r="G2082" s="4">
        <v>5503.68</v>
      </c>
      <c r="H2082" s="5">
        <f t="shared" si="32"/>
        <v>5.988023952095814E-3</v>
      </c>
    </row>
    <row r="2083" spans="1:8" ht="13.5" x14ac:dyDescent="0.25">
      <c r="A2083" s="1"/>
      <c r="B2083" s="3">
        <v>45330</v>
      </c>
      <c r="C2083" s="4">
        <v>1.67</v>
      </c>
      <c r="D2083" s="4">
        <v>1.67</v>
      </c>
      <c r="E2083" s="4">
        <v>6021</v>
      </c>
      <c r="F2083" s="4">
        <v>1.67</v>
      </c>
      <c r="G2083" s="4">
        <v>10055.07</v>
      </c>
      <c r="H2083" s="5">
        <f t="shared" si="32"/>
        <v>-5.9523809523809581E-3</v>
      </c>
    </row>
    <row r="2084" spans="1:8" ht="13.5" x14ac:dyDescent="0.25">
      <c r="A2084" s="1"/>
      <c r="B2084" s="3">
        <v>45331</v>
      </c>
      <c r="C2084" s="4">
        <v>1.67</v>
      </c>
      <c r="D2084" s="4">
        <v>1.67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1.67</v>
      </c>
      <c r="D2085" s="4">
        <v>1.67</v>
      </c>
      <c r="E2085" s="4">
        <v>6813</v>
      </c>
      <c r="F2085" s="4">
        <v>1.67</v>
      </c>
      <c r="G2085" s="4">
        <v>11377.71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1.67</v>
      </c>
      <c r="D2086" s="4">
        <v>1.67</v>
      </c>
      <c r="E2086" s="4">
        <v>2814</v>
      </c>
      <c r="F2086" s="4">
        <v>1.67</v>
      </c>
      <c r="G2086" s="4">
        <v>4699.38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1.67</v>
      </c>
      <c r="D2087" s="4">
        <v>1.67</v>
      </c>
      <c r="E2087" s="4">
        <v>4381</v>
      </c>
      <c r="F2087" s="4">
        <v>1.67</v>
      </c>
      <c r="G2087" s="4">
        <v>7316.27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1.69</v>
      </c>
      <c r="D2088" s="4">
        <v>1.69</v>
      </c>
      <c r="E2088" s="4">
        <v>10</v>
      </c>
      <c r="F2088" s="4">
        <v>1.69</v>
      </c>
      <c r="G2088" s="4">
        <v>16.899999999999999</v>
      </c>
      <c r="H2088" s="5">
        <f t="shared" si="32"/>
        <v>1.1976047904191628E-2</v>
      </c>
    </row>
    <row r="2089" spans="1:8" ht="13.5" x14ac:dyDescent="0.25">
      <c r="A2089" s="1"/>
      <c r="B2089" s="3">
        <v>45338</v>
      </c>
      <c r="C2089" s="4">
        <v>1.69</v>
      </c>
      <c r="D2089" s="4">
        <v>1.69</v>
      </c>
      <c r="E2089" s="4">
        <v>1393</v>
      </c>
      <c r="F2089" s="4">
        <v>1.69</v>
      </c>
      <c r="G2089" s="4">
        <v>2354.17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1.65</v>
      </c>
      <c r="D2090" s="4">
        <v>1.65</v>
      </c>
      <c r="E2090" s="4">
        <v>800</v>
      </c>
      <c r="F2090" s="4">
        <v>1.65</v>
      </c>
      <c r="G2090" s="4">
        <v>1320</v>
      </c>
      <c r="H2090" s="5">
        <f t="shared" si="32"/>
        <v>-2.3668639053254458E-2</v>
      </c>
    </row>
    <row r="2091" spans="1:8" ht="13.5" x14ac:dyDescent="0.25">
      <c r="A2091" s="1"/>
      <c r="B2091" s="3">
        <v>45342</v>
      </c>
      <c r="C2091" s="4">
        <v>1.65</v>
      </c>
      <c r="D2091" s="4">
        <v>1.65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1.65</v>
      </c>
      <c r="D2092" s="4">
        <v>1.65</v>
      </c>
      <c r="E2092" s="4">
        <v>1000</v>
      </c>
      <c r="F2092" s="4">
        <v>1.65</v>
      </c>
      <c r="G2092" s="4">
        <v>1650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1.68</v>
      </c>
      <c r="D2093" s="4">
        <v>1.68</v>
      </c>
      <c r="E2093" s="4">
        <v>1</v>
      </c>
      <c r="F2093" s="4">
        <v>1.68</v>
      </c>
      <c r="G2093" s="4">
        <v>1.68</v>
      </c>
      <c r="H2093" s="5">
        <f t="shared" si="32"/>
        <v>1.8181818181818198E-2</v>
      </c>
    </row>
    <row r="2094" spans="1:8" ht="13.5" x14ac:dyDescent="0.25">
      <c r="A2094" s="1"/>
      <c r="B2094" s="3">
        <v>45345</v>
      </c>
      <c r="C2094" s="4">
        <v>1.68</v>
      </c>
      <c r="D2094" s="4">
        <v>1.68</v>
      </c>
      <c r="E2094" s="4">
        <v>237</v>
      </c>
      <c r="F2094" s="4">
        <v>1.68</v>
      </c>
      <c r="G2094" s="4">
        <v>398.16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1.69</v>
      </c>
      <c r="D2095" s="4">
        <v>1.69</v>
      </c>
      <c r="E2095" s="4">
        <v>12047</v>
      </c>
      <c r="F2095" s="4">
        <v>1.69</v>
      </c>
      <c r="G2095" s="4">
        <v>20359.43</v>
      </c>
      <c r="H2095" s="5">
        <f t="shared" si="32"/>
        <v>5.9523809523809581E-3</v>
      </c>
    </row>
    <row r="2096" spans="1:8" ht="13.5" x14ac:dyDescent="0.25">
      <c r="A2096" s="1"/>
      <c r="B2096" s="3">
        <v>45349</v>
      </c>
      <c r="C2096" s="4">
        <v>1.69</v>
      </c>
      <c r="D2096" s="4">
        <v>1.69</v>
      </c>
      <c r="E2096" s="4">
        <v>2099</v>
      </c>
      <c r="F2096" s="4">
        <v>1.69</v>
      </c>
      <c r="G2096" s="4">
        <v>3547.31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1.69</v>
      </c>
      <c r="D2097" s="4">
        <v>1.69</v>
      </c>
      <c r="E2097" s="4">
        <v>1</v>
      </c>
      <c r="F2097" s="4">
        <v>1.69</v>
      </c>
      <c r="G2097" s="4">
        <v>1.69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1.72</v>
      </c>
      <c r="D2098" s="4">
        <v>1.72</v>
      </c>
      <c r="E2098" s="4">
        <v>1</v>
      </c>
      <c r="F2098" s="4">
        <v>1.72</v>
      </c>
      <c r="G2098" s="4">
        <v>1.72</v>
      </c>
      <c r="H2098" s="5">
        <f t="shared" si="32"/>
        <v>1.7751479289940846E-2</v>
      </c>
    </row>
    <row r="2099" spans="1:8" ht="13.5" x14ac:dyDescent="0.25">
      <c r="A2099" s="1"/>
      <c r="B2099" s="3">
        <v>45352</v>
      </c>
      <c r="C2099" s="4">
        <v>1.72</v>
      </c>
      <c r="D2099" s="4">
        <v>1.72</v>
      </c>
      <c r="E2099" s="4">
        <v>0</v>
      </c>
      <c r="F2099" s="4">
        <v>0</v>
      </c>
      <c r="G2099" s="4">
        <v>0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1.69</v>
      </c>
      <c r="D2100" s="4">
        <v>1.69</v>
      </c>
      <c r="E2100" s="4">
        <v>1</v>
      </c>
      <c r="F2100" s="4">
        <v>1.69</v>
      </c>
      <c r="G2100" s="4">
        <v>1.69</v>
      </c>
      <c r="H2100" s="5">
        <f t="shared" si="32"/>
        <v>-1.7441860465116296E-2</v>
      </c>
    </row>
    <row r="2101" spans="1:8" ht="13.5" x14ac:dyDescent="0.25">
      <c r="A2101" s="1"/>
      <c r="B2101" s="3">
        <v>45356</v>
      </c>
      <c r="C2101" s="4">
        <v>1.66</v>
      </c>
      <c r="D2101" s="4">
        <v>1.66</v>
      </c>
      <c r="E2101" s="4">
        <v>5113</v>
      </c>
      <c r="F2101" s="4">
        <v>1.66</v>
      </c>
      <c r="G2101" s="4">
        <v>8487.58</v>
      </c>
      <c r="H2101" s="5">
        <f t="shared" si="32"/>
        <v>-1.7751479289940846E-2</v>
      </c>
    </row>
    <row r="2102" spans="1:8" ht="13.5" x14ac:dyDescent="0.25">
      <c r="A2102" s="1"/>
      <c r="B2102" s="3">
        <v>45357</v>
      </c>
      <c r="C2102" s="4">
        <v>1.65</v>
      </c>
      <c r="D2102" s="4">
        <v>1.65</v>
      </c>
      <c r="E2102" s="4">
        <v>11420</v>
      </c>
      <c r="F2102" s="4">
        <v>1.65</v>
      </c>
      <c r="G2102" s="4">
        <v>18843</v>
      </c>
      <c r="H2102" s="5">
        <f t="shared" si="32"/>
        <v>-6.0240963855421742E-3</v>
      </c>
    </row>
    <row r="2103" spans="1:8" ht="13.5" x14ac:dyDescent="0.25">
      <c r="A2103" s="1"/>
      <c r="B2103" s="3">
        <v>45358</v>
      </c>
      <c r="C2103" s="4">
        <v>1.65</v>
      </c>
      <c r="D2103" s="4">
        <v>1.65</v>
      </c>
      <c r="E2103" s="4">
        <v>1254</v>
      </c>
      <c r="F2103" s="4">
        <v>1.65</v>
      </c>
      <c r="G2103" s="4">
        <v>2069.1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1.66</v>
      </c>
      <c r="D2104" s="4">
        <v>1.66</v>
      </c>
      <c r="E2104" s="4">
        <v>9948</v>
      </c>
      <c r="F2104" s="4">
        <v>1.66</v>
      </c>
      <c r="G2104" s="4">
        <v>16513.68</v>
      </c>
      <c r="H2104" s="5">
        <f t="shared" si="32"/>
        <v>6.0606060606060667E-3</v>
      </c>
    </row>
    <row r="2105" spans="1:8" ht="13.5" x14ac:dyDescent="0.25">
      <c r="A2105" s="1"/>
      <c r="B2105" s="3">
        <v>45362</v>
      </c>
      <c r="C2105" s="4">
        <v>1.65</v>
      </c>
      <c r="D2105" s="4">
        <v>1.65</v>
      </c>
      <c r="E2105" s="4">
        <v>3499</v>
      </c>
      <c r="F2105" s="4">
        <v>1.65</v>
      </c>
      <c r="G2105" s="4">
        <v>5773.35</v>
      </c>
      <c r="H2105" s="5">
        <f t="shared" si="32"/>
        <v>-6.0240963855421742E-3</v>
      </c>
    </row>
    <row r="2106" spans="1:8" ht="13.5" x14ac:dyDescent="0.25">
      <c r="A2106" s="1"/>
      <c r="B2106" s="3">
        <v>45363</v>
      </c>
      <c r="C2106" s="4">
        <v>1.66</v>
      </c>
      <c r="D2106" s="4">
        <v>1.66</v>
      </c>
      <c r="E2106" s="4">
        <v>1269</v>
      </c>
      <c r="F2106" s="4">
        <v>1.66</v>
      </c>
      <c r="G2106" s="4">
        <v>2106.54</v>
      </c>
      <c r="H2106" s="5">
        <f t="shared" si="32"/>
        <v>6.0606060606060667E-3</v>
      </c>
    </row>
    <row r="2107" spans="1:8" ht="13.5" x14ac:dyDescent="0.25">
      <c r="A2107" s="1"/>
      <c r="B2107" s="3">
        <v>45364</v>
      </c>
      <c r="C2107" s="4">
        <v>1.66</v>
      </c>
      <c r="D2107" s="4">
        <v>1.66</v>
      </c>
      <c r="E2107" s="4">
        <v>3550</v>
      </c>
      <c r="F2107" s="4">
        <v>1.66</v>
      </c>
      <c r="G2107" s="4">
        <v>5893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1.66</v>
      </c>
      <c r="D2108" s="4">
        <v>1.66</v>
      </c>
      <c r="E2108" s="4">
        <v>1200</v>
      </c>
      <c r="F2108" s="4">
        <v>1.66</v>
      </c>
      <c r="G2108" s="4">
        <v>1992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1.66</v>
      </c>
      <c r="D2109" s="4">
        <v>1.66</v>
      </c>
      <c r="E2109" s="4">
        <v>300</v>
      </c>
      <c r="F2109" s="4">
        <v>1.66</v>
      </c>
      <c r="G2109" s="4">
        <v>498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1.62</v>
      </c>
      <c r="D2110" s="4">
        <v>1.62</v>
      </c>
      <c r="E2110" s="4">
        <v>0</v>
      </c>
      <c r="F2110" s="4">
        <v>0</v>
      </c>
      <c r="G2110" s="4">
        <v>0</v>
      </c>
      <c r="H2110" s="5">
        <f t="shared" si="32"/>
        <v>-2.4096385542168565E-2</v>
      </c>
    </row>
    <row r="2111" spans="1:8" ht="13.5" x14ac:dyDescent="0.25">
      <c r="A2111" s="1"/>
      <c r="B2111" s="3">
        <v>45370</v>
      </c>
      <c r="C2111" s="4">
        <v>1.6</v>
      </c>
      <c r="D2111" s="4">
        <v>1.6</v>
      </c>
      <c r="E2111" s="4">
        <v>23950</v>
      </c>
      <c r="F2111" s="4">
        <v>1.6</v>
      </c>
      <c r="G2111" s="4">
        <v>38320</v>
      </c>
      <c r="H2111" s="5">
        <f t="shared" si="32"/>
        <v>-1.2345679012345689E-2</v>
      </c>
    </row>
    <row r="2112" spans="1:8" ht="13.5" x14ac:dyDescent="0.25">
      <c r="A2112" s="1"/>
      <c r="B2112" s="3">
        <v>45372</v>
      </c>
      <c r="C2112" s="4">
        <v>1.64</v>
      </c>
      <c r="D2112" s="4">
        <v>1.64</v>
      </c>
      <c r="E2112" s="4">
        <v>0</v>
      </c>
      <c r="F2112" s="4">
        <v>0</v>
      </c>
      <c r="G2112" s="4">
        <v>0</v>
      </c>
      <c r="H2112" s="5">
        <f t="shared" si="32"/>
        <v>2.4999999999999883E-2</v>
      </c>
    </row>
    <row r="2113" spans="1:8" ht="13.5" x14ac:dyDescent="0.25">
      <c r="A2113" s="1"/>
      <c r="B2113" s="3">
        <v>45373</v>
      </c>
      <c r="C2113" s="4">
        <v>1.66</v>
      </c>
      <c r="D2113" s="4">
        <v>1.66</v>
      </c>
      <c r="E2113" s="4">
        <v>102</v>
      </c>
      <c r="F2113" s="4">
        <v>1.66</v>
      </c>
      <c r="G2113" s="4">
        <v>169.32</v>
      </c>
      <c r="H2113" s="5">
        <f t="shared" si="32"/>
        <v>1.2195121951219523E-2</v>
      </c>
    </row>
    <row r="2114" spans="1:8" ht="13.5" x14ac:dyDescent="0.25">
      <c r="A2114" s="1"/>
      <c r="B2114" s="3">
        <v>45376</v>
      </c>
      <c r="C2114" s="4">
        <v>1.66</v>
      </c>
      <c r="D2114" s="4">
        <v>1.66</v>
      </c>
      <c r="E2114" s="4">
        <v>90</v>
      </c>
      <c r="F2114" s="4">
        <v>1.66</v>
      </c>
      <c r="G2114" s="4">
        <v>149.4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1.66</v>
      </c>
      <c r="D2115" s="4">
        <v>1.66</v>
      </c>
      <c r="E2115" s="4">
        <v>30</v>
      </c>
      <c r="F2115" s="4">
        <v>1.66</v>
      </c>
      <c r="G2115" s="4">
        <v>49.8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1.65</v>
      </c>
      <c r="D2116" s="4">
        <v>1.65</v>
      </c>
      <c r="E2116" s="4">
        <v>3206</v>
      </c>
      <c r="F2116" s="4">
        <v>1.65</v>
      </c>
      <c r="G2116" s="4">
        <v>5289.9</v>
      </c>
      <c r="H2116" s="5">
        <f t="shared" si="32"/>
        <v>-6.0240963855421742E-3</v>
      </c>
    </row>
    <row r="2117" spans="1:8" ht="13.5" x14ac:dyDescent="0.25">
      <c r="A2117" s="1"/>
      <c r="B2117" s="3">
        <v>45379</v>
      </c>
      <c r="C2117" s="4">
        <v>1.64</v>
      </c>
      <c r="D2117" s="4">
        <v>1.64</v>
      </c>
      <c r="E2117" s="4">
        <v>21550</v>
      </c>
      <c r="F2117" s="4">
        <v>1.64</v>
      </c>
      <c r="G2117" s="4">
        <v>35342</v>
      </c>
      <c r="H2117" s="5">
        <f t="shared" si="32"/>
        <v>-6.0606060606060667E-3</v>
      </c>
    </row>
    <row r="2118" spans="1:8" ht="13.5" x14ac:dyDescent="0.25">
      <c r="A2118" s="1"/>
      <c r="B2118" s="3">
        <v>45380</v>
      </c>
      <c r="C2118" s="4">
        <v>1.62</v>
      </c>
      <c r="D2118" s="4">
        <v>1.62</v>
      </c>
      <c r="E2118" s="4">
        <v>4510</v>
      </c>
      <c r="F2118" s="4">
        <v>1.62</v>
      </c>
      <c r="G2118" s="4">
        <v>7306.2</v>
      </c>
      <c r="H2118" s="5">
        <f t="shared" si="32"/>
        <v>-1.2195121951219388E-2</v>
      </c>
    </row>
    <row r="2119" spans="1:8" ht="13.5" x14ac:dyDescent="0.25">
      <c r="A2119" s="1"/>
      <c r="B2119" s="3">
        <v>45383</v>
      </c>
      <c r="C2119" s="4">
        <v>1.61</v>
      </c>
      <c r="D2119" s="4">
        <v>1.61</v>
      </c>
      <c r="E2119" s="4">
        <v>9384</v>
      </c>
      <c r="F2119" s="4">
        <v>1.61</v>
      </c>
      <c r="G2119" s="4">
        <v>15108.24</v>
      </c>
      <c r="H2119" s="5">
        <f t="shared" ref="H2119:H2182" si="33">(D2119-D2118)/D2118</f>
        <v>-6.1728395061728444E-3</v>
      </c>
    </row>
    <row r="2120" spans="1:8" ht="13.5" x14ac:dyDescent="0.25">
      <c r="A2120" s="1"/>
      <c r="B2120" s="3">
        <v>45384</v>
      </c>
      <c r="C2120" s="4">
        <v>1.61</v>
      </c>
      <c r="D2120" s="4">
        <v>1.61</v>
      </c>
      <c r="E2120" s="4">
        <v>100</v>
      </c>
      <c r="F2120" s="4">
        <v>1.61</v>
      </c>
      <c r="G2120" s="4">
        <v>161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1.61</v>
      </c>
      <c r="D2121" s="4">
        <v>1.61</v>
      </c>
      <c r="E2121" s="4">
        <v>600</v>
      </c>
      <c r="F2121" s="4">
        <v>1.61</v>
      </c>
      <c r="G2121" s="4">
        <v>966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1.59</v>
      </c>
      <c r="D2122" s="4">
        <v>1.59</v>
      </c>
      <c r="E2122" s="4">
        <v>133</v>
      </c>
      <c r="F2122" s="4">
        <v>1.59</v>
      </c>
      <c r="G2122" s="4">
        <v>211.47</v>
      </c>
      <c r="H2122" s="5">
        <f t="shared" si="33"/>
        <v>-1.2422360248447215E-2</v>
      </c>
    </row>
    <row r="2123" spans="1:8" ht="13.5" x14ac:dyDescent="0.25">
      <c r="A2123" s="1"/>
      <c r="B2123" s="3">
        <v>45387</v>
      </c>
      <c r="C2123" s="4">
        <v>1.57</v>
      </c>
      <c r="D2123" s="4">
        <v>1.57</v>
      </c>
      <c r="E2123" s="4">
        <v>12040</v>
      </c>
      <c r="F2123" s="4">
        <v>1.57</v>
      </c>
      <c r="G2123" s="4">
        <v>18902.8</v>
      </c>
      <c r="H2123" s="5">
        <f t="shared" si="33"/>
        <v>-1.2578616352201269E-2</v>
      </c>
    </row>
    <row r="2124" spans="1:8" ht="13.5" x14ac:dyDescent="0.25">
      <c r="A2124" s="1"/>
      <c r="B2124" s="3">
        <v>45390</v>
      </c>
      <c r="C2124" s="4">
        <v>1.6</v>
      </c>
      <c r="D2124" s="4">
        <v>1.6</v>
      </c>
      <c r="E2124" s="4">
        <v>2400</v>
      </c>
      <c r="F2124" s="4">
        <v>1.6</v>
      </c>
      <c r="G2124" s="4">
        <v>3840</v>
      </c>
      <c r="H2124" s="5">
        <f t="shared" si="33"/>
        <v>1.9108280254777087E-2</v>
      </c>
    </row>
    <row r="2125" spans="1:8" ht="13.5" x14ac:dyDescent="0.25">
      <c r="A2125" s="1"/>
      <c r="B2125" s="3">
        <v>45394</v>
      </c>
      <c r="C2125" s="4">
        <v>1.64</v>
      </c>
      <c r="D2125" s="4">
        <v>1.64</v>
      </c>
      <c r="E2125" s="4">
        <v>3213</v>
      </c>
      <c r="F2125" s="4">
        <v>1.64</v>
      </c>
      <c r="G2125" s="4">
        <v>5269.32</v>
      </c>
      <c r="H2125" s="5">
        <f t="shared" si="33"/>
        <v>2.4999999999999883E-2</v>
      </c>
    </row>
    <row r="2126" spans="1:8" ht="13.5" x14ac:dyDescent="0.25">
      <c r="A2126" s="1"/>
      <c r="B2126" s="3">
        <v>45397</v>
      </c>
      <c r="C2126" s="4">
        <v>1.65</v>
      </c>
      <c r="D2126" s="4">
        <v>1.65</v>
      </c>
      <c r="E2126" s="4">
        <v>8113</v>
      </c>
      <c r="F2126" s="4">
        <v>1.65</v>
      </c>
      <c r="G2126" s="4">
        <v>13386.45</v>
      </c>
      <c r="H2126" s="5">
        <f t="shared" si="33"/>
        <v>6.0975609756097615E-3</v>
      </c>
    </row>
    <row r="2127" spans="1:8" ht="13.5" x14ac:dyDescent="0.25">
      <c r="A2127" s="1"/>
      <c r="B2127" s="3">
        <v>45398</v>
      </c>
      <c r="C2127" s="4">
        <v>1.69</v>
      </c>
      <c r="D2127" s="4">
        <v>1.69</v>
      </c>
      <c r="E2127" s="4">
        <v>0</v>
      </c>
      <c r="F2127" s="4">
        <v>0</v>
      </c>
      <c r="G2127" s="4">
        <v>0</v>
      </c>
      <c r="H2127" s="5">
        <f t="shared" si="33"/>
        <v>2.4242424242424267E-2</v>
      </c>
    </row>
    <row r="2128" spans="1:8" ht="13.5" x14ac:dyDescent="0.25">
      <c r="A2128" s="1"/>
      <c r="B2128" s="3">
        <v>45399</v>
      </c>
      <c r="C2128" s="4">
        <v>1.69</v>
      </c>
      <c r="D2128" s="4">
        <v>1.69</v>
      </c>
      <c r="E2128" s="4">
        <v>9007</v>
      </c>
      <c r="F2128" s="4">
        <v>1.69</v>
      </c>
      <c r="G2128" s="4">
        <v>15221.83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1.69</v>
      </c>
      <c r="D2129" s="4">
        <v>1.69</v>
      </c>
      <c r="E2129" s="4">
        <v>2750</v>
      </c>
      <c r="F2129" s="4">
        <v>1.69</v>
      </c>
      <c r="G2129" s="4">
        <v>4647.5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1.73</v>
      </c>
      <c r="D2130" s="4">
        <v>1.73</v>
      </c>
      <c r="E2130" s="4">
        <v>1400</v>
      </c>
      <c r="F2130" s="4">
        <v>1.73</v>
      </c>
      <c r="G2130" s="4">
        <v>2422</v>
      </c>
      <c r="H2130" s="5">
        <f t="shared" si="33"/>
        <v>2.3668639053254458E-2</v>
      </c>
    </row>
    <row r="2131" spans="1:8" ht="13.5" x14ac:dyDescent="0.25">
      <c r="A2131" s="1"/>
      <c r="B2131" s="3">
        <v>45404</v>
      </c>
      <c r="C2131" s="4">
        <v>1.73</v>
      </c>
      <c r="D2131" s="4">
        <v>1.73</v>
      </c>
      <c r="E2131" s="4">
        <v>2050</v>
      </c>
      <c r="F2131" s="4">
        <v>1.73</v>
      </c>
      <c r="G2131" s="4">
        <v>3546.5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1.74</v>
      </c>
      <c r="D2132" s="4">
        <v>1.74</v>
      </c>
      <c r="E2132" s="4">
        <v>300</v>
      </c>
      <c r="F2132" s="4">
        <v>1.74</v>
      </c>
      <c r="G2132" s="4">
        <v>522</v>
      </c>
      <c r="H2132" s="5">
        <f t="shared" si="33"/>
        <v>5.7803468208092535E-3</v>
      </c>
    </row>
    <row r="2133" spans="1:8" ht="13.5" x14ac:dyDescent="0.25">
      <c r="A2133" s="1"/>
      <c r="B2133" s="3">
        <v>45406</v>
      </c>
      <c r="C2133" s="4">
        <v>1.74</v>
      </c>
      <c r="D2133" s="4">
        <v>1.74</v>
      </c>
      <c r="E2133" s="4">
        <v>9126</v>
      </c>
      <c r="F2133" s="4">
        <v>1.74</v>
      </c>
      <c r="G2133" s="4">
        <v>15879.24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1.78</v>
      </c>
      <c r="D2134" s="4">
        <v>1.78</v>
      </c>
      <c r="E2134" s="4">
        <v>830</v>
      </c>
      <c r="F2134" s="4">
        <v>1.78</v>
      </c>
      <c r="G2134" s="4">
        <v>1477.4</v>
      </c>
      <c r="H2134" s="5">
        <f t="shared" si="33"/>
        <v>2.2988505747126457E-2</v>
      </c>
    </row>
    <row r="2135" spans="1:8" ht="13.5" x14ac:dyDescent="0.25">
      <c r="A2135" s="1"/>
      <c r="B2135" s="3">
        <v>45408</v>
      </c>
      <c r="C2135" s="4">
        <v>1.79</v>
      </c>
      <c r="D2135" s="4">
        <v>1.79</v>
      </c>
      <c r="E2135" s="4">
        <v>305</v>
      </c>
      <c r="F2135" s="4">
        <v>1.79</v>
      </c>
      <c r="G2135" s="4">
        <v>545.95000000000005</v>
      </c>
      <c r="H2135" s="5">
        <f t="shared" si="33"/>
        <v>5.6179775280898927E-3</v>
      </c>
    </row>
    <row r="2136" spans="1:8" ht="13.5" x14ac:dyDescent="0.25">
      <c r="A2136" s="1"/>
      <c r="B2136" s="3">
        <v>45411</v>
      </c>
      <c r="C2136" s="4">
        <v>1.79</v>
      </c>
      <c r="D2136" s="4">
        <v>1.79</v>
      </c>
      <c r="E2136" s="4">
        <v>761</v>
      </c>
      <c r="F2136" s="4">
        <v>1.79</v>
      </c>
      <c r="G2136" s="4">
        <v>1362.19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1.82</v>
      </c>
      <c r="D2137" s="4">
        <v>1.82</v>
      </c>
      <c r="E2137" s="4">
        <v>15</v>
      </c>
      <c r="F2137" s="4">
        <v>1.82</v>
      </c>
      <c r="G2137" s="4">
        <v>27.3</v>
      </c>
      <c r="H2137" s="5">
        <f t="shared" si="33"/>
        <v>1.6759776536312863E-2</v>
      </c>
    </row>
    <row r="2138" spans="1:8" ht="13.5" x14ac:dyDescent="0.25">
      <c r="A2138" s="1"/>
      <c r="B2138" s="3">
        <v>45414</v>
      </c>
      <c r="C2138" s="4">
        <v>1.8</v>
      </c>
      <c r="D2138" s="4">
        <v>1.8</v>
      </c>
      <c r="E2138" s="4">
        <v>700</v>
      </c>
      <c r="F2138" s="4">
        <v>1.8</v>
      </c>
      <c r="G2138" s="4">
        <v>1260</v>
      </c>
      <c r="H2138" s="5">
        <f t="shared" si="33"/>
        <v>-1.0989010989010999E-2</v>
      </c>
    </row>
    <row r="2139" spans="1:8" ht="13.5" x14ac:dyDescent="0.25">
      <c r="A2139" s="1"/>
      <c r="B2139" s="3">
        <v>45415</v>
      </c>
      <c r="C2139" s="4">
        <v>1.8</v>
      </c>
      <c r="D2139" s="4">
        <v>1.8</v>
      </c>
      <c r="E2139" s="4">
        <v>23787</v>
      </c>
      <c r="F2139" s="4">
        <v>1.8</v>
      </c>
      <c r="G2139" s="4">
        <v>42816.6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1.75</v>
      </c>
      <c r="D2140" s="4">
        <v>1.75</v>
      </c>
      <c r="E2140" s="4">
        <v>0</v>
      </c>
      <c r="F2140" s="4">
        <v>0</v>
      </c>
      <c r="G2140" s="4">
        <v>0</v>
      </c>
      <c r="H2140" s="5">
        <f t="shared" si="33"/>
        <v>-2.7777777777777801E-2</v>
      </c>
    </row>
    <row r="2141" spans="1:8" ht="13.5" x14ac:dyDescent="0.25">
      <c r="A2141" s="1"/>
      <c r="B2141" s="3">
        <v>45419</v>
      </c>
      <c r="C2141" s="4">
        <v>1.7</v>
      </c>
      <c r="D2141" s="4">
        <v>1.7</v>
      </c>
      <c r="E2141" s="4">
        <v>24008</v>
      </c>
      <c r="F2141" s="4">
        <v>1.7</v>
      </c>
      <c r="G2141" s="4">
        <v>40813.599999999999</v>
      </c>
      <c r="H2141" s="5">
        <f t="shared" si="33"/>
        <v>-2.8571428571428598E-2</v>
      </c>
    </row>
    <row r="2142" spans="1:8" ht="13.5" x14ac:dyDescent="0.25">
      <c r="A2142" s="1"/>
      <c r="B2142" s="3">
        <v>45420</v>
      </c>
      <c r="C2142" s="4">
        <v>1.75</v>
      </c>
      <c r="D2142" s="4">
        <v>1.75</v>
      </c>
      <c r="E2142" s="4">
        <v>650</v>
      </c>
      <c r="F2142" s="4">
        <v>1.75</v>
      </c>
      <c r="G2142" s="4">
        <v>1137.5</v>
      </c>
      <c r="H2142" s="5">
        <f t="shared" si="33"/>
        <v>2.941176470588238E-2</v>
      </c>
    </row>
    <row r="2143" spans="1:8" ht="13.5" x14ac:dyDescent="0.25">
      <c r="A2143" s="1"/>
      <c r="B2143" s="3">
        <v>45421</v>
      </c>
      <c r="C2143" s="4">
        <v>1.75</v>
      </c>
      <c r="D2143" s="4">
        <v>1.75</v>
      </c>
      <c r="E2143" s="4">
        <v>113</v>
      </c>
      <c r="F2143" s="4">
        <v>1.75</v>
      </c>
      <c r="G2143" s="4">
        <v>197.75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1.7</v>
      </c>
      <c r="D2144" s="4">
        <v>1.7</v>
      </c>
      <c r="E2144" s="4">
        <v>3500</v>
      </c>
      <c r="F2144" s="4">
        <v>1.7</v>
      </c>
      <c r="G2144" s="4">
        <v>5950</v>
      </c>
      <c r="H2144" s="5">
        <f t="shared" si="33"/>
        <v>-2.8571428571428598E-2</v>
      </c>
    </row>
    <row r="2145" spans="1:8" ht="13.5" x14ac:dyDescent="0.25">
      <c r="A2145" s="1"/>
      <c r="B2145" s="3">
        <v>45425</v>
      </c>
      <c r="C2145" s="4">
        <v>1.7</v>
      </c>
      <c r="D2145" s="4">
        <v>1.7</v>
      </c>
      <c r="E2145" s="4">
        <v>6471</v>
      </c>
      <c r="F2145" s="4">
        <v>1.7</v>
      </c>
      <c r="G2145" s="4">
        <v>11000.7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1.65</v>
      </c>
      <c r="D2146" s="4">
        <v>1.65</v>
      </c>
      <c r="E2146" s="4">
        <v>3870</v>
      </c>
      <c r="F2146" s="4">
        <v>1.65</v>
      </c>
      <c r="G2146" s="4">
        <v>6385.5</v>
      </c>
      <c r="H2146" s="5">
        <f t="shared" si="33"/>
        <v>-2.941176470588238E-2</v>
      </c>
    </row>
    <row r="2147" spans="1:8" ht="13.5" x14ac:dyDescent="0.25">
      <c r="A2147" s="1"/>
      <c r="B2147" s="3">
        <v>45427</v>
      </c>
      <c r="C2147" s="4">
        <v>1.69</v>
      </c>
      <c r="D2147" s="4">
        <v>1.69</v>
      </c>
      <c r="E2147" s="4">
        <v>1526</v>
      </c>
      <c r="F2147" s="4">
        <v>1.69</v>
      </c>
      <c r="G2147" s="4">
        <v>2578.94</v>
      </c>
      <c r="H2147" s="5">
        <f t="shared" si="33"/>
        <v>2.4242424242424267E-2</v>
      </c>
    </row>
    <row r="2148" spans="1:8" ht="13.5" x14ac:dyDescent="0.25">
      <c r="A2148" s="1"/>
      <c r="B2148" s="3">
        <v>45428</v>
      </c>
      <c r="C2148" s="4">
        <v>1.69</v>
      </c>
      <c r="D2148" s="4">
        <v>1.69</v>
      </c>
      <c r="E2148" s="4">
        <v>2250</v>
      </c>
      <c r="F2148" s="4">
        <v>1.69</v>
      </c>
      <c r="G2148" s="4">
        <v>3802.5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1.64</v>
      </c>
      <c r="D2149" s="4">
        <v>1.64</v>
      </c>
      <c r="E2149" s="4">
        <v>3000</v>
      </c>
      <c r="F2149" s="4">
        <v>1.64</v>
      </c>
      <c r="G2149" s="4">
        <v>4920</v>
      </c>
      <c r="H2149" s="5">
        <f t="shared" si="33"/>
        <v>-2.9585798816568074E-2</v>
      </c>
    </row>
    <row r="2150" spans="1:8" ht="13.5" x14ac:dyDescent="0.25">
      <c r="A2150" s="1"/>
      <c r="B2150" s="3">
        <v>45432</v>
      </c>
      <c r="C2150" s="4">
        <v>1.6</v>
      </c>
      <c r="D2150" s="4">
        <v>1.6</v>
      </c>
      <c r="E2150" s="4">
        <v>26684</v>
      </c>
      <c r="F2150" s="4">
        <v>1.6</v>
      </c>
      <c r="G2150" s="4">
        <v>42694.400000000001</v>
      </c>
      <c r="H2150" s="5">
        <f t="shared" si="33"/>
        <v>-2.4390243902438911E-2</v>
      </c>
    </row>
    <row r="2151" spans="1:8" ht="13.5" x14ac:dyDescent="0.25">
      <c r="A2151" s="1"/>
      <c r="B2151" s="3">
        <v>45433</v>
      </c>
      <c r="C2151" s="4">
        <v>1.62</v>
      </c>
      <c r="D2151" s="4">
        <v>1.62</v>
      </c>
      <c r="E2151" s="4">
        <v>2690</v>
      </c>
      <c r="F2151" s="4">
        <v>1.62</v>
      </c>
      <c r="G2151" s="4">
        <v>4357.8</v>
      </c>
      <c r="H2151" s="5">
        <f t="shared" si="33"/>
        <v>1.2500000000000011E-2</v>
      </c>
    </row>
    <row r="2152" spans="1:8" ht="13.5" x14ac:dyDescent="0.25">
      <c r="A2152" s="1"/>
      <c r="B2152" s="3">
        <v>45434</v>
      </c>
      <c r="C2152" s="4">
        <v>1.66</v>
      </c>
      <c r="D2152" s="4">
        <v>1.66</v>
      </c>
      <c r="E2152" s="4">
        <v>2483</v>
      </c>
      <c r="F2152" s="4">
        <v>1.66</v>
      </c>
      <c r="G2152" s="4">
        <v>4121.78</v>
      </c>
      <c r="H2152" s="5">
        <f t="shared" si="33"/>
        <v>2.4691358024691242E-2</v>
      </c>
    </row>
    <row r="2153" spans="1:8" ht="13.5" x14ac:dyDescent="0.25">
      <c r="A2153" s="1"/>
      <c r="B2153" s="3">
        <v>45435</v>
      </c>
      <c r="C2153" s="4">
        <v>1.68</v>
      </c>
      <c r="D2153" s="4">
        <v>1.68</v>
      </c>
      <c r="E2153" s="4">
        <v>1510</v>
      </c>
      <c r="F2153" s="4">
        <v>1.68</v>
      </c>
      <c r="G2153" s="4">
        <v>2536.8000000000002</v>
      </c>
      <c r="H2153" s="5">
        <f t="shared" si="33"/>
        <v>1.2048192771084348E-2</v>
      </c>
    </row>
    <row r="2154" spans="1:8" ht="13.5" x14ac:dyDescent="0.25">
      <c r="A2154" s="1"/>
      <c r="B2154" s="3">
        <v>45436</v>
      </c>
      <c r="C2154" s="4">
        <v>1.63</v>
      </c>
      <c r="D2154" s="4">
        <v>1.63</v>
      </c>
      <c r="E2154" s="4">
        <v>0</v>
      </c>
      <c r="F2154" s="4">
        <v>0</v>
      </c>
      <c r="G2154" s="4">
        <v>0</v>
      </c>
      <c r="H2154" s="5">
        <f t="shared" si="33"/>
        <v>-2.9761904761904788E-2</v>
      </c>
    </row>
    <row r="2155" spans="1:8" ht="13.5" x14ac:dyDescent="0.25">
      <c r="A2155" s="1"/>
      <c r="B2155" s="3">
        <v>45439</v>
      </c>
      <c r="C2155" s="4">
        <v>1.6</v>
      </c>
      <c r="D2155" s="4">
        <v>1.6</v>
      </c>
      <c r="E2155" s="4">
        <v>7868</v>
      </c>
      <c r="F2155" s="4">
        <v>1.6</v>
      </c>
      <c r="G2155" s="4">
        <v>12588.8</v>
      </c>
      <c r="H2155" s="5">
        <f t="shared" si="33"/>
        <v>-1.8404907975460003E-2</v>
      </c>
    </row>
    <row r="2156" spans="1:8" ht="13.5" x14ac:dyDescent="0.25">
      <c r="A2156" s="1"/>
      <c r="B2156" s="3">
        <v>45440</v>
      </c>
      <c r="C2156" s="4">
        <v>1.64</v>
      </c>
      <c r="D2156" s="4">
        <v>1.64</v>
      </c>
      <c r="E2156" s="4">
        <v>0</v>
      </c>
      <c r="F2156" s="4">
        <v>0</v>
      </c>
      <c r="G2156" s="4">
        <v>0</v>
      </c>
      <c r="H2156" s="5">
        <f t="shared" si="33"/>
        <v>2.4999999999999883E-2</v>
      </c>
    </row>
    <row r="2157" spans="1:8" ht="13.5" x14ac:dyDescent="0.25">
      <c r="A2157" s="1"/>
      <c r="B2157" s="3">
        <v>45441</v>
      </c>
      <c r="C2157" s="4">
        <v>1.64</v>
      </c>
      <c r="D2157" s="4">
        <v>1.64</v>
      </c>
      <c r="E2157" s="4">
        <v>500</v>
      </c>
      <c r="F2157" s="4">
        <v>1.64</v>
      </c>
      <c r="G2157" s="4">
        <v>820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1.65</v>
      </c>
      <c r="D2158" s="4">
        <v>1.65</v>
      </c>
      <c r="E2158" s="4">
        <v>604</v>
      </c>
      <c r="F2158" s="4">
        <v>1.65</v>
      </c>
      <c r="G2158" s="4">
        <v>996.6</v>
      </c>
      <c r="H2158" s="5">
        <f t="shared" si="33"/>
        <v>6.0975609756097615E-3</v>
      </c>
    </row>
    <row r="2159" spans="1:8" ht="13.5" x14ac:dyDescent="0.25">
      <c r="A2159" s="1"/>
      <c r="B2159" s="3">
        <v>45443</v>
      </c>
      <c r="C2159" s="4">
        <v>1.61</v>
      </c>
      <c r="D2159" s="4">
        <v>1.61</v>
      </c>
      <c r="E2159" s="4">
        <v>1300</v>
      </c>
      <c r="F2159" s="4">
        <v>1.61</v>
      </c>
      <c r="G2159" s="4">
        <v>2093</v>
      </c>
      <c r="H2159" s="5">
        <f t="shared" si="33"/>
        <v>-2.4242424242424131E-2</v>
      </c>
    </row>
    <row r="2160" spans="1:8" ht="13.5" x14ac:dyDescent="0.25">
      <c r="A2160" s="1"/>
      <c r="B2160" s="3">
        <v>45446</v>
      </c>
      <c r="C2160" s="4">
        <v>1.61</v>
      </c>
      <c r="D2160" s="4">
        <v>1.61</v>
      </c>
      <c r="E2160" s="4">
        <v>7675</v>
      </c>
      <c r="F2160" s="4">
        <v>1.61</v>
      </c>
      <c r="G2160" s="4">
        <v>12356.75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1.63</v>
      </c>
      <c r="D2161" s="4">
        <v>1.63</v>
      </c>
      <c r="E2161" s="4">
        <v>2517</v>
      </c>
      <c r="F2161" s="4">
        <v>1.63</v>
      </c>
      <c r="G2161" s="4">
        <v>4102.71</v>
      </c>
      <c r="H2161" s="5">
        <f t="shared" si="33"/>
        <v>1.2422360248447077E-2</v>
      </c>
    </row>
    <row r="2162" spans="1:8" ht="13.5" x14ac:dyDescent="0.25">
      <c r="A2162" s="1"/>
      <c r="B2162" s="3">
        <v>45448</v>
      </c>
      <c r="C2162" s="4">
        <v>1.61</v>
      </c>
      <c r="D2162" s="4">
        <v>1.61</v>
      </c>
      <c r="E2162" s="4">
        <v>7130</v>
      </c>
      <c r="F2162" s="4">
        <v>1.61</v>
      </c>
      <c r="G2162" s="4">
        <v>11479.3</v>
      </c>
      <c r="H2162" s="5">
        <f t="shared" si="33"/>
        <v>-1.2269938650306624E-2</v>
      </c>
    </row>
    <row r="2163" spans="1:8" ht="13.5" x14ac:dyDescent="0.25">
      <c r="A2163" s="1"/>
      <c r="B2163" s="3">
        <v>45449</v>
      </c>
      <c r="C2163" s="4">
        <v>1.6</v>
      </c>
      <c r="D2163" s="4">
        <v>1.6</v>
      </c>
      <c r="E2163" s="4">
        <v>15721</v>
      </c>
      <c r="F2163" s="4">
        <v>1.6</v>
      </c>
      <c r="G2163" s="4">
        <v>25153.599999999999</v>
      </c>
      <c r="H2163" s="5">
        <f t="shared" si="33"/>
        <v>-6.2111801242236073E-3</v>
      </c>
    </row>
    <row r="2164" spans="1:8" ht="13.5" x14ac:dyDescent="0.25">
      <c r="A2164" s="1"/>
      <c r="B2164" s="3">
        <v>45450</v>
      </c>
      <c r="C2164" s="4">
        <v>1.61</v>
      </c>
      <c r="D2164" s="4">
        <v>1.61</v>
      </c>
      <c r="E2164" s="4">
        <v>1922</v>
      </c>
      <c r="F2164" s="4">
        <v>1.61</v>
      </c>
      <c r="G2164" s="4">
        <v>3094.42</v>
      </c>
      <c r="H2164" s="5">
        <f t="shared" si="33"/>
        <v>6.2500000000000056E-3</v>
      </c>
    </row>
    <row r="2165" spans="1:8" ht="13.5" x14ac:dyDescent="0.25">
      <c r="A2165" s="1"/>
      <c r="B2165" s="3">
        <v>45453</v>
      </c>
      <c r="C2165" s="4">
        <v>1.61</v>
      </c>
      <c r="D2165" s="4">
        <v>1.61</v>
      </c>
      <c r="E2165" s="4">
        <v>1600</v>
      </c>
      <c r="F2165" s="4">
        <v>1.61</v>
      </c>
      <c r="G2165" s="4">
        <v>2576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1.65</v>
      </c>
      <c r="D2166" s="4">
        <v>1.65</v>
      </c>
      <c r="E2166" s="4">
        <v>0</v>
      </c>
      <c r="F2166" s="4">
        <v>0</v>
      </c>
      <c r="G2166" s="4">
        <v>0</v>
      </c>
      <c r="H2166" s="5">
        <f t="shared" si="33"/>
        <v>2.4844720496894294E-2</v>
      </c>
    </row>
    <row r="2167" spans="1:8" ht="13.5" x14ac:dyDescent="0.25">
      <c r="A2167" s="1"/>
      <c r="B2167" s="3">
        <v>45455</v>
      </c>
      <c r="C2167" s="4">
        <v>1.68</v>
      </c>
      <c r="D2167" s="4">
        <v>1.68</v>
      </c>
      <c r="E2167" s="4">
        <v>14350</v>
      </c>
      <c r="F2167" s="4">
        <v>1.68</v>
      </c>
      <c r="G2167" s="4">
        <v>24108</v>
      </c>
      <c r="H2167" s="5">
        <f t="shared" si="33"/>
        <v>1.8181818181818198E-2</v>
      </c>
    </row>
    <row r="2168" spans="1:8" ht="13.5" x14ac:dyDescent="0.25">
      <c r="A2168" s="1"/>
      <c r="B2168" s="3">
        <v>45456</v>
      </c>
      <c r="C2168" s="4">
        <v>1.67</v>
      </c>
      <c r="D2168" s="4">
        <v>1.67</v>
      </c>
      <c r="E2168" s="4">
        <v>250</v>
      </c>
      <c r="F2168" s="4">
        <v>1.67</v>
      </c>
      <c r="G2168" s="4">
        <v>417.5</v>
      </c>
      <c r="H2168" s="5">
        <f t="shared" si="33"/>
        <v>-5.9523809523809581E-3</v>
      </c>
    </row>
    <row r="2169" spans="1:8" ht="13.5" x14ac:dyDescent="0.25">
      <c r="A2169" s="1"/>
      <c r="B2169" s="3">
        <v>45457</v>
      </c>
      <c r="C2169" s="4">
        <v>1.63</v>
      </c>
      <c r="D2169" s="4">
        <v>1.63</v>
      </c>
      <c r="E2169" s="4">
        <v>3400</v>
      </c>
      <c r="F2169" s="4">
        <v>1.63</v>
      </c>
      <c r="G2169" s="4">
        <v>5542</v>
      </c>
      <c r="H2169" s="5">
        <f t="shared" si="33"/>
        <v>-2.3952095808383256E-2</v>
      </c>
    </row>
    <row r="2170" spans="1:8" ht="13.5" x14ac:dyDescent="0.25">
      <c r="A2170" s="1"/>
      <c r="B2170" s="3">
        <v>45461</v>
      </c>
      <c r="C2170" s="4">
        <v>1.63</v>
      </c>
      <c r="D2170" s="4">
        <v>1.63</v>
      </c>
      <c r="E2170" s="4">
        <v>5350</v>
      </c>
      <c r="F2170" s="4">
        <v>1.63</v>
      </c>
      <c r="G2170" s="4">
        <v>8720.5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1.61</v>
      </c>
      <c r="D2171" s="4">
        <v>1.61</v>
      </c>
      <c r="E2171" s="4">
        <v>6450</v>
      </c>
      <c r="F2171" s="4">
        <v>1.61</v>
      </c>
      <c r="G2171" s="4">
        <v>10384.5</v>
      </c>
      <c r="H2171" s="5">
        <f t="shared" si="33"/>
        <v>-1.2269938650306624E-2</v>
      </c>
    </row>
    <row r="2172" spans="1:8" ht="13.5" x14ac:dyDescent="0.25">
      <c r="A2172" s="1"/>
      <c r="B2172" s="3">
        <v>45463</v>
      </c>
      <c r="C2172" s="4">
        <v>1.63</v>
      </c>
      <c r="D2172" s="4">
        <v>1.63</v>
      </c>
      <c r="E2172" s="4">
        <v>20</v>
      </c>
      <c r="F2172" s="4">
        <v>1.63</v>
      </c>
      <c r="G2172" s="4">
        <v>32.6</v>
      </c>
      <c r="H2172" s="5">
        <f t="shared" si="33"/>
        <v>1.2422360248447077E-2</v>
      </c>
    </row>
    <row r="2173" spans="1:8" ht="13.5" x14ac:dyDescent="0.25">
      <c r="A2173" s="1"/>
      <c r="B2173" s="3">
        <v>45464</v>
      </c>
      <c r="C2173" s="4">
        <v>1.67</v>
      </c>
      <c r="D2173" s="4">
        <v>1.67</v>
      </c>
      <c r="E2173" s="4">
        <v>0</v>
      </c>
      <c r="F2173" s="4">
        <v>0</v>
      </c>
      <c r="G2173" s="4">
        <v>0</v>
      </c>
      <c r="H2173" s="5">
        <f t="shared" si="33"/>
        <v>2.4539877300613522E-2</v>
      </c>
    </row>
    <row r="2174" spans="1:8" ht="13.5" x14ac:dyDescent="0.25">
      <c r="A2174" s="1"/>
      <c r="B2174" s="3">
        <v>45467</v>
      </c>
      <c r="C2174" s="4">
        <v>1.62</v>
      </c>
      <c r="D2174" s="4">
        <v>1.62</v>
      </c>
      <c r="E2174" s="4">
        <v>3648</v>
      </c>
      <c r="F2174" s="4">
        <v>1.62</v>
      </c>
      <c r="G2174" s="4">
        <v>5909.76</v>
      </c>
      <c r="H2174" s="5">
        <f t="shared" si="33"/>
        <v>-2.9940119760478938E-2</v>
      </c>
    </row>
    <row r="2175" spans="1:8" ht="13.5" x14ac:dyDescent="0.25">
      <c r="A2175" s="1"/>
      <c r="B2175" s="3">
        <v>45468</v>
      </c>
      <c r="C2175" s="4">
        <v>1.6</v>
      </c>
      <c r="D2175" s="4">
        <v>1.6</v>
      </c>
      <c r="E2175" s="4">
        <v>7400</v>
      </c>
      <c r="F2175" s="4">
        <v>1.6</v>
      </c>
      <c r="G2175" s="4">
        <v>11840</v>
      </c>
      <c r="H2175" s="5">
        <f t="shared" si="33"/>
        <v>-1.2345679012345689E-2</v>
      </c>
    </row>
    <row r="2176" spans="1:8" ht="13.5" x14ac:dyDescent="0.25">
      <c r="A2176" s="1"/>
      <c r="B2176" s="3">
        <v>45469</v>
      </c>
      <c r="C2176" s="4">
        <v>1.6</v>
      </c>
      <c r="D2176" s="4">
        <v>1.6</v>
      </c>
      <c r="E2176" s="4">
        <v>5000</v>
      </c>
      <c r="F2176" s="4">
        <v>1.6</v>
      </c>
      <c r="G2176" s="4">
        <v>8000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1.6</v>
      </c>
      <c r="D2177" s="4">
        <v>1.6</v>
      </c>
      <c r="E2177" s="4">
        <v>1800</v>
      </c>
      <c r="F2177" s="4">
        <v>1.6</v>
      </c>
      <c r="G2177" s="4">
        <v>2880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1.6</v>
      </c>
      <c r="D2178" s="4">
        <v>1.6</v>
      </c>
      <c r="E2178" s="4">
        <v>5910</v>
      </c>
      <c r="F2178" s="4">
        <v>1.6</v>
      </c>
      <c r="G2178" s="4">
        <v>9456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1.6</v>
      </c>
      <c r="D2179" s="4">
        <v>1.6</v>
      </c>
      <c r="E2179" s="4">
        <v>3430</v>
      </c>
      <c r="F2179" s="4">
        <v>1.6</v>
      </c>
      <c r="G2179" s="4">
        <v>5488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1.59</v>
      </c>
      <c r="D2180" s="4">
        <v>1.59</v>
      </c>
      <c r="E2180" s="4">
        <v>1000</v>
      </c>
      <c r="F2180" s="4">
        <v>1.59</v>
      </c>
      <c r="G2180" s="4">
        <v>1590</v>
      </c>
      <c r="H2180" s="5">
        <f t="shared" si="33"/>
        <v>-6.2500000000000056E-3</v>
      </c>
    </row>
    <row r="2181" spans="1:8" ht="13.5" x14ac:dyDescent="0.25">
      <c r="A2181" s="1"/>
      <c r="B2181" s="3">
        <v>45476</v>
      </c>
      <c r="C2181" s="4">
        <v>1.6</v>
      </c>
      <c r="D2181" s="4">
        <v>1.6</v>
      </c>
      <c r="E2181" s="4">
        <v>5</v>
      </c>
      <c r="F2181" s="4">
        <v>1.6</v>
      </c>
      <c r="G2181" s="4">
        <v>8</v>
      </c>
      <c r="H2181" s="5">
        <f t="shared" si="33"/>
        <v>6.2893081761006345E-3</v>
      </c>
    </row>
    <row r="2182" spans="1:8" ht="13.5" x14ac:dyDescent="0.25">
      <c r="A2182" s="1"/>
      <c r="B2182" s="3">
        <v>45477</v>
      </c>
      <c r="C2182" s="4">
        <v>1.59</v>
      </c>
      <c r="D2182" s="4">
        <v>1.59</v>
      </c>
      <c r="E2182" s="4">
        <v>1848</v>
      </c>
      <c r="F2182" s="4">
        <v>1.59</v>
      </c>
      <c r="G2182" s="4">
        <v>2938.32</v>
      </c>
      <c r="H2182" s="5">
        <f t="shared" si="33"/>
        <v>-6.2500000000000056E-3</v>
      </c>
    </row>
    <row r="2183" spans="1:8" ht="13.5" x14ac:dyDescent="0.25">
      <c r="A2183" s="1"/>
      <c r="B2183" s="3">
        <v>45478</v>
      </c>
      <c r="C2183" s="4">
        <v>1.6</v>
      </c>
      <c r="D2183" s="4">
        <v>1.6</v>
      </c>
      <c r="E2183" s="4">
        <v>1000</v>
      </c>
      <c r="F2183" s="4">
        <v>1.6</v>
      </c>
      <c r="G2183" s="4">
        <v>1600</v>
      </c>
      <c r="H2183" s="5">
        <f t="shared" ref="H2183:H2246" si="34">(D2183-D2182)/D2182</f>
        <v>6.2893081761006345E-3</v>
      </c>
    </row>
    <row r="2184" spans="1:8" ht="13.5" x14ac:dyDescent="0.25">
      <c r="A2184" s="1"/>
      <c r="B2184" s="3">
        <v>45481</v>
      </c>
      <c r="C2184" s="4">
        <v>1.6</v>
      </c>
      <c r="D2184" s="4">
        <v>1.6</v>
      </c>
      <c r="E2184" s="4">
        <v>1830</v>
      </c>
      <c r="F2184" s="4">
        <v>1.6</v>
      </c>
      <c r="G2184" s="4">
        <v>2928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1.6</v>
      </c>
      <c r="D2185" s="4">
        <v>1.6</v>
      </c>
      <c r="E2185" s="4">
        <v>11900</v>
      </c>
      <c r="F2185" s="4">
        <v>1.6</v>
      </c>
      <c r="G2185" s="4">
        <v>19040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1.6</v>
      </c>
      <c r="D2186" s="4">
        <v>1.6</v>
      </c>
      <c r="E2186" s="4">
        <v>3149</v>
      </c>
      <c r="F2186" s="4">
        <v>1.6</v>
      </c>
      <c r="G2186" s="4">
        <v>5038.3999999999996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1.59</v>
      </c>
      <c r="D2187" s="4">
        <v>1.59</v>
      </c>
      <c r="E2187" s="4">
        <v>9000</v>
      </c>
      <c r="F2187" s="4">
        <v>1.59</v>
      </c>
      <c r="G2187" s="4">
        <v>14310</v>
      </c>
      <c r="H2187" s="5">
        <f t="shared" si="34"/>
        <v>-6.2500000000000056E-3</v>
      </c>
    </row>
    <row r="2188" spans="1:8" ht="13.5" x14ac:dyDescent="0.25">
      <c r="A2188" s="1"/>
      <c r="B2188" s="3">
        <v>45485</v>
      </c>
      <c r="C2188" s="4">
        <v>1.6</v>
      </c>
      <c r="D2188" s="4">
        <v>1.6</v>
      </c>
      <c r="E2188" s="4">
        <v>400</v>
      </c>
      <c r="F2188" s="4">
        <v>1.6</v>
      </c>
      <c r="G2188" s="4">
        <v>640</v>
      </c>
      <c r="H2188" s="5">
        <f t="shared" si="34"/>
        <v>6.2893081761006345E-3</v>
      </c>
    </row>
    <row r="2189" spans="1:8" ht="13.5" x14ac:dyDescent="0.25">
      <c r="A2189" s="1"/>
      <c r="B2189" s="3">
        <v>45488</v>
      </c>
      <c r="C2189" s="4">
        <v>1.59</v>
      </c>
      <c r="D2189" s="4">
        <v>1.59</v>
      </c>
      <c r="E2189" s="4">
        <v>4078</v>
      </c>
      <c r="F2189" s="4">
        <v>1.59</v>
      </c>
      <c r="G2189" s="4">
        <v>6484.02</v>
      </c>
      <c r="H2189" s="5">
        <f t="shared" si="34"/>
        <v>-6.2500000000000056E-3</v>
      </c>
    </row>
    <row r="2190" spans="1:8" ht="13.5" x14ac:dyDescent="0.25">
      <c r="A2190" s="1"/>
      <c r="B2190" s="3">
        <v>45489</v>
      </c>
      <c r="C2190" s="4">
        <v>1.59</v>
      </c>
      <c r="D2190" s="4">
        <v>1.59</v>
      </c>
      <c r="E2190" s="4">
        <v>3750</v>
      </c>
      <c r="F2190" s="4">
        <v>1.59</v>
      </c>
      <c r="G2190" s="4">
        <v>5962.5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1.59</v>
      </c>
      <c r="D2191" s="4">
        <v>1.59</v>
      </c>
      <c r="E2191" s="4">
        <v>10111</v>
      </c>
      <c r="F2191" s="4">
        <v>1.59</v>
      </c>
      <c r="G2191" s="4">
        <v>16076.49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1.6</v>
      </c>
      <c r="D2192" s="4">
        <v>1.6</v>
      </c>
      <c r="E2192" s="4">
        <v>18538</v>
      </c>
      <c r="F2192" s="4">
        <v>1.6</v>
      </c>
      <c r="G2192" s="4">
        <v>29660.799999999999</v>
      </c>
      <c r="H2192" s="5">
        <f t="shared" si="34"/>
        <v>6.2893081761006345E-3</v>
      </c>
    </row>
    <row r="2193" spans="1:8" ht="13.5" x14ac:dyDescent="0.25">
      <c r="A2193" s="1"/>
      <c r="B2193" s="3">
        <v>45492</v>
      </c>
      <c r="C2193" s="4">
        <v>1.59</v>
      </c>
      <c r="D2193" s="4">
        <v>1.59</v>
      </c>
      <c r="E2193" s="4">
        <v>10018</v>
      </c>
      <c r="F2193" s="4">
        <v>1.59</v>
      </c>
      <c r="G2193" s="4">
        <v>15928.62</v>
      </c>
      <c r="H2193" s="5">
        <f t="shared" si="34"/>
        <v>-6.2500000000000056E-3</v>
      </c>
    </row>
    <row r="2194" spans="1:8" ht="13.5" x14ac:dyDescent="0.25">
      <c r="A2194" s="1"/>
      <c r="B2194" s="3">
        <v>45495</v>
      </c>
      <c r="C2194" s="4">
        <v>1.6</v>
      </c>
      <c r="D2194" s="4">
        <v>1.6</v>
      </c>
      <c r="E2194" s="4">
        <v>5437</v>
      </c>
      <c r="F2194" s="4">
        <v>1.6</v>
      </c>
      <c r="G2194" s="4">
        <v>8699.2000000000007</v>
      </c>
      <c r="H2194" s="5">
        <f t="shared" si="34"/>
        <v>6.2893081761006345E-3</v>
      </c>
    </row>
    <row r="2195" spans="1:8" ht="13.5" x14ac:dyDescent="0.25">
      <c r="A2195" s="1"/>
      <c r="B2195" s="3">
        <v>45496</v>
      </c>
      <c r="C2195" s="4">
        <v>1.61</v>
      </c>
      <c r="D2195" s="4">
        <v>1.61</v>
      </c>
      <c r="E2195" s="4">
        <v>10600</v>
      </c>
      <c r="F2195" s="4">
        <v>1.61</v>
      </c>
      <c r="G2195" s="4">
        <v>17066</v>
      </c>
      <c r="H2195" s="5">
        <f t="shared" si="34"/>
        <v>6.2500000000000056E-3</v>
      </c>
    </row>
    <row r="2196" spans="1:8" ht="13.5" x14ac:dyDescent="0.25">
      <c r="A2196" s="1"/>
      <c r="B2196" s="3">
        <v>45497</v>
      </c>
      <c r="C2196" s="4">
        <v>1.62</v>
      </c>
      <c r="D2196" s="4">
        <v>1.62</v>
      </c>
      <c r="E2196" s="4">
        <v>2729</v>
      </c>
      <c r="F2196" s="4">
        <v>1.62</v>
      </c>
      <c r="G2196" s="4">
        <v>4420.9799999999996</v>
      </c>
      <c r="H2196" s="5">
        <f t="shared" si="34"/>
        <v>6.2111801242236073E-3</v>
      </c>
    </row>
    <row r="2197" spans="1:8" ht="13.5" x14ac:dyDescent="0.25">
      <c r="A2197" s="1"/>
      <c r="B2197" s="3">
        <v>45499</v>
      </c>
      <c r="C2197" s="4">
        <v>1.63</v>
      </c>
      <c r="D2197" s="4">
        <v>1.63</v>
      </c>
      <c r="E2197" s="4">
        <v>7749</v>
      </c>
      <c r="F2197" s="4">
        <v>1.63</v>
      </c>
      <c r="G2197" s="4">
        <v>12630.87</v>
      </c>
      <c r="H2197" s="5">
        <f t="shared" si="34"/>
        <v>6.1728395061727073E-3</v>
      </c>
    </row>
    <row r="2198" spans="1:8" ht="13.5" x14ac:dyDescent="0.25">
      <c r="A2198" s="1"/>
      <c r="B2198" s="3">
        <v>45502</v>
      </c>
      <c r="C2198" s="4">
        <v>1.67</v>
      </c>
      <c r="D2198" s="4">
        <v>1.67</v>
      </c>
      <c r="E2198" s="4">
        <v>0</v>
      </c>
      <c r="F2198" s="4">
        <v>0</v>
      </c>
      <c r="G2198" s="4">
        <v>0</v>
      </c>
      <c r="H2198" s="5">
        <f t="shared" si="34"/>
        <v>2.4539877300613522E-2</v>
      </c>
    </row>
    <row r="2199" spans="1:8" ht="13.5" x14ac:dyDescent="0.25">
      <c r="A2199" s="1"/>
      <c r="B2199" s="3">
        <v>45503</v>
      </c>
      <c r="C2199" s="4">
        <v>1.67</v>
      </c>
      <c r="D2199" s="4">
        <v>1.67</v>
      </c>
      <c r="E2199" s="4">
        <v>25381</v>
      </c>
      <c r="F2199" s="4">
        <v>1.67</v>
      </c>
      <c r="G2199" s="4">
        <v>42386.27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1.68</v>
      </c>
      <c r="D2200" s="4">
        <v>1.68</v>
      </c>
      <c r="E2200" s="4">
        <v>3748</v>
      </c>
      <c r="F2200" s="4">
        <v>1.68</v>
      </c>
      <c r="G2200" s="4">
        <v>6296.64</v>
      </c>
      <c r="H2200" s="5">
        <f t="shared" si="34"/>
        <v>5.988023952095814E-3</v>
      </c>
    </row>
    <row r="2201" spans="1:8" ht="13.5" x14ac:dyDescent="0.25">
      <c r="A2201" s="1"/>
      <c r="B2201" s="3">
        <v>45505</v>
      </c>
      <c r="C2201" s="4">
        <v>1.69</v>
      </c>
      <c r="D2201" s="4">
        <v>1.69</v>
      </c>
      <c r="E2201" s="4">
        <v>24151</v>
      </c>
      <c r="F2201" s="4">
        <v>1.69</v>
      </c>
      <c r="G2201" s="4">
        <v>40815.19</v>
      </c>
      <c r="H2201" s="5">
        <f t="shared" si="34"/>
        <v>5.9523809523809581E-3</v>
      </c>
    </row>
    <row r="2202" spans="1:8" ht="13.5" x14ac:dyDescent="0.25">
      <c r="A2202" s="1"/>
      <c r="B2202" s="3">
        <v>45506</v>
      </c>
      <c r="C2202" s="4">
        <v>1.69</v>
      </c>
      <c r="D2202" s="4">
        <v>1.69</v>
      </c>
      <c r="E2202" s="4">
        <v>11997</v>
      </c>
      <c r="F2202" s="4">
        <v>1.69</v>
      </c>
      <c r="G2202" s="4">
        <v>20274.93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1.69</v>
      </c>
      <c r="D2203" s="4">
        <v>1.69</v>
      </c>
      <c r="E2203" s="4">
        <v>15475</v>
      </c>
      <c r="F2203" s="4">
        <v>1.69</v>
      </c>
      <c r="G2203" s="4">
        <v>26152.75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1.7</v>
      </c>
      <c r="D2204" s="4">
        <v>1.7</v>
      </c>
      <c r="E2204" s="4">
        <v>750</v>
      </c>
      <c r="F2204" s="4">
        <v>1.7</v>
      </c>
      <c r="G2204" s="4">
        <v>1275</v>
      </c>
      <c r="H2204" s="5">
        <f t="shared" si="34"/>
        <v>5.9171597633136145E-3</v>
      </c>
    </row>
    <row r="2205" spans="1:8" ht="13.5" x14ac:dyDescent="0.25">
      <c r="A2205" s="1"/>
      <c r="B2205" s="3">
        <v>45511</v>
      </c>
      <c r="C2205" s="4">
        <v>1.7</v>
      </c>
      <c r="D2205" s="4">
        <v>1.7</v>
      </c>
      <c r="E2205" s="4">
        <v>895</v>
      </c>
      <c r="F2205" s="4">
        <v>1.7</v>
      </c>
      <c r="G2205" s="4">
        <v>1521.5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1.7</v>
      </c>
      <c r="D2206" s="4">
        <v>1.7</v>
      </c>
      <c r="E2206" s="4">
        <v>3007</v>
      </c>
      <c r="F2206" s="4">
        <v>1.7</v>
      </c>
      <c r="G2206" s="4">
        <v>5111.8999999999996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1.75</v>
      </c>
      <c r="D2207" s="4">
        <v>1.75</v>
      </c>
      <c r="E2207" s="4">
        <v>16942</v>
      </c>
      <c r="F2207" s="4">
        <v>1.75</v>
      </c>
      <c r="G2207" s="4">
        <v>29648.5</v>
      </c>
      <c r="H2207" s="5">
        <f t="shared" si="34"/>
        <v>2.941176470588238E-2</v>
      </c>
    </row>
    <row r="2208" spans="1:8" ht="13.5" x14ac:dyDescent="0.25">
      <c r="A2208" s="1"/>
      <c r="B2208" s="3">
        <v>45516</v>
      </c>
      <c r="C2208" s="4">
        <v>1.79</v>
      </c>
      <c r="D2208" s="4">
        <v>1.79</v>
      </c>
      <c r="E2208" s="4">
        <v>1370</v>
      </c>
      <c r="F2208" s="4">
        <v>1.79</v>
      </c>
      <c r="G2208" s="4">
        <v>2452.3000000000002</v>
      </c>
      <c r="H2208" s="5">
        <f t="shared" si="34"/>
        <v>2.2857142857142878E-2</v>
      </c>
    </row>
    <row r="2209" spans="1:8" ht="13.5" x14ac:dyDescent="0.25">
      <c r="A2209" s="1"/>
      <c r="B2209" s="3">
        <v>45518</v>
      </c>
      <c r="C2209" s="4">
        <v>1.79</v>
      </c>
      <c r="D2209" s="4">
        <v>1.79</v>
      </c>
      <c r="E2209" s="4">
        <v>5750</v>
      </c>
      <c r="F2209" s="4">
        <v>1.79</v>
      </c>
      <c r="G2209" s="4">
        <v>10292.5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1.79</v>
      </c>
      <c r="D2210" s="4">
        <v>1.79</v>
      </c>
      <c r="E2210" s="4">
        <v>7033</v>
      </c>
      <c r="F2210" s="4">
        <v>1.79</v>
      </c>
      <c r="G2210" s="4">
        <v>12589.07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1.74</v>
      </c>
      <c r="D2211" s="4">
        <v>1.74</v>
      </c>
      <c r="E2211" s="4">
        <v>7300</v>
      </c>
      <c r="F2211" s="4">
        <v>1.74</v>
      </c>
      <c r="G2211" s="4">
        <v>12702</v>
      </c>
      <c r="H2211" s="5">
        <f t="shared" si="34"/>
        <v>-2.7932960893854771E-2</v>
      </c>
    </row>
    <row r="2212" spans="1:8" ht="13.5" x14ac:dyDescent="0.25">
      <c r="A2212" s="1"/>
      <c r="B2212" s="3">
        <v>45523</v>
      </c>
      <c r="C2212" s="4">
        <v>1.79</v>
      </c>
      <c r="D2212" s="4">
        <v>1.79</v>
      </c>
      <c r="E2212" s="4">
        <v>125</v>
      </c>
      <c r="F2212" s="4">
        <v>1.79</v>
      </c>
      <c r="G2212" s="4">
        <v>223.75</v>
      </c>
      <c r="H2212" s="5">
        <f t="shared" si="34"/>
        <v>2.8735632183908073E-2</v>
      </c>
    </row>
    <row r="2213" spans="1:8" ht="13.5" x14ac:dyDescent="0.25">
      <c r="A2213" s="1"/>
      <c r="B2213" s="3">
        <v>45524</v>
      </c>
      <c r="C2213" s="4">
        <v>1.74</v>
      </c>
      <c r="D2213" s="4">
        <v>1.74</v>
      </c>
      <c r="E2213" s="4">
        <v>0</v>
      </c>
      <c r="F2213" s="4">
        <v>0</v>
      </c>
      <c r="G2213" s="4">
        <v>0</v>
      </c>
      <c r="H2213" s="5">
        <f t="shared" si="34"/>
        <v>-2.7932960893854771E-2</v>
      </c>
    </row>
    <row r="2214" spans="1:8" ht="13.5" x14ac:dyDescent="0.25">
      <c r="A2214" s="1"/>
      <c r="B2214" s="3">
        <v>45525</v>
      </c>
      <c r="C2214" s="4">
        <v>1.75</v>
      </c>
      <c r="D2214" s="4">
        <v>1.75</v>
      </c>
      <c r="E2214" s="4">
        <v>356</v>
      </c>
      <c r="F2214" s="4">
        <v>1.75</v>
      </c>
      <c r="G2214" s="4">
        <v>623</v>
      </c>
      <c r="H2214" s="5">
        <f t="shared" si="34"/>
        <v>5.7471264367816143E-3</v>
      </c>
    </row>
    <row r="2215" spans="1:8" ht="13.5" x14ac:dyDescent="0.25">
      <c r="A2215" s="1"/>
      <c r="B2215" s="3">
        <v>45526</v>
      </c>
      <c r="C2215" s="4">
        <v>1.78</v>
      </c>
      <c r="D2215" s="4">
        <v>1.78</v>
      </c>
      <c r="E2215" s="4">
        <v>60</v>
      </c>
      <c r="F2215" s="4">
        <v>1.78</v>
      </c>
      <c r="G2215" s="4">
        <v>106.8</v>
      </c>
      <c r="H2215" s="5">
        <f t="shared" si="34"/>
        <v>1.7142857142857158E-2</v>
      </c>
    </row>
    <row r="2216" spans="1:8" ht="13.5" x14ac:dyDescent="0.25">
      <c r="A2216" s="1"/>
      <c r="B2216" s="3">
        <v>45527</v>
      </c>
      <c r="C2216" s="4">
        <v>1.73</v>
      </c>
      <c r="D2216" s="4">
        <v>1.73</v>
      </c>
      <c r="E2216" s="4">
        <v>0</v>
      </c>
      <c r="F2216" s="4">
        <v>0</v>
      </c>
      <c r="G2216" s="4">
        <v>0</v>
      </c>
      <c r="H2216" s="5">
        <f t="shared" si="34"/>
        <v>-2.8089887640449462E-2</v>
      </c>
    </row>
    <row r="2217" spans="1:8" ht="13.5" x14ac:dyDescent="0.25">
      <c r="A2217" s="1"/>
      <c r="B2217" s="3">
        <v>45530</v>
      </c>
      <c r="C2217" s="4">
        <v>1.75</v>
      </c>
      <c r="D2217" s="4">
        <v>1.75</v>
      </c>
      <c r="E2217" s="4">
        <v>690</v>
      </c>
      <c r="F2217" s="4">
        <v>1.75</v>
      </c>
      <c r="G2217" s="4">
        <v>1207.5</v>
      </c>
      <c r="H2217" s="5">
        <f t="shared" si="34"/>
        <v>1.1560693641618507E-2</v>
      </c>
    </row>
    <row r="2218" spans="1:8" ht="13.5" x14ac:dyDescent="0.25">
      <c r="A2218" s="1"/>
      <c r="B2218" s="3">
        <v>45531</v>
      </c>
      <c r="C2218" s="4">
        <v>1.75</v>
      </c>
      <c r="D2218" s="4">
        <v>1.75</v>
      </c>
      <c r="E2218" s="4">
        <v>50</v>
      </c>
      <c r="F2218" s="4">
        <v>1.75</v>
      </c>
      <c r="G2218" s="4">
        <v>87.5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1.75</v>
      </c>
      <c r="D2219" s="4">
        <v>1.75</v>
      </c>
      <c r="E2219" s="4">
        <v>870</v>
      </c>
      <c r="F2219" s="4">
        <v>1.75</v>
      </c>
      <c r="G2219" s="4">
        <v>1522.5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1.75</v>
      </c>
      <c r="D2220" s="4">
        <v>1.75</v>
      </c>
      <c r="E2220" s="4">
        <v>2070</v>
      </c>
      <c r="F2220" s="4">
        <v>1.75</v>
      </c>
      <c r="G2220" s="4">
        <v>3622.5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1.75</v>
      </c>
      <c r="D2221" s="4">
        <v>1.75</v>
      </c>
      <c r="E2221" s="4">
        <v>10300</v>
      </c>
      <c r="F2221" s="4">
        <v>1.75</v>
      </c>
      <c r="G2221" s="4">
        <v>18025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1.7</v>
      </c>
      <c r="D2222" s="4">
        <v>1.7</v>
      </c>
      <c r="E2222" s="4">
        <v>4255</v>
      </c>
      <c r="F2222" s="4">
        <v>1.7</v>
      </c>
      <c r="G2222" s="4">
        <v>7233.5</v>
      </c>
      <c r="H2222" s="5">
        <f t="shared" si="34"/>
        <v>-2.8571428571428598E-2</v>
      </c>
    </row>
    <row r="2223" spans="1:8" ht="13.5" x14ac:dyDescent="0.25">
      <c r="A2223" s="1"/>
      <c r="B2223" s="3">
        <v>45538</v>
      </c>
      <c r="C2223" s="4">
        <v>1.71</v>
      </c>
      <c r="D2223" s="4">
        <v>1.71</v>
      </c>
      <c r="E2223" s="4">
        <v>11062</v>
      </c>
      <c r="F2223" s="4">
        <v>1.71</v>
      </c>
      <c r="G2223" s="4">
        <v>18916.02</v>
      </c>
      <c r="H2223" s="5">
        <f t="shared" si="34"/>
        <v>5.8823529411764757E-3</v>
      </c>
    </row>
    <row r="2224" spans="1:8" ht="13.5" x14ac:dyDescent="0.25">
      <c r="A2224" s="1"/>
      <c r="B2224" s="3">
        <v>45539</v>
      </c>
      <c r="C2224" s="4">
        <v>1.75</v>
      </c>
      <c r="D2224" s="4">
        <v>1.75</v>
      </c>
      <c r="E2224" s="4">
        <v>2190</v>
      </c>
      <c r="F2224" s="4">
        <v>1.75</v>
      </c>
      <c r="G2224" s="4">
        <v>3832.5</v>
      </c>
      <c r="H2224" s="5">
        <f t="shared" si="34"/>
        <v>2.3391812865497099E-2</v>
      </c>
    </row>
    <row r="2225" spans="1:8" ht="13.5" x14ac:dyDescent="0.25">
      <c r="A2225" s="1"/>
      <c r="B2225" s="3">
        <v>45540</v>
      </c>
      <c r="C2225" s="4">
        <v>1.8</v>
      </c>
      <c r="D2225" s="4">
        <v>1.8</v>
      </c>
      <c r="E2225" s="4">
        <v>22307</v>
      </c>
      <c r="F2225" s="4">
        <v>1.8</v>
      </c>
      <c r="G2225" s="4">
        <v>40152.6</v>
      </c>
      <c r="H2225" s="5">
        <f t="shared" si="34"/>
        <v>2.8571428571428598E-2</v>
      </c>
    </row>
    <row r="2226" spans="1:8" ht="13.5" x14ac:dyDescent="0.25">
      <c r="A2226" s="1"/>
      <c r="B2226" s="3">
        <v>45541</v>
      </c>
      <c r="C2226" s="4">
        <v>1.85</v>
      </c>
      <c r="D2226" s="4">
        <v>1.85</v>
      </c>
      <c r="E2226" s="4">
        <v>19016</v>
      </c>
      <c r="F2226" s="4">
        <v>1.85</v>
      </c>
      <c r="G2226" s="4">
        <v>35179.599999999999</v>
      </c>
      <c r="H2226" s="5">
        <f t="shared" si="34"/>
        <v>2.7777777777777801E-2</v>
      </c>
    </row>
    <row r="2227" spans="1:8" ht="13.5" x14ac:dyDescent="0.25">
      <c r="A2227" s="1"/>
      <c r="B2227" s="3">
        <v>45544</v>
      </c>
      <c r="C2227" s="4">
        <v>1.85</v>
      </c>
      <c r="D2227" s="4">
        <v>1.85</v>
      </c>
      <c r="E2227" s="4">
        <v>840</v>
      </c>
      <c r="F2227" s="4">
        <v>1.85</v>
      </c>
      <c r="G2227" s="4">
        <v>1554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1.83</v>
      </c>
      <c r="D2228" s="4">
        <v>1.83</v>
      </c>
      <c r="E2228" s="4">
        <v>580</v>
      </c>
      <c r="F2228" s="4">
        <v>1.83</v>
      </c>
      <c r="G2228" s="4">
        <v>1061.4000000000001</v>
      </c>
      <c r="H2228" s="5">
        <f t="shared" si="34"/>
        <v>-1.081081081081082E-2</v>
      </c>
    </row>
    <row r="2229" spans="1:8" ht="13.5" x14ac:dyDescent="0.25">
      <c r="A2229" s="1"/>
      <c r="B2229" s="3">
        <v>45546</v>
      </c>
      <c r="C2229" s="4">
        <v>1.78</v>
      </c>
      <c r="D2229" s="4">
        <v>1.78</v>
      </c>
      <c r="E2229" s="4">
        <v>2200</v>
      </c>
      <c r="F2229" s="4">
        <v>1.78</v>
      </c>
      <c r="G2229" s="4">
        <v>3916</v>
      </c>
      <c r="H2229" s="5">
        <f t="shared" si="34"/>
        <v>-2.7322404371584723E-2</v>
      </c>
    </row>
    <row r="2230" spans="1:8" ht="13.5" x14ac:dyDescent="0.25">
      <c r="A2230" s="1"/>
      <c r="B2230" s="3">
        <v>45547</v>
      </c>
      <c r="C2230" s="4">
        <v>1.73</v>
      </c>
      <c r="D2230" s="4">
        <v>1.73</v>
      </c>
      <c r="E2230" s="4">
        <v>5210</v>
      </c>
      <c r="F2230" s="4">
        <v>1.73</v>
      </c>
      <c r="G2230" s="4">
        <v>9013.2999999999993</v>
      </c>
      <c r="H2230" s="5">
        <f t="shared" si="34"/>
        <v>-2.8089887640449462E-2</v>
      </c>
    </row>
    <row r="2231" spans="1:8" ht="13.5" x14ac:dyDescent="0.25">
      <c r="A2231" s="1"/>
      <c r="B2231" s="3">
        <v>45548</v>
      </c>
      <c r="C2231" s="4">
        <v>1.69</v>
      </c>
      <c r="D2231" s="4">
        <v>1.69</v>
      </c>
      <c r="E2231" s="4">
        <v>9908</v>
      </c>
      <c r="F2231" s="4">
        <v>1.69</v>
      </c>
      <c r="G2231" s="4">
        <v>16744.52</v>
      </c>
      <c r="H2231" s="5">
        <f t="shared" si="34"/>
        <v>-2.3121387283237014E-2</v>
      </c>
    </row>
    <row r="2232" spans="1:8" ht="13.5" x14ac:dyDescent="0.25">
      <c r="A2232" s="1"/>
      <c r="B2232" s="3">
        <v>45551</v>
      </c>
      <c r="C2232" s="4">
        <v>1.65</v>
      </c>
      <c r="D2232" s="4">
        <v>1.65</v>
      </c>
      <c r="E2232" s="4">
        <v>18500</v>
      </c>
      <c r="F2232" s="4">
        <v>1.65</v>
      </c>
      <c r="G2232" s="4">
        <v>30525</v>
      </c>
      <c r="H2232" s="5">
        <f t="shared" si="34"/>
        <v>-2.3668639053254458E-2</v>
      </c>
    </row>
    <row r="2233" spans="1:8" ht="13.5" x14ac:dyDescent="0.25">
      <c r="A2233" s="1"/>
      <c r="B2233" s="3">
        <v>45552</v>
      </c>
      <c r="C2233" s="4">
        <v>1.69</v>
      </c>
      <c r="D2233" s="4">
        <v>1.69</v>
      </c>
      <c r="E2233" s="4">
        <v>0</v>
      </c>
      <c r="F2233" s="4">
        <v>0</v>
      </c>
      <c r="G2233" s="4">
        <v>0</v>
      </c>
      <c r="H2233" s="5">
        <f t="shared" si="34"/>
        <v>2.4242424242424267E-2</v>
      </c>
    </row>
    <row r="2234" spans="1:8" ht="13.5" x14ac:dyDescent="0.25">
      <c r="A2234" s="1"/>
      <c r="B2234" s="3">
        <v>45553</v>
      </c>
      <c r="C2234" s="4">
        <v>1.74</v>
      </c>
      <c r="D2234" s="4">
        <v>1.74</v>
      </c>
      <c r="E2234" s="4">
        <v>0</v>
      </c>
      <c r="F2234" s="4">
        <v>0</v>
      </c>
      <c r="G2234" s="4">
        <v>0</v>
      </c>
      <c r="H2234" s="5">
        <f t="shared" si="34"/>
        <v>2.9585798816568074E-2</v>
      </c>
    </row>
    <row r="2235" spans="1:8" ht="13.5" x14ac:dyDescent="0.25">
      <c r="A2235" s="1"/>
      <c r="B2235" s="3">
        <v>45554</v>
      </c>
      <c r="C2235" s="4">
        <v>1.79</v>
      </c>
      <c r="D2235" s="4">
        <v>1.79</v>
      </c>
      <c r="E2235" s="4">
        <v>16600</v>
      </c>
      <c r="F2235" s="4">
        <v>1.79</v>
      </c>
      <c r="G2235" s="4">
        <v>29714</v>
      </c>
      <c r="H2235" s="5">
        <f t="shared" si="34"/>
        <v>2.8735632183908073E-2</v>
      </c>
    </row>
    <row r="2236" spans="1:8" ht="13.5" x14ac:dyDescent="0.25">
      <c r="A2236" s="1"/>
      <c r="B2236" s="3">
        <v>45555</v>
      </c>
      <c r="C2236" s="4">
        <v>1.78</v>
      </c>
      <c r="D2236" s="4">
        <v>1.78</v>
      </c>
      <c r="E2236" s="4">
        <v>7040</v>
      </c>
      <c r="F2236" s="4">
        <v>1.78</v>
      </c>
      <c r="G2236" s="4">
        <v>12531.2</v>
      </c>
      <c r="H2236" s="5">
        <f t="shared" si="34"/>
        <v>-5.5865921787709542E-3</v>
      </c>
    </row>
    <row r="2237" spans="1:8" ht="13.5" x14ac:dyDescent="0.25">
      <c r="A2237" s="1"/>
      <c r="B2237" s="3">
        <v>45558</v>
      </c>
      <c r="C2237" s="4">
        <v>1.78</v>
      </c>
      <c r="D2237" s="4">
        <v>1.78</v>
      </c>
      <c r="E2237" s="4">
        <v>160</v>
      </c>
      <c r="F2237" s="4">
        <v>1.78</v>
      </c>
      <c r="G2237" s="4">
        <v>284.8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1.78</v>
      </c>
      <c r="D2238" s="4">
        <v>1.78</v>
      </c>
      <c r="E2238" s="4">
        <v>7030</v>
      </c>
      <c r="F2238" s="4">
        <v>1.78</v>
      </c>
      <c r="G2238" s="4">
        <v>12513.4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1.73</v>
      </c>
      <c r="D2239" s="4">
        <v>1.73</v>
      </c>
      <c r="E2239" s="4">
        <v>7961</v>
      </c>
      <c r="F2239" s="4">
        <v>1.73</v>
      </c>
      <c r="G2239" s="4">
        <v>13772.53</v>
      </c>
      <c r="H2239" s="5">
        <f t="shared" si="34"/>
        <v>-2.8089887640449462E-2</v>
      </c>
    </row>
    <row r="2240" spans="1:8" ht="13.5" x14ac:dyDescent="0.25">
      <c r="A2240" s="1"/>
      <c r="B2240" s="3">
        <v>45561</v>
      </c>
      <c r="C2240" s="4">
        <v>1.77</v>
      </c>
      <c r="D2240" s="4">
        <v>1.77</v>
      </c>
      <c r="E2240" s="4">
        <v>100</v>
      </c>
      <c r="F2240" s="4">
        <v>1.77</v>
      </c>
      <c r="G2240" s="4">
        <v>177</v>
      </c>
      <c r="H2240" s="5">
        <f t="shared" si="34"/>
        <v>2.3121387283237014E-2</v>
      </c>
    </row>
    <row r="2241" spans="1:8" ht="13.5" x14ac:dyDescent="0.25">
      <c r="A2241" s="1"/>
      <c r="B2241" s="3">
        <v>45562</v>
      </c>
      <c r="C2241" s="4">
        <v>1.77</v>
      </c>
      <c r="D2241" s="4">
        <v>1.77</v>
      </c>
      <c r="E2241" s="4">
        <v>1810</v>
      </c>
      <c r="F2241" s="4">
        <v>1.77</v>
      </c>
      <c r="G2241" s="4">
        <v>3203.7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1.78</v>
      </c>
      <c r="D2242" s="4">
        <v>1.78</v>
      </c>
      <c r="E2242" s="4">
        <v>184</v>
      </c>
      <c r="F2242" s="4">
        <v>1.78</v>
      </c>
      <c r="G2242" s="4">
        <v>327.52</v>
      </c>
      <c r="H2242" s="5">
        <f t="shared" si="34"/>
        <v>5.649717514124299E-3</v>
      </c>
    </row>
    <row r="2243" spans="1:8" ht="13.5" x14ac:dyDescent="0.25">
      <c r="A2243" s="1"/>
      <c r="B2243" s="3">
        <v>45566</v>
      </c>
      <c r="C2243" s="4">
        <v>1.77</v>
      </c>
      <c r="D2243" s="4">
        <v>1.77</v>
      </c>
      <c r="E2243" s="4">
        <v>54</v>
      </c>
      <c r="F2243" s="4">
        <v>1.77</v>
      </c>
      <c r="G2243" s="4">
        <v>95.58</v>
      </c>
      <c r="H2243" s="5">
        <f t="shared" si="34"/>
        <v>-5.6179775280898927E-3</v>
      </c>
    </row>
    <row r="2244" spans="1:8" ht="13.5" x14ac:dyDescent="0.25">
      <c r="A2244" s="1"/>
      <c r="B2244" s="3">
        <v>45567</v>
      </c>
      <c r="C2244" s="4">
        <v>1.73</v>
      </c>
      <c r="D2244" s="4">
        <v>1.73</v>
      </c>
      <c r="E2244" s="4">
        <v>15000</v>
      </c>
      <c r="F2244" s="4">
        <v>1.73</v>
      </c>
      <c r="G2244" s="4">
        <v>25950</v>
      </c>
      <c r="H2244" s="5">
        <f t="shared" si="34"/>
        <v>-2.2598870056497196E-2</v>
      </c>
    </row>
    <row r="2245" spans="1:8" ht="13.5" x14ac:dyDescent="0.25">
      <c r="A2245" s="1"/>
      <c r="B2245" s="3">
        <v>45568</v>
      </c>
      <c r="C2245" s="4">
        <v>1.72</v>
      </c>
      <c r="D2245" s="4">
        <v>1.72</v>
      </c>
      <c r="E2245" s="4">
        <v>100</v>
      </c>
      <c r="F2245" s="4">
        <v>1.72</v>
      </c>
      <c r="G2245" s="4">
        <v>172</v>
      </c>
      <c r="H2245" s="5">
        <f t="shared" si="34"/>
        <v>-5.7803468208092535E-3</v>
      </c>
    </row>
    <row r="2246" spans="1:8" ht="13.5" x14ac:dyDescent="0.25">
      <c r="A2246" s="1"/>
      <c r="B2246" s="3">
        <v>45569</v>
      </c>
      <c r="C2246" s="4">
        <v>1.73</v>
      </c>
      <c r="D2246" s="4">
        <v>1.73</v>
      </c>
      <c r="E2246" s="4">
        <v>2705</v>
      </c>
      <c r="F2246" s="4">
        <v>1.73</v>
      </c>
      <c r="G2246" s="4">
        <v>4679.6499999999996</v>
      </c>
      <c r="H2246" s="5">
        <f t="shared" si="34"/>
        <v>5.8139534883720981E-3</v>
      </c>
    </row>
    <row r="2247" spans="1:8" ht="13.5" x14ac:dyDescent="0.25">
      <c r="A2247" s="1"/>
      <c r="B2247" s="3">
        <v>45572</v>
      </c>
      <c r="C2247" s="4">
        <v>1.77</v>
      </c>
      <c r="D2247" s="4">
        <v>1.77</v>
      </c>
      <c r="E2247" s="4">
        <v>573</v>
      </c>
      <c r="F2247" s="4">
        <v>1.77</v>
      </c>
      <c r="G2247" s="4">
        <v>1014.21</v>
      </c>
      <c r="H2247" s="5">
        <f t="shared" ref="H2247:H2310" si="35">(D2247-D2246)/D2246</f>
        <v>2.3121387283237014E-2</v>
      </c>
    </row>
    <row r="2248" spans="1:8" ht="13.5" x14ac:dyDescent="0.25">
      <c r="A2248" s="1"/>
      <c r="B2248" s="3">
        <v>45573</v>
      </c>
      <c r="C2248" s="4">
        <v>1.73</v>
      </c>
      <c r="D2248" s="4">
        <v>1.73</v>
      </c>
      <c r="E2248" s="4">
        <v>2757</v>
      </c>
      <c r="F2248" s="4">
        <v>1.73</v>
      </c>
      <c r="G2248" s="4">
        <v>4769.6099999999997</v>
      </c>
      <c r="H2248" s="5">
        <f t="shared" si="35"/>
        <v>-2.2598870056497196E-2</v>
      </c>
    </row>
    <row r="2249" spans="1:8" ht="13.5" x14ac:dyDescent="0.25">
      <c r="A2249" s="1"/>
      <c r="B2249" s="3">
        <v>45574</v>
      </c>
      <c r="C2249" s="4">
        <v>1.76</v>
      </c>
      <c r="D2249" s="4">
        <v>1.76</v>
      </c>
      <c r="E2249" s="4">
        <v>350</v>
      </c>
      <c r="F2249" s="4">
        <v>1.76</v>
      </c>
      <c r="G2249" s="4">
        <v>616</v>
      </c>
      <c r="H2249" s="5">
        <f t="shared" si="35"/>
        <v>1.7341040462427761E-2</v>
      </c>
    </row>
    <row r="2250" spans="1:8" ht="13.5" x14ac:dyDescent="0.25">
      <c r="A2250" s="1"/>
      <c r="B2250" s="3">
        <v>45575</v>
      </c>
      <c r="C2250" s="4">
        <v>1.71</v>
      </c>
      <c r="D2250" s="4">
        <v>1.71</v>
      </c>
      <c r="E2250" s="4">
        <v>14100</v>
      </c>
      <c r="F2250" s="4">
        <v>1.71</v>
      </c>
      <c r="G2250" s="4">
        <v>24111</v>
      </c>
      <c r="H2250" s="5">
        <f t="shared" si="35"/>
        <v>-2.8409090909090936E-2</v>
      </c>
    </row>
    <row r="2251" spans="1:8" ht="13.5" x14ac:dyDescent="0.25">
      <c r="A2251" s="1"/>
      <c r="B2251" s="3">
        <v>45576</v>
      </c>
      <c r="C2251" s="4">
        <v>1.76</v>
      </c>
      <c r="D2251" s="4">
        <v>1.76</v>
      </c>
      <c r="E2251" s="4">
        <v>80</v>
      </c>
      <c r="F2251" s="4">
        <v>1.76</v>
      </c>
      <c r="G2251" s="4">
        <v>140.80000000000001</v>
      </c>
      <c r="H2251" s="5">
        <f t="shared" si="35"/>
        <v>2.9239766081871371E-2</v>
      </c>
    </row>
    <row r="2252" spans="1:8" ht="13.5" x14ac:dyDescent="0.25">
      <c r="A2252" s="1"/>
      <c r="B2252" s="3">
        <v>45579</v>
      </c>
      <c r="C2252" s="4">
        <v>1.74</v>
      </c>
      <c r="D2252" s="4">
        <v>1.74</v>
      </c>
      <c r="E2252" s="4">
        <v>7147</v>
      </c>
      <c r="F2252" s="4">
        <v>1.74</v>
      </c>
      <c r="G2252" s="4">
        <v>12435.78</v>
      </c>
      <c r="H2252" s="5">
        <f t="shared" si="35"/>
        <v>-1.1363636363636374E-2</v>
      </c>
    </row>
    <row r="2253" spans="1:8" ht="13.5" x14ac:dyDescent="0.25">
      <c r="A2253" s="1"/>
      <c r="B2253" s="3">
        <v>45581</v>
      </c>
      <c r="C2253" s="4">
        <v>1.74</v>
      </c>
      <c r="D2253" s="4">
        <v>1.74</v>
      </c>
      <c r="E2253" s="4">
        <v>4564</v>
      </c>
      <c r="F2253" s="4">
        <v>1.74</v>
      </c>
      <c r="G2253" s="4">
        <v>7941.36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1.74</v>
      </c>
      <c r="D2254" s="4">
        <v>1.74</v>
      </c>
      <c r="E2254" s="4">
        <v>700</v>
      </c>
      <c r="F2254" s="4">
        <v>1.74</v>
      </c>
      <c r="G2254" s="4">
        <v>1218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1.74</v>
      </c>
      <c r="D2255" s="4">
        <v>1.74</v>
      </c>
      <c r="E2255" s="4">
        <v>100</v>
      </c>
      <c r="F2255" s="4">
        <v>1.74</v>
      </c>
      <c r="G2255" s="4">
        <v>174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1.77</v>
      </c>
      <c r="D2256" s="4">
        <v>1.77</v>
      </c>
      <c r="E2256" s="4">
        <v>4863</v>
      </c>
      <c r="F2256" s="4">
        <v>1.77</v>
      </c>
      <c r="G2256" s="4">
        <v>8607.51</v>
      </c>
      <c r="H2256" s="5">
        <f t="shared" si="35"/>
        <v>1.7241379310344845E-2</v>
      </c>
    </row>
    <row r="2257" spans="1:8" ht="13.5" x14ac:dyDescent="0.25">
      <c r="A2257" s="1"/>
      <c r="B2257" s="3">
        <v>45587</v>
      </c>
      <c r="C2257" s="4">
        <v>1.76</v>
      </c>
      <c r="D2257" s="4">
        <v>1.76</v>
      </c>
      <c r="E2257" s="4">
        <v>9281</v>
      </c>
      <c r="F2257" s="4">
        <v>1.76</v>
      </c>
      <c r="G2257" s="4">
        <v>16334.56</v>
      </c>
      <c r="H2257" s="5">
        <f t="shared" si="35"/>
        <v>-5.649717514124299E-3</v>
      </c>
    </row>
    <row r="2258" spans="1:8" ht="13.5" x14ac:dyDescent="0.25">
      <c r="A2258" s="1"/>
      <c r="B2258" s="3">
        <v>45588</v>
      </c>
      <c r="C2258" s="4">
        <v>1.76</v>
      </c>
      <c r="D2258" s="4">
        <v>1.76</v>
      </c>
      <c r="E2258" s="4">
        <v>4900</v>
      </c>
      <c r="F2258" s="4">
        <v>1.76</v>
      </c>
      <c r="G2258" s="4">
        <v>8624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1.71</v>
      </c>
      <c r="D2259" s="4">
        <v>1.71</v>
      </c>
      <c r="E2259" s="4">
        <v>6089</v>
      </c>
      <c r="F2259" s="4">
        <v>1.71</v>
      </c>
      <c r="G2259" s="4">
        <v>10412.19</v>
      </c>
      <c r="H2259" s="5">
        <f t="shared" si="35"/>
        <v>-2.8409090909090936E-2</v>
      </c>
    </row>
    <row r="2260" spans="1:8" ht="13.5" x14ac:dyDescent="0.25">
      <c r="A2260" s="1"/>
      <c r="B2260" s="3">
        <v>45590</v>
      </c>
      <c r="C2260" s="4">
        <v>1.75</v>
      </c>
      <c r="D2260" s="4">
        <v>1.75</v>
      </c>
      <c r="E2260" s="4">
        <v>16227</v>
      </c>
      <c r="F2260" s="4">
        <v>1.75</v>
      </c>
      <c r="G2260" s="4">
        <v>28397.25</v>
      </c>
      <c r="H2260" s="5">
        <f t="shared" si="35"/>
        <v>2.3391812865497099E-2</v>
      </c>
    </row>
    <row r="2261" spans="1:8" ht="13.5" x14ac:dyDescent="0.25">
      <c r="A2261" s="1"/>
      <c r="B2261" s="3">
        <v>45593</v>
      </c>
      <c r="C2261" s="4">
        <v>1.78</v>
      </c>
      <c r="D2261" s="4">
        <v>1.78</v>
      </c>
      <c r="E2261" s="4">
        <v>9050</v>
      </c>
      <c r="F2261" s="4">
        <v>1.78</v>
      </c>
      <c r="G2261" s="4">
        <v>16109</v>
      </c>
      <c r="H2261" s="5">
        <f t="shared" si="35"/>
        <v>1.7142857142857158E-2</v>
      </c>
    </row>
    <row r="2262" spans="1:8" ht="13.5" x14ac:dyDescent="0.25">
      <c r="A2262" s="1"/>
      <c r="B2262" s="3">
        <v>45594</v>
      </c>
      <c r="C2262" s="4">
        <v>1.75</v>
      </c>
      <c r="D2262" s="4">
        <v>1.75</v>
      </c>
      <c r="E2262" s="4">
        <v>12805</v>
      </c>
      <c r="F2262" s="4">
        <v>1.75</v>
      </c>
      <c r="G2262" s="4">
        <v>22408.75</v>
      </c>
      <c r="H2262" s="5">
        <f t="shared" si="35"/>
        <v>-1.6853932584269676E-2</v>
      </c>
    </row>
    <row r="2263" spans="1:8" ht="13.5" x14ac:dyDescent="0.25">
      <c r="A2263" s="1"/>
      <c r="B2263" s="3">
        <v>45595</v>
      </c>
      <c r="C2263" s="4">
        <v>1.76</v>
      </c>
      <c r="D2263" s="4">
        <v>1.76</v>
      </c>
      <c r="E2263" s="4">
        <v>1927</v>
      </c>
      <c r="F2263" s="4">
        <v>1.76</v>
      </c>
      <c r="G2263" s="4">
        <v>3391.52</v>
      </c>
      <c r="H2263" s="5">
        <f t="shared" si="35"/>
        <v>5.7142857142857195E-3</v>
      </c>
    </row>
    <row r="2264" spans="1:8" ht="13.5" x14ac:dyDescent="0.25">
      <c r="A2264" s="1"/>
      <c r="B2264" s="3">
        <v>45596</v>
      </c>
      <c r="C2264" s="4">
        <v>1.79</v>
      </c>
      <c r="D2264" s="4">
        <v>1.79</v>
      </c>
      <c r="E2264" s="4">
        <v>13654</v>
      </c>
      <c r="F2264" s="4">
        <v>1.79</v>
      </c>
      <c r="G2264" s="4">
        <v>24440.66</v>
      </c>
      <c r="H2264" s="5">
        <f t="shared" si="35"/>
        <v>1.7045454545454562E-2</v>
      </c>
    </row>
    <row r="2265" spans="1:8" ht="13.5" x14ac:dyDescent="0.25">
      <c r="A2265" s="1"/>
      <c r="B2265" s="3">
        <v>45597</v>
      </c>
      <c r="C2265" s="4">
        <v>1.83</v>
      </c>
      <c r="D2265" s="4">
        <v>1.83</v>
      </c>
      <c r="E2265" s="4">
        <v>6400</v>
      </c>
      <c r="F2265" s="4">
        <v>1.83</v>
      </c>
      <c r="G2265" s="4">
        <v>11712</v>
      </c>
      <c r="H2265" s="5">
        <f t="shared" si="35"/>
        <v>2.2346368715083817E-2</v>
      </c>
    </row>
    <row r="2266" spans="1:8" ht="13.5" x14ac:dyDescent="0.25">
      <c r="A2266" s="1"/>
      <c r="B2266" s="3">
        <v>45600</v>
      </c>
      <c r="C2266" s="4">
        <v>1.88</v>
      </c>
      <c r="D2266" s="4">
        <v>1.88</v>
      </c>
      <c r="E2266" s="4">
        <v>15740</v>
      </c>
      <c r="F2266" s="4">
        <v>1.88</v>
      </c>
      <c r="G2266" s="4">
        <v>29591.200000000001</v>
      </c>
      <c r="H2266" s="5">
        <f t="shared" si="35"/>
        <v>2.7322404371584601E-2</v>
      </c>
    </row>
    <row r="2267" spans="1:8" ht="13.5" x14ac:dyDescent="0.25">
      <c r="A2267" s="1"/>
      <c r="B2267" s="3">
        <v>45601</v>
      </c>
      <c r="C2267" s="4">
        <v>1.9</v>
      </c>
      <c r="D2267" s="4">
        <v>1.9</v>
      </c>
      <c r="E2267" s="4">
        <v>33791</v>
      </c>
      <c r="F2267" s="4">
        <v>1.9</v>
      </c>
      <c r="G2267" s="4">
        <v>64202.9</v>
      </c>
      <c r="H2267" s="5">
        <f t="shared" si="35"/>
        <v>1.0638297872340436E-2</v>
      </c>
    </row>
    <row r="2268" spans="1:8" ht="13.5" x14ac:dyDescent="0.25">
      <c r="A2268" s="1"/>
      <c r="B2268" s="3">
        <v>45602</v>
      </c>
      <c r="C2268" s="4">
        <v>1.94</v>
      </c>
      <c r="D2268" s="4">
        <v>1.94</v>
      </c>
      <c r="E2268" s="4">
        <v>37169</v>
      </c>
      <c r="F2268" s="4">
        <v>1.94</v>
      </c>
      <c r="G2268" s="4">
        <v>72107.86</v>
      </c>
      <c r="H2268" s="5">
        <f t="shared" si="35"/>
        <v>2.1052631578947389E-2</v>
      </c>
    </row>
    <row r="2269" spans="1:8" ht="13.5" x14ac:dyDescent="0.25">
      <c r="A2269" s="1"/>
      <c r="B2269" s="3">
        <v>45603</v>
      </c>
      <c r="C2269" s="4">
        <v>1.93</v>
      </c>
      <c r="D2269" s="4">
        <v>1.93</v>
      </c>
      <c r="E2269" s="4">
        <v>19495</v>
      </c>
      <c r="F2269" s="4">
        <v>1.93</v>
      </c>
      <c r="G2269" s="4">
        <v>37625.35</v>
      </c>
      <c r="H2269" s="5">
        <f t="shared" si="35"/>
        <v>-5.1546391752577371E-3</v>
      </c>
    </row>
    <row r="2270" spans="1:8" ht="13.5" x14ac:dyDescent="0.25">
      <c r="A2270" s="1"/>
      <c r="B2270" s="3">
        <v>45604</v>
      </c>
      <c r="C2270" s="4">
        <v>1.9</v>
      </c>
      <c r="D2270" s="4">
        <v>1.9</v>
      </c>
      <c r="E2270" s="4">
        <v>141636</v>
      </c>
      <c r="F2270" s="4">
        <v>1.9</v>
      </c>
      <c r="G2270" s="4">
        <v>269108.40000000002</v>
      </c>
      <c r="H2270" s="5">
        <f t="shared" si="35"/>
        <v>-1.5544041450777216E-2</v>
      </c>
    </row>
    <row r="2271" spans="1:8" ht="13.5" x14ac:dyDescent="0.25">
      <c r="A2271" s="1"/>
      <c r="B2271" s="3">
        <v>45607</v>
      </c>
      <c r="C2271" s="4">
        <v>1.85</v>
      </c>
      <c r="D2271" s="4">
        <v>1.85</v>
      </c>
      <c r="E2271" s="4">
        <v>26925</v>
      </c>
      <c r="F2271" s="4">
        <v>1.85</v>
      </c>
      <c r="G2271" s="4">
        <v>49811.25</v>
      </c>
      <c r="H2271" s="5">
        <f t="shared" si="35"/>
        <v>-2.6315789473684119E-2</v>
      </c>
    </row>
    <row r="2272" spans="1:8" ht="13.5" x14ac:dyDescent="0.25">
      <c r="A2272" s="1"/>
      <c r="B2272" s="3">
        <v>45608</v>
      </c>
      <c r="C2272" s="4">
        <v>1.9</v>
      </c>
      <c r="D2272" s="4">
        <v>1.9</v>
      </c>
      <c r="E2272" s="4">
        <v>10198</v>
      </c>
      <c r="F2272" s="4">
        <v>1.9</v>
      </c>
      <c r="G2272" s="4">
        <v>19376.2</v>
      </c>
      <c r="H2272" s="5">
        <f t="shared" si="35"/>
        <v>2.7027027027026931E-2</v>
      </c>
    </row>
    <row r="2273" spans="1:8" ht="13.5" x14ac:dyDescent="0.25">
      <c r="A2273" s="1"/>
      <c r="B2273" s="3">
        <v>45609</v>
      </c>
      <c r="C2273" s="4">
        <v>1.95</v>
      </c>
      <c r="D2273" s="4">
        <v>1.95</v>
      </c>
      <c r="E2273" s="4">
        <v>0</v>
      </c>
      <c r="F2273" s="4">
        <v>0</v>
      </c>
      <c r="G2273" s="4">
        <v>0</v>
      </c>
      <c r="H2273" s="5">
        <f t="shared" si="35"/>
        <v>2.6315789473684237E-2</v>
      </c>
    </row>
    <row r="2274" spans="1:8" ht="13.5" x14ac:dyDescent="0.25">
      <c r="A2274" s="1"/>
      <c r="B2274" s="3">
        <v>45610</v>
      </c>
      <c r="C2274" s="4">
        <v>1.97</v>
      </c>
      <c r="D2274" s="4">
        <v>1.97</v>
      </c>
      <c r="E2274" s="4">
        <v>30783</v>
      </c>
      <c r="F2274" s="4">
        <v>1.97</v>
      </c>
      <c r="G2274" s="4">
        <v>60642.51</v>
      </c>
      <c r="H2274" s="5">
        <f t="shared" si="35"/>
        <v>1.0256410256410265E-2</v>
      </c>
    </row>
    <row r="2275" spans="1:8" ht="13.5" x14ac:dyDescent="0.25">
      <c r="A2275" s="1"/>
      <c r="B2275" s="3">
        <v>45611</v>
      </c>
      <c r="C2275" s="4">
        <v>1.95</v>
      </c>
      <c r="D2275" s="4">
        <v>1.95</v>
      </c>
      <c r="E2275" s="4">
        <v>68543</v>
      </c>
      <c r="F2275" s="4">
        <v>1.95</v>
      </c>
      <c r="G2275" s="4">
        <v>133658.85</v>
      </c>
      <c r="H2275" s="5">
        <f t="shared" si="35"/>
        <v>-1.01522842639594E-2</v>
      </c>
    </row>
    <row r="2276" spans="1:8" ht="13.5" x14ac:dyDescent="0.25">
      <c r="A2276" s="1"/>
      <c r="B2276" s="3">
        <v>45614</v>
      </c>
      <c r="C2276" s="4">
        <v>1.93</v>
      </c>
      <c r="D2276" s="4">
        <v>1.93</v>
      </c>
      <c r="E2276" s="4">
        <v>8520</v>
      </c>
      <c r="F2276" s="4">
        <v>1.93</v>
      </c>
      <c r="G2276" s="4">
        <v>16443.599999999999</v>
      </c>
      <c r="H2276" s="5">
        <f t="shared" si="35"/>
        <v>-1.0256410256410265E-2</v>
      </c>
    </row>
    <row r="2277" spans="1:8" ht="13.5" x14ac:dyDescent="0.25">
      <c r="A2277" s="1"/>
      <c r="B2277" s="3">
        <v>45615</v>
      </c>
      <c r="C2277" s="4">
        <v>1.9</v>
      </c>
      <c r="D2277" s="4">
        <v>1.9</v>
      </c>
      <c r="E2277" s="4">
        <v>9184</v>
      </c>
      <c r="F2277" s="4">
        <v>1.9</v>
      </c>
      <c r="G2277" s="4">
        <v>17449.599999999999</v>
      </c>
      <c r="H2277" s="5">
        <f t="shared" si="35"/>
        <v>-1.5544041450777216E-2</v>
      </c>
    </row>
    <row r="2278" spans="1:8" ht="13.5" x14ac:dyDescent="0.25">
      <c r="A2278" s="1"/>
      <c r="B2278" s="3">
        <v>45616</v>
      </c>
      <c r="C2278" s="4">
        <v>1.91</v>
      </c>
      <c r="D2278" s="4">
        <v>1.91</v>
      </c>
      <c r="E2278" s="4">
        <v>11163</v>
      </c>
      <c r="F2278" s="4">
        <v>1.91</v>
      </c>
      <c r="G2278" s="4">
        <v>21321.33</v>
      </c>
      <c r="H2278" s="5">
        <f t="shared" si="35"/>
        <v>5.2631578947368472E-3</v>
      </c>
    </row>
    <row r="2279" spans="1:8" ht="13.5" x14ac:dyDescent="0.25">
      <c r="A2279" s="1"/>
      <c r="B2279" s="3">
        <v>45617</v>
      </c>
      <c r="C2279" s="4">
        <v>1.94</v>
      </c>
      <c r="D2279" s="4">
        <v>1.94</v>
      </c>
      <c r="E2279" s="4">
        <v>19398</v>
      </c>
      <c r="F2279" s="4">
        <v>1.94</v>
      </c>
      <c r="G2279" s="4">
        <v>37632.120000000003</v>
      </c>
      <c r="H2279" s="5">
        <f t="shared" si="35"/>
        <v>1.5706806282722526E-2</v>
      </c>
    </row>
    <row r="2280" spans="1:8" ht="13.5" x14ac:dyDescent="0.25">
      <c r="A2280" s="1"/>
      <c r="B2280" s="3">
        <v>45618</v>
      </c>
      <c r="C2280" s="4">
        <v>1.97</v>
      </c>
      <c r="D2280" s="4">
        <v>1.97</v>
      </c>
      <c r="E2280" s="4">
        <v>13355</v>
      </c>
      <c r="F2280" s="4">
        <v>1.97</v>
      </c>
      <c r="G2280" s="4">
        <v>26309.35</v>
      </c>
      <c r="H2280" s="5">
        <f t="shared" si="35"/>
        <v>1.546391752577321E-2</v>
      </c>
    </row>
    <row r="2281" spans="1:8" ht="13.5" x14ac:dyDescent="0.25">
      <c r="A2281" s="1"/>
      <c r="B2281" s="3">
        <v>45621</v>
      </c>
      <c r="C2281" s="4">
        <v>1.99</v>
      </c>
      <c r="D2281" s="4">
        <v>1.99</v>
      </c>
      <c r="E2281" s="4">
        <v>35016</v>
      </c>
      <c r="F2281" s="4">
        <v>1.99</v>
      </c>
      <c r="G2281" s="4">
        <v>69681.84</v>
      </c>
      <c r="H2281" s="5">
        <f t="shared" si="35"/>
        <v>1.01522842639594E-2</v>
      </c>
    </row>
    <row r="2282" spans="1:8" ht="13.5" x14ac:dyDescent="0.25">
      <c r="A2282" s="1"/>
      <c r="B2282" s="3">
        <v>45622</v>
      </c>
      <c r="C2282" s="4">
        <v>2.02</v>
      </c>
      <c r="D2282" s="4">
        <v>2.02</v>
      </c>
      <c r="E2282" s="4">
        <v>27582</v>
      </c>
      <c r="F2282" s="4">
        <v>2.02</v>
      </c>
      <c r="G2282" s="4">
        <v>55715.64</v>
      </c>
      <c r="H2282" s="5">
        <f t="shared" si="35"/>
        <v>1.5075376884422124E-2</v>
      </c>
    </row>
    <row r="2283" spans="1:8" ht="13.5" x14ac:dyDescent="0.25">
      <c r="A2283" s="1"/>
      <c r="B2283" s="3">
        <v>45623</v>
      </c>
      <c r="C2283" s="4">
        <v>2.0099999999999998</v>
      </c>
      <c r="D2283" s="4">
        <v>2.0099999999999998</v>
      </c>
      <c r="E2283" s="4">
        <v>56730</v>
      </c>
      <c r="F2283" s="4">
        <v>2.0099999999999998</v>
      </c>
      <c r="G2283" s="4">
        <v>114027.3</v>
      </c>
      <c r="H2283" s="5">
        <f t="shared" si="35"/>
        <v>-4.950495049505065E-3</v>
      </c>
    </row>
    <row r="2284" spans="1:8" ht="13.5" x14ac:dyDescent="0.25">
      <c r="A2284" s="1"/>
      <c r="B2284" s="3">
        <v>45624</v>
      </c>
      <c r="C2284" s="4">
        <v>2.02</v>
      </c>
      <c r="D2284" s="4">
        <v>2.02</v>
      </c>
      <c r="E2284" s="4">
        <v>30739</v>
      </c>
      <c r="F2284" s="4">
        <v>2.02</v>
      </c>
      <c r="G2284" s="4">
        <v>62092.78</v>
      </c>
      <c r="H2284" s="5">
        <f t="shared" si="35"/>
        <v>4.975124378109568E-3</v>
      </c>
    </row>
    <row r="2285" spans="1:8" ht="13.5" x14ac:dyDescent="0.25">
      <c r="A2285" s="1"/>
      <c r="B2285" s="3">
        <v>45625</v>
      </c>
      <c r="C2285" s="4">
        <v>2.02</v>
      </c>
      <c r="D2285" s="4">
        <v>2.02</v>
      </c>
      <c r="E2285" s="4">
        <v>19070</v>
      </c>
      <c r="F2285" s="4">
        <v>2.02</v>
      </c>
      <c r="G2285" s="4">
        <v>38521.4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2.04</v>
      </c>
      <c r="D2286" s="4">
        <v>2.04</v>
      </c>
      <c r="E2286" s="4">
        <v>17245</v>
      </c>
      <c r="F2286" s="4">
        <v>2.04</v>
      </c>
      <c r="G2286" s="4">
        <v>35179.800000000003</v>
      </c>
      <c r="H2286" s="5">
        <f t="shared" si="35"/>
        <v>9.9009900990099098E-3</v>
      </c>
    </row>
    <row r="2287" spans="1:8" ht="13.5" x14ac:dyDescent="0.25">
      <c r="A2287" s="1"/>
      <c r="B2287" s="3">
        <v>45629</v>
      </c>
      <c r="C2287" s="4">
        <v>2.04</v>
      </c>
      <c r="D2287" s="4">
        <v>2.04</v>
      </c>
      <c r="E2287" s="4">
        <v>2253</v>
      </c>
      <c r="F2287" s="4">
        <v>2.04</v>
      </c>
      <c r="G2287" s="4">
        <v>4596.12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2.0299999999999998</v>
      </c>
      <c r="D2288" s="4">
        <v>2.0299999999999998</v>
      </c>
      <c r="E2288" s="4">
        <v>4029</v>
      </c>
      <c r="F2288" s="4">
        <v>2.0299999999999998</v>
      </c>
      <c r="G2288" s="4">
        <v>8178.87</v>
      </c>
      <c r="H2288" s="5">
        <f t="shared" si="35"/>
        <v>-4.9019607843138382E-3</v>
      </c>
    </row>
    <row r="2289" spans="1:8" ht="13.5" x14ac:dyDescent="0.25">
      <c r="A2289" s="1"/>
      <c r="B2289" s="3">
        <v>45631</v>
      </c>
      <c r="C2289" s="4">
        <v>2.02</v>
      </c>
      <c r="D2289" s="4">
        <v>2.02</v>
      </c>
      <c r="E2289" s="4">
        <v>19132</v>
      </c>
      <c r="F2289" s="4">
        <v>2.02</v>
      </c>
      <c r="G2289" s="4">
        <v>38646.639999999999</v>
      </c>
      <c r="H2289" s="5">
        <f t="shared" si="35"/>
        <v>-4.9261083743841316E-3</v>
      </c>
    </row>
    <row r="2290" spans="1:8" ht="13.5" x14ac:dyDescent="0.25">
      <c r="A2290" s="1"/>
      <c r="B2290" s="3">
        <v>45632</v>
      </c>
      <c r="C2290" s="4">
        <v>2.0299999999999998</v>
      </c>
      <c r="D2290" s="4">
        <v>2.0299999999999998</v>
      </c>
      <c r="E2290" s="4">
        <v>11240</v>
      </c>
      <c r="F2290" s="4">
        <v>2.0299999999999998</v>
      </c>
      <c r="G2290" s="4">
        <v>22817.200000000001</v>
      </c>
      <c r="H2290" s="5">
        <f t="shared" si="35"/>
        <v>4.9504950495048447E-3</v>
      </c>
    </row>
    <row r="2291" spans="1:8" ht="13.5" x14ac:dyDescent="0.25">
      <c r="A2291" s="1"/>
      <c r="B2291" s="3">
        <v>45635</v>
      </c>
      <c r="C2291" s="4">
        <v>2.04</v>
      </c>
      <c r="D2291" s="4">
        <v>2.04</v>
      </c>
      <c r="E2291" s="4">
        <v>9400</v>
      </c>
      <c r="F2291" s="4">
        <v>2.04</v>
      </c>
      <c r="G2291" s="4">
        <v>19176</v>
      </c>
      <c r="H2291" s="5">
        <f t="shared" si="35"/>
        <v>4.926108374384351E-3</v>
      </c>
    </row>
    <row r="2292" spans="1:8" ht="13.5" x14ac:dyDescent="0.25">
      <c r="A2292" s="1"/>
      <c r="B2292" s="3">
        <v>45636</v>
      </c>
      <c r="C2292" s="4">
        <v>2.0699999999999998</v>
      </c>
      <c r="D2292" s="4">
        <v>2.0699999999999998</v>
      </c>
      <c r="E2292" s="4">
        <v>26072</v>
      </c>
      <c r="F2292" s="4">
        <v>2.0699999999999998</v>
      </c>
      <c r="G2292" s="4">
        <v>53969.04</v>
      </c>
      <c r="H2292" s="5">
        <f t="shared" si="35"/>
        <v>1.4705882352941081E-2</v>
      </c>
    </row>
    <row r="2293" spans="1:8" ht="13.5" x14ac:dyDescent="0.25">
      <c r="A2293" s="1"/>
      <c r="B2293" s="3">
        <v>45637</v>
      </c>
      <c r="C2293" s="4">
        <v>2.13</v>
      </c>
      <c r="D2293" s="4">
        <v>2.13</v>
      </c>
      <c r="E2293" s="4">
        <v>0</v>
      </c>
      <c r="F2293" s="4">
        <v>0</v>
      </c>
      <c r="G2293" s="4">
        <v>0</v>
      </c>
      <c r="H2293" s="5">
        <f t="shared" si="35"/>
        <v>2.898550724637684E-2</v>
      </c>
    </row>
    <row r="2294" spans="1:8" ht="13.5" x14ac:dyDescent="0.25">
      <c r="A2294" s="1"/>
      <c r="B2294" s="3">
        <v>45638</v>
      </c>
      <c r="C2294" s="4">
        <v>2.1800000000000002</v>
      </c>
      <c r="D2294" s="4">
        <v>2.1800000000000002</v>
      </c>
      <c r="E2294" s="4">
        <v>53196</v>
      </c>
      <c r="F2294" s="4">
        <v>2.1800000000000002</v>
      </c>
      <c r="G2294" s="4">
        <v>115967.28</v>
      </c>
      <c r="H2294" s="5">
        <f t="shared" si="35"/>
        <v>2.3474178403755996E-2</v>
      </c>
    </row>
    <row r="2295" spans="1:8" ht="13.5" x14ac:dyDescent="0.25">
      <c r="A2295" s="1"/>
      <c r="B2295" s="3">
        <v>45639</v>
      </c>
      <c r="C2295" s="4">
        <v>2.2400000000000002</v>
      </c>
      <c r="D2295" s="4">
        <v>2.2400000000000002</v>
      </c>
      <c r="E2295" s="4">
        <v>0</v>
      </c>
      <c r="F2295" s="4">
        <v>0</v>
      </c>
      <c r="G2295" s="4">
        <v>0</v>
      </c>
      <c r="H2295" s="5">
        <f t="shared" si="35"/>
        <v>2.7522935779816536E-2</v>
      </c>
    </row>
    <row r="2296" spans="1:8" ht="13.5" x14ac:dyDescent="0.25">
      <c r="A2296" s="1"/>
      <c r="B2296" s="3">
        <v>45642</v>
      </c>
      <c r="C2296" s="4">
        <v>2.29</v>
      </c>
      <c r="D2296" s="4">
        <v>2.29</v>
      </c>
      <c r="E2296" s="4">
        <v>50330</v>
      </c>
      <c r="F2296" s="4">
        <v>2.29</v>
      </c>
      <c r="G2296" s="4">
        <v>115255.7</v>
      </c>
      <c r="H2296" s="5">
        <f t="shared" si="35"/>
        <v>2.2321428571428489E-2</v>
      </c>
    </row>
    <row r="2297" spans="1:8" ht="13.5" x14ac:dyDescent="0.25">
      <c r="A2297" s="1"/>
      <c r="B2297" s="3">
        <v>45644</v>
      </c>
      <c r="C2297" s="4">
        <v>2.34</v>
      </c>
      <c r="D2297" s="4">
        <v>2.34</v>
      </c>
      <c r="E2297" s="4">
        <v>74022</v>
      </c>
      <c r="F2297" s="4">
        <v>2.34</v>
      </c>
      <c r="G2297" s="4">
        <v>173211.48</v>
      </c>
      <c r="H2297" s="5">
        <f t="shared" si="35"/>
        <v>2.1834061135371102E-2</v>
      </c>
    </row>
    <row r="2298" spans="1:8" ht="13.5" x14ac:dyDescent="0.25">
      <c r="A2298" s="1"/>
      <c r="B2298" s="3">
        <v>45645</v>
      </c>
      <c r="C2298" s="4">
        <v>2.41</v>
      </c>
      <c r="D2298" s="4">
        <v>2.41</v>
      </c>
      <c r="E2298" s="4">
        <v>0</v>
      </c>
      <c r="F2298" s="4">
        <v>0</v>
      </c>
      <c r="G2298" s="4">
        <v>0</v>
      </c>
      <c r="H2298" s="5">
        <f t="shared" si="35"/>
        <v>2.9914529914530037E-2</v>
      </c>
    </row>
    <row r="2299" spans="1:8" ht="13.5" x14ac:dyDescent="0.25">
      <c r="A2299" s="1"/>
      <c r="B2299" s="3">
        <v>45646</v>
      </c>
      <c r="C2299" s="4">
        <v>2.41</v>
      </c>
      <c r="D2299" s="4">
        <v>2.41</v>
      </c>
      <c r="E2299" s="4">
        <v>0</v>
      </c>
      <c r="F2299" s="4">
        <v>0</v>
      </c>
      <c r="G2299" s="4">
        <v>0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2.34</v>
      </c>
      <c r="D2300" s="4">
        <v>2.34</v>
      </c>
      <c r="E2300" s="4">
        <v>224751</v>
      </c>
      <c r="F2300" s="4">
        <v>2.34</v>
      </c>
      <c r="G2300" s="4">
        <v>525917.34</v>
      </c>
      <c r="H2300" s="5">
        <f t="shared" si="35"/>
        <v>-2.9045643153527086E-2</v>
      </c>
    </row>
    <row r="2301" spans="1:8" ht="13.5" x14ac:dyDescent="0.25">
      <c r="A2301" s="1"/>
      <c r="B2301" s="3">
        <v>45650</v>
      </c>
      <c r="C2301" s="4">
        <v>2.41</v>
      </c>
      <c r="D2301" s="4">
        <v>2.41</v>
      </c>
      <c r="E2301" s="4">
        <v>0</v>
      </c>
      <c r="F2301" s="4">
        <v>0</v>
      </c>
      <c r="G2301" s="4">
        <v>0</v>
      </c>
      <c r="H2301" s="5">
        <f t="shared" si="35"/>
        <v>2.9914529914530037E-2</v>
      </c>
    </row>
    <row r="2302" spans="1:8" ht="13.5" x14ac:dyDescent="0.25">
      <c r="A2302" s="1"/>
      <c r="B2302" s="3">
        <v>45651</v>
      </c>
      <c r="C2302" s="4">
        <v>2.48</v>
      </c>
      <c r="D2302" s="4">
        <v>2.48</v>
      </c>
      <c r="E2302" s="4">
        <v>0</v>
      </c>
      <c r="F2302" s="4">
        <v>0</v>
      </c>
      <c r="G2302" s="4">
        <v>0</v>
      </c>
      <c r="H2302" s="5">
        <f t="shared" si="35"/>
        <v>2.9045643153526902E-2</v>
      </c>
    </row>
    <row r="2303" spans="1:8" ht="13.5" x14ac:dyDescent="0.25">
      <c r="A2303" s="1"/>
      <c r="B2303" s="3">
        <v>45652</v>
      </c>
      <c r="C2303" s="4">
        <v>2.5499999999999998</v>
      </c>
      <c r="D2303" s="4">
        <v>2.5499999999999998</v>
      </c>
      <c r="E2303" s="4">
        <v>128004</v>
      </c>
      <c r="F2303" s="4">
        <v>2.5499999999999998</v>
      </c>
      <c r="G2303" s="4">
        <v>326410.2</v>
      </c>
      <c r="H2303" s="5">
        <f t="shared" si="35"/>
        <v>2.822580645161284E-2</v>
      </c>
    </row>
    <row r="2304" spans="1:8" ht="13.5" x14ac:dyDescent="0.25">
      <c r="A2304" s="1"/>
      <c r="B2304" s="3">
        <v>45653</v>
      </c>
      <c r="C2304" s="4">
        <v>2.59</v>
      </c>
      <c r="D2304" s="4">
        <v>2.59</v>
      </c>
      <c r="E2304" s="4">
        <v>58844</v>
      </c>
      <c r="F2304" s="4">
        <v>2.59</v>
      </c>
      <c r="G2304" s="4">
        <v>152405.96</v>
      </c>
      <c r="H2304" s="5">
        <f t="shared" si="35"/>
        <v>1.5686274509803935E-2</v>
      </c>
    </row>
    <row r="2305" spans="1:8" ht="13.5" x14ac:dyDescent="0.25">
      <c r="A2305" s="1"/>
      <c r="B2305" s="3">
        <v>45656</v>
      </c>
      <c r="C2305" s="4">
        <v>2.52</v>
      </c>
      <c r="D2305" s="4">
        <v>2.52</v>
      </c>
      <c r="E2305" s="4">
        <v>0</v>
      </c>
      <c r="F2305" s="4">
        <v>0</v>
      </c>
      <c r="G2305" s="4">
        <v>0</v>
      </c>
      <c r="H2305" s="5">
        <f t="shared" si="35"/>
        <v>-2.7027027027026966E-2</v>
      </c>
    </row>
    <row r="2306" spans="1:8" ht="13.5" x14ac:dyDescent="0.25">
      <c r="A2306" s="1"/>
      <c r="B2306" s="3">
        <v>45657</v>
      </c>
      <c r="C2306" s="4">
        <v>2.4500000000000002</v>
      </c>
      <c r="D2306" s="4">
        <v>2.4500000000000002</v>
      </c>
      <c r="E2306" s="4">
        <v>0</v>
      </c>
      <c r="F2306" s="4">
        <v>0</v>
      </c>
      <c r="G2306" s="4">
        <v>0</v>
      </c>
      <c r="H2306" s="5">
        <f t="shared" si="35"/>
        <v>-2.7777777777777714E-2</v>
      </c>
    </row>
    <row r="2307" spans="1:8" ht="13.5" x14ac:dyDescent="0.25">
      <c r="A2307" s="1"/>
      <c r="B2307" s="3">
        <v>45659</v>
      </c>
      <c r="C2307" s="4">
        <v>2.38</v>
      </c>
      <c r="D2307" s="4">
        <v>2.38</v>
      </c>
      <c r="E2307" s="4">
        <v>0</v>
      </c>
      <c r="F2307" s="4">
        <v>0</v>
      </c>
      <c r="G2307" s="4">
        <v>0</v>
      </c>
      <c r="H2307" s="5">
        <f t="shared" si="35"/>
        <v>-2.8571428571428685E-2</v>
      </c>
    </row>
    <row r="2308" spans="1:8" ht="13.5" x14ac:dyDescent="0.25">
      <c r="A2308" s="1"/>
      <c r="B2308" s="3">
        <v>45660</v>
      </c>
      <c r="C2308" s="4">
        <v>2.31</v>
      </c>
      <c r="D2308" s="4">
        <v>2.31</v>
      </c>
      <c r="E2308" s="4">
        <v>0</v>
      </c>
      <c r="F2308" s="4">
        <v>0</v>
      </c>
      <c r="G2308" s="4">
        <v>0</v>
      </c>
      <c r="H2308" s="5">
        <f t="shared" si="35"/>
        <v>-2.9411764705882287E-2</v>
      </c>
    </row>
    <row r="2309" spans="1:8" ht="13.5" x14ac:dyDescent="0.25">
      <c r="A2309" s="1"/>
      <c r="B2309" s="3">
        <v>45663</v>
      </c>
      <c r="C2309" s="4">
        <v>2.3199999999999998</v>
      </c>
      <c r="D2309" s="4">
        <v>2.3199999999999998</v>
      </c>
      <c r="E2309" s="4">
        <v>42676</v>
      </c>
      <c r="F2309" s="4">
        <v>2.3199999999999998</v>
      </c>
      <c r="G2309" s="4">
        <v>99008.320000000007</v>
      </c>
      <c r="H2309" s="5">
        <f t="shared" si="35"/>
        <v>4.3290043290042362E-3</v>
      </c>
    </row>
    <row r="2310" spans="1:8" ht="13.5" x14ac:dyDescent="0.25">
      <c r="A2310" s="1"/>
      <c r="B2310" s="3">
        <v>45664</v>
      </c>
      <c r="C2310" s="4">
        <v>2.2599999999999998</v>
      </c>
      <c r="D2310" s="4">
        <v>2.2599999999999998</v>
      </c>
      <c r="E2310" s="4">
        <v>5618</v>
      </c>
      <c r="F2310" s="4">
        <v>2.2599999999999998</v>
      </c>
      <c r="G2310" s="4">
        <v>12696.68</v>
      </c>
      <c r="H2310" s="5">
        <f t="shared" si="35"/>
        <v>-2.5862068965517265E-2</v>
      </c>
    </row>
    <row r="2311" spans="1:8" ht="13.5" x14ac:dyDescent="0.25">
      <c r="A2311" s="1"/>
      <c r="B2311" s="3">
        <v>45665</v>
      </c>
      <c r="C2311" s="4">
        <v>2.2000000000000002</v>
      </c>
      <c r="D2311" s="4">
        <v>2.2000000000000002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-2.6548672566371511E-2</v>
      </c>
    </row>
    <row r="2312" spans="1:8" ht="13.5" x14ac:dyDescent="0.25">
      <c r="A2312" s="1"/>
      <c r="B2312" s="3">
        <v>45666</v>
      </c>
      <c r="C2312" s="4">
        <v>2.2000000000000002</v>
      </c>
      <c r="D2312" s="4">
        <v>2.2000000000000002</v>
      </c>
      <c r="E2312" s="4">
        <v>55578</v>
      </c>
      <c r="F2312" s="4">
        <v>2.2000000000000002</v>
      </c>
      <c r="G2312" s="4">
        <v>122271.6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2.2599999999999998</v>
      </c>
      <c r="D2313" s="4">
        <v>2.2599999999999998</v>
      </c>
      <c r="E2313" s="4">
        <v>36253</v>
      </c>
      <c r="F2313" s="4">
        <v>2.2599999999999998</v>
      </c>
      <c r="G2313" s="4">
        <v>81931.78</v>
      </c>
      <c r="H2313" s="5">
        <f t="shared" si="36"/>
        <v>2.7272727272727094E-2</v>
      </c>
    </row>
    <row r="2314" spans="1:8" ht="13.5" x14ac:dyDescent="0.25">
      <c r="A2314" s="1"/>
      <c r="B2314" s="3">
        <v>45670</v>
      </c>
      <c r="C2314" s="4">
        <v>2.2599999999999998</v>
      </c>
      <c r="D2314" s="4">
        <v>2.2599999999999998</v>
      </c>
      <c r="E2314" s="4">
        <v>18868</v>
      </c>
      <c r="F2314" s="4">
        <v>2.2599999999999998</v>
      </c>
      <c r="G2314" s="4">
        <v>42641.68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2.2999999999999998</v>
      </c>
      <c r="D2315" s="4">
        <v>2.2999999999999998</v>
      </c>
      <c r="E2315" s="4">
        <v>15457</v>
      </c>
      <c r="F2315" s="4">
        <v>2.2999999999999998</v>
      </c>
      <c r="G2315" s="4">
        <v>35551.1</v>
      </c>
      <c r="H2315" s="5">
        <f t="shared" si="36"/>
        <v>1.7699115044247805E-2</v>
      </c>
    </row>
    <row r="2316" spans="1:8" ht="13.5" x14ac:dyDescent="0.25">
      <c r="A2316" s="1"/>
      <c r="B2316" s="3">
        <v>45672</v>
      </c>
      <c r="C2316" s="4">
        <v>2.36</v>
      </c>
      <c r="D2316" s="4">
        <v>2.36</v>
      </c>
      <c r="E2316" s="4">
        <v>64124</v>
      </c>
      <c r="F2316" s="4">
        <v>2.36</v>
      </c>
      <c r="G2316" s="4">
        <v>151332.64000000001</v>
      </c>
      <c r="H2316" s="5">
        <f t="shared" si="36"/>
        <v>2.6086956521739157E-2</v>
      </c>
    </row>
    <row r="2317" spans="1:8" ht="13.5" x14ac:dyDescent="0.25">
      <c r="A2317" s="1"/>
      <c r="B2317" s="3">
        <v>45673</v>
      </c>
      <c r="C2317" s="4">
        <v>2.31</v>
      </c>
      <c r="D2317" s="4">
        <v>2.31</v>
      </c>
      <c r="E2317" s="4">
        <v>12380</v>
      </c>
      <c r="F2317" s="4">
        <v>2.31</v>
      </c>
      <c r="G2317" s="4">
        <v>28597.8</v>
      </c>
      <c r="H2317" s="5">
        <f t="shared" si="36"/>
        <v>-2.1186440677966028E-2</v>
      </c>
    </row>
    <row r="2318" spans="1:8" ht="13.5" x14ac:dyDescent="0.25">
      <c r="A2318" s="1"/>
      <c r="B2318" s="3">
        <v>45674</v>
      </c>
      <c r="C2318" s="4">
        <v>2.37</v>
      </c>
      <c r="D2318" s="4">
        <v>2.37</v>
      </c>
      <c r="E2318" s="4">
        <v>2021</v>
      </c>
      <c r="F2318" s="4">
        <v>2.37</v>
      </c>
      <c r="G2318" s="4">
        <v>4789.7700000000004</v>
      </c>
      <c r="H2318" s="5">
        <f t="shared" si="36"/>
        <v>2.5974025974025997E-2</v>
      </c>
    </row>
    <row r="2319" spans="1:8" ht="13.5" x14ac:dyDescent="0.25">
      <c r="A2319" s="1"/>
      <c r="B2319" s="3">
        <v>45677</v>
      </c>
      <c r="C2319" s="4">
        <v>2.4</v>
      </c>
      <c r="D2319" s="4">
        <v>2.4</v>
      </c>
      <c r="E2319" s="4">
        <v>17939</v>
      </c>
      <c r="F2319" s="4">
        <v>2.4</v>
      </c>
      <c r="G2319" s="4">
        <v>43053.599999999999</v>
      </c>
      <c r="H2319" s="5">
        <f t="shared" si="36"/>
        <v>1.2658227848101182E-2</v>
      </c>
    </row>
    <row r="2320" spans="1:8" ht="13.5" x14ac:dyDescent="0.25">
      <c r="A2320" s="1"/>
      <c r="B2320" s="3">
        <v>45678</v>
      </c>
      <c r="C2320" s="4">
        <v>2.4700000000000002</v>
      </c>
      <c r="D2320" s="4">
        <v>2.4700000000000002</v>
      </c>
      <c r="E2320" s="4">
        <v>0</v>
      </c>
      <c r="F2320" s="4">
        <v>0</v>
      </c>
      <c r="G2320" s="4">
        <v>0</v>
      </c>
      <c r="H2320" s="5">
        <f t="shared" si="36"/>
        <v>2.9166666666666785E-2</v>
      </c>
    </row>
    <row r="2321" spans="1:8" ht="13.5" x14ac:dyDescent="0.25">
      <c r="A2321" s="1"/>
      <c r="B2321" s="3">
        <v>45679</v>
      </c>
      <c r="C2321" s="4">
        <v>2.54</v>
      </c>
      <c r="D2321" s="4">
        <v>2.54</v>
      </c>
      <c r="E2321" s="4">
        <v>0</v>
      </c>
      <c r="F2321" s="4">
        <v>0</v>
      </c>
      <c r="G2321" s="4">
        <v>0</v>
      </c>
      <c r="H2321" s="5">
        <f t="shared" si="36"/>
        <v>2.8340080971659853E-2</v>
      </c>
    </row>
    <row r="2322" spans="1:8" ht="13.5" x14ac:dyDescent="0.25">
      <c r="A2322" s="1"/>
      <c r="B2322" s="3">
        <v>45680</v>
      </c>
      <c r="C2322" s="4">
        <v>2.57</v>
      </c>
      <c r="D2322" s="4">
        <v>2.57</v>
      </c>
      <c r="E2322" s="4">
        <v>29747</v>
      </c>
      <c r="F2322" s="4">
        <v>2.57</v>
      </c>
      <c r="G2322" s="4">
        <v>76449.789999999994</v>
      </c>
      <c r="H2322" s="5">
        <f t="shared" si="36"/>
        <v>1.1811023622047168E-2</v>
      </c>
    </row>
    <row r="2323" spans="1:8" ht="13.5" x14ac:dyDescent="0.25">
      <c r="A2323" s="1"/>
      <c r="B2323" s="3">
        <v>45681</v>
      </c>
      <c r="C2323" s="4">
        <v>2.5499999999999998</v>
      </c>
      <c r="D2323" s="4">
        <v>2.5499999999999998</v>
      </c>
      <c r="E2323" s="4">
        <v>10614</v>
      </c>
      <c r="F2323" s="4">
        <v>2.5499999999999998</v>
      </c>
      <c r="G2323" s="4">
        <v>27065.7</v>
      </c>
      <c r="H2323" s="5">
        <f t="shared" si="36"/>
        <v>-7.7821011673151821E-3</v>
      </c>
    </row>
    <row r="2324" spans="1:8" ht="13.5" x14ac:dyDescent="0.25">
      <c r="A2324" s="1"/>
      <c r="B2324" s="3">
        <v>45684</v>
      </c>
      <c r="C2324" s="4">
        <v>2.5</v>
      </c>
      <c r="D2324" s="4">
        <v>2.5</v>
      </c>
      <c r="E2324" s="4">
        <v>29280</v>
      </c>
      <c r="F2324" s="4">
        <v>2.5</v>
      </c>
      <c r="G2324" s="4">
        <v>73200</v>
      </c>
      <c r="H2324" s="5">
        <f t="shared" si="36"/>
        <v>-1.9607843137254832E-2</v>
      </c>
    </row>
    <row r="2325" spans="1:8" ht="13.5" x14ac:dyDescent="0.25">
      <c r="A2325" s="1"/>
      <c r="B2325" s="3">
        <v>45685</v>
      </c>
      <c r="C2325" s="4">
        <v>2.4700000000000002</v>
      </c>
      <c r="D2325" s="4">
        <v>2.4700000000000002</v>
      </c>
      <c r="E2325" s="4">
        <v>4800</v>
      </c>
      <c r="F2325" s="4">
        <v>2.4700000000000002</v>
      </c>
      <c r="G2325" s="4">
        <v>11856</v>
      </c>
      <c r="H2325" s="5">
        <f t="shared" si="36"/>
        <v>-1.1999999999999922E-2</v>
      </c>
    </row>
    <row r="2326" spans="1:8" ht="13.5" x14ac:dyDescent="0.25">
      <c r="A2326" s="1"/>
      <c r="B2326" s="3">
        <v>45686</v>
      </c>
      <c r="C2326" s="4">
        <v>2.4</v>
      </c>
      <c r="D2326" s="4">
        <v>2.4</v>
      </c>
      <c r="E2326" s="4">
        <v>5421</v>
      </c>
      <c r="F2326" s="4">
        <v>2.4</v>
      </c>
      <c r="G2326" s="4">
        <v>13010.4</v>
      </c>
      <c r="H2326" s="5">
        <f t="shared" si="36"/>
        <v>-2.834008097166003E-2</v>
      </c>
    </row>
    <row r="2327" spans="1:8" ht="13.5" x14ac:dyDescent="0.25">
      <c r="A2327" s="1"/>
      <c r="B2327" s="3">
        <v>45687</v>
      </c>
      <c r="C2327" s="4">
        <v>2.33</v>
      </c>
      <c r="D2327" s="4">
        <v>2.33</v>
      </c>
      <c r="E2327" s="4">
        <v>0</v>
      </c>
      <c r="F2327" s="4">
        <v>0</v>
      </c>
      <c r="G2327" s="4">
        <v>0</v>
      </c>
      <c r="H2327" s="5">
        <f t="shared" si="36"/>
        <v>-2.9166666666666601E-2</v>
      </c>
    </row>
    <row r="2328" spans="1:8" ht="13.5" x14ac:dyDescent="0.25">
      <c r="A2328" s="1"/>
      <c r="B2328" s="3">
        <v>45688</v>
      </c>
      <c r="C2328" s="4">
        <v>2.2999999999999998</v>
      </c>
      <c r="D2328" s="4">
        <v>2.2999999999999998</v>
      </c>
      <c r="E2328" s="4">
        <v>11019</v>
      </c>
      <c r="F2328" s="4">
        <v>2.2999999999999998</v>
      </c>
      <c r="G2328" s="4">
        <v>25343.7</v>
      </c>
      <c r="H2328" s="5">
        <f t="shared" si="36"/>
        <v>-1.2875536480686801E-2</v>
      </c>
    </row>
    <row r="2329" spans="1:8" ht="13.5" x14ac:dyDescent="0.25">
      <c r="A2329" s="1"/>
      <c r="B2329" s="3">
        <v>45691</v>
      </c>
      <c r="C2329" s="4">
        <v>2.2999999999999998</v>
      </c>
      <c r="D2329" s="4">
        <v>2.2999999999999998</v>
      </c>
      <c r="E2329" s="4">
        <v>8000</v>
      </c>
      <c r="F2329" s="4">
        <v>2.2999999999999998</v>
      </c>
      <c r="G2329" s="4">
        <v>18400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2.36</v>
      </c>
      <c r="D2330" s="4">
        <v>2.36</v>
      </c>
      <c r="E2330" s="4">
        <v>0</v>
      </c>
      <c r="F2330" s="4">
        <v>0</v>
      </c>
      <c r="G2330" s="4">
        <v>0</v>
      </c>
      <c r="H2330" s="5">
        <f t="shared" si="36"/>
        <v>2.6086956521739157E-2</v>
      </c>
    </row>
    <row r="2331" spans="1:8" ht="13.5" x14ac:dyDescent="0.25">
      <c r="A2331" s="1"/>
      <c r="B2331" s="3">
        <v>45693</v>
      </c>
      <c r="C2331" s="4">
        <v>2.4300000000000002</v>
      </c>
      <c r="D2331" s="4">
        <v>2.4300000000000002</v>
      </c>
      <c r="E2331" s="4">
        <v>6843</v>
      </c>
      <c r="F2331" s="4">
        <v>2.4300000000000002</v>
      </c>
      <c r="G2331" s="4">
        <v>16628.490000000002</v>
      </c>
      <c r="H2331" s="5">
        <f t="shared" si="36"/>
        <v>2.9661016949152665E-2</v>
      </c>
    </row>
    <row r="2332" spans="1:8" ht="13.5" x14ac:dyDescent="0.25">
      <c r="A2332" s="1"/>
      <c r="B2332" s="3">
        <v>45694</v>
      </c>
      <c r="C2332" s="4">
        <v>2.4300000000000002</v>
      </c>
      <c r="D2332" s="4">
        <v>2.4300000000000002</v>
      </c>
      <c r="E2332" s="4">
        <v>3000</v>
      </c>
      <c r="F2332" s="4">
        <v>2.4300000000000002</v>
      </c>
      <c r="G2332" s="4">
        <v>7290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2.4</v>
      </c>
      <c r="D2333" s="4">
        <v>2.4</v>
      </c>
      <c r="E2333" s="4">
        <v>10960</v>
      </c>
      <c r="F2333" s="4">
        <v>2.4</v>
      </c>
      <c r="G2333" s="4">
        <v>26304</v>
      </c>
      <c r="H2333" s="5">
        <f t="shared" si="36"/>
        <v>-1.2345679012345781E-2</v>
      </c>
    </row>
    <row r="2334" spans="1:8" ht="13.5" x14ac:dyDescent="0.25">
      <c r="A2334" s="1"/>
      <c r="B2334" s="3">
        <v>45698</v>
      </c>
      <c r="C2334" s="4">
        <v>2.4300000000000002</v>
      </c>
      <c r="D2334" s="4">
        <v>2.4300000000000002</v>
      </c>
      <c r="E2334" s="4">
        <v>21874</v>
      </c>
      <c r="F2334" s="4">
        <v>2.4300000000000002</v>
      </c>
      <c r="G2334" s="4">
        <v>53153.82</v>
      </c>
      <c r="H2334" s="5">
        <f t="shared" si="36"/>
        <v>1.2500000000000105E-2</v>
      </c>
    </row>
    <row r="2335" spans="1:8" ht="13.5" x14ac:dyDescent="0.25">
      <c r="A2335" s="1"/>
      <c r="B2335" s="3">
        <v>45699</v>
      </c>
      <c r="C2335" s="4">
        <v>2.4700000000000002</v>
      </c>
      <c r="D2335" s="4">
        <v>2.4700000000000002</v>
      </c>
      <c r="E2335" s="4">
        <v>4722</v>
      </c>
      <c r="F2335" s="4">
        <v>2.4700000000000002</v>
      </c>
      <c r="G2335" s="4">
        <v>11663.34</v>
      </c>
      <c r="H2335" s="5">
        <f t="shared" si="36"/>
        <v>1.646090534979425E-2</v>
      </c>
    </row>
    <row r="2336" spans="1:8" ht="13.5" x14ac:dyDescent="0.25">
      <c r="A2336" s="1"/>
      <c r="B2336" s="3">
        <v>45700</v>
      </c>
      <c r="C2336" s="4">
        <v>2.4300000000000002</v>
      </c>
      <c r="D2336" s="4">
        <v>2.4300000000000002</v>
      </c>
      <c r="E2336" s="4">
        <v>19311</v>
      </c>
      <c r="F2336" s="4">
        <v>2.4300000000000002</v>
      </c>
      <c r="G2336" s="4">
        <v>46925.73</v>
      </c>
      <c r="H2336" s="5">
        <f t="shared" si="36"/>
        <v>-1.6194331983805682E-2</v>
      </c>
    </row>
    <row r="2337" spans="1:8" ht="13.5" x14ac:dyDescent="0.25">
      <c r="A2337" s="1"/>
      <c r="B2337" s="3">
        <v>45701</v>
      </c>
      <c r="C2337" s="4">
        <v>2.4</v>
      </c>
      <c r="D2337" s="4">
        <v>2.4</v>
      </c>
      <c r="E2337" s="4">
        <v>320</v>
      </c>
      <c r="F2337" s="4">
        <v>2.4</v>
      </c>
      <c r="G2337" s="4">
        <v>768</v>
      </c>
      <c r="H2337" s="5">
        <f t="shared" si="36"/>
        <v>-1.2345679012345781E-2</v>
      </c>
    </row>
    <row r="2338" spans="1:8" ht="13.5" x14ac:dyDescent="0.25">
      <c r="A2338" s="1"/>
      <c r="B2338" s="3">
        <v>45702</v>
      </c>
      <c r="C2338" s="4">
        <v>2.36</v>
      </c>
      <c r="D2338" s="4">
        <v>2.36</v>
      </c>
      <c r="E2338" s="4">
        <v>7994</v>
      </c>
      <c r="F2338" s="4">
        <v>2.36</v>
      </c>
      <c r="G2338" s="4">
        <v>18865.84</v>
      </c>
      <c r="H2338" s="5">
        <f t="shared" si="36"/>
        <v>-1.6666666666666684E-2</v>
      </c>
    </row>
    <row r="2339" spans="1:8" ht="13.5" x14ac:dyDescent="0.25">
      <c r="A2339" s="1"/>
      <c r="B2339" s="3">
        <v>45705</v>
      </c>
      <c r="C2339" s="4">
        <v>2.34</v>
      </c>
      <c r="D2339" s="4">
        <v>2.34</v>
      </c>
      <c r="E2339" s="4">
        <v>2710</v>
      </c>
      <c r="F2339" s="4">
        <v>2.34</v>
      </c>
      <c r="G2339" s="4">
        <v>6341.4</v>
      </c>
      <c r="H2339" s="5">
        <f t="shared" si="36"/>
        <v>-8.4745762711864493E-3</v>
      </c>
    </row>
    <row r="2340" spans="1:8" ht="13.5" x14ac:dyDescent="0.25">
      <c r="A2340" s="1"/>
      <c r="B2340" s="3">
        <v>45706</v>
      </c>
      <c r="C2340" s="4">
        <v>2.2799999999999998</v>
      </c>
      <c r="D2340" s="4">
        <v>2.2799999999999998</v>
      </c>
      <c r="E2340" s="4">
        <v>13836</v>
      </c>
      <c r="F2340" s="4">
        <v>2.2799999999999998</v>
      </c>
      <c r="G2340" s="4">
        <v>31546.080000000002</v>
      </c>
      <c r="H2340" s="5">
        <f t="shared" si="36"/>
        <v>-2.5641025641025664E-2</v>
      </c>
    </row>
    <row r="2341" spans="1:8" ht="13.5" x14ac:dyDescent="0.25">
      <c r="A2341" s="1"/>
      <c r="B2341" s="3">
        <v>45707</v>
      </c>
      <c r="C2341" s="4">
        <v>2.3199999999999998</v>
      </c>
      <c r="D2341" s="4">
        <v>2.3199999999999998</v>
      </c>
      <c r="E2341" s="4">
        <v>2905</v>
      </c>
      <c r="F2341" s="4">
        <v>2.3199999999999998</v>
      </c>
      <c r="G2341" s="4">
        <v>6739.6</v>
      </c>
      <c r="H2341" s="5">
        <f t="shared" si="36"/>
        <v>1.7543859649122823E-2</v>
      </c>
    </row>
    <row r="2342" spans="1:8" ht="13.5" x14ac:dyDescent="0.25">
      <c r="A2342" s="1"/>
      <c r="B2342" s="3">
        <v>45708</v>
      </c>
      <c r="C2342" s="4">
        <v>2.31</v>
      </c>
      <c r="D2342" s="4">
        <v>2.31</v>
      </c>
      <c r="E2342" s="4">
        <v>10050</v>
      </c>
      <c r="F2342" s="4">
        <v>2.31</v>
      </c>
      <c r="G2342" s="4">
        <v>23215.5</v>
      </c>
      <c r="H2342" s="5">
        <f t="shared" si="36"/>
        <v>-4.3103448275861149E-3</v>
      </c>
    </row>
    <row r="2343" spans="1:8" ht="13.5" x14ac:dyDescent="0.25">
      <c r="A2343" s="1"/>
      <c r="B2343" s="3">
        <v>45709</v>
      </c>
      <c r="C2343" s="4">
        <v>2.2999999999999998</v>
      </c>
      <c r="D2343" s="4">
        <v>2.2999999999999998</v>
      </c>
      <c r="E2343" s="4">
        <v>1235</v>
      </c>
      <c r="F2343" s="4">
        <v>2.2999999999999998</v>
      </c>
      <c r="G2343" s="4">
        <v>2840.5</v>
      </c>
      <c r="H2343" s="5">
        <f t="shared" si="36"/>
        <v>-4.3290043290044287E-3</v>
      </c>
    </row>
    <row r="2344" spans="1:8" ht="13.5" x14ac:dyDescent="0.25">
      <c r="A2344" s="1"/>
      <c r="B2344" s="3">
        <v>45712</v>
      </c>
      <c r="C2344" s="4">
        <v>2.2400000000000002</v>
      </c>
      <c r="D2344" s="4">
        <v>2.2400000000000002</v>
      </c>
      <c r="E2344" s="4">
        <v>9801</v>
      </c>
      <c r="F2344" s="4">
        <v>2.2400000000000002</v>
      </c>
      <c r="G2344" s="4">
        <v>21954.240000000002</v>
      </c>
      <c r="H2344" s="5">
        <f t="shared" si="36"/>
        <v>-2.6086956521738962E-2</v>
      </c>
    </row>
    <row r="2345" spans="1:8" ht="13.5" x14ac:dyDescent="0.25">
      <c r="A2345" s="1"/>
      <c r="B2345" s="3">
        <v>45713</v>
      </c>
      <c r="C2345" s="4">
        <v>2.2400000000000002</v>
      </c>
      <c r="D2345" s="4">
        <v>2.2400000000000002</v>
      </c>
      <c r="E2345" s="4">
        <v>13253</v>
      </c>
      <c r="F2345" s="4">
        <v>2.2400000000000002</v>
      </c>
      <c r="G2345" s="4">
        <v>29686.720000000001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2.2599999999999998</v>
      </c>
      <c r="D2346" s="4">
        <v>2.2599999999999998</v>
      </c>
      <c r="E2346" s="4">
        <v>9680</v>
      </c>
      <c r="F2346" s="4">
        <v>2.2599999999999998</v>
      </c>
      <c r="G2346" s="4">
        <v>21876.799999999999</v>
      </c>
      <c r="H2346" s="5">
        <f t="shared" si="36"/>
        <v>8.9285714285712373E-3</v>
      </c>
    </row>
    <row r="2347" spans="1:8" ht="13.5" x14ac:dyDescent="0.25">
      <c r="A2347" s="1"/>
      <c r="B2347" s="3">
        <v>45715</v>
      </c>
      <c r="C2347" s="4">
        <v>2.2000000000000002</v>
      </c>
      <c r="D2347" s="4">
        <v>2.2000000000000002</v>
      </c>
      <c r="E2347" s="4">
        <v>16150</v>
      </c>
      <c r="F2347" s="4">
        <v>2.2000000000000002</v>
      </c>
      <c r="G2347" s="4">
        <v>35530</v>
      </c>
      <c r="H2347" s="5">
        <f t="shared" si="36"/>
        <v>-2.6548672566371511E-2</v>
      </c>
    </row>
    <row r="2348" spans="1:8" ht="13.5" x14ac:dyDescent="0.25">
      <c r="A2348" s="1"/>
      <c r="B2348" s="3">
        <v>45716</v>
      </c>
      <c r="C2348" s="4">
        <v>2.14</v>
      </c>
      <c r="D2348" s="4">
        <v>2.14</v>
      </c>
      <c r="E2348" s="4">
        <v>0</v>
      </c>
      <c r="F2348" s="4">
        <v>0</v>
      </c>
      <c r="G2348" s="4">
        <v>0</v>
      </c>
      <c r="H2348" s="5">
        <f t="shared" si="36"/>
        <v>-2.7272727272727296E-2</v>
      </c>
    </row>
    <row r="2349" spans="1:8" ht="13.5" x14ac:dyDescent="0.25">
      <c r="A2349" s="1"/>
      <c r="B2349" s="3">
        <v>45719</v>
      </c>
      <c r="C2349" s="4">
        <v>2.16</v>
      </c>
      <c r="D2349" s="4">
        <v>2.16</v>
      </c>
      <c r="E2349" s="4">
        <v>6801</v>
      </c>
      <c r="F2349" s="4">
        <v>2.16</v>
      </c>
      <c r="G2349" s="4">
        <v>14690.16</v>
      </c>
      <c r="H2349" s="5">
        <f t="shared" si="36"/>
        <v>9.3457943925233725E-3</v>
      </c>
    </row>
    <row r="2350" spans="1:8" ht="13.5" x14ac:dyDescent="0.25">
      <c r="A2350" s="1"/>
      <c r="B2350" s="3">
        <v>45720</v>
      </c>
      <c r="C2350" s="4">
        <v>2.19</v>
      </c>
      <c r="D2350" s="4">
        <v>2.19</v>
      </c>
      <c r="E2350" s="4">
        <v>2650</v>
      </c>
      <c r="F2350" s="4">
        <v>2.19</v>
      </c>
      <c r="G2350" s="4">
        <v>5803.5</v>
      </c>
      <c r="H2350" s="5">
        <f t="shared" si="36"/>
        <v>1.3888888888888798E-2</v>
      </c>
    </row>
    <row r="2351" spans="1:8" ht="13.5" x14ac:dyDescent="0.25">
      <c r="A2351" s="1"/>
      <c r="B2351" s="3">
        <v>45721</v>
      </c>
      <c r="C2351" s="4">
        <v>2.14</v>
      </c>
      <c r="D2351" s="4">
        <v>2.14</v>
      </c>
      <c r="E2351" s="4">
        <v>605</v>
      </c>
      <c r="F2351" s="4">
        <v>2.14</v>
      </c>
      <c r="G2351" s="4">
        <v>1294.7</v>
      </c>
      <c r="H2351" s="5">
        <f t="shared" si="36"/>
        <v>-2.2831050228310421E-2</v>
      </c>
    </row>
    <row r="2352" spans="1:8" ht="13.5" x14ac:dyDescent="0.25">
      <c r="A2352" s="1"/>
      <c r="B2352" s="3">
        <v>45722</v>
      </c>
      <c r="C2352" s="4">
        <v>2.14</v>
      </c>
      <c r="D2352" s="4">
        <v>2.14</v>
      </c>
      <c r="E2352" s="4">
        <v>3391</v>
      </c>
      <c r="F2352" s="4">
        <v>2.14</v>
      </c>
      <c r="G2352" s="4">
        <v>7256.74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2.2000000000000002</v>
      </c>
      <c r="D2353" s="4">
        <v>2.2000000000000002</v>
      </c>
      <c r="E2353" s="4">
        <v>0</v>
      </c>
      <c r="F2353" s="4">
        <v>0</v>
      </c>
      <c r="G2353" s="4">
        <v>0</v>
      </c>
      <c r="H2353" s="5">
        <f t="shared" si="36"/>
        <v>2.8037383177570117E-2</v>
      </c>
    </row>
    <row r="2354" spans="1:8" ht="13.5" x14ac:dyDescent="0.25">
      <c r="A2354" s="1"/>
      <c r="B2354" s="3">
        <v>45726</v>
      </c>
      <c r="C2354" s="4">
        <v>2.15</v>
      </c>
      <c r="D2354" s="4">
        <v>2.15</v>
      </c>
      <c r="E2354" s="4">
        <v>4750</v>
      </c>
      <c r="F2354" s="4">
        <v>2.15</v>
      </c>
      <c r="G2354" s="4">
        <v>10212.5</v>
      </c>
      <c r="H2354" s="5">
        <f t="shared" si="36"/>
        <v>-2.2727272727272846E-2</v>
      </c>
    </row>
    <row r="2355" spans="1:8" ht="13.5" x14ac:dyDescent="0.25">
      <c r="A2355" s="1"/>
      <c r="B2355" s="3">
        <v>45727</v>
      </c>
      <c r="C2355" s="4">
        <v>2.15</v>
      </c>
      <c r="D2355" s="4">
        <v>2.15</v>
      </c>
      <c r="E2355" s="4">
        <v>13105</v>
      </c>
      <c r="F2355" s="4">
        <v>2.15</v>
      </c>
      <c r="G2355" s="4">
        <v>28175.75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2.1800000000000002</v>
      </c>
      <c r="D2356" s="4">
        <v>2.1800000000000002</v>
      </c>
      <c r="E2356" s="4">
        <v>5400</v>
      </c>
      <c r="F2356" s="4">
        <v>2.1800000000000002</v>
      </c>
      <c r="G2356" s="4">
        <v>11772</v>
      </c>
      <c r="H2356" s="5">
        <f t="shared" si="36"/>
        <v>1.3953488372093139E-2</v>
      </c>
    </row>
    <row r="2357" spans="1:8" ht="13.5" x14ac:dyDescent="0.25">
      <c r="A2357" s="1"/>
      <c r="B2357" s="3">
        <v>45729</v>
      </c>
      <c r="C2357" s="4">
        <v>2.19</v>
      </c>
      <c r="D2357" s="4">
        <v>2.19</v>
      </c>
      <c r="E2357" s="4">
        <v>5900</v>
      </c>
      <c r="F2357" s="4">
        <v>2.19</v>
      </c>
      <c r="G2357" s="4">
        <v>12921</v>
      </c>
      <c r="H2357" s="5">
        <f t="shared" si="36"/>
        <v>4.5871559633026545E-3</v>
      </c>
    </row>
    <row r="2358" spans="1:8" ht="13.5" x14ac:dyDescent="0.25">
      <c r="A2358" s="1"/>
      <c r="B2358" s="3">
        <v>45730</v>
      </c>
      <c r="C2358" s="4">
        <v>2.21</v>
      </c>
      <c r="D2358" s="4">
        <v>2.21</v>
      </c>
      <c r="E2358" s="4">
        <v>26556</v>
      </c>
      <c r="F2358" s="4">
        <v>2.21</v>
      </c>
      <c r="G2358" s="4">
        <v>58688.76</v>
      </c>
      <c r="H2358" s="5">
        <f t="shared" si="36"/>
        <v>9.1324200913242091E-3</v>
      </c>
    </row>
    <row r="2359" spans="1:8" ht="13.5" x14ac:dyDescent="0.25">
      <c r="A2359" s="1"/>
      <c r="B2359" s="3">
        <v>45733</v>
      </c>
      <c r="C2359" s="4">
        <v>2.27</v>
      </c>
      <c r="D2359" s="4">
        <v>2.27</v>
      </c>
      <c r="E2359" s="4">
        <v>0</v>
      </c>
      <c r="F2359" s="4">
        <v>0</v>
      </c>
      <c r="G2359" s="4">
        <v>0</v>
      </c>
      <c r="H2359" s="5">
        <f t="shared" si="36"/>
        <v>2.7149321266968351E-2</v>
      </c>
    </row>
    <row r="2360" spans="1:8" ht="13.5" x14ac:dyDescent="0.25">
      <c r="A2360" s="1"/>
      <c r="B2360" s="3">
        <v>45734</v>
      </c>
      <c r="C2360" s="4">
        <v>2.33</v>
      </c>
      <c r="D2360" s="4">
        <v>2.33</v>
      </c>
      <c r="E2360" s="4">
        <v>0</v>
      </c>
      <c r="F2360" s="4">
        <v>0</v>
      </c>
      <c r="G2360" s="4">
        <v>0</v>
      </c>
      <c r="H2360" s="5">
        <f t="shared" si="36"/>
        <v>2.6431718061674034E-2</v>
      </c>
    </row>
    <row r="2361" spans="1:8" ht="13.5" x14ac:dyDescent="0.25">
      <c r="A2361" s="1"/>
      <c r="B2361" s="3">
        <v>45735</v>
      </c>
      <c r="C2361" s="4">
        <v>2.2999999999999998</v>
      </c>
      <c r="D2361" s="4">
        <v>2.2999999999999998</v>
      </c>
      <c r="E2361" s="4">
        <v>6540</v>
      </c>
      <c r="F2361" s="4">
        <v>2.2999999999999998</v>
      </c>
      <c r="G2361" s="4">
        <v>15042</v>
      </c>
      <c r="H2361" s="5">
        <f t="shared" si="36"/>
        <v>-1.2875536480686801E-2</v>
      </c>
    </row>
    <row r="2362" spans="1:8" ht="13.5" x14ac:dyDescent="0.25">
      <c r="A2362" s="1"/>
      <c r="B2362" s="3">
        <v>45737</v>
      </c>
      <c r="C2362" s="4">
        <v>2.3199999999999998</v>
      </c>
      <c r="D2362" s="4">
        <v>2.3199999999999998</v>
      </c>
      <c r="E2362" s="4">
        <v>1795</v>
      </c>
      <c r="F2362" s="4">
        <v>2.3199999999999998</v>
      </c>
      <c r="G2362" s="4">
        <v>4164.3999999999996</v>
      </c>
      <c r="H2362" s="5">
        <f t="shared" si="36"/>
        <v>8.6956521739130523E-3</v>
      </c>
    </row>
    <row r="2363" spans="1:8" ht="13.5" x14ac:dyDescent="0.25">
      <c r="A2363" s="1"/>
      <c r="B2363" s="3">
        <v>45740</v>
      </c>
      <c r="C2363" s="4">
        <v>2.38</v>
      </c>
      <c r="D2363" s="4">
        <v>2.38</v>
      </c>
      <c r="E2363" s="4">
        <v>25850</v>
      </c>
      <c r="F2363" s="4">
        <v>2.38</v>
      </c>
      <c r="G2363" s="4">
        <v>61523</v>
      </c>
      <c r="H2363" s="5">
        <f t="shared" si="36"/>
        <v>2.5862068965517265E-2</v>
      </c>
    </row>
    <row r="2364" spans="1:8" ht="13.5" x14ac:dyDescent="0.25">
      <c r="A2364" s="1"/>
      <c r="B2364" s="3">
        <v>45741</v>
      </c>
      <c r="C2364" s="4">
        <v>2.3199999999999998</v>
      </c>
      <c r="D2364" s="4">
        <v>2.3199999999999998</v>
      </c>
      <c r="E2364" s="4">
        <v>7000</v>
      </c>
      <c r="F2364" s="4">
        <v>2.3199999999999998</v>
      </c>
      <c r="G2364" s="4">
        <v>16240</v>
      </c>
      <c r="H2364" s="5">
        <f t="shared" si="36"/>
        <v>-2.521008403361347E-2</v>
      </c>
    </row>
    <row r="2365" spans="1:8" ht="13.5" x14ac:dyDescent="0.25">
      <c r="A2365" s="1"/>
      <c r="B2365" s="3">
        <v>45742</v>
      </c>
      <c r="C2365" s="4">
        <v>2.37</v>
      </c>
      <c r="D2365" s="4">
        <v>2.37</v>
      </c>
      <c r="E2365" s="4">
        <v>10470</v>
      </c>
      <c r="F2365" s="4">
        <v>2.37</v>
      </c>
      <c r="G2365" s="4">
        <v>24813.9</v>
      </c>
      <c r="H2365" s="5">
        <f t="shared" si="36"/>
        <v>2.155172413793115E-2</v>
      </c>
    </row>
    <row r="2366" spans="1:8" ht="13.5" x14ac:dyDescent="0.25">
      <c r="A2366" s="1"/>
      <c r="B2366" s="3">
        <v>45743</v>
      </c>
      <c r="C2366" s="4">
        <v>2.37</v>
      </c>
      <c r="D2366" s="4">
        <v>2.37</v>
      </c>
      <c r="E2366" s="4">
        <v>6091</v>
      </c>
      <c r="F2366" s="4">
        <v>2.37</v>
      </c>
      <c r="G2366" s="4">
        <v>14435.67</v>
      </c>
      <c r="H2366" s="5">
        <f t="shared" si="36"/>
        <v>0</v>
      </c>
    </row>
    <row r="2367" spans="1:8" ht="13.5" x14ac:dyDescent="0.25">
      <c r="A2367" s="1"/>
      <c r="B2367" s="3">
        <v>45744</v>
      </c>
      <c r="C2367" s="4">
        <v>2.4</v>
      </c>
      <c r="D2367" s="4">
        <v>2.4</v>
      </c>
      <c r="E2367" s="4">
        <v>19462</v>
      </c>
      <c r="F2367" s="4">
        <v>2.4</v>
      </c>
      <c r="G2367" s="4">
        <v>46708.800000000003</v>
      </c>
      <c r="H2367" s="5">
        <f t="shared" si="36"/>
        <v>1.2658227848101182E-2</v>
      </c>
    </row>
    <row r="2368" spans="1:8" ht="13.5" x14ac:dyDescent="0.25">
      <c r="A2368" s="1"/>
      <c r="B2368" s="3">
        <v>45749</v>
      </c>
      <c r="C2368" s="4">
        <v>2.41</v>
      </c>
      <c r="D2368" s="4">
        <v>2.41</v>
      </c>
      <c r="E2368" s="4">
        <v>45114</v>
      </c>
      <c r="F2368" s="4">
        <v>2.41</v>
      </c>
      <c r="G2368" s="4">
        <v>108724.74</v>
      </c>
      <c r="H2368" s="5">
        <f t="shared" si="36"/>
        <v>4.1666666666667629E-3</v>
      </c>
    </row>
    <row r="2369" spans="1:8" ht="13.5" x14ac:dyDescent="0.25">
      <c r="A2369" s="1"/>
      <c r="B2369" s="3">
        <v>45750</v>
      </c>
      <c r="C2369" s="4">
        <v>2.46</v>
      </c>
      <c r="D2369" s="4">
        <v>2.46</v>
      </c>
      <c r="E2369" s="4">
        <v>19294</v>
      </c>
      <c r="F2369" s="4">
        <v>2.46</v>
      </c>
      <c r="G2369" s="4">
        <v>47463.24</v>
      </c>
      <c r="H2369" s="5">
        <f t="shared" si="36"/>
        <v>2.0746887966804906E-2</v>
      </c>
    </row>
    <row r="2370" spans="1:8" ht="13.5" x14ac:dyDescent="0.25">
      <c r="A2370" s="1"/>
      <c r="B2370" s="3">
        <v>45751</v>
      </c>
      <c r="C2370" s="4">
        <v>2.4700000000000002</v>
      </c>
      <c r="D2370" s="4">
        <v>2.4700000000000002</v>
      </c>
      <c r="E2370" s="4">
        <v>13833</v>
      </c>
      <c r="F2370" s="4">
        <v>2.4700000000000002</v>
      </c>
      <c r="G2370" s="4">
        <v>34167.51</v>
      </c>
      <c r="H2370" s="5">
        <f t="shared" si="36"/>
        <v>4.0650406504065982E-3</v>
      </c>
    </row>
    <row r="2371" spans="1:8" ht="13.5" x14ac:dyDescent="0.25">
      <c r="A2371" s="1"/>
      <c r="B2371" s="3">
        <v>45754</v>
      </c>
      <c r="C2371" s="4">
        <v>2.54</v>
      </c>
      <c r="D2371" s="4">
        <v>2.54</v>
      </c>
      <c r="E2371" s="4">
        <v>48481</v>
      </c>
      <c r="F2371" s="4">
        <v>2.54</v>
      </c>
      <c r="G2371" s="4">
        <v>123141.74</v>
      </c>
      <c r="H2371" s="5">
        <f t="shared" si="36"/>
        <v>2.8340080971659853E-2</v>
      </c>
    </row>
    <row r="2372" spans="1:8" ht="13.5" x14ac:dyDescent="0.25">
      <c r="A2372" s="1"/>
      <c r="B2372" s="3">
        <v>45755</v>
      </c>
      <c r="C2372" s="4">
        <v>2.6</v>
      </c>
      <c r="D2372" s="4">
        <v>2.6</v>
      </c>
      <c r="E2372" s="4">
        <v>45565</v>
      </c>
      <c r="F2372" s="4">
        <v>2.6</v>
      </c>
      <c r="G2372" s="4">
        <v>118469</v>
      </c>
      <c r="H2372" s="5">
        <f t="shared" si="36"/>
        <v>2.3622047244094509E-2</v>
      </c>
    </row>
    <row r="2373" spans="1:8" ht="13.5" x14ac:dyDescent="0.25">
      <c r="A2373" s="1"/>
      <c r="B2373" s="3">
        <v>45757</v>
      </c>
      <c r="C2373" s="4">
        <v>2.67</v>
      </c>
      <c r="D2373" s="4">
        <v>2.67</v>
      </c>
      <c r="E2373" s="4">
        <v>0</v>
      </c>
      <c r="F2373" s="4">
        <v>0</v>
      </c>
      <c r="G2373" s="4">
        <v>0</v>
      </c>
      <c r="H2373" s="5">
        <f t="shared" si="36"/>
        <v>2.6923076923076862E-2</v>
      </c>
    </row>
    <row r="2374" spans="1:8" ht="13.5" x14ac:dyDescent="0.25">
      <c r="A2374" s="1"/>
      <c r="B2374" s="3">
        <v>45758</v>
      </c>
      <c r="C2374" s="4">
        <v>2.75</v>
      </c>
      <c r="D2374" s="4">
        <v>2.75</v>
      </c>
      <c r="E2374" s="4">
        <v>63598</v>
      </c>
      <c r="F2374" s="4">
        <v>2.75</v>
      </c>
      <c r="G2374" s="4">
        <v>174894.5</v>
      </c>
      <c r="H2374" s="5">
        <f t="shared" si="36"/>
        <v>2.9962546816479429E-2</v>
      </c>
    </row>
    <row r="2375" spans="1:8" ht="13.5" x14ac:dyDescent="0.25">
      <c r="A2375" s="1"/>
      <c r="B2375" s="3">
        <v>45761</v>
      </c>
      <c r="C2375" s="4">
        <v>2.83</v>
      </c>
      <c r="D2375" s="4">
        <v>2.83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2.9090909090909115E-2</v>
      </c>
    </row>
    <row r="2376" spans="1:8" ht="13.5" x14ac:dyDescent="0.25">
      <c r="A2376" s="1"/>
      <c r="B2376" s="3">
        <v>45762</v>
      </c>
      <c r="C2376" s="4">
        <v>2.91</v>
      </c>
      <c r="D2376" s="4">
        <v>2.91</v>
      </c>
      <c r="E2376" s="4">
        <v>189774</v>
      </c>
      <c r="F2376" s="4">
        <v>2.91</v>
      </c>
      <c r="G2376" s="4">
        <v>552242.34</v>
      </c>
      <c r="H2376" s="5">
        <f t="shared" si="37"/>
        <v>2.8268551236749141E-2</v>
      </c>
    </row>
    <row r="2377" spans="1:8" ht="13.5" x14ac:dyDescent="0.25">
      <c r="A2377" s="1"/>
      <c r="B2377" s="3">
        <v>45763</v>
      </c>
      <c r="C2377" s="4">
        <v>2.99</v>
      </c>
      <c r="D2377" s="4">
        <v>2.99</v>
      </c>
      <c r="E2377" s="4">
        <v>0</v>
      </c>
      <c r="F2377" s="4">
        <v>0</v>
      </c>
      <c r="G2377" s="4">
        <v>0</v>
      </c>
      <c r="H2377" s="5">
        <f t="shared" si="37"/>
        <v>2.7491408934707928E-2</v>
      </c>
    </row>
    <row r="2378" spans="1:8" ht="13.5" x14ac:dyDescent="0.25">
      <c r="A2378" s="1"/>
      <c r="B2378" s="3">
        <v>45764</v>
      </c>
      <c r="C2378" s="4">
        <v>3.07</v>
      </c>
      <c r="D2378" s="4">
        <v>3.07</v>
      </c>
      <c r="E2378" s="4">
        <v>0</v>
      </c>
      <c r="F2378" s="4">
        <v>0</v>
      </c>
      <c r="G2378" s="4">
        <v>0</v>
      </c>
      <c r="H2378" s="5">
        <f t="shared" si="37"/>
        <v>2.6755852842809239E-2</v>
      </c>
    </row>
    <row r="2379" spans="1:8" ht="13.5" x14ac:dyDescent="0.25">
      <c r="A2379" s="1"/>
      <c r="B2379" s="3">
        <v>45765</v>
      </c>
      <c r="C2379" s="4">
        <v>2.98</v>
      </c>
      <c r="D2379" s="4">
        <v>2.98</v>
      </c>
      <c r="E2379" s="4">
        <v>0</v>
      </c>
      <c r="F2379" s="4">
        <v>0</v>
      </c>
      <c r="G2379" s="4">
        <v>0</v>
      </c>
      <c r="H2379" s="5">
        <f t="shared" si="37"/>
        <v>-2.9315960912052071E-2</v>
      </c>
    </row>
    <row r="2380" spans="1:8" ht="13.5" x14ac:dyDescent="0.25">
      <c r="A2380" s="1"/>
      <c r="B2380" s="3">
        <v>45768</v>
      </c>
      <c r="C2380" s="4">
        <v>2.9</v>
      </c>
      <c r="D2380" s="4">
        <v>2.9</v>
      </c>
      <c r="E2380" s="4">
        <v>0</v>
      </c>
      <c r="F2380" s="4">
        <v>0</v>
      </c>
      <c r="G2380" s="4">
        <v>0</v>
      </c>
      <c r="H2380" s="5">
        <f t="shared" si="37"/>
        <v>-2.6845637583892641E-2</v>
      </c>
    </row>
    <row r="2381" spans="1:8" ht="13.5" x14ac:dyDescent="0.25">
      <c r="A2381" s="1"/>
      <c r="B2381" s="3">
        <v>45769</v>
      </c>
      <c r="C2381" s="4">
        <v>2.82</v>
      </c>
      <c r="D2381" s="4">
        <v>2.82</v>
      </c>
      <c r="E2381" s="4">
        <v>0</v>
      </c>
      <c r="F2381" s="4">
        <v>0</v>
      </c>
      <c r="G2381" s="4">
        <v>0</v>
      </c>
      <c r="H2381" s="5">
        <f t="shared" si="37"/>
        <v>-2.7586206896551748E-2</v>
      </c>
    </row>
    <row r="2382" spans="1:8" ht="13.5" x14ac:dyDescent="0.25">
      <c r="A2382" s="1"/>
      <c r="B2382" s="3">
        <v>45770</v>
      </c>
      <c r="C2382" s="4">
        <v>2.9</v>
      </c>
      <c r="D2382" s="4">
        <v>2.9</v>
      </c>
      <c r="E2382" s="4">
        <v>0</v>
      </c>
      <c r="F2382" s="4">
        <v>0</v>
      </c>
      <c r="G2382" s="4">
        <v>0</v>
      </c>
      <c r="H2382" s="5">
        <f t="shared" si="37"/>
        <v>2.8368794326241162E-2</v>
      </c>
    </row>
    <row r="2383" spans="1:8" ht="13.5" x14ac:dyDescent="0.25">
      <c r="A2383" s="1"/>
      <c r="B2383" s="3">
        <v>45771</v>
      </c>
      <c r="C2383" s="4">
        <v>2.88</v>
      </c>
      <c r="D2383" s="4">
        <v>2.88</v>
      </c>
      <c r="E2383" s="4">
        <v>88906</v>
      </c>
      <c r="F2383" s="4">
        <v>2.88</v>
      </c>
      <c r="G2383" s="4">
        <v>256049.28</v>
      </c>
      <c r="H2383" s="5">
        <f t="shared" si="37"/>
        <v>-6.896551724137937E-3</v>
      </c>
    </row>
    <row r="2384" spans="1:8" ht="13.5" x14ac:dyDescent="0.25">
      <c r="A2384" s="1"/>
      <c r="B2384" s="3">
        <v>45772</v>
      </c>
      <c r="C2384" s="4">
        <v>2.96</v>
      </c>
      <c r="D2384" s="4">
        <v>2.96</v>
      </c>
      <c r="E2384" s="4">
        <v>0</v>
      </c>
      <c r="F2384" s="4">
        <v>0</v>
      </c>
      <c r="G2384" s="4">
        <v>0</v>
      </c>
      <c r="H2384" s="5">
        <f t="shared" si="37"/>
        <v>2.7777777777777804E-2</v>
      </c>
    </row>
    <row r="2385" spans="1:8" ht="13.5" x14ac:dyDescent="0.25">
      <c r="A2385" s="1"/>
      <c r="B2385" s="3">
        <v>45775</v>
      </c>
      <c r="C2385" s="4">
        <v>3.04</v>
      </c>
      <c r="D2385" s="4">
        <v>3.04</v>
      </c>
      <c r="E2385" s="4">
        <v>139660</v>
      </c>
      <c r="F2385" s="4">
        <v>3.04</v>
      </c>
      <c r="G2385" s="4">
        <v>424566.4</v>
      </c>
      <c r="H2385" s="5">
        <f t="shared" si="37"/>
        <v>2.7027027027027053E-2</v>
      </c>
    </row>
    <row r="2386" spans="1:8" ht="13.5" x14ac:dyDescent="0.25">
      <c r="A2386" s="1"/>
      <c r="B2386" s="3">
        <v>45776</v>
      </c>
      <c r="C2386" s="4">
        <v>3.01</v>
      </c>
      <c r="D2386" s="4">
        <v>3.01</v>
      </c>
      <c r="E2386" s="4">
        <v>21517</v>
      </c>
      <c r="F2386" s="4">
        <v>3.01</v>
      </c>
      <c r="G2386" s="4">
        <v>64766.17</v>
      </c>
      <c r="H2386" s="5">
        <f t="shared" si="37"/>
        <v>-9.8684210526316599E-3</v>
      </c>
    </row>
    <row r="2387" spans="1:8" ht="13.5" x14ac:dyDescent="0.25">
      <c r="A2387" s="1"/>
      <c r="B2387" s="3">
        <v>45777</v>
      </c>
      <c r="C2387" s="4">
        <v>3.1</v>
      </c>
      <c r="D2387" s="4">
        <v>3.1</v>
      </c>
      <c r="E2387" s="4">
        <v>13475</v>
      </c>
      <c r="F2387" s="4">
        <v>3.1</v>
      </c>
      <c r="G2387" s="4">
        <v>41772.5</v>
      </c>
      <c r="H2387" s="5">
        <f t="shared" si="37"/>
        <v>2.9900332225913723E-2</v>
      </c>
    </row>
    <row r="2388" spans="1:8" ht="13.5" x14ac:dyDescent="0.25">
      <c r="A2388" s="1"/>
      <c r="B2388" s="3">
        <v>45779</v>
      </c>
      <c r="C2388" s="4">
        <v>3.04</v>
      </c>
      <c r="D2388" s="4">
        <v>3.04</v>
      </c>
      <c r="E2388" s="4">
        <v>4040</v>
      </c>
      <c r="F2388" s="4">
        <v>3.04</v>
      </c>
      <c r="G2388" s="4">
        <v>12281.6</v>
      </c>
      <c r="H2388" s="5">
        <f t="shared" si="37"/>
        <v>-1.9354838709677438E-2</v>
      </c>
    </row>
    <row r="2389" spans="1:8" ht="13.5" x14ac:dyDescent="0.25">
      <c r="A2389" s="1"/>
      <c r="B2389" s="3">
        <v>45782</v>
      </c>
      <c r="C2389" s="4">
        <v>2.95</v>
      </c>
      <c r="D2389" s="4">
        <v>2.95</v>
      </c>
      <c r="E2389" s="4">
        <v>0</v>
      </c>
      <c r="F2389" s="4">
        <v>0</v>
      </c>
      <c r="G2389" s="4">
        <v>0</v>
      </c>
      <c r="H2389" s="5">
        <f t="shared" si="37"/>
        <v>-2.960526315789469E-2</v>
      </c>
    </row>
    <row r="2390" spans="1:8" ht="13.5" x14ac:dyDescent="0.25">
      <c r="A2390" s="1"/>
      <c r="B2390" s="3">
        <v>45783</v>
      </c>
      <c r="C2390" s="4">
        <v>2.9</v>
      </c>
      <c r="D2390" s="4">
        <v>2.9</v>
      </c>
      <c r="E2390" s="4">
        <v>18768</v>
      </c>
      <c r="F2390" s="4">
        <v>2.9</v>
      </c>
      <c r="G2390" s="4">
        <v>54427.199999999997</v>
      </c>
      <c r="H2390" s="5">
        <f t="shared" si="37"/>
        <v>-1.6949152542372972E-2</v>
      </c>
    </row>
    <row r="2391" spans="1:8" ht="13.5" x14ac:dyDescent="0.25">
      <c r="A2391" s="1"/>
      <c r="B2391" s="3">
        <v>45784</v>
      </c>
      <c r="C2391" s="4">
        <v>2.82</v>
      </c>
      <c r="D2391" s="4">
        <v>2.82</v>
      </c>
      <c r="E2391" s="4">
        <v>6693</v>
      </c>
      <c r="F2391" s="4">
        <v>2.82</v>
      </c>
      <c r="G2391" s="4">
        <v>18874.259999999998</v>
      </c>
      <c r="H2391" s="5">
        <f t="shared" si="37"/>
        <v>-2.7586206896551748E-2</v>
      </c>
    </row>
    <row r="2392" spans="1:8" ht="13.5" x14ac:dyDescent="0.25">
      <c r="A2392" s="1"/>
      <c r="B2392" s="3">
        <v>45785</v>
      </c>
      <c r="C2392" s="4">
        <v>2.9</v>
      </c>
      <c r="D2392" s="4">
        <v>2.9</v>
      </c>
      <c r="E2392" s="4">
        <v>21202</v>
      </c>
      <c r="F2392" s="4">
        <v>2.9</v>
      </c>
      <c r="G2392" s="4">
        <v>61485.8</v>
      </c>
      <c r="H2392" s="5">
        <f t="shared" si="37"/>
        <v>2.8368794326241162E-2</v>
      </c>
    </row>
    <row r="2393" spans="1:8" ht="13.5" x14ac:dyDescent="0.25">
      <c r="A2393" s="1"/>
      <c r="B2393" s="3">
        <v>45786</v>
      </c>
      <c r="C2393" s="4">
        <v>2.9</v>
      </c>
      <c r="D2393" s="4">
        <v>2.9</v>
      </c>
      <c r="E2393" s="4">
        <v>2449</v>
      </c>
      <c r="F2393" s="4">
        <v>2.9</v>
      </c>
      <c r="G2393" s="4">
        <v>7102.1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2.82</v>
      </c>
      <c r="D2394" s="4">
        <v>2.82</v>
      </c>
      <c r="E2394" s="4">
        <v>0</v>
      </c>
      <c r="F2394" s="4">
        <v>0</v>
      </c>
      <c r="G2394" s="4">
        <v>0</v>
      </c>
      <c r="H2394" s="5">
        <f t="shared" si="37"/>
        <v>-2.7586206896551748E-2</v>
      </c>
    </row>
    <row r="2395" spans="1:8" ht="13.5" x14ac:dyDescent="0.25">
      <c r="A2395" s="1"/>
      <c r="B2395" s="3">
        <v>45790</v>
      </c>
      <c r="C2395" s="4">
        <v>2.82</v>
      </c>
      <c r="D2395" s="4">
        <v>2.82</v>
      </c>
      <c r="E2395" s="4">
        <v>12283</v>
      </c>
      <c r="F2395" s="4">
        <v>2.82</v>
      </c>
      <c r="G2395" s="4">
        <v>34638.06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2.88</v>
      </c>
      <c r="D2396" s="4">
        <v>2.88</v>
      </c>
      <c r="E2396" s="4">
        <v>12880</v>
      </c>
      <c r="F2396" s="4">
        <v>2.88</v>
      </c>
      <c r="G2396" s="4">
        <v>37094.400000000001</v>
      </c>
      <c r="H2396" s="5">
        <f t="shared" si="37"/>
        <v>2.1276595744680871E-2</v>
      </c>
    </row>
    <row r="2397" spans="1:8" ht="13.5" x14ac:dyDescent="0.25">
      <c r="A2397" s="1"/>
      <c r="B2397" s="3">
        <v>45792</v>
      </c>
      <c r="C2397" s="4">
        <v>2.88</v>
      </c>
      <c r="D2397" s="4">
        <v>2.88</v>
      </c>
      <c r="E2397" s="4">
        <v>2938</v>
      </c>
      <c r="F2397" s="4">
        <v>2.88</v>
      </c>
      <c r="G2397" s="4">
        <v>8461.44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2.87</v>
      </c>
      <c r="D2398" s="4">
        <v>2.87</v>
      </c>
      <c r="E2398" s="4">
        <v>2290</v>
      </c>
      <c r="F2398" s="4">
        <v>2.87</v>
      </c>
      <c r="G2398" s="4">
        <v>6572.3</v>
      </c>
      <c r="H2398" s="5">
        <f t="shared" si="37"/>
        <v>-3.4722222222221483E-3</v>
      </c>
    </row>
    <row r="2399" spans="1:8" ht="13.5" x14ac:dyDescent="0.25">
      <c r="A2399" s="1"/>
      <c r="B2399" s="3">
        <v>45796</v>
      </c>
      <c r="C2399" s="4">
        <v>2.86</v>
      </c>
      <c r="D2399" s="4">
        <v>2.86</v>
      </c>
      <c r="E2399" s="4">
        <v>6337</v>
      </c>
      <c r="F2399" s="4">
        <v>2.86</v>
      </c>
      <c r="G2399" s="4">
        <v>18123.82</v>
      </c>
      <c r="H2399" s="5">
        <f t="shared" si="37"/>
        <v>-3.4843205574913694E-3</v>
      </c>
    </row>
    <row r="2400" spans="1:8" ht="13.5" x14ac:dyDescent="0.25">
      <c r="A2400" s="1"/>
      <c r="B2400" s="3">
        <v>45797</v>
      </c>
      <c r="C2400" s="4">
        <v>2.8</v>
      </c>
      <c r="D2400" s="4">
        <v>2.8</v>
      </c>
      <c r="E2400" s="4">
        <v>28935</v>
      </c>
      <c r="F2400" s="4">
        <v>2.8</v>
      </c>
      <c r="G2400" s="4">
        <v>81018</v>
      </c>
      <c r="H2400" s="5">
        <f t="shared" si="37"/>
        <v>-2.0979020979020997E-2</v>
      </c>
    </row>
    <row r="2401" spans="1:8" ht="13.5" x14ac:dyDescent="0.25">
      <c r="A2401" s="1"/>
      <c r="B2401" s="3">
        <v>45798</v>
      </c>
      <c r="C2401" s="4">
        <v>2.8</v>
      </c>
      <c r="D2401" s="4">
        <v>2.8</v>
      </c>
      <c r="E2401" s="4">
        <v>3192</v>
      </c>
      <c r="F2401" s="4">
        <v>2.8</v>
      </c>
      <c r="G2401" s="4">
        <v>8937.6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2.8</v>
      </c>
      <c r="D2402" s="4">
        <v>2.8</v>
      </c>
      <c r="E2402" s="4">
        <v>20490</v>
      </c>
      <c r="F2402" s="4">
        <v>2.8</v>
      </c>
      <c r="G2402" s="4">
        <v>57372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2.81</v>
      </c>
      <c r="D2403" s="4">
        <v>2.81</v>
      </c>
      <c r="E2403" s="4">
        <v>12929</v>
      </c>
      <c r="F2403" s="4">
        <v>2.81</v>
      </c>
      <c r="G2403" s="4">
        <v>36330.49</v>
      </c>
      <c r="H2403" s="5">
        <f t="shared" si="37"/>
        <v>3.5714285714286542E-3</v>
      </c>
    </row>
    <row r="2404" spans="1:8" ht="13.5" x14ac:dyDescent="0.25">
      <c r="A2404" s="1"/>
      <c r="B2404" s="3">
        <v>45803</v>
      </c>
      <c r="C2404" s="4">
        <v>2.8</v>
      </c>
      <c r="D2404" s="4">
        <v>2.8</v>
      </c>
      <c r="E2404" s="4">
        <v>12008</v>
      </c>
      <c r="F2404" s="4">
        <v>2.8</v>
      </c>
      <c r="G2404" s="4">
        <v>33622.400000000001</v>
      </c>
      <c r="H2404" s="5">
        <f t="shared" si="37"/>
        <v>-3.5587188612100466E-3</v>
      </c>
    </row>
    <row r="2405" spans="1:8" ht="13.5" x14ac:dyDescent="0.25">
      <c r="A2405" s="1"/>
      <c r="B2405" s="3">
        <v>45804</v>
      </c>
      <c r="C2405" s="4">
        <v>2.8</v>
      </c>
      <c r="D2405" s="4">
        <v>2.8</v>
      </c>
      <c r="E2405" s="4">
        <v>7400</v>
      </c>
      <c r="F2405" s="4">
        <v>2.8</v>
      </c>
      <c r="G2405" s="4">
        <v>20720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2.75</v>
      </c>
      <c r="D2406" s="4">
        <v>2.75</v>
      </c>
      <c r="E2406" s="4">
        <v>4719</v>
      </c>
      <c r="F2406" s="4">
        <v>2.75</v>
      </c>
      <c r="G2406" s="4">
        <v>12977.25</v>
      </c>
      <c r="H2406" s="5">
        <f t="shared" si="37"/>
        <v>-1.7857142857142794E-2</v>
      </c>
    </row>
    <row r="2407" spans="1:8" ht="13.5" x14ac:dyDescent="0.25">
      <c r="A2407" s="1"/>
      <c r="B2407" s="3">
        <v>45806</v>
      </c>
      <c r="C2407" s="4">
        <v>2.75</v>
      </c>
      <c r="D2407" s="4">
        <v>2.75</v>
      </c>
      <c r="E2407" s="4">
        <v>3145</v>
      </c>
      <c r="F2407" s="4">
        <v>2.75</v>
      </c>
      <c r="G2407" s="4">
        <v>8648.75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2.72</v>
      </c>
      <c r="D2408" s="4">
        <v>2.72</v>
      </c>
      <c r="E2408" s="4">
        <v>6535</v>
      </c>
      <c r="F2408" s="4">
        <v>2.72</v>
      </c>
      <c r="G2408" s="4">
        <v>17775.2</v>
      </c>
      <c r="H2408" s="5">
        <f t="shared" si="37"/>
        <v>-1.0909090909090839E-2</v>
      </c>
    </row>
    <row r="2409" spans="1:8" ht="13.5" x14ac:dyDescent="0.25">
      <c r="A2409" s="1"/>
      <c r="B2409" s="3">
        <v>45810</v>
      </c>
      <c r="C2409" s="4">
        <v>2.64</v>
      </c>
      <c r="D2409" s="4">
        <v>2.64</v>
      </c>
      <c r="E2409" s="4">
        <v>0</v>
      </c>
      <c r="F2409" s="4">
        <v>0</v>
      </c>
      <c r="G2409" s="4">
        <v>0</v>
      </c>
      <c r="H2409" s="5">
        <f t="shared" si="37"/>
        <v>-2.9411764705882377E-2</v>
      </c>
    </row>
    <row r="2410" spans="1:8" ht="13.5" x14ac:dyDescent="0.25">
      <c r="A2410" s="1"/>
      <c r="B2410" s="3">
        <v>45811</v>
      </c>
      <c r="C2410" s="4">
        <v>2.57</v>
      </c>
      <c r="D2410" s="4">
        <v>2.57</v>
      </c>
      <c r="E2410" s="4">
        <v>14592</v>
      </c>
      <c r="F2410" s="4">
        <v>2.57</v>
      </c>
      <c r="G2410" s="4">
        <v>37501.440000000002</v>
      </c>
      <c r="H2410" s="5">
        <f t="shared" si="37"/>
        <v>-2.651515151515162E-2</v>
      </c>
    </row>
    <row r="2411" spans="1:8" ht="13.5" x14ac:dyDescent="0.25">
      <c r="A2411" s="1"/>
      <c r="B2411" s="3">
        <v>45812</v>
      </c>
      <c r="C2411" s="4">
        <v>2.64</v>
      </c>
      <c r="D2411" s="4">
        <v>2.64</v>
      </c>
      <c r="E2411" s="4">
        <v>0</v>
      </c>
      <c r="F2411" s="4">
        <v>0</v>
      </c>
      <c r="G2411" s="4">
        <v>0</v>
      </c>
      <c r="H2411" s="5">
        <f t="shared" si="37"/>
        <v>2.7237354085603224E-2</v>
      </c>
    </row>
    <row r="2412" spans="1:8" ht="13.5" x14ac:dyDescent="0.25">
      <c r="A2412" s="1"/>
      <c r="B2412" s="3">
        <v>45813</v>
      </c>
      <c r="C2412" s="4">
        <v>2.69</v>
      </c>
      <c r="D2412" s="4">
        <v>2.69</v>
      </c>
      <c r="E2412" s="4">
        <v>4483</v>
      </c>
      <c r="F2412" s="4">
        <v>2.69</v>
      </c>
      <c r="G2412" s="4">
        <v>12059.27</v>
      </c>
      <c r="H2412" s="5">
        <f t="shared" si="37"/>
        <v>1.8939393939393871E-2</v>
      </c>
    </row>
    <row r="2413" spans="1:8" ht="13.5" x14ac:dyDescent="0.25">
      <c r="A2413" s="1"/>
      <c r="B2413" s="3">
        <v>45817</v>
      </c>
      <c r="C2413" s="4">
        <v>2.65</v>
      </c>
      <c r="D2413" s="4">
        <v>2.65</v>
      </c>
      <c r="E2413" s="4">
        <v>2000</v>
      </c>
      <c r="F2413" s="4">
        <v>2.65</v>
      </c>
      <c r="G2413" s="4">
        <v>5300</v>
      </c>
      <c r="H2413" s="5">
        <f t="shared" si="37"/>
        <v>-1.4869888475836444E-2</v>
      </c>
    </row>
    <row r="2414" spans="1:8" ht="13.5" x14ac:dyDescent="0.25">
      <c r="A2414" s="1"/>
      <c r="B2414" s="3">
        <v>45818</v>
      </c>
      <c r="C2414" s="4">
        <v>2.69</v>
      </c>
      <c r="D2414" s="4">
        <v>2.69</v>
      </c>
      <c r="E2414" s="4">
        <v>3983</v>
      </c>
      <c r="F2414" s="4">
        <v>2.69</v>
      </c>
      <c r="G2414" s="4">
        <v>10714.27</v>
      </c>
      <c r="H2414" s="5">
        <f t="shared" si="37"/>
        <v>1.5094339622641523E-2</v>
      </c>
    </row>
    <row r="2415" spans="1:8" ht="13.5" x14ac:dyDescent="0.25">
      <c r="A2415" s="1"/>
      <c r="B2415" s="3">
        <v>45819</v>
      </c>
      <c r="C2415" s="4">
        <v>2.7</v>
      </c>
      <c r="D2415" s="4">
        <v>2.7</v>
      </c>
      <c r="E2415" s="4">
        <v>6209</v>
      </c>
      <c r="F2415" s="4">
        <v>2.7</v>
      </c>
      <c r="G2415" s="4">
        <v>16764.3</v>
      </c>
      <c r="H2415" s="5">
        <f t="shared" si="37"/>
        <v>3.7174721189591939E-3</v>
      </c>
    </row>
    <row r="2416" spans="1:8" ht="13.5" x14ac:dyDescent="0.25">
      <c r="A2416" s="1"/>
      <c r="B2416" s="3">
        <v>45820</v>
      </c>
      <c r="C2416" s="4">
        <v>2.7</v>
      </c>
      <c r="D2416" s="4">
        <v>2.7</v>
      </c>
      <c r="E2416" s="4">
        <v>7850</v>
      </c>
      <c r="F2416" s="4">
        <v>2.7</v>
      </c>
      <c r="G2416" s="4">
        <v>21195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2.7</v>
      </c>
      <c r="D2417" s="4">
        <v>2.7</v>
      </c>
      <c r="E2417" s="4">
        <v>2590</v>
      </c>
      <c r="F2417" s="4">
        <v>2.7</v>
      </c>
      <c r="G2417" s="4">
        <v>6993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2.7</v>
      </c>
      <c r="D2418" s="4">
        <v>2.7</v>
      </c>
      <c r="E2418" s="4">
        <v>3960</v>
      </c>
      <c r="F2418" s="4">
        <v>2.7</v>
      </c>
      <c r="G2418" s="4">
        <v>10692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2.78</v>
      </c>
      <c r="D2419" s="4">
        <v>2.78</v>
      </c>
      <c r="E2419" s="4">
        <v>10718</v>
      </c>
      <c r="F2419" s="4">
        <v>2.78</v>
      </c>
      <c r="G2419" s="4">
        <v>29796.04</v>
      </c>
      <c r="H2419" s="5">
        <f t="shared" si="37"/>
        <v>2.9629629629629489E-2</v>
      </c>
    </row>
    <row r="2420" spans="1:8" ht="13.5" x14ac:dyDescent="0.25">
      <c r="A2420" s="1"/>
      <c r="B2420" s="3">
        <v>45826</v>
      </c>
      <c r="C2420" s="4">
        <v>2.8</v>
      </c>
      <c r="D2420" s="4">
        <v>2.8</v>
      </c>
      <c r="E2420" s="4">
        <v>6897</v>
      </c>
      <c r="F2420" s="4">
        <v>2.8</v>
      </c>
      <c r="G2420" s="4">
        <v>19311.599999999999</v>
      </c>
      <c r="H2420" s="5">
        <f t="shared" si="37"/>
        <v>7.1942446043165541E-3</v>
      </c>
    </row>
    <row r="2421" spans="1:8" ht="13.5" x14ac:dyDescent="0.25">
      <c r="A2421" s="1"/>
      <c r="B2421" s="3">
        <v>45827</v>
      </c>
      <c r="C2421" s="4">
        <v>2.79</v>
      </c>
      <c r="D2421" s="4">
        <v>2.79</v>
      </c>
      <c r="E2421" s="4">
        <v>20343</v>
      </c>
      <c r="F2421" s="4">
        <v>2.79</v>
      </c>
      <c r="G2421" s="4">
        <v>56756.97</v>
      </c>
      <c r="H2421" s="5">
        <f t="shared" si="37"/>
        <v>-3.5714285714284954E-3</v>
      </c>
    </row>
    <row r="2422" spans="1:8" ht="13.5" x14ac:dyDescent="0.25">
      <c r="A2422" s="1"/>
      <c r="B2422" s="3">
        <v>45828</v>
      </c>
      <c r="C2422" s="4">
        <v>2.85</v>
      </c>
      <c r="D2422" s="4">
        <v>2.85</v>
      </c>
      <c r="E2422" s="4">
        <v>6026</v>
      </c>
      <c r="F2422" s="4">
        <v>2.85</v>
      </c>
      <c r="G2422" s="4">
        <v>17174.099999999999</v>
      </c>
      <c r="H2422" s="5">
        <f t="shared" si="37"/>
        <v>2.1505376344086041E-2</v>
      </c>
    </row>
    <row r="2423" spans="1:8" ht="13.5" x14ac:dyDescent="0.25">
      <c r="A2423" s="1"/>
      <c r="B2423" s="3">
        <v>45831</v>
      </c>
      <c r="C2423" s="4">
        <v>2.85</v>
      </c>
      <c r="D2423" s="4">
        <v>2.85</v>
      </c>
      <c r="E2423" s="4">
        <v>7761</v>
      </c>
      <c r="F2423" s="4">
        <v>2.85</v>
      </c>
      <c r="G2423" s="4">
        <v>22118.85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2.91</v>
      </c>
      <c r="D2424" s="4">
        <v>2.91</v>
      </c>
      <c r="E2424" s="4">
        <v>23327</v>
      </c>
      <c r="F2424" s="4">
        <v>2.91</v>
      </c>
      <c r="G2424" s="4">
        <v>67881.570000000007</v>
      </c>
      <c r="H2424" s="5">
        <f t="shared" si="37"/>
        <v>2.1052631578947385E-2</v>
      </c>
    </row>
    <row r="2425" spans="1:8" ht="13.5" x14ac:dyDescent="0.25">
      <c r="A2425" s="1"/>
      <c r="B2425" s="3">
        <v>45833</v>
      </c>
      <c r="C2425" s="4">
        <v>2.99</v>
      </c>
      <c r="D2425" s="4">
        <v>2.99</v>
      </c>
      <c r="E2425" s="4">
        <v>0</v>
      </c>
      <c r="F2425" s="4">
        <v>0</v>
      </c>
      <c r="G2425" s="4">
        <v>0</v>
      </c>
      <c r="H2425" s="5">
        <f t="shared" si="37"/>
        <v>2.7491408934707928E-2</v>
      </c>
    </row>
    <row r="2426" spans="1:8" ht="13.5" x14ac:dyDescent="0.25">
      <c r="A2426" s="1"/>
      <c r="B2426" s="3">
        <v>45835</v>
      </c>
      <c r="C2426" s="4">
        <v>3.07</v>
      </c>
      <c r="D2426" s="4">
        <v>3.07</v>
      </c>
      <c r="E2426" s="4">
        <v>57519</v>
      </c>
      <c r="F2426" s="4">
        <v>3.07</v>
      </c>
      <c r="G2426" s="4">
        <v>176583.33</v>
      </c>
      <c r="H2426" s="5">
        <f t="shared" si="37"/>
        <v>2.6755852842809239E-2</v>
      </c>
    </row>
    <row r="2427" spans="1:8" ht="13.5" x14ac:dyDescent="0.25">
      <c r="A2427" s="1"/>
      <c r="B2427" s="3">
        <v>45838</v>
      </c>
      <c r="C2427" s="4">
        <v>3.16</v>
      </c>
      <c r="D2427" s="4">
        <v>3.16</v>
      </c>
      <c r="E2427" s="4">
        <v>69734</v>
      </c>
      <c r="F2427" s="4">
        <v>3.16</v>
      </c>
      <c r="G2427" s="4">
        <v>220359.44</v>
      </c>
      <c r="H2427" s="5">
        <f t="shared" si="37"/>
        <v>2.9315960912052217E-2</v>
      </c>
    </row>
    <row r="2428" spans="1:8" ht="13.5" x14ac:dyDescent="0.25">
      <c r="A2428" s="1"/>
      <c r="B2428" s="3">
        <v>45839</v>
      </c>
      <c r="C2428" s="4">
        <v>3.25</v>
      </c>
      <c r="D2428" s="4">
        <v>3.25</v>
      </c>
      <c r="E2428" s="4">
        <v>0</v>
      </c>
      <c r="F2428" s="4">
        <v>0</v>
      </c>
      <c r="G2428" s="4">
        <v>0</v>
      </c>
      <c r="H2428" s="5">
        <f t="shared" si="37"/>
        <v>2.8481012658227802E-2</v>
      </c>
    </row>
    <row r="2429" spans="1:8" ht="13.5" x14ac:dyDescent="0.25">
      <c r="A2429" s="1"/>
      <c r="B2429" s="3">
        <v>45840</v>
      </c>
      <c r="C2429" s="4">
        <v>3.34</v>
      </c>
      <c r="D2429" s="4">
        <v>3.34</v>
      </c>
      <c r="E2429" s="4">
        <v>0</v>
      </c>
      <c r="F2429" s="4">
        <v>0</v>
      </c>
      <c r="G2429" s="4">
        <v>0</v>
      </c>
      <c r="H2429" s="5">
        <f t="shared" si="37"/>
        <v>2.7692307692307648E-2</v>
      </c>
    </row>
    <row r="2430" spans="1:8" ht="13.5" x14ac:dyDescent="0.25">
      <c r="A2430" s="1"/>
      <c r="B2430" s="3">
        <v>45841</v>
      </c>
      <c r="C2430" s="4">
        <v>3.4</v>
      </c>
      <c r="D2430" s="4">
        <v>3.4</v>
      </c>
      <c r="E2430" s="4">
        <v>58125</v>
      </c>
      <c r="F2430" s="4">
        <v>3.4</v>
      </c>
      <c r="G2430" s="4">
        <v>197625</v>
      </c>
      <c r="H2430" s="5">
        <f t="shared" si="37"/>
        <v>1.7964071856287442E-2</v>
      </c>
    </row>
    <row r="2431" spans="1:8" ht="13.5" x14ac:dyDescent="0.25">
      <c r="A2431" s="1"/>
      <c r="B2431" s="3">
        <v>45842</v>
      </c>
      <c r="C2431" s="4">
        <v>3.3</v>
      </c>
      <c r="D2431" s="4">
        <v>3.3</v>
      </c>
      <c r="E2431" s="4">
        <v>0</v>
      </c>
      <c r="F2431" s="4">
        <v>0</v>
      </c>
      <c r="G2431" s="4">
        <v>0</v>
      </c>
      <c r="H2431" s="5">
        <f t="shared" si="37"/>
        <v>-2.941176470588238E-2</v>
      </c>
    </row>
    <row r="2432" spans="1:8" ht="13.5" x14ac:dyDescent="0.25">
      <c r="A2432" s="1"/>
      <c r="B2432" s="3">
        <v>45845</v>
      </c>
      <c r="C2432" s="4">
        <v>3.3</v>
      </c>
      <c r="D2432" s="4">
        <v>3.3</v>
      </c>
      <c r="E2432" s="4">
        <v>16970</v>
      </c>
      <c r="F2432" s="4">
        <v>3.3</v>
      </c>
      <c r="G2432" s="4">
        <v>56001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3.21</v>
      </c>
      <c r="D2433" s="4">
        <v>3.21</v>
      </c>
      <c r="E2433" s="4">
        <v>13945</v>
      </c>
      <c r="F2433" s="4">
        <v>3.21</v>
      </c>
      <c r="G2433" s="4">
        <v>44763.45</v>
      </c>
      <c r="H2433" s="5">
        <f t="shared" si="37"/>
        <v>-2.727272727272723E-2</v>
      </c>
    </row>
    <row r="2434" spans="1:8" ht="13.5" x14ac:dyDescent="0.25">
      <c r="A2434" s="1"/>
      <c r="B2434" s="3">
        <v>45847</v>
      </c>
      <c r="C2434" s="4">
        <v>3.13</v>
      </c>
      <c r="D2434" s="4">
        <v>3.13</v>
      </c>
      <c r="E2434" s="4">
        <v>9730</v>
      </c>
      <c r="F2434" s="4">
        <v>3.13</v>
      </c>
      <c r="G2434" s="4">
        <v>30454.9</v>
      </c>
      <c r="H2434" s="5">
        <f t="shared" si="37"/>
        <v>-2.4922118380062329E-2</v>
      </c>
    </row>
    <row r="2435" spans="1:8" ht="13.5" x14ac:dyDescent="0.25">
      <c r="A2435" s="1"/>
      <c r="B2435" s="3">
        <v>45848</v>
      </c>
      <c r="C2435" s="4">
        <v>3.1</v>
      </c>
      <c r="D2435" s="4">
        <v>3.1</v>
      </c>
      <c r="E2435" s="4">
        <v>13467</v>
      </c>
      <c r="F2435" s="4">
        <v>3.1</v>
      </c>
      <c r="G2435" s="4">
        <v>41747.699999999997</v>
      </c>
      <c r="H2435" s="5">
        <f t="shared" si="37"/>
        <v>-9.5846645367411512E-3</v>
      </c>
    </row>
    <row r="2436" spans="1:8" ht="13.5" x14ac:dyDescent="0.25">
      <c r="A2436" s="1"/>
      <c r="B2436" s="3">
        <v>45849</v>
      </c>
      <c r="C2436" s="4">
        <v>3.02</v>
      </c>
      <c r="D2436" s="4">
        <v>3.02</v>
      </c>
      <c r="E2436" s="4">
        <v>7561</v>
      </c>
      <c r="F2436" s="4">
        <v>3.02</v>
      </c>
      <c r="G2436" s="4">
        <v>22834.22</v>
      </c>
      <c r="H2436" s="5">
        <f t="shared" si="37"/>
        <v>-2.5806451612903247E-2</v>
      </c>
    </row>
    <row r="2437" spans="1:8" ht="13.5" x14ac:dyDescent="0.25">
      <c r="A2437" s="1"/>
      <c r="B2437" s="3">
        <v>45852</v>
      </c>
      <c r="C2437" s="4">
        <v>3.02</v>
      </c>
      <c r="D2437" s="4">
        <v>3.02</v>
      </c>
      <c r="E2437" s="4">
        <v>3345</v>
      </c>
      <c r="F2437" s="4">
        <v>3.02</v>
      </c>
      <c r="G2437" s="4">
        <v>10101.9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3.03</v>
      </c>
      <c r="D2438" s="4">
        <v>3.03</v>
      </c>
      <c r="E2438" s="4">
        <v>4727</v>
      </c>
      <c r="F2438" s="4">
        <v>3.03</v>
      </c>
      <c r="G2438" s="4">
        <v>14322.81</v>
      </c>
      <c r="H2438" s="5">
        <f t="shared" si="37"/>
        <v>3.3112582781456247E-3</v>
      </c>
    </row>
    <row r="2439" spans="1:8" ht="13.5" x14ac:dyDescent="0.25">
      <c r="A2439" s="1"/>
      <c r="B2439" s="3">
        <v>45854</v>
      </c>
      <c r="C2439" s="4">
        <v>3.09</v>
      </c>
      <c r="D2439" s="4">
        <v>3.09</v>
      </c>
      <c r="E2439" s="4">
        <v>3563</v>
      </c>
      <c r="F2439" s="4">
        <v>3.09</v>
      </c>
      <c r="G2439" s="4">
        <v>11009.67</v>
      </c>
      <c r="H2439" s="5">
        <f t="shared" ref="H2439:H2502" si="38">(D2439-D2438)/D2438</f>
        <v>1.980198019801982E-2</v>
      </c>
    </row>
    <row r="2440" spans="1:8" ht="13.5" x14ac:dyDescent="0.25">
      <c r="A2440" s="1"/>
      <c r="B2440" s="3">
        <v>45855</v>
      </c>
      <c r="C2440" s="4">
        <v>3.18</v>
      </c>
      <c r="D2440" s="4">
        <v>3.18</v>
      </c>
      <c r="E2440" s="4">
        <v>3319</v>
      </c>
      <c r="F2440" s="4">
        <v>3.18</v>
      </c>
      <c r="G2440" s="4">
        <v>10554.42</v>
      </c>
      <c r="H2440" s="5">
        <f t="shared" si="38"/>
        <v>2.9126213592233108E-2</v>
      </c>
    </row>
    <row r="2441" spans="1:8" ht="13.5" x14ac:dyDescent="0.25">
      <c r="A2441" s="1"/>
      <c r="B2441" s="3">
        <v>45856</v>
      </c>
      <c r="C2441" s="4">
        <v>3.27</v>
      </c>
      <c r="D2441" s="4">
        <v>3.27</v>
      </c>
      <c r="E2441" s="4">
        <v>25194</v>
      </c>
      <c r="F2441" s="4">
        <v>3.27</v>
      </c>
      <c r="G2441" s="4">
        <v>82384.38</v>
      </c>
      <c r="H2441" s="5">
        <f t="shared" si="38"/>
        <v>2.8301886792452786E-2</v>
      </c>
    </row>
    <row r="2442" spans="1:8" ht="13.5" x14ac:dyDescent="0.25">
      <c r="A2442" s="1"/>
      <c r="B2442" s="3">
        <v>45859</v>
      </c>
      <c r="C2442" s="4">
        <v>3.21</v>
      </c>
      <c r="D2442" s="4">
        <v>3.21</v>
      </c>
      <c r="E2442" s="4">
        <v>7200</v>
      </c>
      <c r="F2442" s="4">
        <v>3.21</v>
      </c>
      <c r="G2442" s="4">
        <v>23112</v>
      </c>
      <c r="H2442" s="5">
        <f t="shared" si="38"/>
        <v>-1.8348623853211024E-2</v>
      </c>
    </row>
    <row r="2443" spans="1:8" ht="13.5" x14ac:dyDescent="0.25">
      <c r="A2443" s="1"/>
      <c r="B2443" s="3">
        <v>45860</v>
      </c>
      <c r="C2443" s="4">
        <v>3.3</v>
      </c>
      <c r="D2443" s="4">
        <v>3.3</v>
      </c>
      <c r="E2443" s="4">
        <v>8185</v>
      </c>
      <c r="F2443" s="4">
        <v>3.3</v>
      </c>
      <c r="G2443" s="4">
        <v>27010.5</v>
      </c>
      <c r="H2443" s="5">
        <f t="shared" si="38"/>
        <v>2.8037383177570048E-2</v>
      </c>
    </row>
    <row r="2444" spans="1:8" ht="13.5" x14ac:dyDescent="0.25">
      <c r="A2444" s="1"/>
      <c r="B2444" s="3">
        <v>45861</v>
      </c>
      <c r="C2444" s="4">
        <v>3.25</v>
      </c>
      <c r="D2444" s="4">
        <v>3.25</v>
      </c>
      <c r="E2444" s="4">
        <v>2305</v>
      </c>
      <c r="F2444" s="4">
        <v>3.25</v>
      </c>
      <c r="G2444" s="4">
        <v>7491.25</v>
      </c>
      <c r="H2444" s="5">
        <f t="shared" si="38"/>
        <v>-1.5151515151515098E-2</v>
      </c>
    </row>
    <row r="2445" spans="1:8" ht="13.5" x14ac:dyDescent="0.25">
      <c r="A2445" s="1"/>
      <c r="B2445" s="3">
        <v>45862</v>
      </c>
      <c r="C2445" s="4">
        <v>3.25</v>
      </c>
      <c r="D2445" s="4">
        <v>3.25</v>
      </c>
      <c r="E2445" s="4">
        <v>11392</v>
      </c>
      <c r="F2445" s="4">
        <v>3.25</v>
      </c>
      <c r="G2445" s="4">
        <v>37024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3.3</v>
      </c>
      <c r="D2446" s="4">
        <v>3.3</v>
      </c>
      <c r="E2446" s="4">
        <v>2090</v>
      </c>
      <c r="F2446" s="4">
        <v>3.3</v>
      </c>
      <c r="G2446" s="4">
        <v>6897</v>
      </c>
      <c r="H2446" s="5">
        <f t="shared" si="38"/>
        <v>1.538461538461533E-2</v>
      </c>
    </row>
    <row r="2447" spans="1:8" ht="13.5" x14ac:dyDescent="0.25">
      <c r="A2447" s="1"/>
      <c r="B2447" s="3">
        <v>45867</v>
      </c>
      <c r="C2447" s="4">
        <v>3.22</v>
      </c>
      <c r="D2447" s="4">
        <v>3.22</v>
      </c>
      <c r="E2447" s="4">
        <v>2444</v>
      </c>
      <c r="F2447" s="4">
        <v>3.22</v>
      </c>
      <c r="G2447" s="4">
        <v>7869.68</v>
      </c>
      <c r="H2447" s="5">
        <f t="shared" si="38"/>
        <v>-2.4242424242424131E-2</v>
      </c>
    </row>
    <row r="2448" spans="1:8" ht="13.5" x14ac:dyDescent="0.25">
      <c r="A2448" s="1"/>
      <c r="B2448" s="3">
        <v>45868</v>
      </c>
      <c r="C2448" s="4">
        <v>3.22</v>
      </c>
      <c r="D2448" s="4">
        <v>3.22</v>
      </c>
      <c r="E2448" s="4">
        <v>2896</v>
      </c>
      <c r="F2448" s="4">
        <v>3.22</v>
      </c>
      <c r="G2448" s="4">
        <v>9325.1200000000008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3.22</v>
      </c>
      <c r="D2449" s="4">
        <v>3.22</v>
      </c>
      <c r="E2449" s="4">
        <v>2480</v>
      </c>
      <c r="F2449" s="4">
        <v>3.22</v>
      </c>
      <c r="G2449" s="4">
        <v>7985.6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3.25</v>
      </c>
      <c r="D2450" s="4">
        <v>3.25</v>
      </c>
      <c r="E2450" s="4">
        <v>165</v>
      </c>
      <c r="F2450" s="4">
        <v>3.25</v>
      </c>
      <c r="G2450" s="4">
        <v>536.25</v>
      </c>
      <c r="H2450" s="5">
        <f t="shared" si="38"/>
        <v>9.3167701863353432E-3</v>
      </c>
    </row>
    <row r="2451" spans="1:8" ht="13.5" x14ac:dyDescent="0.25">
      <c r="A2451" s="1"/>
      <c r="B2451" s="3">
        <v>45873</v>
      </c>
      <c r="C2451" s="4">
        <v>3.25</v>
      </c>
      <c r="D2451" s="4">
        <v>3.25</v>
      </c>
      <c r="E2451" s="4">
        <v>1770</v>
      </c>
      <c r="F2451" s="4">
        <v>3.25</v>
      </c>
      <c r="G2451" s="4">
        <v>5752.5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3.25</v>
      </c>
      <c r="D2452" s="4">
        <v>3.25</v>
      </c>
      <c r="E2452" s="4">
        <v>2200</v>
      </c>
      <c r="F2452" s="4">
        <v>3.25</v>
      </c>
      <c r="G2452" s="4">
        <v>7150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3.3</v>
      </c>
      <c r="D2453" s="4">
        <v>3.3</v>
      </c>
      <c r="E2453" s="4">
        <v>5096</v>
      </c>
      <c r="F2453" s="4">
        <v>3.3</v>
      </c>
      <c r="G2453" s="4">
        <v>16816.8</v>
      </c>
      <c r="H2453" s="5">
        <f t="shared" si="38"/>
        <v>1.538461538461533E-2</v>
      </c>
    </row>
    <row r="2454" spans="1:8" ht="13.5" x14ac:dyDescent="0.25">
      <c r="A2454" s="1"/>
      <c r="B2454" s="3">
        <v>45876</v>
      </c>
      <c r="C2454" s="4">
        <v>3.39</v>
      </c>
      <c r="D2454" s="4">
        <v>3.39</v>
      </c>
      <c r="E2454" s="4">
        <v>0</v>
      </c>
      <c r="F2454" s="4">
        <v>0</v>
      </c>
      <c r="G2454" s="4">
        <v>0</v>
      </c>
      <c r="H2454" s="5">
        <f t="shared" si="38"/>
        <v>2.7272727272727365E-2</v>
      </c>
    </row>
    <row r="2455" spans="1:8" ht="13.5" x14ac:dyDescent="0.25">
      <c r="A2455" s="1"/>
      <c r="B2455" s="3">
        <v>45877</v>
      </c>
      <c r="C2455" s="4">
        <v>3.49</v>
      </c>
      <c r="D2455" s="4">
        <v>3.49</v>
      </c>
      <c r="E2455" s="4">
        <v>56056</v>
      </c>
      <c r="F2455" s="4">
        <v>3.49</v>
      </c>
      <c r="G2455" s="4">
        <v>195635.44</v>
      </c>
      <c r="H2455" s="5">
        <f t="shared" si="38"/>
        <v>2.9498525073746337E-2</v>
      </c>
    </row>
    <row r="2456" spans="1:8" ht="13.5" x14ac:dyDescent="0.25">
      <c r="A2456" s="1"/>
      <c r="B2456" s="3">
        <v>45880</v>
      </c>
      <c r="C2456" s="4">
        <v>3.59</v>
      </c>
      <c r="D2456" s="4">
        <v>3.59</v>
      </c>
      <c r="E2456" s="4">
        <v>0</v>
      </c>
      <c r="F2456" s="4">
        <v>0</v>
      </c>
      <c r="G2456" s="4">
        <v>0</v>
      </c>
      <c r="H2456" s="5">
        <f t="shared" si="38"/>
        <v>2.8653295128939726E-2</v>
      </c>
    </row>
    <row r="2457" spans="1:8" ht="13.5" x14ac:dyDescent="0.25">
      <c r="A2457" s="1"/>
      <c r="B2457" s="3">
        <v>45881</v>
      </c>
      <c r="C2457" s="4">
        <v>3.69</v>
      </c>
      <c r="D2457" s="4">
        <v>3.69</v>
      </c>
      <c r="E2457" s="4">
        <v>0</v>
      </c>
      <c r="F2457" s="4">
        <v>0</v>
      </c>
      <c r="G2457" s="4">
        <v>0</v>
      </c>
      <c r="H2457" s="5">
        <f t="shared" si="38"/>
        <v>2.7855153203342645E-2</v>
      </c>
    </row>
    <row r="2458" spans="1:8" ht="13.5" x14ac:dyDescent="0.25">
      <c r="A2458" s="1"/>
      <c r="B2458" s="3">
        <v>45883</v>
      </c>
      <c r="C2458" s="4">
        <v>3.75</v>
      </c>
      <c r="D2458" s="4">
        <v>3.75</v>
      </c>
      <c r="E2458" s="4">
        <v>48544</v>
      </c>
      <c r="F2458" s="4">
        <v>3.75</v>
      </c>
      <c r="G2458" s="4">
        <v>182040</v>
      </c>
      <c r="H2458" s="5">
        <f t="shared" si="38"/>
        <v>1.6260162601626032E-2</v>
      </c>
    </row>
    <row r="2459" spans="1:8" ht="13.5" x14ac:dyDescent="0.25">
      <c r="A2459" s="1"/>
      <c r="B2459" s="3">
        <v>45884</v>
      </c>
      <c r="C2459" s="4">
        <v>3.91</v>
      </c>
      <c r="D2459" s="4">
        <v>3.91</v>
      </c>
      <c r="E2459" s="4">
        <v>0</v>
      </c>
      <c r="F2459" s="4">
        <v>0</v>
      </c>
      <c r="G2459" s="4">
        <v>0</v>
      </c>
      <c r="H2459" s="5">
        <f t="shared" si="38"/>
        <v>4.2666666666666707E-2</v>
      </c>
    </row>
    <row r="2460" spans="1:8" ht="13.5" x14ac:dyDescent="0.25">
      <c r="A2460" s="1"/>
      <c r="B2460" s="3">
        <v>45887</v>
      </c>
      <c r="C2460" s="4">
        <v>3.95</v>
      </c>
      <c r="D2460" s="4">
        <v>3.95</v>
      </c>
      <c r="E2460" s="4">
        <v>137583</v>
      </c>
      <c r="F2460" s="4">
        <v>3.95</v>
      </c>
      <c r="G2460" s="4">
        <v>543452.85</v>
      </c>
      <c r="H2460" s="5">
        <f t="shared" si="38"/>
        <v>1.0230179028133002E-2</v>
      </c>
    </row>
    <row r="2461" spans="1:8" ht="13.5" x14ac:dyDescent="0.25">
      <c r="A2461" s="1"/>
      <c r="B2461" s="3">
        <v>45888</v>
      </c>
      <c r="C2461" s="4">
        <v>4</v>
      </c>
      <c r="D2461" s="4">
        <v>4</v>
      </c>
      <c r="E2461" s="4">
        <v>23571</v>
      </c>
      <c r="F2461" s="4">
        <v>3.9849999999999999</v>
      </c>
      <c r="G2461" s="4">
        <v>93930.434999999998</v>
      </c>
      <c r="H2461" s="5">
        <f t="shared" si="38"/>
        <v>1.2658227848101221E-2</v>
      </c>
    </row>
    <row r="2462" spans="1:8" ht="13.5" x14ac:dyDescent="0.25">
      <c r="A2462" s="1"/>
      <c r="B2462" s="3">
        <v>45889</v>
      </c>
      <c r="C2462" s="4">
        <v>4</v>
      </c>
      <c r="D2462" s="4">
        <v>4</v>
      </c>
      <c r="E2462" s="4">
        <v>42887</v>
      </c>
      <c r="F2462" s="4">
        <v>4</v>
      </c>
      <c r="G2462" s="4">
        <v>171548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3.82</v>
      </c>
      <c r="D2463" s="4">
        <v>3.82</v>
      </c>
      <c r="E2463" s="4">
        <v>40535</v>
      </c>
      <c r="F2463" s="4">
        <v>3.843</v>
      </c>
      <c r="G2463" s="4">
        <v>155776.005</v>
      </c>
      <c r="H2463" s="5">
        <f t="shared" si="38"/>
        <v>-4.500000000000004E-2</v>
      </c>
    </row>
    <row r="2464" spans="1:8" ht="13.5" x14ac:dyDescent="0.25">
      <c r="A2464" s="1"/>
      <c r="B2464" s="3">
        <v>45891</v>
      </c>
      <c r="C2464" s="4">
        <v>3.79</v>
      </c>
      <c r="D2464" s="4">
        <v>3.79</v>
      </c>
      <c r="E2464" s="4">
        <v>28284</v>
      </c>
      <c r="F2464" s="4">
        <v>3.7909999999999999</v>
      </c>
      <c r="G2464" s="4">
        <v>107224.644</v>
      </c>
      <c r="H2464" s="5">
        <f t="shared" si="38"/>
        <v>-7.8534031413612058E-3</v>
      </c>
    </row>
    <row r="2465" spans="1:8" ht="13.5" x14ac:dyDescent="0.25">
      <c r="A2465" s="1"/>
      <c r="B2465" s="3">
        <v>45894</v>
      </c>
      <c r="C2465" s="4">
        <v>3.78</v>
      </c>
      <c r="D2465" s="4">
        <v>3.78</v>
      </c>
      <c r="E2465" s="4">
        <v>523</v>
      </c>
      <c r="F2465" s="4">
        <v>3.78</v>
      </c>
      <c r="G2465" s="4">
        <v>1976.94</v>
      </c>
      <c r="H2465" s="5">
        <f t="shared" si="38"/>
        <v>-2.6385224274406943E-3</v>
      </c>
    </row>
    <row r="2466" spans="1:8" ht="13.5" x14ac:dyDescent="0.25">
      <c r="A2466" s="1"/>
      <c r="B2466" s="3">
        <v>45895</v>
      </c>
      <c r="C2466" s="4">
        <v>3.7</v>
      </c>
      <c r="D2466" s="4">
        <v>3.7</v>
      </c>
      <c r="E2466" s="4">
        <v>33964</v>
      </c>
      <c r="F2466" s="4">
        <v>3.7</v>
      </c>
      <c r="G2466" s="4">
        <v>125666.8</v>
      </c>
      <c r="H2466" s="5">
        <f t="shared" si="38"/>
        <v>-2.1164021164021066E-2</v>
      </c>
    </row>
    <row r="2467" spans="1:8" ht="13.5" x14ac:dyDescent="0.25">
      <c r="A2467" s="1"/>
      <c r="B2467" s="3">
        <v>45896</v>
      </c>
      <c r="C2467" s="4">
        <v>3.8</v>
      </c>
      <c r="D2467" s="4">
        <v>3.8</v>
      </c>
      <c r="E2467" s="4">
        <v>46981</v>
      </c>
      <c r="F2467" s="4">
        <v>3.766</v>
      </c>
      <c r="G2467" s="4">
        <v>176930.446</v>
      </c>
      <c r="H2467" s="5">
        <f t="shared" si="38"/>
        <v>2.7027027027026931E-2</v>
      </c>
    </row>
    <row r="2468" spans="1:8" ht="13.5" x14ac:dyDescent="0.25">
      <c r="A2468" s="1"/>
      <c r="B2468" s="3">
        <v>45897</v>
      </c>
      <c r="C2468" s="4">
        <v>3.8</v>
      </c>
      <c r="D2468" s="4">
        <v>3.8</v>
      </c>
      <c r="E2468" s="4">
        <v>112004</v>
      </c>
      <c r="F2468" s="4">
        <v>3.8</v>
      </c>
      <c r="G2468" s="4">
        <v>425615.2</v>
      </c>
      <c r="H2468" s="5">
        <f t="shared" si="38"/>
        <v>0</v>
      </c>
    </row>
    <row r="2469" spans="1:8" ht="13.5" x14ac:dyDescent="0.25">
      <c r="A2469" s="1"/>
      <c r="B2469" s="3">
        <v>45898</v>
      </c>
      <c r="C2469" s="4">
        <v>3.79</v>
      </c>
      <c r="D2469" s="4">
        <v>3.79</v>
      </c>
      <c r="E2469" s="4">
        <v>4769</v>
      </c>
      <c r="F2469" s="4">
        <v>3.8479999999999999</v>
      </c>
      <c r="G2469" s="4">
        <v>18351.112000000001</v>
      </c>
      <c r="H2469" s="5">
        <f t="shared" si="38"/>
        <v>-2.631578947368365E-3</v>
      </c>
    </row>
    <row r="2470" spans="1:8" ht="13.5" x14ac:dyDescent="0.25">
      <c r="A2470" s="1"/>
      <c r="B2470" s="3">
        <v>45901</v>
      </c>
      <c r="C2470" s="4">
        <v>3.7</v>
      </c>
      <c r="D2470" s="4">
        <v>3.7</v>
      </c>
      <c r="E2470" s="4">
        <v>23349</v>
      </c>
      <c r="F2470" s="4">
        <v>3.7</v>
      </c>
      <c r="G2470" s="4">
        <v>86391.3</v>
      </c>
      <c r="H2470" s="5">
        <f t="shared" si="38"/>
        <v>-2.3746701846965663E-2</v>
      </c>
    </row>
    <row r="2471" spans="1:8" ht="13.5" x14ac:dyDescent="0.25">
      <c r="A2471" s="1"/>
      <c r="B2471" s="3">
        <v>45902</v>
      </c>
      <c r="C2471" s="4">
        <v>3.7</v>
      </c>
      <c r="D2471" s="4">
        <v>3.7</v>
      </c>
      <c r="E2471" s="4">
        <v>12589</v>
      </c>
      <c r="F2471" s="4">
        <v>3.7029999999999998</v>
      </c>
      <c r="G2471" s="4">
        <v>46617.067000000003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3.7</v>
      </c>
      <c r="D2472" s="4">
        <v>3.7</v>
      </c>
      <c r="E2472" s="4">
        <v>3630</v>
      </c>
      <c r="F2472" s="4">
        <v>3.7</v>
      </c>
      <c r="G2472" s="4">
        <v>13431</v>
      </c>
      <c r="H2472" s="5">
        <f t="shared" si="38"/>
        <v>0</v>
      </c>
    </row>
    <row r="2473" spans="1:8" ht="13.5" x14ac:dyDescent="0.25">
      <c r="A2473" s="1"/>
      <c r="B2473" s="3">
        <v>45905</v>
      </c>
      <c r="C2473" s="4">
        <v>3.7</v>
      </c>
      <c r="D2473" s="4">
        <v>3.7</v>
      </c>
      <c r="E2473" s="4">
        <v>551</v>
      </c>
      <c r="F2473" s="4">
        <v>3.7</v>
      </c>
      <c r="G2473" s="4">
        <v>2038.7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3.69</v>
      </c>
      <c r="D2474" s="4">
        <v>3.69</v>
      </c>
      <c r="E2474" s="4">
        <v>2700</v>
      </c>
      <c r="F2474" s="4">
        <v>3.69</v>
      </c>
      <c r="G2474" s="4">
        <v>9963</v>
      </c>
      <c r="H2474" s="5">
        <f t="shared" si="38"/>
        <v>-2.7027027027027649E-3</v>
      </c>
    </row>
    <row r="2475" spans="1:8" ht="13.5" x14ac:dyDescent="0.25">
      <c r="A2475" s="1"/>
      <c r="B2475" s="3">
        <v>45909</v>
      </c>
      <c r="C2475" s="4">
        <v>3.53</v>
      </c>
      <c r="D2475" s="4">
        <v>3.53</v>
      </c>
      <c r="E2475" s="4">
        <v>1088</v>
      </c>
      <c r="F2475" s="4">
        <v>3.68</v>
      </c>
      <c r="G2475" s="4">
        <v>4003.84</v>
      </c>
      <c r="H2475" s="5">
        <f t="shared" si="38"/>
        <v>-4.3360433604336085E-2</v>
      </c>
    </row>
    <row r="2476" spans="1:8" ht="13.5" x14ac:dyDescent="0.25">
      <c r="A2476" s="1"/>
      <c r="B2476" s="3">
        <v>45910</v>
      </c>
      <c r="C2476" s="4">
        <v>3.5</v>
      </c>
      <c r="D2476" s="4">
        <v>3.5</v>
      </c>
      <c r="E2476" s="4">
        <v>22638</v>
      </c>
      <c r="F2476" s="4">
        <v>3.5</v>
      </c>
      <c r="G2476" s="4">
        <v>79233</v>
      </c>
      <c r="H2476" s="5">
        <f t="shared" si="38"/>
        <v>-8.4985835694050445E-3</v>
      </c>
    </row>
    <row r="2477" spans="1:8" ht="13.5" x14ac:dyDescent="0.25">
      <c r="A2477" s="1"/>
      <c r="B2477" s="3">
        <v>45911</v>
      </c>
      <c r="C2477" s="4">
        <v>3.54</v>
      </c>
      <c r="D2477" s="4">
        <v>3.54</v>
      </c>
      <c r="E2477" s="4">
        <v>14502</v>
      </c>
      <c r="F2477" s="4">
        <v>3.4969999999999999</v>
      </c>
      <c r="G2477" s="4">
        <v>50713.493999999999</v>
      </c>
      <c r="H2477" s="5">
        <f t="shared" si="38"/>
        <v>1.1428571428571439E-2</v>
      </c>
    </row>
    <row r="2478" spans="1:8" ht="13.5" x14ac:dyDescent="0.25">
      <c r="A2478" s="1"/>
      <c r="B2478" s="3">
        <v>45912</v>
      </c>
      <c r="C2478" s="4">
        <v>3.62</v>
      </c>
      <c r="D2478" s="4">
        <v>3.62</v>
      </c>
      <c r="E2478" s="4">
        <v>8328</v>
      </c>
      <c r="F2478" s="4">
        <v>3.5609999999999999</v>
      </c>
      <c r="G2478" s="4">
        <v>29656.008000000002</v>
      </c>
      <c r="H2478" s="5">
        <f t="shared" si="38"/>
        <v>2.2598870056497196E-2</v>
      </c>
    </row>
    <row r="2479" spans="1:8" ht="13.5" x14ac:dyDescent="0.25">
      <c r="A2479" s="1"/>
      <c r="B2479" s="3">
        <v>45915</v>
      </c>
      <c r="C2479" s="4">
        <v>3.49</v>
      </c>
      <c r="D2479" s="4">
        <v>3.49</v>
      </c>
      <c r="E2479" s="4">
        <v>13987</v>
      </c>
      <c r="F2479" s="4">
        <v>3.49</v>
      </c>
      <c r="G2479" s="4">
        <v>48814.63</v>
      </c>
      <c r="H2479" s="5">
        <f t="shared" si="38"/>
        <v>-3.5911602209944722E-2</v>
      </c>
    </row>
    <row r="2480" spans="1:8" ht="13.5" x14ac:dyDescent="0.25">
      <c r="A2480" s="1"/>
      <c r="B2480" s="3">
        <v>45916</v>
      </c>
      <c r="C2480" s="4">
        <v>3.54</v>
      </c>
      <c r="D2480" s="4">
        <v>3.54</v>
      </c>
      <c r="E2480" s="4">
        <v>17419</v>
      </c>
      <c r="F2480" s="4">
        <v>3.5409999999999999</v>
      </c>
      <c r="G2480" s="4">
        <v>61680.678999999996</v>
      </c>
      <c r="H2480" s="5">
        <f t="shared" si="38"/>
        <v>1.4326647564469863E-2</v>
      </c>
    </row>
    <row r="2481" spans="1:8" ht="13.5" x14ac:dyDescent="0.25">
      <c r="A2481" s="1"/>
      <c r="B2481" s="3">
        <v>45917</v>
      </c>
      <c r="C2481" s="4">
        <v>3.65</v>
      </c>
      <c r="D2481" s="4">
        <v>3.65</v>
      </c>
      <c r="E2481" s="4">
        <v>10876</v>
      </c>
      <c r="F2481" s="4">
        <v>3.65</v>
      </c>
      <c r="G2481" s="4">
        <v>39697.4</v>
      </c>
      <c r="H2481" s="5">
        <f t="shared" si="38"/>
        <v>3.1073446327683579E-2</v>
      </c>
    </row>
    <row r="2482" spans="1:8" ht="13.5" x14ac:dyDescent="0.25">
      <c r="A2482" s="1"/>
      <c r="B2482" s="3">
        <v>45918</v>
      </c>
      <c r="C2482" s="4">
        <v>3.49</v>
      </c>
      <c r="D2482" s="4">
        <v>3.49</v>
      </c>
      <c r="E2482" s="4">
        <v>21910</v>
      </c>
      <c r="F2482" s="4">
        <v>3.4980000000000002</v>
      </c>
      <c r="G2482" s="4">
        <v>76641.179999999993</v>
      </c>
      <c r="H2482" s="5">
        <f t="shared" si="38"/>
        <v>-4.3835616438356081E-2</v>
      </c>
    </row>
    <row r="2483" spans="1:8" ht="13.5" x14ac:dyDescent="0.25">
      <c r="A2483" s="1"/>
      <c r="B2483" s="3">
        <v>45919</v>
      </c>
      <c r="C2483" s="4">
        <v>3.49</v>
      </c>
      <c r="D2483" s="4">
        <v>3.49</v>
      </c>
      <c r="E2483" s="4">
        <v>5843</v>
      </c>
      <c r="F2483" s="4">
        <v>3.49</v>
      </c>
      <c r="G2483" s="4">
        <v>20392.07</v>
      </c>
      <c r="H2483" s="5">
        <f t="shared" si="38"/>
        <v>0</v>
      </c>
    </row>
    <row r="2484" spans="1:8" ht="13.5" x14ac:dyDescent="0.25">
      <c r="A2484" s="1"/>
      <c r="B2484" s="3">
        <v>45922</v>
      </c>
      <c r="C2484" s="4">
        <v>3.4</v>
      </c>
      <c r="D2484" s="4">
        <v>3.4</v>
      </c>
      <c r="E2484" s="4">
        <v>30732</v>
      </c>
      <c r="F2484" s="4">
        <v>3.4020000000000001</v>
      </c>
      <c r="G2484" s="4">
        <v>104550.264</v>
      </c>
      <c r="H2484" s="5">
        <f t="shared" si="38"/>
        <v>-2.5787965616045929E-2</v>
      </c>
    </row>
    <row r="2485" spans="1:8" ht="13.5" x14ac:dyDescent="0.25">
      <c r="A2485" s="1"/>
      <c r="B2485" s="3">
        <v>45923</v>
      </c>
      <c r="C2485" s="4">
        <v>3.4</v>
      </c>
      <c r="D2485" s="4">
        <v>3.4</v>
      </c>
      <c r="E2485" s="4">
        <v>13927</v>
      </c>
      <c r="F2485" s="4">
        <v>3.4009999999999998</v>
      </c>
      <c r="G2485" s="4">
        <v>47365.726999999999</v>
      </c>
      <c r="H2485" s="5">
        <f t="shared" si="38"/>
        <v>0</v>
      </c>
    </row>
    <row r="2486" spans="1:8" ht="13.5" x14ac:dyDescent="0.25">
      <c r="A2486" s="1"/>
      <c r="B2486" s="3">
        <v>45924</v>
      </c>
      <c r="C2486" s="4">
        <v>3.37</v>
      </c>
      <c r="D2486" s="4">
        <v>3.37</v>
      </c>
      <c r="E2486" s="4">
        <v>16900</v>
      </c>
      <c r="F2486" s="4">
        <v>3.3719999999999999</v>
      </c>
      <c r="G2486" s="4">
        <v>56986.8</v>
      </c>
      <c r="H2486" s="5">
        <f t="shared" si="38"/>
        <v>-8.8235294117646485E-3</v>
      </c>
    </row>
    <row r="2487" spans="1:8" ht="13.5" x14ac:dyDescent="0.25">
      <c r="A2487" s="1"/>
      <c r="B2487" s="3">
        <v>45925</v>
      </c>
      <c r="C2487" s="4">
        <v>3.36</v>
      </c>
      <c r="D2487" s="4">
        <v>3.36</v>
      </c>
      <c r="E2487" s="4">
        <v>8548</v>
      </c>
      <c r="F2487" s="4">
        <v>3.36</v>
      </c>
      <c r="G2487" s="4">
        <v>28721.279999999999</v>
      </c>
      <c r="H2487" s="5">
        <f t="shared" si="38"/>
        <v>-2.9673590504451725E-3</v>
      </c>
    </row>
    <row r="2488" spans="1:8" ht="13.5" x14ac:dyDescent="0.25">
      <c r="A2488" s="1"/>
      <c r="B2488" s="3">
        <v>45926</v>
      </c>
      <c r="C2488" s="4">
        <v>3.35</v>
      </c>
      <c r="D2488" s="4">
        <v>3.35</v>
      </c>
      <c r="E2488" s="4">
        <v>7113</v>
      </c>
      <c r="F2488" s="4">
        <v>3.35</v>
      </c>
      <c r="G2488" s="4">
        <v>23828.55</v>
      </c>
      <c r="H2488" s="5">
        <f t="shared" si="38"/>
        <v>-2.9761904761904127E-3</v>
      </c>
    </row>
    <row r="2489" spans="1:8" ht="13.5" x14ac:dyDescent="0.25">
      <c r="A2489" s="1"/>
      <c r="B2489" s="3">
        <v>45929</v>
      </c>
      <c r="C2489" s="4">
        <v>3.36</v>
      </c>
      <c r="D2489" s="4">
        <v>3.36</v>
      </c>
      <c r="E2489" s="4">
        <v>14784</v>
      </c>
      <c r="F2489" s="4">
        <v>3.36</v>
      </c>
      <c r="G2489" s="4">
        <v>49674.239999999998</v>
      </c>
      <c r="H2489" s="5">
        <f t="shared" si="38"/>
        <v>2.9850746268656079E-3</v>
      </c>
    </row>
    <row r="2490" spans="1:8" ht="13.5" x14ac:dyDescent="0.25">
      <c r="A2490" s="1"/>
      <c r="B2490" s="3">
        <v>45930</v>
      </c>
      <c r="C2490" s="4">
        <v>3.36</v>
      </c>
      <c r="D2490" s="4">
        <v>3.36</v>
      </c>
      <c r="E2490" s="4">
        <v>3888</v>
      </c>
      <c r="F2490" s="4">
        <v>3.36</v>
      </c>
      <c r="G2490" s="4">
        <v>13063.68</v>
      </c>
      <c r="H2490" s="5">
        <f t="shared" si="38"/>
        <v>0</v>
      </c>
    </row>
    <row r="2491" spans="1:8" ht="13.5" x14ac:dyDescent="0.25">
      <c r="A2491" s="1"/>
      <c r="B2491" s="3">
        <v>45931</v>
      </c>
      <c r="C2491" s="4">
        <v>3.35</v>
      </c>
      <c r="D2491" s="4">
        <v>3.35</v>
      </c>
      <c r="E2491" s="4">
        <v>9195</v>
      </c>
      <c r="F2491" s="4">
        <v>3.3540000000000001</v>
      </c>
      <c r="G2491" s="4">
        <v>30840.03</v>
      </c>
      <c r="H2491" s="5">
        <f t="shared" si="38"/>
        <v>-2.9761904761904127E-3</v>
      </c>
    </row>
    <row r="2492" spans="1:8" ht="13.5" x14ac:dyDescent="0.25">
      <c r="A2492" s="1"/>
      <c r="B2492" s="3">
        <v>45932</v>
      </c>
      <c r="C2492" s="4">
        <v>3.2</v>
      </c>
      <c r="D2492" s="4">
        <v>3.2</v>
      </c>
      <c r="E2492" s="4">
        <v>0</v>
      </c>
      <c r="F2492" s="4">
        <v>0</v>
      </c>
      <c r="G2492" s="4">
        <v>0</v>
      </c>
      <c r="H2492" s="5">
        <f t="shared" si="38"/>
        <v>-4.4776119402985044E-2</v>
      </c>
    </row>
    <row r="2493" spans="1:8" ht="13.5" x14ac:dyDescent="0.25">
      <c r="A2493" s="1"/>
      <c r="B2493" s="3">
        <v>45933</v>
      </c>
      <c r="C2493" s="4">
        <v>3.1</v>
      </c>
      <c r="D2493" s="4">
        <v>3.1</v>
      </c>
      <c r="E2493" s="4">
        <v>13373</v>
      </c>
      <c r="F2493" s="4">
        <v>3.1309999999999998</v>
      </c>
      <c r="G2493" s="4">
        <v>41870.862999999998</v>
      </c>
      <c r="H2493" s="5">
        <f t="shared" si="38"/>
        <v>-3.1250000000000028E-2</v>
      </c>
    </row>
    <row r="2494" spans="1:8" ht="13.5" x14ac:dyDescent="0.25">
      <c r="A2494" s="1"/>
      <c r="B2494" s="3">
        <v>45936</v>
      </c>
      <c r="C2494" s="4">
        <v>3.1</v>
      </c>
      <c r="D2494" s="4">
        <v>3.1</v>
      </c>
      <c r="E2494" s="4">
        <v>14039</v>
      </c>
      <c r="F2494" s="4">
        <v>3.1</v>
      </c>
      <c r="G2494" s="4">
        <v>43520.9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3.23</v>
      </c>
      <c r="D2495" s="4">
        <v>3.23</v>
      </c>
      <c r="E2495" s="4">
        <v>6726</v>
      </c>
      <c r="F2495" s="4">
        <v>3.2240000000000002</v>
      </c>
      <c r="G2495" s="4">
        <v>21684.624</v>
      </c>
      <c r="H2495" s="5">
        <f t="shared" si="38"/>
        <v>4.1935483870967703E-2</v>
      </c>
    </row>
    <row r="2496" spans="1:8" ht="13.5" x14ac:dyDescent="0.25">
      <c r="A2496" s="1"/>
      <c r="B2496" s="3">
        <v>45938</v>
      </c>
      <c r="C2496" s="4">
        <v>3.26</v>
      </c>
      <c r="D2496" s="4">
        <v>3.26</v>
      </c>
      <c r="E2496" s="4">
        <v>16734</v>
      </c>
      <c r="F2496" s="4">
        <v>3.298</v>
      </c>
      <c r="G2496" s="4">
        <v>55188.732000000004</v>
      </c>
      <c r="H2496" s="5">
        <f t="shared" si="38"/>
        <v>9.2879256965943662E-3</v>
      </c>
    </row>
    <row r="2497" spans="1:11" ht="13.5" x14ac:dyDescent="0.25">
      <c r="A2497" s="1"/>
      <c r="B2497" s="3">
        <v>45939</v>
      </c>
      <c r="C2497" s="4">
        <v>3.33</v>
      </c>
      <c r="D2497" s="4">
        <v>3.33</v>
      </c>
      <c r="E2497" s="4">
        <v>9816</v>
      </c>
      <c r="F2497" s="4">
        <v>3.3210000000000002</v>
      </c>
      <c r="G2497" s="4">
        <v>32598.936000000002</v>
      </c>
      <c r="H2497" s="5">
        <f t="shared" si="38"/>
        <v>2.1472392638036897E-2</v>
      </c>
    </row>
    <row r="2498" spans="1:11" ht="13.5" x14ac:dyDescent="0.25">
      <c r="A2498" s="1"/>
      <c r="B2498" s="3">
        <v>45940</v>
      </c>
      <c r="C2498" s="4">
        <v>3.31</v>
      </c>
      <c r="D2498" s="4">
        <v>3.31</v>
      </c>
      <c r="E2498" s="4">
        <v>9778</v>
      </c>
      <c r="F2498" s="4">
        <v>3.31</v>
      </c>
      <c r="G2498" s="4">
        <v>32365.18</v>
      </c>
      <c r="H2498" s="5">
        <f t="shared" si="38"/>
        <v>-6.0060060060060112E-3</v>
      </c>
    </row>
    <row r="2499" spans="1:11" ht="13.5" x14ac:dyDescent="0.25">
      <c r="A2499" s="1"/>
      <c r="B2499" s="3">
        <v>45943</v>
      </c>
      <c r="C2499" s="4">
        <v>3.3</v>
      </c>
      <c r="D2499" s="4">
        <v>3.3</v>
      </c>
      <c r="E2499" s="4">
        <v>72598</v>
      </c>
      <c r="F2499" s="4">
        <v>3.3</v>
      </c>
      <c r="G2499" s="4">
        <v>239573.4</v>
      </c>
      <c r="H2499" s="5">
        <f t="shared" si="38"/>
        <v>-3.0211480362538463E-3</v>
      </c>
    </row>
    <row r="2500" spans="1:11" ht="13.5" x14ac:dyDescent="0.25">
      <c r="A2500" s="1"/>
      <c r="B2500" s="3">
        <v>45944</v>
      </c>
      <c r="C2500" s="4">
        <v>3.3</v>
      </c>
      <c r="D2500" s="4">
        <v>3.3</v>
      </c>
      <c r="E2500" s="4">
        <v>3648</v>
      </c>
      <c r="F2500" s="4">
        <v>3.3050000000000002</v>
      </c>
      <c r="G2500" s="4">
        <v>12056.64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3.33</v>
      </c>
      <c r="D2501" s="4">
        <v>3.33</v>
      </c>
      <c r="E2501" s="4">
        <v>1121</v>
      </c>
      <c r="F2501" s="4">
        <v>3.3119999999999998</v>
      </c>
      <c r="G2501" s="4">
        <v>3712.752</v>
      </c>
      <c r="H2501" s="5">
        <f t="shared" si="38"/>
        <v>9.0909090909091668E-3</v>
      </c>
    </row>
    <row r="2502" spans="1:11" ht="13.5" x14ac:dyDescent="0.25">
      <c r="A2502" s="1"/>
      <c r="B2502" s="3">
        <v>45947</v>
      </c>
      <c r="C2502" s="4">
        <v>3.47</v>
      </c>
      <c r="D2502" s="4">
        <v>3.47</v>
      </c>
      <c r="E2502" s="4">
        <v>15459</v>
      </c>
      <c r="F2502" s="4">
        <v>3.43</v>
      </c>
      <c r="G2502" s="4">
        <v>53024.37</v>
      </c>
      <c r="H2502" s="5">
        <f t="shared" si="38"/>
        <v>4.204204204204208E-2</v>
      </c>
    </row>
    <row r="2503" spans="1:11" ht="13.5" x14ac:dyDescent="0.25">
      <c r="A2503" s="1"/>
      <c r="B2503" s="3">
        <v>45950</v>
      </c>
      <c r="C2503" s="4">
        <v>3.42</v>
      </c>
      <c r="D2503" s="4">
        <v>3.42</v>
      </c>
      <c r="E2503" s="4">
        <v>27026</v>
      </c>
      <c r="F2503" s="4">
        <v>3.4889999999999999</v>
      </c>
      <c r="G2503" s="4">
        <v>94293.714000000007</v>
      </c>
      <c r="H2503" s="5">
        <f t="shared" ref="H2503:H2511" si="39">(D2503-D2502)/D2502</f>
        <v>-1.4409221902017367E-2</v>
      </c>
    </row>
    <row r="2504" spans="1:11" ht="13.5" x14ac:dyDescent="0.25">
      <c r="A2504" s="1"/>
      <c r="B2504" s="3">
        <v>45951</v>
      </c>
      <c r="C2504" s="4">
        <v>3.43</v>
      </c>
      <c r="D2504" s="4">
        <v>3.43</v>
      </c>
      <c r="E2504" s="4">
        <v>22265</v>
      </c>
      <c r="F2504" s="4">
        <v>3.43</v>
      </c>
      <c r="G2504" s="4">
        <v>76368.95</v>
      </c>
      <c r="H2504" s="5">
        <f t="shared" si="39"/>
        <v>2.923976608187202E-3</v>
      </c>
    </row>
    <row r="2505" spans="1:11" ht="13.5" x14ac:dyDescent="0.25">
      <c r="A2505" s="1"/>
      <c r="B2505" s="3">
        <v>45952</v>
      </c>
      <c r="C2505" s="4">
        <v>3.41</v>
      </c>
      <c r="D2505" s="4">
        <v>3.41</v>
      </c>
      <c r="E2505" s="4">
        <v>25605</v>
      </c>
      <c r="F2505" s="4">
        <v>3.41</v>
      </c>
      <c r="G2505" s="4">
        <v>87313.05</v>
      </c>
      <c r="H2505" s="5">
        <f t="shared" si="39"/>
        <v>-5.8309037900874687E-3</v>
      </c>
    </row>
    <row r="2506" spans="1:11" ht="13.5" x14ac:dyDescent="0.25">
      <c r="A2506" s="1"/>
      <c r="B2506" s="3">
        <v>45953</v>
      </c>
      <c r="C2506" s="4">
        <v>3.35</v>
      </c>
      <c r="D2506" s="4">
        <v>3.35</v>
      </c>
      <c r="E2506" s="4">
        <v>16523</v>
      </c>
      <c r="F2506" s="4">
        <v>3.3759999999999999</v>
      </c>
      <c r="G2506" s="4">
        <v>55781.648000000001</v>
      </c>
      <c r="H2506" s="5">
        <f t="shared" si="39"/>
        <v>-1.7595307917888579E-2</v>
      </c>
    </row>
    <row r="2507" spans="1:11" ht="13.5" x14ac:dyDescent="0.25">
      <c r="A2507" s="1"/>
      <c r="B2507" s="3">
        <v>45954</v>
      </c>
      <c r="C2507" s="4">
        <v>3.3</v>
      </c>
      <c r="D2507" s="4">
        <v>3.3</v>
      </c>
      <c r="E2507" s="4">
        <v>3599</v>
      </c>
      <c r="F2507" s="4">
        <v>3.3290000000000002</v>
      </c>
      <c r="G2507" s="4">
        <v>11981.071</v>
      </c>
      <c r="H2507" s="5">
        <f t="shared" si="39"/>
        <v>-1.4925373134328438E-2</v>
      </c>
    </row>
    <row r="2508" spans="1:11" ht="13.5" x14ac:dyDescent="0.25">
      <c r="A2508" s="1"/>
      <c r="B2508" s="3">
        <v>45957</v>
      </c>
      <c r="C2508" s="4">
        <v>3.31</v>
      </c>
      <c r="D2508" s="4">
        <v>3.31</v>
      </c>
      <c r="E2508" s="4">
        <v>1915</v>
      </c>
      <c r="F2508" s="4">
        <v>3.31</v>
      </c>
      <c r="G2508" s="4">
        <v>6338.65</v>
      </c>
      <c r="H2508" s="5">
        <f t="shared" si="39"/>
        <v>3.0303030303031006E-3</v>
      </c>
    </row>
    <row r="2509" spans="1:11" ht="13.5" x14ac:dyDescent="0.25">
      <c r="A2509" s="1"/>
      <c r="B2509" s="3">
        <v>45958</v>
      </c>
      <c r="C2509" s="4">
        <v>3.27</v>
      </c>
      <c r="D2509" s="4">
        <v>3.27</v>
      </c>
      <c r="E2509" s="4">
        <v>69517</v>
      </c>
      <c r="F2509" s="4">
        <v>3.2850000000000001</v>
      </c>
      <c r="G2509" s="4">
        <v>228363.345</v>
      </c>
      <c r="H2509" s="5">
        <f t="shared" si="39"/>
        <v>-1.2084592145015116E-2</v>
      </c>
    </row>
    <row r="2510" spans="1:11" ht="13.5" x14ac:dyDescent="0.25">
      <c r="A2510" s="1"/>
      <c r="B2510" s="3">
        <v>45959</v>
      </c>
      <c r="C2510" s="4">
        <v>3.2</v>
      </c>
      <c r="D2510" s="4">
        <v>3.2</v>
      </c>
      <c r="E2510" s="4">
        <v>2951</v>
      </c>
      <c r="F2510" s="4">
        <v>3.2</v>
      </c>
      <c r="G2510" s="4">
        <v>9443.2000000000007</v>
      </c>
      <c r="H2510" s="5">
        <f t="shared" si="39"/>
        <v>-2.1406727828746128E-2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3.11</v>
      </c>
      <c r="D2511" s="4">
        <v>3.11</v>
      </c>
      <c r="E2511" s="4">
        <v>8264</v>
      </c>
      <c r="F2511" s="4">
        <v>3.11</v>
      </c>
      <c r="G2511" s="4">
        <v>25701.040000000001</v>
      </c>
      <c r="H2511" s="5">
        <f t="shared" si="39"/>
        <v>-2.8125000000000094E-2</v>
      </c>
      <c r="I2511" s="12">
        <v>87391790</v>
      </c>
      <c r="J2511" s="8">
        <f>I2511*D2511</f>
        <v>271788466.89999998</v>
      </c>
      <c r="K2511" s="9">
        <f>SUM(E2307:E2511)/205</f>
        <v>15544.248780487806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999013-EE4A-442C-AEA6-201FA8B43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6B3756-AD0B-4C82-B4E9-20AADEA5C27A}">
  <ds:schemaRefs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25c0b43-6af9-4148-8ec1-c95941059438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1B0E236-73EB-47B6-B43A-6F436C4987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2025-11-04T19:35:03Z</dcterms:created>
  <dcterms:modified xsi:type="dcterms:W3CDTF">2025-11-05T05:34:59Z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