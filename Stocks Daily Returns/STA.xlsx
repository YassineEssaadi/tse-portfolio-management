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35F61EEA-117B-4263-9EB8-0455CB0DF489}" xr6:coauthVersionLast="47" xr6:coauthVersionMax="47" xr10:uidLastSave="{00000000-0000-0000-0000-000000000000}"/>
  <bookViews>
    <workbookView xWindow="28680" yWindow="-120" windowWidth="24240" windowHeight="13020" xr2:uid="{964A3D29-0BB8-4557-9610-F28342AD82ED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34" i="1" l="1"/>
  <c r="J934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6" i="1"/>
</calcChain>
</file>

<file path=xl/sharedStrings.xml><?xml version="1.0" encoding="utf-8"?>
<sst xmlns="http://schemas.openxmlformats.org/spreadsheetml/2006/main" count="16" uniqueCount="16">
  <si>
    <t>Titre : STA,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</si>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</sst>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3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2158-7DC3-4ACD-8101-ED00474F7BA6}">
  <dimension ref="A1:K934"/>
  <sheetViews>
    <sheetView showGridLines="0" tabSelected="1" topLeftCell="B904" workbookViewId="0">
      <selection activeCell="I935" sqref="I935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1" t="s">
        <v>0</v>
      </c>
      <c r="C2" s="12"/>
      <c r="D2" s="12"/>
      <c r="E2" s="12"/>
      <c r="F2" s="12"/>
      <c r="G2" s="12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44613</v>
      </c>
      <c r="C5" s="4">
        <v>17</v>
      </c>
      <c r="D5" s="4">
        <v>12.0937</v>
      </c>
      <c r="E5" s="4"/>
      <c r="F5" s="4"/>
      <c r="G5" s="4"/>
      <c r="H5" s="1"/>
    </row>
    <row r="6" spans="1:11" ht="13.5" x14ac:dyDescent="0.25">
      <c r="A6" s="1"/>
      <c r="B6" s="3">
        <v>44614</v>
      </c>
      <c r="C6" s="4">
        <v>17</v>
      </c>
      <c r="D6" s="4">
        <v>12.0937</v>
      </c>
      <c r="E6" s="4"/>
      <c r="F6" s="4"/>
      <c r="G6" s="4"/>
      <c r="H6" s="5">
        <f>(D6-D5)/D5</f>
        <v>0</v>
      </c>
      <c r="J6" t="s">
        <v>8</v>
      </c>
      <c r="K6">
        <v>252</v>
      </c>
    </row>
    <row r="7" spans="1:11" ht="13.5" x14ac:dyDescent="0.25">
      <c r="A7" s="1"/>
      <c r="B7" s="3">
        <v>44615</v>
      </c>
      <c r="C7" s="4">
        <v>17</v>
      </c>
      <c r="D7" s="4">
        <v>12.0937</v>
      </c>
      <c r="E7" s="4"/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44616</v>
      </c>
      <c r="C8" s="4">
        <v>17</v>
      </c>
      <c r="D8" s="4">
        <v>12.0937</v>
      </c>
      <c r="E8" s="4"/>
      <c r="F8" s="4"/>
      <c r="G8" s="4"/>
      <c r="H8" s="5">
        <f t="shared" si="0"/>
        <v>0</v>
      </c>
      <c r="J8" t="s">
        <v>9</v>
      </c>
      <c r="K8" s="6">
        <f>AVERAGE(H6:H934)</f>
        <v>1.2713497861572044E-3</v>
      </c>
    </row>
    <row r="9" spans="1:11" ht="13.5" x14ac:dyDescent="0.25">
      <c r="A9" s="1"/>
      <c r="B9" s="3">
        <v>44617</v>
      </c>
      <c r="C9" s="4">
        <v>17</v>
      </c>
      <c r="D9" s="4">
        <v>12.0937</v>
      </c>
      <c r="E9" s="4"/>
      <c r="F9" s="4"/>
      <c r="G9" s="4"/>
      <c r="H9" s="5">
        <f t="shared" si="0"/>
        <v>0</v>
      </c>
      <c r="J9" t="s">
        <v>10</v>
      </c>
      <c r="K9" s="6">
        <f>K8*K6</f>
        <v>0.32038014611161553</v>
      </c>
    </row>
    <row r="10" spans="1:11" ht="13.5" x14ac:dyDescent="0.25">
      <c r="A10" s="1"/>
      <c r="B10" s="3">
        <v>44620</v>
      </c>
      <c r="C10" s="4">
        <v>17</v>
      </c>
      <c r="D10" s="4">
        <v>12.0937</v>
      </c>
      <c r="E10" s="4"/>
      <c r="F10" s="4"/>
      <c r="G10" s="4"/>
      <c r="H10" s="5">
        <f t="shared" si="0"/>
        <v>0</v>
      </c>
      <c r="J10" t="s">
        <v>11</v>
      </c>
      <c r="K10" s="6">
        <f>STDEV(H6:H934)</f>
        <v>1.6528293710991706E-2</v>
      </c>
    </row>
    <row r="11" spans="1:11" ht="13.5" x14ac:dyDescent="0.25">
      <c r="A11" s="1"/>
      <c r="B11" s="3">
        <v>44621</v>
      </c>
      <c r="C11" s="4">
        <v>17</v>
      </c>
      <c r="D11" s="4">
        <v>12.0937</v>
      </c>
      <c r="E11" s="4"/>
      <c r="F11" s="4"/>
      <c r="G11" s="4"/>
      <c r="H11" s="5">
        <f t="shared" si="0"/>
        <v>0</v>
      </c>
      <c r="J11" t="s">
        <v>12</v>
      </c>
      <c r="K11" s="6">
        <f>K10*SQRT(K6)</f>
        <v>0.26237852853310162</v>
      </c>
    </row>
    <row r="12" spans="1:11" ht="13.5" x14ac:dyDescent="0.25">
      <c r="A12" s="1"/>
      <c r="B12" s="3">
        <v>44622</v>
      </c>
      <c r="C12" s="4">
        <v>17</v>
      </c>
      <c r="D12" s="4">
        <v>12.0937</v>
      </c>
      <c r="E12" s="4"/>
      <c r="F12" s="4"/>
      <c r="G12" s="4"/>
      <c r="H12" s="5">
        <f t="shared" si="0"/>
        <v>0</v>
      </c>
    </row>
    <row r="13" spans="1:11" ht="13.5" x14ac:dyDescent="0.25">
      <c r="A13" s="1"/>
      <c r="B13" s="3">
        <v>44623</v>
      </c>
      <c r="C13" s="4">
        <v>17</v>
      </c>
      <c r="D13" s="4">
        <v>12.0937</v>
      </c>
      <c r="E13" s="4"/>
      <c r="F13" s="4"/>
      <c r="G13" s="4"/>
      <c r="H13" s="5">
        <f t="shared" si="0"/>
        <v>0</v>
      </c>
    </row>
    <row r="14" spans="1:11" ht="13.5" x14ac:dyDescent="0.25">
      <c r="A14" s="1"/>
      <c r="B14" s="3">
        <v>44624</v>
      </c>
      <c r="C14" s="4">
        <v>17</v>
      </c>
      <c r="D14" s="4">
        <v>12.0937</v>
      </c>
      <c r="E14" s="4"/>
      <c r="F14" s="4"/>
      <c r="G14" s="4"/>
      <c r="H14" s="5">
        <f t="shared" si="0"/>
        <v>0</v>
      </c>
    </row>
    <row r="15" spans="1:11" ht="13.5" x14ac:dyDescent="0.25">
      <c r="A15" s="1"/>
      <c r="B15" s="3">
        <v>44627</v>
      </c>
      <c r="C15" s="4">
        <v>17</v>
      </c>
      <c r="D15" s="4">
        <v>12.0937</v>
      </c>
      <c r="E15" s="4"/>
      <c r="F15" s="4"/>
      <c r="G15" s="4"/>
      <c r="H15" s="5">
        <f t="shared" si="0"/>
        <v>0</v>
      </c>
    </row>
    <row r="16" spans="1:11" ht="13.5" x14ac:dyDescent="0.25">
      <c r="A16" s="1"/>
      <c r="B16" s="3">
        <v>44628</v>
      </c>
      <c r="C16" s="4">
        <v>17</v>
      </c>
      <c r="D16" s="4">
        <v>12.0937</v>
      </c>
      <c r="E16" s="4"/>
      <c r="F16" s="4"/>
      <c r="G16" s="4"/>
      <c r="H16" s="5">
        <f t="shared" si="0"/>
        <v>0</v>
      </c>
    </row>
    <row r="17" spans="1:8" ht="13.5" x14ac:dyDescent="0.25">
      <c r="A17" s="1"/>
      <c r="B17" s="3">
        <v>44629</v>
      </c>
      <c r="C17" s="4">
        <v>17</v>
      </c>
      <c r="D17" s="4">
        <v>12.0937</v>
      </c>
      <c r="E17" s="4"/>
      <c r="F17" s="4"/>
      <c r="G17" s="4"/>
      <c r="H17" s="5">
        <f t="shared" si="0"/>
        <v>0</v>
      </c>
    </row>
    <row r="18" spans="1:8" ht="13.5" x14ac:dyDescent="0.25">
      <c r="A18" s="1"/>
      <c r="B18" s="3">
        <v>44630</v>
      </c>
      <c r="C18" s="4">
        <v>17</v>
      </c>
      <c r="D18" s="4">
        <v>12.0937</v>
      </c>
      <c r="E18" s="4"/>
      <c r="F18" s="4"/>
      <c r="G18" s="4"/>
      <c r="H18" s="5">
        <f t="shared" si="0"/>
        <v>0</v>
      </c>
    </row>
    <row r="19" spans="1:8" ht="13.5" x14ac:dyDescent="0.25">
      <c r="A19" s="1"/>
      <c r="B19" s="3">
        <v>44631</v>
      </c>
      <c r="C19" s="4">
        <v>17</v>
      </c>
      <c r="D19" s="4">
        <v>12.0937</v>
      </c>
      <c r="E19" s="4"/>
      <c r="F19" s="4"/>
      <c r="G19" s="4"/>
      <c r="H19" s="5">
        <f t="shared" si="0"/>
        <v>0</v>
      </c>
    </row>
    <row r="20" spans="1:8" ht="13.5" x14ac:dyDescent="0.25">
      <c r="A20" s="1"/>
      <c r="B20" s="3">
        <v>44634</v>
      </c>
      <c r="C20" s="4">
        <v>17</v>
      </c>
      <c r="D20" s="4">
        <v>12.0937</v>
      </c>
      <c r="E20" s="4"/>
      <c r="F20" s="4"/>
      <c r="G20" s="4"/>
      <c r="H20" s="5">
        <f t="shared" si="0"/>
        <v>0</v>
      </c>
    </row>
    <row r="21" spans="1:8" ht="13.5" x14ac:dyDescent="0.25">
      <c r="A21" s="1"/>
      <c r="B21" s="3">
        <v>44635</v>
      </c>
      <c r="C21" s="4">
        <v>17</v>
      </c>
      <c r="D21" s="4">
        <v>12.0937</v>
      </c>
      <c r="E21" s="4"/>
      <c r="F21" s="4"/>
      <c r="G21" s="4"/>
      <c r="H21" s="5">
        <f t="shared" si="0"/>
        <v>0</v>
      </c>
    </row>
    <row r="22" spans="1:8" ht="13.5" x14ac:dyDescent="0.25">
      <c r="A22" s="1"/>
      <c r="B22" s="3">
        <v>44636</v>
      </c>
      <c r="C22" s="4">
        <v>17</v>
      </c>
      <c r="D22" s="4">
        <v>12.0937</v>
      </c>
      <c r="E22" s="4"/>
      <c r="F22" s="4"/>
      <c r="G22" s="4"/>
      <c r="H22" s="5">
        <f t="shared" si="0"/>
        <v>0</v>
      </c>
    </row>
    <row r="23" spans="1:8" ht="13.5" x14ac:dyDescent="0.25">
      <c r="A23" s="1"/>
      <c r="B23" s="3">
        <v>44637</v>
      </c>
      <c r="C23" s="4">
        <v>17.5</v>
      </c>
      <c r="D23" s="4">
        <v>12.449400000000001</v>
      </c>
      <c r="E23" s="4">
        <v>89559</v>
      </c>
      <c r="F23" s="4">
        <v>17.5</v>
      </c>
      <c r="G23" s="4">
        <v>1567282.5</v>
      </c>
      <c r="H23" s="5">
        <f t="shared" si="0"/>
        <v>2.9412007904942288E-2</v>
      </c>
    </row>
    <row r="24" spans="1:8" ht="13.5" x14ac:dyDescent="0.25">
      <c r="A24" s="1"/>
      <c r="B24" s="3">
        <v>44638</v>
      </c>
      <c r="C24" s="4">
        <v>17.5</v>
      </c>
      <c r="D24" s="4">
        <v>12.449400000000001</v>
      </c>
      <c r="E24" s="4">
        <v>31586</v>
      </c>
      <c r="F24" s="4">
        <v>17.382999999999999</v>
      </c>
      <c r="G24" s="4">
        <v>549059.43799999997</v>
      </c>
      <c r="H24" s="5">
        <f t="shared" si="0"/>
        <v>0</v>
      </c>
    </row>
    <row r="25" spans="1:8" ht="13.5" x14ac:dyDescent="0.25">
      <c r="A25" s="1"/>
      <c r="B25" s="3">
        <v>44641</v>
      </c>
      <c r="C25" s="4">
        <v>17.39</v>
      </c>
      <c r="D25" s="4">
        <v>12.3712</v>
      </c>
      <c r="E25" s="4">
        <v>10247</v>
      </c>
      <c r="F25" s="4">
        <v>17.387</v>
      </c>
      <c r="G25" s="4">
        <v>178164.58900000001</v>
      </c>
      <c r="H25" s="5">
        <f t="shared" si="0"/>
        <v>-6.2814272173759948E-3</v>
      </c>
    </row>
    <row r="26" spans="1:8" ht="13.5" x14ac:dyDescent="0.25">
      <c r="A26" s="1"/>
      <c r="B26" s="3">
        <v>44642</v>
      </c>
      <c r="C26" s="4">
        <v>17.100000000000001</v>
      </c>
      <c r="D26" s="4">
        <v>12.164899999999999</v>
      </c>
      <c r="E26" s="4">
        <v>10302</v>
      </c>
      <c r="F26" s="4">
        <v>17.195</v>
      </c>
      <c r="G26" s="4">
        <v>177142.89</v>
      </c>
      <c r="H26" s="5">
        <f t="shared" si="0"/>
        <v>-1.6675827728918829E-2</v>
      </c>
    </row>
    <row r="27" spans="1:8" ht="13.5" x14ac:dyDescent="0.25">
      <c r="A27" s="1"/>
      <c r="B27" s="3">
        <v>44643</v>
      </c>
      <c r="C27" s="4">
        <v>17.149999999999999</v>
      </c>
      <c r="D27" s="4">
        <v>12.2005</v>
      </c>
      <c r="E27" s="4">
        <v>7396</v>
      </c>
      <c r="F27" s="4">
        <v>17.079000000000001</v>
      </c>
      <c r="G27" s="4">
        <v>126316.284</v>
      </c>
      <c r="H27" s="5">
        <f t="shared" si="0"/>
        <v>2.9264523341745942E-3</v>
      </c>
    </row>
    <row r="28" spans="1:8" ht="13.5" x14ac:dyDescent="0.25">
      <c r="A28" s="1"/>
      <c r="B28" s="3">
        <v>44644</v>
      </c>
      <c r="C28" s="4">
        <v>17.399999999999999</v>
      </c>
      <c r="D28" s="4">
        <v>12.378299999999999</v>
      </c>
      <c r="E28" s="4">
        <v>37438</v>
      </c>
      <c r="F28" s="4">
        <v>17.439</v>
      </c>
      <c r="G28" s="4">
        <v>652881.28200000001</v>
      </c>
      <c r="H28" s="5">
        <f t="shared" si="0"/>
        <v>1.4573173230605264E-2</v>
      </c>
    </row>
    <row r="29" spans="1:8" ht="13.5" x14ac:dyDescent="0.25">
      <c r="A29" s="1"/>
      <c r="B29" s="3">
        <v>44645</v>
      </c>
      <c r="C29" s="4">
        <v>18.29</v>
      </c>
      <c r="D29" s="4">
        <v>13.0114</v>
      </c>
      <c r="E29" s="4">
        <v>48029</v>
      </c>
      <c r="F29" s="4">
        <v>18.094999999999999</v>
      </c>
      <c r="G29" s="4">
        <v>869084.755</v>
      </c>
      <c r="H29" s="5">
        <f t="shared" si="0"/>
        <v>5.1145957037719292E-2</v>
      </c>
    </row>
    <row r="30" spans="1:8" ht="13.5" x14ac:dyDescent="0.25">
      <c r="A30" s="1"/>
      <c r="B30" s="3">
        <v>44648</v>
      </c>
      <c r="C30" s="4">
        <v>18.100000000000001</v>
      </c>
      <c r="D30" s="4">
        <v>12.876300000000001</v>
      </c>
      <c r="E30" s="4">
        <v>17722</v>
      </c>
      <c r="F30" s="4">
        <v>18.056000000000001</v>
      </c>
      <c r="G30" s="4">
        <v>319988.43199999997</v>
      </c>
      <c r="H30" s="5">
        <f t="shared" si="0"/>
        <v>-1.0383202422491012E-2</v>
      </c>
    </row>
    <row r="31" spans="1:8" ht="13.5" x14ac:dyDescent="0.25">
      <c r="A31" s="1"/>
      <c r="B31" s="3">
        <v>44649</v>
      </c>
      <c r="C31" s="4">
        <v>18.399999999999999</v>
      </c>
      <c r="D31" s="4">
        <v>13.089700000000001</v>
      </c>
      <c r="E31" s="4">
        <v>16320</v>
      </c>
      <c r="F31" s="4">
        <v>18.201000000000001</v>
      </c>
      <c r="G31" s="4">
        <v>297040.32</v>
      </c>
      <c r="H31" s="5">
        <f t="shared" si="0"/>
        <v>1.6573083882792418E-2</v>
      </c>
    </row>
    <row r="32" spans="1:8" ht="13.5" x14ac:dyDescent="0.25">
      <c r="A32" s="1"/>
      <c r="B32" s="3">
        <v>44650</v>
      </c>
      <c r="C32" s="4">
        <v>18.39</v>
      </c>
      <c r="D32" s="4">
        <v>13.082599999999999</v>
      </c>
      <c r="E32" s="4">
        <v>14612</v>
      </c>
      <c r="F32" s="4">
        <v>18.263999999999999</v>
      </c>
      <c r="G32" s="4">
        <v>266873.56800000003</v>
      </c>
      <c r="H32" s="5">
        <f t="shared" si="0"/>
        <v>-5.4241120881312914E-4</v>
      </c>
    </row>
    <row r="33" spans="1:8" ht="13.5" x14ac:dyDescent="0.25">
      <c r="A33" s="1"/>
      <c r="B33" s="3">
        <v>44651</v>
      </c>
      <c r="C33" s="4">
        <v>18.3</v>
      </c>
      <c r="D33" s="4">
        <v>13.018599999999999</v>
      </c>
      <c r="E33" s="4">
        <v>1538</v>
      </c>
      <c r="F33" s="4">
        <v>18.3</v>
      </c>
      <c r="G33" s="4">
        <v>28145.4</v>
      </c>
      <c r="H33" s="5">
        <f t="shared" si="0"/>
        <v>-4.891993946157496E-3</v>
      </c>
    </row>
    <row r="34" spans="1:8" ht="13.5" x14ac:dyDescent="0.25">
      <c r="A34" s="1"/>
      <c r="B34" s="3">
        <v>44652</v>
      </c>
      <c r="C34" s="4">
        <v>18.2</v>
      </c>
      <c r="D34" s="4">
        <v>12.9474</v>
      </c>
      <c r="E34" s="4">
        <v>181</v>
      </c>
      <c r="F34" s="4">
        <v>18.141999999999999</v>
      </c>
      <c r="G34" s="4">
        <v>3283.7020000000002</v>
      </c>
      <c r="H34" s="5">
        <f t="shared" si="0"/>
        <v>-5.4690980596991436E-3</v>
      </c>
    </row>
    <row r="35" spans="1:8" ht="13.5" x14ac:dyDescent="0.25">
      <c r="A35" s="1"/>
      <c r="B35" s="3">
        <v>44655</v>
      </c>
      <c r="C35" s="4">
        <v>18.2</v>
      </c>
      <c r="D35" s="4">
        <v>12.9474</v>
      </c>
      <c r="E35" s="4">
        <v>1104</v>
      </c>
      <c r="F35" s="4">
        <v>18.190999999999999</v>
      </c>
      <c r="G35" s="4">
        <v>20082.864000000001</v>
      </c>
      <c r="H35" s="5">
        <f t="shared" si="0"/>
        <v>0</v>
      </c>
    </row>
    <row r="36" spans="1:8" ht="13.5" x14ac:dyDescent="0.25">
      <c r="A36" s="1"/>
      <c r="B36" s="3">
        <v>44656</v>
      </c>
      <c r="C36" s="4">
        <v>18.2</v>
      </c>
      <c r="D36" s="4">
        <v>12.9474</v>
      </c>
      <c r="E36" s="4">
        <v>2280</v>
      </c>
      <c r="F36" s="4">
        <v>18.032</v>
      </c>
      <c r="G36" s="4">
        <v>41112.959999999999</v>
      </c>
      <c r="H36" s="5">
        <f t="shared" si="0"/>
        <v>0</v>
      </c>
    </row>
    <row r="37" spans="1:8" ht="13.5" x14ac:dyDescent="0.25">
      <c r="A37" s="1"/>
      <c r="B37" s="3">
        <v>44657</v>
      </c>
      <c r="C37" s="4">
        <v>18.100000000000001</v>
      </c>
      <c r="D37" s="4">
        <v>12.876300000000001</v>
      </c>
      <c r="E37" s="4">
        <v>5778</v>
      </c>
      <c r="F37" s="4">
        <v>18.027000000000001</v>
      </c>
      <c r="G37" s="4">
        <v>104160.00599999999</v>
      </c>
      <c r="H37" s="5">
        <f t="shared" si="0"/>
        <v>-5.491450020853569E-3</v>
      </c>
    </row>
    <row r="38" spans="1:8" ht="13.5" x14ac:dyDescent="0.25">
      <c r="A38" s="1"/>
      <c r="B38" s="3">
        <v>44658</v>
      </c>
      <c r="C38" s="4">
        <v>18</v>
      </c>
      <c r="D38" s="4">
        <v>12.805099999999999</v>
      </c>
      <c r="E38" s="4">
        <v>4149</v>
      </c>
      <c r="F38" s="4">
        <v>18.036999999999999</v>
      </c>
      <c r="G38" s="4">
        <v>74835.513000000006</v>
      </c>
      <c r="H38" s="5">
        <f t="shared" si="0"/>
        <v>-5.5295387650179818E-3</v>
      </c>
    </row>
    <row r="39" spans="1:8" ht="13.5" x14ac:dyDescent="0.25">
      <c r="A39" s="1"/>
      <c r="B39" s="3">
        <v>44659</v>
      </c>
      <c r="C39" s="4">
        <v>18.100000000000001</v>
      </c>
      <c r="D39" s="4">
        <v>12.876300000000001</v>
      </c>
      <c r="E39" s="4">
        <v>4992</v>
      </c>
      <c r="F39" s="4">
        <v>17.989000000000001</v>
      </c>
      <c r="G39" s="4">
        <v>89801.088000000003</v>
      </c>
      <c r="H39" s="5">
        <f t="shared" si="0"/>
        <v>5.5602845741150823E-3</v>
      </c>
    </row>
    <row r="40" spans="1:8" ht="13.5" x14ac:dyDescent="0.25">
      <c r="A40" s="1"/>
      <c r="B40" s="3">
        <v>44662</v>
      </c>
      <c r="C40" s="4">
        <v>18</v>
      </c>
      <c r="D40" s="4">
        <v>12.805099999999999</v>
      </c>
      <c r="E40" s="4">
        <v>1657</v>
      </c>
      <c r="F40" s="4">
        <v>17.96</v>
      </c>
      <c r="G40" s="4">
        <v>29759.72</v>
      </c>
      <c r="H40" s="5">
        <f t="shared" si="0"/>
        <v>-5.5295387650179818E-3</v>
      </c>
    </row>
    <row r="41" spans="1:8" ht="13.5" x14ac:dyDescent="0.25">
      <c r="A41" s="1"/>
      <c r="B41" s="3">
        <v>44663</v>
      </c>
      <c r="C41" s="4">
        <v>18</v>
      </c>
      <c r="D41" s="4">
        <v>12.805099999999999</v>
      </c>
      <c r="E41" s="4">
        <v>4476</v>
      </c>
      <c r="F41" s="4">
        <v>18.004999999999999</v>
      </c>
      <c r="G41" s="4">
        <v>80590.38</v>
      </c>
      <c r="H41" s="5">
        <f t="shared" si="0"/>
        <v>0</v>
      </c>
    </row>
    <row r="42" spans="1:8" ht="13.5" x14ac:dyDescent="0.25">
      <c r="A42" s="1"/>
      <c r="B42" s="3">
        <v>44664</v>
      </c>
      <c r="C42" s="4">
        <v>18</v>
      </c>
      <c r="D42" s="4">
        <v>12.805099999999999</v>
      </c>
      <c r="E42" s="4">
        <v>7107</v>
      </c>
      <c r="F42" s="4">
        <v>18</v>
      </c>
      <c r="G42" s="4">
        <v>127926</v>
      </c>
      <c r="H42" s="5">
        <f t="shared" si="0"/>
        <v>0</v>
      </c>
    </row>
    <row r="43" spans="1:8" ht="13.5" x14ac:dyDescent="0.25">
      <c r="A43" s="1"/>
      <c r="B43" s="3">
        <v>44665</v>
      </c>
      <c r="C43" s="4">
        <v>18.12</v>
      </c>
      <c r="D43" s="4">
        <v>12.890499999999999</v>
      </c>
      <c r="E43" s="4">
        <v>1780</v>
      </c>
      <c r="F43" s="4">
        <v>18.056999999999999</v>
      </c>
      <c r="G43" s="4">
        <v>32141.46</v>
      </c>
      <c r="H43" s="5">
        <f t="shared" si="0"/>
        <v>6.6692177335592791E-3</v>
      </c>
    </row>
    <row r="44" spans="1:8" ht="13.5" x14ac:dyDescent="0.25">
      <c r="A44" s="1"/>
      <c r="B44" s="3">
        <v>44666</v>
      </c>
      <c r="C44" s="4">
        <v>18.079999999999998</v>
      </c>
      <c r="D44" s="4">
        <v>12.8621</v>
      </c>
      <c r="E44" s="4">
        <v>7343</v>
      </c>
      <c r="F44" s="4">
        <v>18.018000000000001</v>
      </c>
      <c r="G44" s="4">
        <v>132306.174</v>
      </c>
      <c r="H44" s="5">
        <f t="shared" si="0"/>
        <v>-2.2031728792521266E-3</v>
      </c>
    </row>
    <row r="45" spans="1:8" ht="13.5" x14ac:dyDescent="0.25">
      <c r="A45" s="1"/>
      <c r="B45" s="3">
        <v>44669</v>
      </c>
      <c r="C45" s="4">
        <v>18.420000000000002</v>
      </c>
      <c r="D45" s="4">
        <v>13.103899999999999</v>
      </c>
      <c r="E45" s="4">
        <v>9492</v>
      </c>
      <c r="F45" s="4">
        <v>18.303999999999998</v>
      </c>
      <c r="G45" s="4">
        <v>173741.568</v>
      </c>
      <c r="H45" s="5">
        <f t="shared" si="0"/>
        <v>1.8799418446443394E-2</v>
      </c>
    </row>
    <row r="46" spans="1:8" ht="13.5" x14ac:dyDescent="0.25">
      <c r="A46" s="1"/>
      <c r="B46" s="3">
        <v>44670</v>
      </c>
      <c r="C46" s="4">
        <v>18.12</v>
      </c>
      <c r="D46" s="4">
        <v>12.890499999999999</v>
      </c>
      <c r="E46" s="4">
        <v>8017</v>
      </c>
      <c r="F46" s="4">
        <v>18.27</v>
      </c>
      <c r="G46" s="4">
        <v>146470.59</v>
      </c>
      <c r="H46" s="5">
        <f t="shared" si="0"/>
        <v>-1.6285228061874713E-2</v>
      </c>
    </row>
    <row r="47" spans="1:8" ht="13.5" x14ac:dyDescent="0.25">
      <c r="A47" s="1"/>
      <c r="B47" s="3">
        <v>44671</v>
      </c>
      <c r="C47" s="4">
        <v>18.2</v>
      </c>
      <c r="D47" s="4">
        <v>12.9474</v>
      </c>
      <c r="E47" s="4">
        <v>5634</v>
      </c>
      <c r="F47" s="4">
        <v>18.202999999999999</v>
      </c>
      <c r="G47" s="4">
        <v>102555.702</v>
      </c>
      <c r="H47" s="5">
        <f t="shared" si="0"/>
        <v>4.4141034094876555E-3</v>
      </c>
    </row>
    <row r="48" spans="1:8" ht="13.5" x14ac:dyDescent="0.25">
      <c r="A48" s="1"/>
      <c r="B48" s="3">
        <v>44672</v>
      </c>
      <c r="C48" s="4">
        <v>18</v>
      </c>
      <c r="D48" s="4">
        <v>12.805099999999999</v>
      </c>
      <c r="E48" s="4">
        <v>7302</v>
      </c>
      <c r="F48" s="4">
        <v>18.068999999999999</v>
      </c>
      <c r="G48" s="4">
        <v>131939.83799999999</v>
      </c>
      <c r="H48" s="5">
        <f t="shared" si="0"/>
        <v>-1.0990623600105082E-2</v>
      </c>
    </row>
    <row r="49" spans="1:8" ht="13.5" x14ac:dyDescent="0.25">
      <c r="A49" s="1"/>
      <c r="B49" s="3">
        <v>44673</v>
      </c>
      <c r="C49" s="4">
        <v>18.100000000000001</v>
      </c>
      <c r="D49" s="4">
        <v>12.876300000000001</v>
      </c>
      <c r="E49" s="4">
        <v>2255</v>
      </c>
      <c r="F49" s="4">
        <v>18.151</v>
      </c>
      <c r="G49" s="4">
        <v>40930.504999999997</v>
      </c>
      <c r="H49" s="5">
        <f t="shared" si="0"/>
        <v>5.5602845741150823E-3</v>
      </c>
    </row>
    <row r="50" spans="1:8" ht="13.5" x14ac:dyDescent="0.25">
      <c r="A50" s="1"/>
      <c r="B50" s="3">
        <v>44676</v>
      </c>
      <c r="C50" s="4">
        <v>18.100000000000001</v>
      </c>
      <c r="D50" s="4">
        <v>12.876300000000001</v>
      </c>
      <c r="E50" s="4">
        <v>1954</v>
      </c>
      <c r="F50" s="4">
        <v>18.052</v>
      </c>
      <c r="G50" s="4">
        <v>35273.608</v>
      </c>
      <c r="H50" s="5">
        <f t="shared" si="0"/>
        <v>0</v>
      </c>
    </row>
    <row r="51" spans="1:8" ht="13.5" x14ac:dyDescent="0.25">
      <c r="A51" s="1"/>
      <c r="B51" s="3">
        <v>44677</v>
      </c>
      <c r="C51" s="4">
        <v>18.100000000000001</v>
      </c>
      <c r="D51" s="4">
        <v>12.876300000000001</v>
      </c>
      <c r="E51" s="4">
        <v>3028</v>
      </c>
      <c r="F51" s="4">
        <v>18.032</v>
      </c>
      <c r="G51" s="4">
        <v>54600.896000000001</v>
      </c>
      <c r="H51" s="5">
        <f t="shared" si="0"/>
        <v>0</v>
      </c>
    </row>
    <row r="52" spans="1:8" ht="13.5" x14ac:dyDescent="0.25">
      <c r="A52" s="1"/>
      <c r="B52" s="3">
        <v>44678</v>
      </c>
      <c r="C52" s="4">
        <v>18.100000000000001</v>
      </c>
      <c r="D52" s="4">
        <v>12.876300000000001</v>
      </c>
      <c r="E52" s="4">
        <v>4721</v>
      </c>
      <c r="F52" s="4">
        <v>18.068000000000001</v>
      </c>
      <c r="G52" s="4">
        <v>85299.028000000006</v>
      </c>
      <c r="H52" s="5">
        <f t="shared" si="0"/>
        <v>0</v>
      </c>
    </row>
    <row r="53" spans="1:8" ht="13.5" x14ac:dyDescent="0.25">
      <c r="A53" s="1"/>
      <c r="B53" s="3">
        <v>44679</v>
      </c>
      <c r="C53" s="4">
        <v>18.100000000000001</v>
      </c>
      <c r="D53" s="4">
        <v>12.876300000000001</v>
      </c>
      <c r="E53" s="4">
        <v>4962</v>
      </c>
      <c r="F53" s="4">
        <v>18.045000000000002</v>
      </c>
      <c r="G53" s="4">
        <v>89539.29</v>
      </c>
      <c r="H53" s="5">
        <f t="shared" si="0"/>
        <v>0</v>
      </c>
    </row>
    <row r="54" spans="1:8" ht="13.5" x14ac:dyDescent="0.25">
      <c r="A54" s="1"/>
      <c r="B54" s="3">
        <v>44680</v>
      </c>
      <c r="C54" s="4">
        <v>18.100000000000001</v>
      </c>
      <c r="D54" s="4">
        <v>12.876300000000001</v>
      </c>
      <c r="E54" s="4">
        <v>1370</v>
      </c>
      <c r="F54" s="4">
        <v>18.030999999999999</v>
      </c>
      <c r="G54" s="4">
        <v>24702.47</v>
      </c>
      <c r="H54" s="5">
        <f t="shared" si="0"/>
        <v>0</v>
      </c>
    </row>
    <row r="55" spans="1:8" ht="13.5" x14ac:dyDescent="0.25">
      <c r="A55" s="1"/>
      <c r="B55" s="3">
        <v>44685</v>
      </c>
      <c r="C55" s="4">
        <v>18.100000000000001</v>
      </c>
      <c r="D55" s="4">
        <v>12.876300000000001</v>
      </c>
      <c r="E55" s="4">
        <v>2909</v>
      </c>
      <c r="F55" s="4">
        <v>18.061</v>
      </c>
      <c r="G55" s="4">
        <v>52539.449000000001</v>
      </c>
      <c r="H55" s="5">
        <f t="shared" si="0"/>
        <v>0</v>
      </c>
    </row>
    <row r="56" spans="1:8" ht="13.5" x14ac:dyDescent="0.25">
      <c r="A56" s="1"/>
      <c r="B56" s="3">
        <v>44686</v>
      </c>
      <c r="C56" s="4">
        <v>18.5</v>
      </c>
      <c r="D56" s="4">
        <v>13.1608</v>
      </c>
      <c r="E56" s="4">
        <v>6959</v>
      </c>
      <c r="F56" s="4">
        <v>18.209</v>
      </c>
      <c r="G56" s="4">
        <v>126716.431</v>
      </c>
      <c r="H56" s="5">
        <f t="shared" si="0"/>
        <v>2.2094856441679637E-2</v>
      </c>
    </row>
    <row r="57" spans="1:8" ht="13.5" x14ac:dyDescent="0.25">
      <c r="A57" s="1"/>
      <c r="B57" s="3">
        <v>44687</v>
      </c>
      <c r="C57" s="4">
        <v>18.84</v>
      </c>
      <c r="D57" s="4">
        <v>13.402699999999999</v>
      </c>
      <c r="E57" s="4">
        <v>14078</v>
      </c>
      <c r="F57" s="4">
        <v>18.646999999999998</v>
      </c>
      <c r="G57" s="4">
        <v>262512.46600000001</v>
      </c>
      <c r="H57" s="5">
        <f t="shared" si="0"/>
        <v>1.8380341620570128E-2</v>
      </c>
    </row>
    <row r="58" spans="1:8" ht="13.5" x14ac:dyDescent="0.25">
      <c r="A58" s="1"/>
      <c r="B58" s="3">
        <v>44690</v>
      </c>
      <c r="C58" s="4">
        <v>18.8</v>
      </c>
      <c r="D58" s="4">
        <v>13.3743</v>
      </c>
      <c r="E58" s="4">
        <v>5525</v>
      </c>
      <c r="F58" s="4">
        <v>18.754000000000001</v>
      </c>
      <c r="G58" s="4">
        <v>103615.85</v>
      </c>
      <c r="H58" s="5">
        <f t="shared" si="0"/>
        <v>-2.118976027218362E-3</v>
      </c>
    </row>
    <row r="59" spans="1:8" ht="13.5" x14ac:dyDescent="0.25">
      <c r="A59" s="1"/>
      <c r="B59" s="3">
        <v>44691</v>
      </c>
      <c r="C59" s="4">
        <v>18.899999999999999</v>
      </c>
      <c r="D59" s="4">
        <v>13.445399999999999</v>
      </c>
      <c r="E59" s="4">
        <v>7004</v>
      </c>
      <c r="F59" s="4">
        <v>18.827000000000002</v>
      </c>
      <c r="G59" s="4">
        <v>131864.30799999999</v>
      </c>
      <c r="H59" s="5">
        <f t="shared" si="0"/>
        <v>5.3161660797200229E-3</v>
      </c>
    </row>
    <row r="60" spans="1:8" ht="13.5" x14ac:dyDescent="0.25">
      <c r="A60" s="1"/>
      <c r="B60" s="3">
        <v>44692</v>
      </c>
      <c r="C60" s="4">
        <v>19</v>
      </c>
      <c r="D60" s="4">
        <v>13.516500000000001</v>
      </c>
      <c r="E60" s="4">
        <v>10352</v>
      </c>
      <c r="F60" s="4">
        <v>18.914999999999999</v>
      </c>
      <c r="G60" s="4">
        <v>195808.08</v>
      </c>
      <c r="H60" s="5">
        <f t="shared" si="0"/>
        <v>5.2880539069124965E-3</v>
      </c>
    </row>
    <row r="61" spans="1:8" ht="13.5" x14ac:dyDescent="0.25">
      <c r="A61" s="1"/>
      <c r="B61" s="3">
        <v>44693</v>
      </c>
      <c r="C61" s="4">
        <v>19</v>
      </c>
      <c r="D61" s="4">
        <v>13.516500000000001</v>
      </c>
      <c r="E61" s="4">
        <v>3996</v>
      </c>
      <c r="F61" s="4">
        <v>18.896999999999998</v>
      </c>
      <c r="G61" s="4">
        <v>75512.411999999997</v>
      </c>
      <c r="H61" s="5">
        <f t="shared" si="0"/>
        <v>0</v>
      </c>
    </row>
    <row r="62" spans="1:8" ht="13.5" x14ac:dyDescent="0.25">
      <c r="A62" s="1"/>
      <c r="B62" s="3">
        <v>44694</v>
      </c>
      <c r="C62" s="4">
        <v>19.489999999999998</v>
      </c>
      <c r="D62" s="4">
        <v>13.8651</v>
      </c>
      <c r="E62" s="4">
        <v>6113</v>
      </c>
      <c r="F62" s="4">
        <v>19.177</v>
      </c>
      <c r="G62" s="4">
        <v>117229.001</v>
      </c>
      <c r="H62" s="5">
        <f t="shared" si="0"/>
        <v>2.5790700255243541E-2</v>
      </c>
    </row>
    <row r="63" spans="1:8" ht="13.5" x14ac:dyDescent="0.25">
      <c r="A63" s="1"/>
      <c r="B63" s="3">
        <v>44697</v>
      </c>
      <c r="C63" s="4">
        <v>19.59</v>
      </c>
      <c r="D63" s="4">
        <v>13.936299999999999</v>
      </c>
      <c r="E63" s="4">
        <v>7734</v>
      </c>
      <c r="F63" s="4">
        <v>19.510999999999999</v>
      </c>
      <c r="G63" s="4">
        <v>150898.07399999999</v>
      </c>
      <c r="H63" s="5">
        <f t="shared" si="0"/>
        <v>5.1351955629601849E-3</v>
      </c>
    </row>
    <row r="64" spans="1:8" ht="13.5" x14ac:dyDescent="0.25">
      <c r="A64" s="1"/>
      <c r="B64" s="3">
        <v>44698</v>
      </c>
      <c r="C64" s="4">
        <v>19.97</v>
      </c>
      <c r="D64" s="4">
        <v>14.2066</v>
      </c>
      <c r="E64" s="4">
        <v>10532</v>
      </c>
      <c r="F64" s="4">
        <v>19.757000000000001</v>
      </c>
      <c r="G64" s="4">
        <v>208080.72399999999</v>
      </c>
      <c r="H64" s="5">
        <f t="shared" si="0"/>
        <v>1.9395391890243512E-2</v>
      </c>
    </row>
    <row r="65" spans="1:8" ht="13.5" x14ac:dyDescent="0.25">
      <c r="A65" s="1"/>
      <c r="B65" s="3">
        <v>44699</v>
      </c>
      <c r="C65" s="4">
        <v>20.399999999999999</v>
      </c>
      <c r="D65" s="4">
        <v>14.512499999999999</v>
      </c>
      <c r="E65" s="4">
        <v>4804</v>
      </c>
      <c r="F65" s="4">
        <v>19.981999999999999</v>
      </c>
      <c r="G65" s="4">
        <v>95993.528000000006</v>
      </c>
      <c r="H65" s="5">
        <f t="shared" si="0"/>
        <v>2.1532245575999844E-2</v>
      </c>
    </row>
    <row r="66" spans="1:8" ht="13.5" x14ac:dyDescent="0.25">
      <c r="A66" s="1"/>
      <c r="B66" s="3">
        <v>44700</v>
      </c>
      <c r="C66" s="4">
        <v>20.3</v>
      </c>
      <c r="D66" s="4">
        <v>14.4414</v>
      </c>
      <c r="E66" s="4">
        <v>4038</v>
      </c>
      <c r="F66" s="4">
        <v>20.198</v>
      </c>
      <c r="G66" s="4">
        <v>81559.524000000005</v>
      </c>
      <c r="H66" s="5">
        <f t="shared" si="0"/>
        <v>-4.8992248062015159E-3</v>
      </c>
    </row>
    <row r="67" spans="1:8" ht="13.5" x14ac:dyDescent="0.25">
      <c r="A67" s="1"/>
      <c r="B67" s="3">
        <v>44701</v>
      </c>
      <c r="C67" s="4">
        <v>19.989999999999998</v>
      </c>
      <c r="D67" s="4">
        <v>14.220800000000001</v>
      </c>
      <c r="E67" s="4">
        <v>1808</v>
      </c>
      <c r="F67" s="4">
        <v>19.847999999999999</v>
      </c>
      <c r="G67" s="4">
        <v>35885.184000000001</v>
      </c>
      <c r="H67" s="5">
        <f t="shared" si="0"/>
        <v>-1.5275527303446982E-2</v>
      </c>
    </row>
    <row r="68" spans="1:8" ht="13.5" x14ac:dyDescent="0.25">
      <c r="A68" s="1"/>
      <c r="B68" s="3">
        <v>44704</v>
      </c>
      <c r="C68" s="4">
        <v>19.98</v>
      </c>
      <c r="D68" s="4">
        <v>14.213699999999999</v>
      </c>
      <c r="E68" s="4">
        <v>2463</v>
      </c>
      <c r="F68" s="4">
        <v>19.806999999999999</v>
      </c>
      <c r="G68" s="4">
        <v>48784.641000000003</v>
      </c>
      <c r="H68" s="5">
        <f t="shared" si="0"/>
        <v>-4.9926867686777231E-4</v>
      </c>
    </row>
    <row r="69" spans="1:8" ht="13.5" x14ac:dyDescent="0.25">
      <c r="A69" s="1"/>
      <c r="B69" s="3">
        <v>44705</v>
      </c>
      <c r="C69" s="4">
        <v>19.89</v>
      </c>
      <c r="D69" s="4">
        <v>14.149699999999999</v>
      </c>
      <c r="E69" s="4">
        <v>484</v>
      </c>
      <c r="F69" s="4">
        <v>19.907</v>
      </c>
      <c r="G69" s="4">
        <v>9634.9879999999994</v>
      </c>
      <c r="H69" s="5">
        <f t="shared" si="0"/>
        <v>-4.5026981011277896E-3</v>
      </c>
    </row>
    <row r="70" spans="1:8" ht="13.5" x14ac:dyDescent="0.25">
      <c r="A70" s="1"/>
      <c r="B70" s="3">
        <v>44706</v>
      </c>
      <c r="C70" s="4">
        <v>19.95</v>
      </c>
      <c r="D70" s="4">
        <v>14.192399999999999</v>
      </c>
      <c r="E70" s="4">
        <v>3106</v>
      </c>
      <c r="F70" s="4">
        <v>19.928000000000001</v>
      </c>
      <c r="G70" s="4">
        <v>61896.368000000002</v>
      </c>
      <c r="H70" s="5">
        <f t="shared" si="0"/>
        <v>3.0177318247029948E-3</v>
      </c>
    </row>
    <row r="71" spans="1:8" ht="13.5" x14ac:dyDescent="0.25">
      <c r="A71" s="1"/>
      <c r="B71" s="3">
        <v>44707</v>
      </c>
      <c r="C71" s="4">
        <v>20</v>
      </c>
      <c r="D71" s="4">
        <v>14.2279</v>
      </c>
      <c r="E71" s="4">
        <v>23842</v>
      </c>
      <c r="F71" s="4">
        <v>19.952999999999999</v>
      </c>
      <c r="G71" s="4">
        <v>475719.42599999998</v>
      </c>
      <c r="H71" s="5">
        <f t="shared" ref="H71:H134" si="1">(D71-D70)/D70</f>
        <v>2.5013387446803045E-3</v>
      </c>
    </row>
    <row r="72" spans="1:8" ht="13.5" x14ac:dyDescent="0.25">
      <c r="A72" s="1"/>
      <c r="B72" s="3">
        <v>44708</v>
      </c>
      <c r="C72" s="4">
        <v>20.190000000000001</v>
      </c>
      <c r="D72" s="4">
        <v>14.363099999999999</v>
      </c>
      <c r="E72" s="4">
        <v>4704</v>
      </c>
      <c r="F72" s="4">
        <v>20.103999999999999</v>
      </c>
      <c r="G72" s="4">
        <v>94569.216</v>
      </c>
      <c r="H72" s="5">
        <f t="shared" si="1"/>
        <v>9.5024564412175602E-3</v>
      </c>
    </row>
    <row r="73" spans="1:8" ht="13.5" x14ac:dyDescent="0.25">
      <c r="A73" s="1"/>
      <c r="B73" s="3">
        <v>44711</v>
      </c>
      <c r="C73" s="4">
        <v>20</v>
      </c>
      <c r="D73" s="4">
        <v>14.2279</v>
      </c>
      <c r="E73" s="4">
        <v>2652</v>
      </c>
      <c r="F73" s="4">
        <v>20.077999999999999</v>
      </c>
      <c r="G73" s="4">
        <v>53246.856</v>
      </c>
      <c r="H73" s="5">
        <f t="shared" si="1"/>
        <v>-9.4130097263125188E-3</v>
      </c>
    </row>
    <row r="74" spans="1:8" ht="13.5" x14ac:dyDescent="0.25">
      <c r="A74" s="1"/>
      <c r="B74" s="3">
        <v>44712</v>
      </c>
      <c r="C74" s="4">
        <v>19.899999999999999</v>
      </c>
      <c r="D74" s="4">
        <v>14.1568</v>
      </c>
      <c r="E74" s="4">
        <v>50</v>
      </c>
      <c r="F74" s="4">
        <v>19.899999999999999</v>
      </c>
      <c r="G74" s="4">
        <v>995</v>
      </c>
      <c r="H74" s="5">
        <f t="shared" si="1"/>
        <v>-4.9972237645752003E-3</v>
      </c>
    </row>
    <row r="75" spans="1:8" ht="13.5" x14ac:dyDescent="0.25">
      <c r="A75" s="1"/>
      <c r="B75" s="3">
        <v>44713</v>
      </c>
      <c r="C75" s="4">
        <v>19.97</v>
      </c>
      <c r="D75" s="4">
        <v>14.2066</v>
      </c>
      <c r="E75" s="4">
        <v>1306</v>
      </c>
      <c r="F75" s="4">
        <v>19.931999999999999</v>
      </c>
      <c r="G75" s="4">
        <v>26031.191999999999</v>
      </c>
      <c r="H75" s="5">
        <f t="shared" si="1"/>
        <v>3.5177441229655997E-3</v>
      </c>
    </row>
    <row r="76" spans="1:8" ht="13.5" x14ac:dyDescent="0.25">
      <c r="A76" s="1"/>
      <c r="B76" s="3">
        <v>44714</v>
      </c>
      <c r="C76" s="4">
        <v>19.97</v>
      </c>
      <c r="D76" s="4">
        <v>14.2066</v>
      </c>
      <c r="E76" s="4">
        <v>1943</v>
      </c>
      <c r="F76" s="4">
        <v>19.472999999999999</v>
      </c>
      <c r="G76" s="4">
        <v>37836.038999999997</v>
      </c>
      <c r="H76" s="5">
        <f t="shared" si="1"/>
        <v>0</v>
      </c>
    </row>
    <row r="77" spans="1:8" ht="13.5" x14ac:dyDescent="0.25">
      <c r="A77" s="1"/>
      <c r="B77" s="3">
        <v>44715</v>
      </c>
      <c r="C77" s="4">
        <v>19.899999999999999</v>
      </c>
      <c r="D77" s="4">
        <v>14.1568</v>
      </c>
      <c r="E77" s="4">
        <v>1801</v>
      </c>
      <c r="F77" s="4">
        <v>19.683</v>
      </c>
      <c r="G77" s="4">
        <v>35449.082999999999</v>
      </c>
      <c r="H77" s="5">
        <f t="shared" si="1"/>
        <v>-3.505412977066955E-3</v>
      </c>
    </row>
    <row r="78" spans="1:8" ht="13.5" x14ac:dyDescent="0.25">
      <c r="A78" s="1"/>
      <c r="B78" s="3">
        <v>44718</v>
      </c>
      <c r="C78" s="4">
        <v>19.899999999999999</v>
      </c>
      <c r="D78" s="4">
        <v>14.1568</v>
      </c>
      <c r="E78" s="4">
        <v>32494</v>
      </c>
      <c r="F78" s="4">
        <v>19.899999999999999</v>
      </c>
      <c r="G78" s="4">
        <v>646630.6</v>
      </c>
      <c r="H78" s="5">
        <f t="shared" si="1"/>
        <v>0</v>
      </c>
    </row>
    <row r="79" spans="1:8" ht="13.5" x14ac:dyDescent="0.25">
      <c r="A79" s="1"/>
      <c r="B79" s="3">
        <v>44719</v>
      </c>
      <c r="C79" s="4">
        <v>19.600000000000001</v>
      </c>
      <c r="D79" s="4">
        <v>13.9434</v>
      </c>
      <c r="E79" s="4">
        <v>6385</v>
      </c>
      <c r="F79" s="4">
        <v>19.663</v>
      </c>
      <c r="G79" s="4">
        <v>125548.255</v>
      </c>
      <c r="H79" s="5">
        <f t="shared" si="1"/>
        <v>-1.5074028028933094E-2</v>
      </c>
    </row>
    <row r="80" spans="1:8" ht="13.5" x14ac:dyDescent="0.25">
      <c r="A80" s="1"/>
      <c r="B80" s="3">
        <v>44720</v>
      </c>
      <c r="C80" s="4">
        <v>19.95</v>
      </c>
      <c r="D80" s="4">
        <v>14.192399999999999</v>
      </c>
      <c r="E80" s="4">
        <v>13279</v>
      </c>
      <c r="F80" s="4">
        <v>19.78</v>
      </c>
      <c r="G80" s="4">
        <v>262658.62</v>
      </c>
      <c r="H80" s="5">
        <f t="shared" si="1"/>
        <v>1.7857911269848013E-2</v>
      </c>
    </row>
    <row r="81" spans="1:8" ht="13.5" x14ac:dyDescent="0.25">
      <c r="A81" s="1"/>
      <c r="B81" s="3">
        <v>44721</v>
      </c>
      <c r="C81" s="4">
        <v>18.09</v>
      </c>
      <c r="D81" s="4">
        <v>14.3325</v>
      </c>
      <c r="E81" s="4">
        <v>7371</v>
      </c>
      <c r="F81" s="4">
        <v>18.202999999999999</v>
      </c>
      <c r="G81" s="4">
        <v>134174.31299999999</v>
      </c>
      <c r="H81" s="5">
        <f t="shared" si="1"/>
        <v>9.8714805106958903E-3</v>
      </c>
    </row>
    <row r="82" spans="1:8" ht="13.5" x14ac:dyDescent="0.25">
      <c r="A82" s="1"/>
      <c r="B82" s="3">
        <v>44722</v>
      </c>
      <c r="C82" s="4">
        <v>18.100000000000001</v>
      </c>
      <c r="D82" s="4">
        <v>14.340400000000001</v>
      </c>
      <c r="E82" s="4">
        <v>4628</v>
      </c>
      <c r="F82" s="4">
        <v>18.033999999999999</v>
      </c>
      <c r="G82" s="4">
        <v>83461.351999999999</v>
      </c>
      <c r="H82" s="5">
        <f t="shared" si="1"/>
        <v>5.5119483690920141E-4</v>
      </c>
    </row>
    <row r="83" spans="1:8" ht="13.5" x14ac:dyDescent="0.25">
      <c r="A83" s="1"/>
      <c r="B83" s="3">
        <v>44725</v>
      </c>
      <c r="C83" s="4">
        <v>18</v>
      </c>
      <c r="D83" s="4">
        <v>14.261200000000001</v>
      </c>
      <c r="E83" s="4">
        <v>4152</v>
      </c>
      <c r="F83" s="4">
        <v>18.09</v>
      </c>
      <c r="G83" s="4">
        <v>75109.679999999993</v>
      </c>
      <c r="H83" s="5">
        <f t="shared" si="1"/>
        <v>-5.5228584976709265E-3</v>
      </c>
    </row>
    <row r="84" spans="1:8" ht="13.5" x14ac:dyDescent="0.25">
      <c r="A84" s="1"/>
      <c r="B84" s="3">
        <v>44726</v>
      </c>
      <c r="C84" s="4">
        <v>18</v>
      </c>
      <c r="D84" s="4">
        <v>14.261200000000001</v>
      </c>
      <c r="E84" s="4">
        <v>1197</v>
      </c>
      <c r="F84" s="4">
        <v>18</v>
      </c>
      <c r="G84" s="4">
        <v>21546</v>
      </c>
      <c r="H84" s="5">
        <f t="shared" si="1"/>
        <v>0</v>
      </c>
    </row>
    <row r="85" spans="1:8" ht="13.5" x14ac:dyDescent="0.25">
      <c r="A85" s="1"/>
      <c r="B85" s="3">
        <v>44727</v>
      </c>
      <c r="C85" s="4">
        <v>18</v>
      </c>
      <c r="D85" s="4">
        <v>14.261200000000001</v>
      </c>
      <c r="E85" s="4">
        <v>2254</v>
      </c>
      <c r="F85" s="4">
        <v>17.896000000000001</v>
      </c>
      <c r="G85" s="4">
        <v>40337.584000000003</v>
      </c>
      <c r="H85" s="5">
        <f t="shared" si="1"/>
        <v>0</v>
      </c>
    </row>
    <row r="86" spans="1:8" ht="13.5" x14ac:dyDescent="0.25">
      <c r="A86" s="1"/>
      <c r="B86" s="3">
        <v>44728</v>
      </c>
      <c r="C86" s="4">
        <v>18.350000000000001</v>
      </c>
      <c r="D86" s="4">
        <v>14.538500000000001</v>
      </c>
      <c r="E86" s="4">
        <v>9476</v>
      </c>
      <c r="F86" s="4">
        <v>18.074999999999999</v>
      </c>
      <c r="G86" s="4">
        <v>171278.7</v>
      </c>
      <c r="H86" s="5">
        <f t="shared" si="1"/>
        <v>1.9444366532970599E-2</v>
      </c>
    </row>
    <row r="87" spans="1:8" ht="13.5" x14ac:dyDescent="0.25">
      <c r="A87" s="1"/>
      <c r="B87" s="3">
        <v>44729</v>
      </c>
      <c r="C87" s="4">
        <v>18.7</v>
      </c>
      <c r="D87" s="4">
        <v>14.815799999999999</v>
      </c>
      <c r="E87" s="4">
        <v>6605</v>
      </c>
      <c r="F87" s="4">
        <v>18.25</v>
      </c>
      <c r="G87" s="4">
        <v>120541.25</v>
      </c>
      <c r="H87" s="5">
        <f t="shared" si="1"/>
        <v>1.9073494514564675E-2</v>
      </c>
    </row>
    <row r="88" spans="1:8" ht="13.5" x14ac:dyDescent="0.25">
      <c r="A88" s="1"/>
      <c r="B88" s="3">
        <v>44732</v>
      </c>
      <c r="C88" s="4">
        <v>18.5</v>
      </c>
      <c r="D88" s="4">
        <v>14.657400000000001</v>
      </c>
      <c r="E88" s="4">
        <v>660</v>
      </c>
      <c r="F88" s="4">
        <v>18.579999999999998</v>
      </c>
      <c r="G88" s="4">
        <v>12262.8</v>
      </c>
      <c r="H88" s="5">
        <f t="shared" si="1"/>
        <v>-1.0691289029279455E-2</v>
      </c>
    </row>
    <row r="89" spans="1:8" ht="13.5" x14ac:dyDescent="0.25">
      <c r="A89" s="1"/>
      <c r="B89" s="3">
        <v>44733</v>
      </c>
      <c r="C89" s="4">
        <v>18.45</v>
      </c>
      <c r="D89" s="4">
        <v>14.617699999999999</v>
      </c>
      <c r="E89" s="4">
        <v>836</v>
      </c>
      <c r="F89" s="4">
        <v>18.311</v>
      </c>
      <c r="G89" s="4">
        <v>15307.995999999999</v>
      </c>
      <c r="H89" s="5">
        <f t="shared" si="1"/>
        <v>-2.7085294799897405E-3</v>
      </c>
    </row>
    <row r="90" spans="1:8" ht="13.5" x14ac:dyDescent="0.25">
      <c r="A90" s="1"/>
      <c r="B90" s="3">
        <v>44734</v>
      </c>
      <c r="C90" s="4">
        <v>18.89</v>
      </c>
      <c r="D90" s="4">
        <v>14.9663</v>
      </c>
      <c r="E90" s="4">
        <v>4850</v>
      </c>
      <c r="F90" s="4">
        <v>18.670999999999999</v>
      </c>
      <c r="G90" s="4">
        <v>90554.35</v>
      </c>
      <c r="H90" s="5">
        <f t="shared" si="1"/>
        <v>2.3847800953638476E-2</v>
      </c>
    </row>
    <row r="91" spans="1:8" ht="13.5" x14ac:dyDescent="0.25">
      <c r="A91" s="1"/>
      <c r="B91" s="3">
        <v>44735</v>
      </c>
      <c r="C91" s="4">
        <v>18.899999999999999</v>
      </c>
      <c r="D91" s="4">
        <v>14.974299999999999</v>
      </c>
      <c r="E91" s="4">
        <v>1688</v>
      </c>
      <c r="F91" s="4">
        <v>18.786999999999999</v>
      </c>
      <c r="G91" s="4">
        <v>31712.455999999998</v>
      </c>
      <c r="H91" s="5">
        <f t="shared" si="1"/>
        <v>5.3453425362308112E-4</v>
      </c>
    </row>
    <row r="92" spans="1:8" ht="13.5" x14ac:dyDescent="0.25">
      <c r="A92" s="1"/>
      <c r="B92" s="3">
        <v>44736</v>
      </c>
      <c r="C92" s="4">
        <v>18.89</v>
      </c>
      <c r="D92" s="4">
        <v>14.9663</v>
      </c>
      <c r="E92" s="4">
        <v>820</v>
      </c>
      <c r="F92" s="4">
        <v>18.879000000000001</v>
      </c>
      <c r="G92" s="4">
        <v>15480.78</v>
      </c>
      <c r="H92" s="5">
        <f t="shared" si="1"/>
        <v>-5.3424867940398682E-4</v>
      </c>
    </row>
    <row r="93" spans="1:8" ht="13.5" x14ac:dyDescent="0.25">
      <c r="A93" s="1"/>
      <c r="B93" s="3">
        <v>44739</v>
      </c>
      <c r="C93" s="4">
        <v>18.899999999999999</v>
      </c>
      <c r="D93" s="4">
        <v>14.974299999999999</v>
      </c>
      <c r="E93" s="4">
        <v>5</v>
      </c>
      <c r="F93" s="4">
        <v>18.899999999999999</v>
      </c>
      <c r="G93" s="4">
        <v>94.5</v>
      </c>
      <c r="H93" s="5">
        <f t="shared" si="1"/>
        <v>5.3453425362308112E-4</v>
      </c>
    </row>
    <row r="94" spans="1:8" ht="13.5" x14ac:dyDescent="0.25">
      <c r="A94" s="1"/>
      <c r="B94" s="3">
        <v>44740</v>
      </c>
      <c r="C94" s="4">
        <v>18.899999999999999</v>
      </c>
      <c r="D94" s="4">
        <v>14.974299999999999</v>
      </c>
      <c r="E94" s="4">
        <v>0</v>
      </c>
      <c r="F94" s="4">
        <v>0</v>
      </c>
      <c r="G94" s="4">
        <v>0</v>
      </c>
      <c r="H94" s="5">
        <f t="shared" si="1"/>
        <v>0</v>
      </c>
    </row>
    <row r="95" spans="1:8" ht="13.5" x14ac:dyDescent="0.25">
      <c r="A95" s="1"/>
      <c r="B95" s="3">
        <v>44741</v>
      </c>
      <c r="C95" s="4">
        <v>18.88</v>
      </c>
      <c r="D95" s="4">
        <v>14.958399999999999</v>
      </c>
      <c r="E95" s="4">
        <v>1790</v>
      </c>
      <c r="F95" s="4">
        <v>18.88</v>
      </c>
      <c r="G95" s="4">
        <v>33795.199999999997</v>
      </c>
      <c r="H95" s="5">
        <f t="shared" si="1"/>
        <v>-1.0618192503155572E-3</v>
      </c>
    </row>
    <row r="96" spans="1:8" ht="13.5" x14ac:dyDescent="0.25">
      <c r="A96" s="1"/>
      <c r="B96" s="3">
        <v>44742</v>
      </c>
      <c r="C96" s="4">
        <v>17.75</v>
      </c>
      <c r="D96" s="4">
        <v>14.0631</v>
      </c>
      <c r="E96" s="4">
        <v>205</v>
      </c>
      <c r="F96" s="4">
        <v>18.795000000000002</v>
      </c>
      <c r="G96" s="4">
        <v>3852.9749999999999</v>
      </c>
      <c r="H96" s="5">
        <f t="shared" si="1"/>
        <v>-5.9852658038292796E-2</v>
      </c>
    </row>
    <row r="97" spans="1:8" ht="13.5" x14ac:dyDescent="0.25">
      <c r="A97" s="1"/>
      <c r="B97" s="3">
        <v>44743</v>
      </c>
      <c r="C97" s="4">
        <v>18.5</v>
      </c>
      <c r="D97" s="4">
        <v>14.657400000000001</v>
      </c>
      <c r="E97" s="4">
        <v>874</v>
      </c>
      <c r="F97" s="4">
        <v>18.503</v>
      </c>
      <c r="G97" s="4">
        <v>16171.621999999999</v>
      </c>
      <c r="H97" s="5">
        <f t="shared" si="1"/>
        <v>4.2259530260042269E-2</v>
      </c>
    </row>
    <row r="98" spans="1:8" ht="13.5" x14ac:dyDescent="0.25">
      <c r="A98" s="1"/>
      <c r="B98" s="3">
        <v>44746</v>
      </c>
      <c r="C98" s="4">
        <v>18.399999999999999</v>
      </c>
      <c r="D98" s="4">
        <v>14.578099999999999</v>
      </c>
      <c r="E98" s="4">
        <v>280</v>
      </c>
      <c r="F98" s="4">
        <v>18.335999999999999</v>
      </c>
      <c r="G98" s="4">
        <v>5134.08</v>
      </c>
      <c r="H98" s="5">
        <f t="shared" si="1"/>
        <v>-5.4102364675864545E-3</v>
      </c>
    </row>
    <row r="99" spans="1:8" ht="13.5" x14ac:dyDescent="0.25">
      <c r="A99" s="1"/>
      <c r="B99" s="3">
        <v>44747</v>
      </c>
      <c r="C99" s="4">
        <v>18.399999999999999</v>
      </c>
      <c r="D99" s="4">
        <v>14.578099999999999</v>
      </c>
      <c r="E99" s="4">
        <v>0</v>
      </c>
      <c r="F99" s="4">
        <v>0</v>
      </c>
      <c r="G99" s="4">
        <v>0</v>
      </c>
      <c r="H99" s="5">
        <f t="shared" si="1"/>
        <v>0</v>
      </c>
    </row>
    <row r="100" spans="1:8" ht="13.5" x14ac:dyDescent="0.25">
      <c r="A100" s="1"/>
      <c r="B100" s="3">
        <v>44748</v>
      </c>
      <c r="C100" s="4">
        <v>18.489999999999998</v>
      </c>
      <c r="D100" s="4">
        <v>14.6494</v>
      </c>
      <c r="E100" s="4">
        <v>2761</v>
      </c>
      <c r="F100" s="4">
        <v>18.399000000000001</v>
      </c>
      <c r="G100" s="4">
        <v>50799.639000000003</v>
      </c>
      <c r="H100" s="5">
        <f t="shared" si="1"/>
        <v>4.8908979908219045E-3</v>
      </c>
    </row>
    <row r="101" spans="1:8" ht="13.5" x14ac:dyDescent="0.25">
      <c r="A101" s="1"/>
      <c r="B101" s="3">
        <v>44749</v>
      </c>
      <c r="C101" s="4">
        <v>18.18</v>
      </c>
      <c r="D101" s="4">
        <v>14.4038</v>
      </c>
      <c r="E101" s="4">
        <v>100</v>
      </c>
      <c r="F101" s="4">
        <v>18.18</v>
      </c>
      <c r="G101" s="4">
        <v>1818</v>
      </c>
      <c r="H101" s="5">
        <f t="shared" si="1"/>
        <v>-1.6765191748467488E-2</v>
      </c>
    </row>
    <row r="102" spans="1:8" ht="13.5" x14ac:dyDescent="0.25">
      <c r="A102" s="1"/>
      <c r="B102" s="3">
        <v>44750</v>
      </c>
      <c r="C102" s="4">
        <v>18.48</v>
      </c>
      <c r="D102" s="4">
        <v>14.641500000000001</v>
      </c>
      <c r="E102" s="4">
        <v>559</v>
      </c>
      <c r="F102" s="4">
        <v>18.28</v>
      </c>
      <c r="G102" s="4">
        <v>10218.52</v>
      </c>
      <c r="H102" s="5">
        <f t="shared" si="1"/>
        <v>1.6502589594412601E-2</v>
      </c>
    </row>
    <row r="103" spans="1:8" ht="13.5" x14ac:dyDescent="0.25">
      <c r="A103" s="1"/>
      <c r="B103" s="3">
        <v>44753</v>
      </c>
      <c r="C103" s="4">
        <v>18.39</v>
      </c>
      <c r="D103" s="4">
        <v>14.5702</v>
      </c>
      <c r="E103" s="4">
        <v>92</v>
      </c>
      <c r="F103" s="4">
        <v>18.033999999999999</v>
      </c>
      <c r="G103" s="4">
        <v>1659.1279999999999</v>
      </c>
      <c r="H103" s="5">
        <f t="shared" si="1"/>
        <v>-4.8697196325513644E-3</v>
      </c>
    </row>
    <row r="104" spans="1:8" ht="13.5" x14ac:dyDescent="0.25">
      <c r="A104" s="1"/>
      <c r="B104" s="3">
        <v>44754</v>
      </c>
      <c r="C104" s="4">
        <v>18.3</v>
      </c>
      <c r="D104" s="4">
        <v>14.498900000000001</v>
      </c>
      <c r="E104" s="4">
        <v>2967</v>
      </c>
      <c r="F104" s="4">
        <v>18.181999999999999</v>
      </c>
      <c r="G104" s="4">
        <v>53945.993999999999</v>
      </c>
      <c r="H104" s="5">
        <f t="shared" si="1"/>
        <v>-4.8935498483204786E-3</v>
      </c>
    </row>
    <row r="105" spans="1:8" ht="13.5" x14ac:dyDescent="0.25">
      <c r="A105" s="1"/>
      <c r="B105" s="3">
        <v>44755</v>
      </c>
      <c r="C105" s="4">
        <v>18.47</v>
      </c>
      <c r="D105" s="4">
        <v>14.633599999999999</v>
      </c>
      <c r="E105" s="4">
        <v>1319</v>
      </c>
      <c r="F105" s="4">
        <v>18.059000000000001</v>
      </c>
      <c r="G105" s="4">
        <v>23819.821</v>
      </c>
      <c r="H105" s="5">
        <f t="shared" si="1"/>
        <v>9.2903599583415777E-3</v>
      </c>
    </row>
    <row r="106" spans="1:8" ht="13.5" x14ac:dyDescent="0.25">
      <c r="A106" s="1"/>
      <c r="B106" s="3">
        <v>44756</v>
      </c>
      <c r="C106" s="4">
        <v>18.48</v>
      </c>
      <c r="D106" s="4">
        <v>14.641500000000001</v>
      </c>
      <c r="E106" s="4">
        <v>275</v>
      </c>
      <c r="F106" s="4">
        <v>18.466999999999999</v>
      </c>
      <c r="G106" s="4">
        <v>5078.4250000000002</v>
      </c>
      <c r="H106" s="5">
        <f t="shared" si="1"/>
        <v>5.3985348786362403E-4</v>
      </c>
    </row>
    <row r="107" spans="1:8" ht="13.5" x14ac:dyDescent="0.25">
      <c r="A107" s="1"/>
      <c r="B107" s="3">
        <v>44757</v>
      </c>
      <c r="C107" s="4">
        <v>18.48</v>
      </c>
      <c r="D107" s="4">
        <v>14.641500000000001</v>
      </c>
      <c r="E107" s="4">
        <v>109</v>
      </c>
      <c r="F107" s="4">
        <v>18.472999999999999</v>
      </c>
      <c r="G107" s="4">
        <v>2013.557</v>
      </c>
      <c r="H107" s="5">
        <f t="shared" si="1"/>
        <v>0</v>
      </c>
    </row>
    <row r="108" spans="1:8" ht="13.5" x14ac:dyDescent="0.25">
      <c r="A108" s="1"/>
      <c r="B108" s="3">
        <v>44760</v>
      </c>
      <c r="C108" s="4">
        <v>18.399999999999999</v>
      </c>
      <c r="D108" s="4">
        <v>14.578099999999999</v>
      </c>
      <c r="E108" s="4">
        <v>1958</v>
      </c>
      <c r="F108" s="4">
        <v>18.100000000000001</v>
      </c>
      <c r="G108" s="4">
        <v>35439.800000000003</v>
      </c>
      <c r="H108" s="5">
        <f t="shared" si="1"/>
        <v>-4.3301574292252468E-3</v>
      </c>
    </row>
    <row r="109" spans="1:8" ht="13.5" x14ac:dyDescent="0.25">
      <c r="A109" s="1"/>
      <c r="B109" s="3">
        <v>44761</v>
      </c>
      <c r="C109" s="4">
        <v>18.8</v>
      </c>
      <c r="D109" s="4">
        <v>14.895</v>
      </c>
      <c r="E109" s="4">
        <v>4392</v>
      </c>
      <c r="F109" s="4">
        <v>18.492000000000001</v>
      </c>
      <c r="G109" s="4">
        <v>81216.864000000001</v>
      </c>
      <c r="H109" s="5">
        <f t="shared" si="1"/>
        <v>2.1738086581927715E-2</v>
      </c>
    </row>
    <row r="110" spans="1:8" ht="13.5" x14ac:dyDescent="0.25">
      <c r="A110" s="1"/>
      <c r="B110" s="3">
        <v>44762</v>
      </c>
      <c r="C110" s="4">
        <v>19.920000000000002</v>
      </c>
      <c r="D110" s="4">
        <v>15.782400000000001</v>
      </c>
      <c r="E110" s="4">
        <v>5549</v>
      </c>
      <c r="F110" s="4">
        <v>19.425000000000001</v>
      </c>
      <c r="G110" s="4">
        <v>107789.325</v>
      </c>
      <c r="H110" s="5">
        <f t="shared" si="1"/>
        <v>5.9577039274924561E-2</v>
      </c>
    </row>
    <row r="111" spans="1:8" ht="13.5" x14ac:dyDescent="0.25">
      <c r="A111" s="1"/>
      <c r="B111" s="3">
        <v>44763</v>
      </c>
      <c r="C111" s="4">
        <v>19.8</v>
      </c>
      <c r="D111" s="4">
        <v>15.6873</v>
      </c>
      <c r="E111" s="4">
        <v>259</v>
      </c>
      <c r="F111" s="4">
        <v>19.806999999999999</v>
      </c>
      <c r="G111" s="4">
        <v>5130.0129999999999</v>
      </c>
      <c r="H111" s="5">
        <f t="shared" si="1"/>
        <v>-6.0256995133820207E-3</v>
      </c>
    </row>
    <row r="112" spans="1:8" ht="13.5" x14ac:dyDescent="0.25">
      <c r="A112" s="1"/>
      <c r="B112" s="3">
        <v>44764</v>
      </c>
      <c r="C112" s="4">
        <v>19.989999999999998</v>
      </c>
      <c r="D112" s="4">
        <v>15.837899999999999</v>
      </c>
      <c r="E112" s="4">
        <v>2568</v>
      </c>
      <c r="F112" s="4">
        <v>19.888999999999999</v>
      </c>
      <c r="G112" s="4">
        <v>51074.951999999997</v>
      </c>
      <c r="H112" s="5">
        <f t="shared" si="1"/>
        <v>9.600122391998556E-3</v>
      </c>
    </row>
    <row r="113" spans="1:8" ht="13.5" x14ac:dyDescent="0.25">
      <c r="A113" s="1"/>
      <c r="B113" s="3">
        <v>44768</v>
      </c>
      <c r="C113" s="4">
        <v>19.899999999999999</v>
      </c>
      <c r="D113" s="4">
        <v>15.7666</v>
      </c>
      <c r="E113" s="4">
        <v>1439</v>
      </c>
      <c r="F113" s="4">
        <v>19.779</v>
      </c>
      <c r="G113" s="4">
        <v>28461.981</v>
      </c>
      <c r="H113" s="5">
        <f t="shared" si="1"/>
        <v>-4.5018594636914641E-3</v>
      </c>
    </row>
    <row r="114" spans="1:8" ht="13.5" x14ac:dyDescent="0.25">
      <c r="A114" s="1"/>
      <c r="B114" s="3">
        <v>44769</v>
      </c>
      <c r="C114" s="4">
        <v>19.79</v>
      </c>
      <c r="D114" s="4">
        <v>15.679399999999999</v>
      </c>
      <c r="E114" s="4">
        <v>1872</v>
      </c>
      <c r="F114" s="4">
        <v>19.774000000000001</v>
      </c>
      <c r="G114" s="4">
        <v>37016.928</v>
      </c>
      <c r="H114" s="5">
        <f t="shared" si="1"/>
        <v>-5.5306787766545131E-3</v>
      </c>
    </row>
    <row r="115" spans="1:8" ht="13.5" x14ac:dyDescent="0.25">
      <c r="A115" s="1"/>
      <c r="B115" s="3">
        <v>44770</v>
      </c>
      <c r="C115" s="4">
        <v>19.8</v>
      </c>
      <c r="D115" s="4">
        <v>15.6873</v>
      </c>
      <c r="E115" s="4">
        <v>1424</v>
      </c>
      <c r="F115" s="4">
        <v>19.728000000000002</v>
      </c>
      <c r="G115" s="4">
        <v>28092.671999999999</v>
      </c>
      <c r="H115" s="5">
        <f t="shared" si="1"/>
        <v>5.0384581042649138E-4</v>
      </c>
    </row>
    <row r="116" spans="1:8" ht="13.5" x14ac:dyDescent="0.25">
      <c r="A116" s="1"/>
      <c r="B116" s="3">
        <v>44771</v>
      </c>
      <c r="C116" s="4">
        <v>19.8</v>
      </c>
      <c r="D116" s="4">
        <v>15.6873</v>
      </c>
      <c r="E116" s="4">
        <v>610</v>
      </c>
      <c r="F116" s="4">
        <v>19.559000000000001</v>
      </c>
      <c r="G116" s="4">
        <v>11930.99</v>
      </c>
      <c r="H116" s="5">
        <f t="shared" si="1"/>
        <v>0</v>
      </c>
    </row>
    <row r="117" spans="1:8" ht="13.5" x14ac:dyDescent="0.25">
      <c r="A117" s="1"/>
      <c r="B117" s="3">
        <v>44774</v>
      </c>
      <c r="C117" s="4">
        <v>19.77</v>
      </c>
      <c r="D117" s="4">
        <v>15.663600000000001</v>
      </c>
      <c r="E117" s="4">
        <v>3273</v>
      </c>
      <c r="F117" s="4">
        <v>19.567</v>
      </c>
      <c r="G117" s="4">
        <v>64042.790999999997</v>
      </c>
      <c r="H117" s="5">
        <f t="shared" si="1"/>
        <v>-1.5107762330037566E-3</v>
      </c>
    </row>
    <row r="118" spans="1:8" ht="13.5" x14ac:dyDescent="0.25">
      <c r="A118" s="1"/>
      <c r="B118" s="3">
        <v>44775</v>
      </c>
      <c r="C118" s="4">
        <v>19.7</v>
      </c>
      <c r="D118" s="4">
        <v>15.6081</v>
      </c>
      <c r="E118" s="4">
        <v>80</v>
      </c>
      <c r="F118" s="4">
        <v>19.524999999999999</v>
      </c>
      <c r="G118" s="4">
        <v>1562</v>
      </c>
      <c r="H118" s="5">
        <f t="shared" si="1"/>
        <v>-3.543246763196221E-3</v>
      </c>
    </row>
    <row r="119" spans="1:8" ht="13.5" x14ac:dyDescent="0.25">
      <c r="A119" s="1"/>
      <c r="B119" s="3">
        <v>44776</v>
      </c>
      <c r="C119" s="4">
        <v>19.399999999999999</v>
      </c>
      <c r="D119" s="4">
        <v>15.3704</v>
      </c>
      <c r="E119" s="4">
        <v>3904</v>
      </c>
      <c r="F119" s="4">
        <v>19.420999999999999</v>
      </c>
      <c r="G119" s="4">
        <v>75819.584000000003</v>
      </c>
      <c r="H119" s="5">
        <f t="shared" si="1"/>
        <v>-1.5229271980574204E-2</v>
      </c>
    </row>
    <row r="120" spans="1:8" ht="13.5" x14ac:dyDescent="0.25">
      <c r="A120" s="1"/>
      <c r="B120" s="3">
        <v>44777</v>
      </c>
      <c r="C120" s="4">
        <v>19.649999999999999</v>
      </c>
      <c r="D120" s="4">
        <v>15.5685</v>
      </c>
      <c r="E120" s="4">
        <v>2897</v>
      </c>
      <c r="F120" s="4">
        <v>19.489999999999998</v>
      </c>
      <c r="G120" s="4">
        <v>56462.53</v>
      </c>
      <c r="H120" s="5">
        <f t="shared" si="1"/>
        <v>1.2888408889814199E-2</v>
      </c>
    </row>
    <row r="121" spans="1:8" ht="13.5" x14ac:dyDescent="0.25">
      <c r="A121" s="1"/>
      <c r="B121" s="3">
        <v>44778</v>
      </c>
      <c r="C121" s="4">
        <v>19.690000000000001</v>
      </c>
      <c r="D121" s="4">
        <v>15.600199999999999</v>
      </c>
      <c r="E121" s="4">
        <v>2610</v>
      </c>
      <c r="F121" s="4">
        <v>19.638999999999999</v>
      </c>
      <c r="G121" s="4">
        <v>51257.79</v>
      </c>
      <c r="H121" s="5">
        <f t="shared" si="1"/>
        <v>2.0361627645565693E-3</v>
      </c>
    </row>
    <row r="122" spans="1:8" ht="13.5" x14ac:dyDescent="0.25">
      <c r="A122" s="1"/>
      <c r="B122" s="3">
        <v>44781</v>
      </c>
      <c r="C122" s="4">
        <v>19.64</v>
      </c>
      <c r="D122" s="4">
        <v>15.560600000000001</v>
      </c>
      <c r="E122" s="4">
        <v>1000</v>
      </c>
      <c r="F122" s="4">
        <v>19.611999999999998</v>
      </c>
      <c r="G122" s="4">
        <v>19612</v>
      </c>
      <c r="H122" s="5">
        <f t="shared" si="1"/>
        <v>-2.5384289944999617E-3</v>
      </c>
    </row>
    <row r="123" spans="1:8" ht="13.5" x14ac:dyDescent="0.25">
      <c r="A123" s="1"/>
      <c r="B123" s="3">
        <v>44782</v>
      </c>
      <c r="C123" s="4">
        <v>19.649999999999999</v>
      </c>
      <c r="D123" s="4">
        <v>15.5685</v>
      </c>
      <c r="E123" s="4">
        <v>2900</v>
      </c>
      <c r="F123" s="4">
        <v>19.63</v>
      </c>
      <c r="G123" s="4">
        <v>56927</v>
      </c>
      <c r="H123" s="5">
        <f t="shared" si="1"/>
        <v>5.0769250543034018E-4</v>
      </c>
    </row>
    <row r="124" spans="1:8" ht="13.5" x14ac:dyDescent="0.25">
      <c r="A124" s="1"/>
      <c r="B124" s="3">
        <v>44783</v>
      </c>
      <c r="C124" s="4">
        <v>19.649999999999999</v>
      </c>
      <c r="D124" s="4">
        <v>15.5685</v>
      </c>
      <c r="E124" s="4">
        <v>3241</v>
      </c>
      <c r="F124" s="4">
        <v>19.536999999999999</v>
      </c>
      <c r="G124" s="4">
        <v>63319.417000000001</v>
      </c>
      <c r="H124" s="5">
        <f t="shared" si="1"/>
        <v>0</v>
      </c>
    </row>
    <row r="125" spans="1:8" ht="13.5" x14ac:dyDescent="0.25">
      <c r="A125" s="1"/>
      <c r="B125" s="3">
        <v>44784</v>
      </c>
      <c r="C125" s="4">
        <v>19.79</v>
      </c>
      <c r="D125" s="4">
        <v>15.679399999999999</v>
      </c>
      <c r="E125" s="4">
        <v>2459</v>
      </c>
      <c r="F125" s="4">
        <v>19.637</v>
      </c>
      <c r="G125" s="4">
        <v>48287.383000000002</v>
      </c>
      <c r="H125" s="5">
        <f t="shared" si="1"/>
        <v>7.1233580627548644E-3</v>
      </c>
    </row>
    <row r="126" spans="1:8" ht="13.5" x14ac:dyDescent="0.25">
      <c r="A126" s="1"/>
      <c r="B126" s="3">
        <v>44785</v>
      </c>
      <c r="C126" s="4">
        <v>19.8</v>
      </c>
      <c r="D126" s="4">
        <v>15.6873</v>
      </c>
      <c r="E126" s="4">
        <v>2131</v>
      </c>
      <c r="F126" s="4">
        <v>19.640999999999998</v>
      </c>
      <c r="G126" s="4">
        <v>41854.970999999998</v>
      </c>
      <c r="H126" s="5">
        <f t="shared" si="1"/>
        <v>5.0384581042649138E-4</v>
      </c>
    </row>
    <row r="127" spans="1:8" ht="13.5" x14ac:dyDescent="0.25">
      <c r="A127" s="1"/>
      <c r="B127" s="3">
        <v>44788</v>
      </c>
      <c r="C127" s="4">
        <v>19.5</v>
      </c>
      <c r="D127" s="4">
        <v>15.4496</v>
      </c>
      <c r="E127" s="4">
        <v>4654</v>
      </c>
      <c r="F127" s="4">
        <v>19.510999999999999</v>
      </c>
      <c r="G127" s="4">
        <v>90804.194000000003</v>
      </c>
      <c r="H127" s="5">
        <f t="shared" si="1"/>
        <v>-1.5152384412869023E-2</v>
      </c>
    </row>
    <row r="128" spans="1:8" ht="13.5" x14ac:dyDescent="0.25">
      <c r="A128" s="1"/>
      <c r="B128" s="3">
        <v>44789</v>
      </c>
      <c r="C128" s="4">
        <v>19.7</v>
      </c>
      <c r="D128" s="4">
        <v>15.6081</v>
      </c>
      <c r="E128" s="4">
        <v>1270</v>
      </c>
      <c r="F128" s="4">
        <v>19.614999999999998</v>
      </c>
      <c r="G128" s="4">
        <v>24911.05</v>
      </c>
      <c r="H128" s="5">
        <f t="shared" si="1"/>
        <v>1.0259165285832648E-2</v>
      </c>
    </row>
    <row r="129" spans="1:8" ht="13.5" x14ac:dyDescent="0.25">
      <c r="A129" s="1"/>
      <c r="B129" s="3">
        <v>44790</v>
      </c>
      <c r="C129" s="4">
        <v>19.7</v>
      </c>
      <c r="D129" s="4">
        <v>15.6081</v>
      </c>
      <c r="E129" s="4">
        <v>480</v>
      </c>
      <c r="F129" s="4">
        <v>19.681999999999999</v>
      </c>
      <c r="G129" s="4">
        <v>9447.36</v>
      </c>
      <c r="H129" s="5">
        <f t="shared" si="1"/>
        <v>0</v>
      </c>
    </row>
    <row r="130" spans="1:8" ht="13.5" x14ac:dyDescent="0.25">
      <c r="A130" s="1"/>
      <c r="B130" s="3">
        <v>44791</v>
      </c>
      <c r="C130" s="4">
        <v>19.7</v>
      </c>
      <c r="D130" s="4">
        <v>15.6081</v>
      </c>
      <c r="E130" s="4">
        <v>725</v>
      </c>
      <c r="F130" s="4">
        <v>19.673999999999999</v>
      </c>
      <c r="G130" s="4">
        <v>14263.65</v>
      </c>
      <c r="H130" s="5">
        <f t="shared" si="1"/>
        <v>0</v>
      </c>
    </row>
    <row r="131" spans="1:8" ht="13.5" x14ac:dyDescent="0.25">
      <c r="A131" s="1"/>
      <c r="B131" s="3">
        <v>44792</v>
      </c>
      <c r="C131" s="4">
        <v>19.760000000000002</v>
      </c>
      <c r="D131" s="4">
        <v>15.6556</v>
      </c>
      <c r="E131" s="4">
        <v>2644</v>
      </c>
      <c r="F131" s="4">
        <v>19.709</v>
      </c>
      <c r="G131" s="4">
        <v>52110.595999999998</v>
      </c>
      <c r="H131" s="5">
        <f t="shared" si="1"/>
        <v>3.0432916242207207E-3</v>
      </c>
    </row>
    <row r="132" spans="1:8" ht="13.5" x14ac:dyDescent="0.25">
      <c r="A132" s="1"/>
      <c r="B132" s="3">
        <v>44795</v>
      </c>
      <c r="C132" s="4">
        <v>20</v>
      </c>
      <c r="D132" s="4">
        <v>15.845800000000001</v>
      </c>
      <c r="E132" s="4">
        <v>1334</v>
      </c>
      <c r="F132" s="4">
        <v>19.905999999999999</v>
      </c>
      <c r="G132" s="4">
        <v>26554.603999999999</v>
      </c>
      <c r="H132" s="5">
        <f t="shared" si="1"/>
        <v>1.2149007383939345E-2</v>
      </c>
    </row>
    <row r="133" spans="1:8" ht="13.5" x14ac:dyDescent="0.25">
      <c r="A133" s="1"/>
      <c r="B133" s="3">
        <v>44796</v>
      </c>
      <c r="C133" s="4">
        <v>20</v>
      </c>
      <c r="D133" s="4">
        <v>15.845800000000001</v>
      </c>
      <c r="E133" s="4">
        <v>368</v>
      </c>
      <c r="F133" s="4">
        <v>19.939</v>
      </c>
      <c r="G133" s="4">
        <v>7337.5519999999997</v>
      </c>
      <c r="H133" s="5">
        <f t="shared" si="1"/>
        <v>0</v>
      </c>
    </row>
    <row r="134" spans="1:8" ht="13.5" x14ac:dyDescent="0.25">
      <c r="A134" s="1"/>
      <c r="B134" s="3">
        <v>44797</v>
      </c>
      <c r="C134" s="4">
        <v>20</v>
      </c>
      <c r="D134" s="4">
        <v>15.845800000000001</v>
      </c>
      <c r="E134" s="4">
        <v>2305</v>
      </c>
      <c r="F134" s="4">
        <v>19.913</v>
      </c>
      <c r="G134" s="4">
        <v>45899.464999999997</v>
      </c>
      <c r="H134" s="5">
        <f t="shared" si="1"/>
        <v>0</v>
      </c>
    </row>
    <row r="135" spans="1:8" ht="13.5" x14ac:dyDescent="0.25">
      <c r="A135" s="1"/>
      <c r="B135" s="3">
        <v>44798</v>
      </c>
      <c r="C135" s="4">
        <v>19.989999999999998</v>
      </c>
      <c r="D135" s="4">
        <v>15.837899999999999</v>
      </c>
      <c r="E135" s="4">
        <v>2550</v>
      </c>
      <c r="F135" s="4">
        <v>19.984000000000002</v>
      </c>
      <c r="G135" s="4">
        <v>50959.199999999997</v>
      </c>
      <c r="H135" s="5">
        <f t="shared" ref="H135:H198" si="2">(D135-D134)/D134</f>
        <v>-4.9855482209804037E-4</v>
      </c>
    </row>
    <row r="136" spans="1:8" ht="13.5" x14ac:dyDescent="0.25">
      <c r="A136" s="1"/>
      <c r="B136" s="3">
        <v>44799</v>
      </c>
      <c r="C136" s="4">
        <v>20</v>
      </c>
      <c r="D136" s="4">
        <v>15.845800000000001</v>
      </c>
      <c r="E136" s="4">
        <v>630</v>
      </c>
      <c r="F136" s="4">
        <v>19.920000000000002</v>
      </c>
      <c r="G136" s="4">
        <v>12549.6</v>
      </c>
      <c r="H136" s="5">
        <f t="shared" si="2"/>
        <v>4.9880350298973529E-4</v>
      </c>
    </row>
    <row r="137" spans="1:8" ht="13.5" x14ac:dyDescent="0.25">
      <c r="A137" s="1"/>
      <c r="B137" s="3">
        <v>44802</v>
      </c>
      <c r="C137" s="4">
        <v>19.899999999999999</v>
      </c>
      <c r="D137" s="4">
        <v>15.7666</v>
      </c>
      <c r="E137" s="4">
        <v>805</v>
      </c>
      <c r="F137" s="4">
        <v>19.888999999999999</v>
      </c>
      <c r="G137" s="4">
        <v>16010.645</v>
      </c>
      <c r="H137" s="5">
        <f t="shared" si="2"/>
        <v>-4.9981698620454734E-3</v>
      </c>
    </row>
    <row r="138" spans="1:8" ht="13.5" x14ac:dyDescent="0.25">
      <c r="A138" s="1"/>
      <c r="B138" s="3">
        <v>44803</v>
      </c>
      <c r="C138" s="4">
        <v>20</v>
      </c>
      <c r="D138" s="4">
        <v>15.845800000000001</v>
      </c>
      <c r="E138" s="4">
        <v>1040</v>
      </c>
      <c r="F138" s="4">
        <v>19.829999999999998</v>
      </c>
      <c r="G138" s="4">
        <v>20623.2</v>
      </c>
      <c r="H138" s="5">
        <f t="shared" si="2"/>
        <v>5.0232770540256082E-3</v>
      </c>
    </row>
    <row r="139" spans="1:8" ht="13.5" x14ac:dyDescent="0.25">
      <c r="A139" s="1"/>
      <c r="B139" s="3">
        <v>44804</v>
      </c>
      <c r="C139" s="4">
        <v>20</v>
      </c>
      <c r="D139" s="4">
        <v>15.845800000000001</v>
      </c>
      <c r="E139" s="4">
        <v>1261</v>
      </c>
      <c r="F139" s="4">
        <v>19.803000000000001</v>
      </c>
      <c r="G139" s="4">
        <v>24971.582999999999</v>
      </c>
      <c r="H139" s="5">
        <f t="shared" si="2"/>
        <v>0</v>
      </c>
    </row>
    <row r="140" spans="1:8" ht="13.5" x14ac:dyDescent="0.25">
      <c r="A140" s="1"/>
      <c r="B140" s="3">
        <v>44805</v>
      </c>
      <c r="C140" s="4">
        <v>21</v>
      </c>
      <c r="D140" s="4">
        <v>16.638100000000001</v>
      </c>
      <c r="E140" s="4">
        <v>1281</v>
      </c>
      <c r="F140" s="4">
        <v>20.190999999999999</v>
      </c>
      <c r="G140" s="4">
        <v>25864.670999999998</v>
      </c>
      <c r="H140" s="5">
        <f t="shared" si="2"/>
        <v>5.000063108205334E-2</v>
      </c>
    </row>
    <row r="141" spans="1:8" ht="13.5" x14ac:dyDescent="0.25">
      <c r="A141" s="1"/>
      <c r="B141" s="3">
        <v>44806</v>
      </c>
      <c r="C141" s="4">
        <v>21.93</v>
      </c>
      <c r="D141" s="4">
        <v>17.3749</v>
      </c>
      <c r="E141" s="4">
        <v>1575</v>
      </c>
      <c r="F141" s="4">
        <v>21.635999999999999</v>
      </c>
      <c r="G141" s="4">
        <v>34076.699999999997</v>
      </c>
      <c r="H141" s="5">
        <f t="shared" si="2"/>
        <v>4.4283902609071869E-2</v>
      </c>
    </row>
    <row r="142" spans="1:8" ht="13.5" x14ac:dyDescent="0.25">
      <c r="A142" s="1"/>
      <c r="B142" s="3">
        <v>44809</v>
      </c>
      <c r="C142" s="4">
        <v>21.88</v>
      </c>
      <c r="D142" s="4">
        <v>17.3353</v>
      </c>
      <c r="E142" s="4">
        <v>2949</v>
      </c>
      <c r="F142" s="4">
        <v>21.509</v>
      </c>
      <c r="G142" s="4">
        <v>63430.040999999997</v>
      </c>
      <c r="H142" s="5">
        <f t="shared" si="2"/>
        <v>-2.2791498080564536E-3</v>
      </c>
    </row>
    <row r="143" spans="1:8" ht="13.5" x14ac:dyDescent="0.25">
      <c r="A143" s="1"/>
      <c r="B143" s="3">
        <v>44810</v>
      </c>
      <c r="C143" s="4">
        <v>21.85</v>
      </c>
      <c r="D143" s="4">
        <v>17.311499999999999</v>
      </c>
      <c r="E143" s="4">
        <v>2032</v>
      </c>
      <c r="F143" s="4">
        <v>21.817</v>
      </c>
      <c r="G143" s="4">
        <v>44332.144</v>
      </c>
      <c r="H143" s="5">
        <f t="shared" si="2"/>
        <v>-1.372921149331213E-3</v>
      </c>
    </row>
    <row r="144" spans="1:8" ht="13.5" x14ac:dyDescent="0.25">
      <c r="A144" s="1"/>
      <c r="B144" s="3">
        <v>44811</v>
      </c>
      <c r="C144" s="4">
        <v>22</v>
      </c>
      <c r="D144" s="4">
        <v>17.430399999999999</v>
      </c>
      <c r="E144" s="4">
        <v>11888</v>
      </c>
      <c r="F144" s="4">
        <v>21.971</v>
      </c>
      <c r="G144" s="4">
        <v>261191.24799999999</v>
      </c>
      <c r="H144" s="5">
        <f t="shared" si="2"/>
        <v>6.8682667590907786E-3</v>
      </c>
    </row>
    <row r="145" spans="1:8" ht="13.5" x14ac:dyDescent="0.25">
      <c r="A145" s="1"/>
      <c r="B145" s="3">
        <v>44812</v>
      </c>
      <c r="C145" s="4">
        <v>22</v>
      </c>
      <c r="D145" s="4">
        <v>17.430399999999999</v>
      </c>
      <c r="E145" s="4">
        <v>2092</v>
      </c>
      <c r="F145" s="4">
        <v>21.998000000000001</v>
      </c>
      <c r="G145" s="4">
        <v>46019.815999999999</v>
      </c>
      <c r="H145" s="5">
        <f t="shared" si="2"/>
        <v>0</v>
      </c>
    </row>
    <row r="146" spans="1:8" ht="13.5" x14ac:dyDescent="0.25">
      <c r="A146" s="1"/>
      <c r="B146" s="3">
        <v>44813</v>
      </c>
      <c r="C146" s="4">
        <v>21.9</v>
      </c>
      <c r="D146" s="4">
        <v>17.351099999999999</v>
      </c>
      <c r="E146" s="4">
        <v>438</v>
      </c>
      <c r="F146" s="4">
        <v>21.806999999999999</v>
      </c>
      <c r="G146" s="4">
        <v>9551.4660000000003</v>
      </c>
      <c r="H146" s="5">
        <f t="shared" si="2"/>
        <v>-4.5495226730310227E-3</v>
      </c>
    </row>
    <row r="147" spans="1:8" ht="13.5" x14ac:dyDescent="0.25">
      <c r="A147" s="1"/>
      <c r="B147" s="3">
        <v>44816</v>
      </c>
      <c r="C147" s="4">
        <v>21.98</v>
      </c>
      <c r="D147" s="4">
        <v>17.4145</v>
      </c>
      <c r="E147" s="4">
        <v>312</v>
      </c>
      <c r="F147" s="4">
        <v>21.687999999999999</v>
      </c>
      <c r="G147" s="4">
        <v>6766.6559999999999</v>
      </c>
      <c r="H147" s="5">
        <f t="shared" si="2"/>
        <v>3.6539470120050869E-3</v>
      </c>
    </row>
    <row r="148" spans="1:8" ht="13.5" x14ac:dyDescent="0.25">
      <c r="A148" s="1"/>
      <c r="B148" s="3">
        <v>44817</v>
      </c>
      <c r="C148" s="4">
        <v>23</v>
      </c>
      <c r="D148" s="4">
        <v>18.2227</v>
      </c>
      <c r="E148" s="4">
        <v>4030</v>
      </c>
      <c r="F148" s="4">
        <v>22.564</v>
      </c>
      <c r="G148" s="4">
        <v>90932.92</v>
      </c>
      <c r="H148" s="5">
        <f t="shared" si="2"/>
        <v>4.6409601194406923E-2</v>
      </c>
    </row>
    <row r="149" spans="1:8" ht="13.5" x14ac:dyDescent="0.25">
      <c r="A149" s="1"/>
      <c r="B149" s="3">
        <v>44818</v>
      </c>
      <c r="C149" s="4">
        <v>23.99</v>
      </c>
      <c r="D149" s="4">
        <v>19.007000000000001</v>
      </c>
      <c r="E149" s="4">
        <v>5443</v>
      </c>
      <c r="F149" s="4">
        <v>23.777000000000001</v>
      </c>
      <c r="G149" s="4">
        <v>129418.211</v>
      </c>
      <c r="H149" s="5">
        <f t="shared" si="2"/>
        <v>4.3039725177937506E-2</v>
      </c>
    </row>
    <row r="150" spans="1:8" ht="13.5" x14ac:dyDescent="0.25">
      <c r="A150" s="1"/>
      <c r="B150" s="3">
        <v>44819</v>
      </c>
      <c r="C150" s="4">
        <v>23.99</v>
      </c>
      <c r="D150" s="4">
        <v>19.007000000000001</v>
      </c>
      <c r="E150" s="4">
        <v>749</v>
      </c>
      <c r="F150" s="4">
        <v>23.882000000000001</v>
      </c>
      <c r="G150" s="4">
        <v>17887.617999999999</v>
      </c>
      <c r="H150" s="5">
        <f t="shared" si="2"/>
        <v>0</v>
      </c>
    </row>
    <row r="151" spans="1:8" ht="13.5" x14ac:dyDescent="0.25">
      <c r="A151" s="1"/>
      <c r="B151" s="3">
        <v>44820</v>
      </c>
      <c r="C151" s="4">
        <v>23.98</v>
      </c>
      <c r="D151" s="4">
        <v>18.999099999999999</v>
      </c>
      <c r="E151" s="4">
        <v>6750</v>
      </c>
      <c r="F151" s="4">
        <v>23.911999999999999</v>
      </c>
      <c r="G151" s="4">
        <v>161406</v>
      </c>
      <c r="H151" s="5">
        <f t="shared" si="2"/>
        <v>-4.1563634450480895E-4</v>
      </c>
    </row>
    <row r="152" spans="1:8" ht="13.5" x14ac:dyDescent="0.25">
      <c r="A152" s="1"/>
      <c r="B152" s="3">
        <v>44823</v>
      </c>
      <c r="C152" s="4">
        <v>23.99</v>
      </c>
      <c r="D152" s="4">
        <v>19.007000000000001</v>
      </c>
      <c r="E152" s="4">
        <v>710</v>
      </c>
      <c r="F152" s="4">
        <v>23.963000000000001</v>
      </c>
      <c r="G152" s="4">
        <v>17013.73</v>
      </c>
      <c r="H152" s="5">
        <f t="shared" si="2"/>
        <v>4.1580916990820117E-4</v>
      </c>
    </row>
    <row r="153" spans="1:8" ht="13.5" x14ac:dyDescent="0.25">
      <c r="A153" s="1"/>
      <c r="B153" s="3">
        <v>44824</v>
      </c>
      <c r="C153" s="4">
        <v>23.9</v>
      </c>
      <c r="D153" s="4">
        <v>18.935700000000001</v>
      </c>
      <c r="E153" s="4">
        <v>513</v>
      </c>
      <c r="F153" s="4">
        <v>23.86</v>
      </c>
      <c r="G153" s="4">
        <v>12240.18</v>
      </c>
      <c r="H153" s="5">
        <f t="shared" si="2"/>
        <v>-3.7512495396433317E-3</v>
      </c>
    </row>
    <row r="154" spans="1:8" ht="13.5" x14ac:dyDescent="0.25">
      <c r="A154" s="1"/>
      <c r="B154" s="3">
        <v>44825</v>
      </c>
      <c r="C154" s="4">
        <v>23.99</v>
      </c>
      <c r="D154" s="4">
        <v>19.007000000000001</v>
      </c>
      <c r="E154" s="4">
        <v>387</v>
      </c>
      <c r="F154" s="4">
        <v>23.783000000000001</v>
      </c>
      <c r="G154" s="4">
        <v>9204.0210000000006</v>
      </c>
      <c r="H154" s="5">
        <f t="shared" si="2"/>
        <v>3.76537439862275E-3</v>
      </c>
    </row>
    <row r="155" spans="1:8" ht="13.5" x14ac:dyDescent="0.25">
      <c r="A155" s="1"/>
      <c r="B155" s="3">
        <v>44826</v>
      </c>
      <c r="C155" s="4">
        <v>23.99</v>
      </c>
      <c r="D155" s="4">
        <v>19.007000000000001</v>
      </c>
      <c r="E155" s="4">
        <v>1268</v>
      </c>
      <c r="F155" s="4">
        <v>23.844000000000001</v>
      </c>
      <c r="G155" s="4">
        <v>30234.191999999999</v>
      </c>
      <c r="H155" s="5">
        <f t="shared" si="2"/>
        <v>0</v>
      </c>
    </row>
    <row r="156" spans="1:8" ht="13.5" x14ac:dyDescent="0.25">
      <c r="A156" s="1"/>
      <c r="B156" s="3">
        <v>44827</v>
      </c>
      <c r="C156" s="4">
        <v>23.99</v>
      </c>
      <c r="D156" s="4">
        <v>19.007000000000001</v>
      </c>
      <c r="E156" s="4">
        <v>273</v>
      </c>
      <c r="F156" s="4">
        <v>23.988</v>
      </c>
      <c r="G156" s="4">
        <v>6548.7240000000002</v>
      </c>
      <c r="H156" s="5">
        <f t="shared" si="2"/>
        <v>0</v>
      </c>
    </row>
    <row r="157" spans="1:8" ht="13.5" x14ac:dyDescent="0.25">
      <c r="A157" s="1"/>
      <c r="B157" s="3">
        <v>44830</v>
      </c>
      <c r="C157" s="4">
        <v>23.99</v>
      </c>
      <c r="D157" s="4">
        <v>19.007000000000001</v>
      </c>
      <c r="E157" s="4">
        <v>1897</v>
      </c>
      <c r="F157" s="4">
        <v>23.983000000000001</v>
      </c>
      <c r="G157" s="4">
        <v>45495.750999999997</v>
      </c>
      <c r="H157" s="5">
        <f t="shared" si="2"/>
        <v>0</v>
      </c>
    </row>
    <row r="158" spans="1:8" ht="13.5" x14ac:dyDescent="0.25">
      <c r="A158" s="1"/>
      <c r="B158" s="3">
        <v>44831</v>
      </c>
      <c r="C158" s="4">
        <v>24</v>
      </c>
      <c r="D158" s="4">
        <v>19.014900000000001</v>
      </c>
      <c r="E158" s="4">
        <v>5556</v>
      </c>
      <c r="F158" s="4">
        <v>23.983000000000001</v>
      </c>
      <c r="G158" s="4">
        <v>133249.54800000001</v>
      </c>
      <c r="H158" s="5">
        <f t="shared" si="2"/>
        <v>4.1563634450462203E-4</v>
      </c>
    </row>
    <row r="159" spans="1:8" ht="13.5" x14ac:dyDescent="0.25">
      <c r="A159" s="1"/>
      <c r="B159" s="3">
        <v>44832</v>
      </c>
      <c r="C159" s="4">
        <v>23.99</v>
      </c>
      <c r="D159" s="4">
        <v>19.007000000000001</v>
      </c>
      <c r="E159" s="4">
        <v>2063</v>
      </c>
      <c r="F159" s="4">
        <v>23.995999999999999</v>
      </c>
      <c r="G159" s="4">
        <v>49503.748</v>
      </c>
      <c r="H159" s="5">
        <f t="shared" si="2"/>
        <v>-4.1546366270658018E-4</v>
      </c>
    </row>
    <row r="160" spans="1:8" ht="13.5" x14ac:dyDescent="0.25">
      <c r="A160" s="1"/>
      <c r="B160" s="3">
        <v>44833</v>
      </c>
      <c r="C160" s="4">
        <v>24</v>
      </c>
      <c r="D160" s="4">
        <v>19.014900000000001</v>
      </c>
      <c r="E160" s="4">
        <v>770</v>
      </c>
      <c r="F160" s="4">
        <v>23.977</v>
      </c>
      <c r="G160" s="4">
        <v>18462.29</v>
      </c>
      <c r="H160" s="5">
        <f t="shared" si="2"/>
        <v>4.1563634450462203E-4</v>
      </c>
    </row>
    <row r="161" spans="1:8" ht="13.5" x14ac:dyDescent="0.25">
      <c r="A161" s="1"/>
      <c r="B161" s="3">
        <v>44834</v>
      </c>
      <c r="C161" s="4">
        <v>25</v>
      </c>
      <c r="D161" s="4">
        <v>19.807200000000002</v>
      </c>
      <c r="E161" s="4">
        <v>3675</v>
      </c>
      <c r="F161" s="4">
        <v>24.718</v>
      </c>
      <c r="G161" s="4">
        <v>90838.65</v>
      </c>
      <c r="H161" s="5">
        <f t="shared" si="2"/>
        <v>4.1667324045879854E-2</v>
      </c>
    </row>
    <row r="162" spans="1:8" ht="13.5" x14ac:dyDescent="0.25">
      <c r="A162" s="1"/>
      <c r="B162" s="3">
        <v>44837</v>
      </c>
      <c r="C162" s="4">
        <v>25.5</v>
      </c>
      <c r="D162" s="4">
        <v>20.203399999999998</v>
      </c>
      <c r="E162" s="4">
        <v>1712</v>
      </c>
      <c r="F162" s="4">
        <v>25.495000000000001</v>
      </c>
      <c r="G162" s="4">
        <v>43647.44</v>
      </c>
      <c r="H162" s="5">
        <f t="shared" si="2"/>
        <v>2.0002827254735487E-2</v>
      </c>
    </row>
    <row r="163" spans="1:8" ht="13.5" x14ac:dyDescent="0.25">
      <c r="A163" s="1"/>
      <c r="B163" s="3">
        <v>44838</v>
      </c>
      <c r="C163" s="4">
        <v>25.99</v>
      </c>
      <c r="D163" s="4">
        <v>20.5916</v>
      </c>
      <c r="E163" s="4">
        <v>3806</v>
      </c>
      <c r="F163" s="4">
        <v>25.959</v>
      </c>
      <c r="G163" s="4">
        <v>98799.953999999998</v>
      </c>
      <c r="H163" s="5">
        <f t="shared" si="2"/>
        <v>1.9214587643663999E-2</v>
      </c>
    </row>
    <row r="164" spans="1:8" ht="13.5" x14ac:dyDescent="0.25">
      <c r="A164" s="1"/>
      <c r="B164" s="3">
        <v>44839</v>
      </c>
      <c r="C164" s="4">
        <v>25.99</v>
      </c>
      <c r="D164" s="4">
        <v>20.5916</v>
      </c>
      <c r="E164" s="4">
        <v>2468</v>
      </c>
      <c r="F164" s="4">
        <v>25.95</v>
      </c>
      <c r="G164" s="4">
        <v>64044.6</v>
      </c>
      <c r="H164" s="5">
        <f t="shared" si="2"/>
        <v>0</v>
      </c>
    </row>
    <row r="165" spans="1:8" ht="13.5" x14ac:dyDescent="0.25">
      <c r="A165" s="1"/>
      <c r="B165" s="3">
        <v>44840</v>
      </c>
      <c r="C165" s="4">
        <v>26.75</v>
      </c>
      <c r="D165" s="4">
        <v>21.1937</v>
      </c>
      <c r="E165" s="4">
        <v>4882</v>
      </c>
      <c r="F165" s="4">
        <v>26.446000000000002</v>
      </c>
      <c r="G165" s="4">
        <v>129109.372</v>
      </c>
      <c r="H165" s="5">
        <f t="shared" si="2"/>
        <v>2.9240078478602931E-2</v>
      </c>
    </row>
    <row r="166" spans="1:8" ht="13.5" x14ac:dyDescent="0.25">
      <c r="A166" s="1"/>
      <c r="B166" s="3">
        <v>44841</v>
      </c>
      <c r="C166" s="4">
        <v>26.8</v>
      </c>
      <c r="D166" s="4">
        <v>21.2334</v>
      </c>
      <c r="E166" s="4">
        <v>1229</v>
      </c>
      <c r="F166" s="4">
        <v>26.666</v>
      </c>
      <c r="G166" s="4">
        <v>32772.514000000003</v>
      </c>
      <c r="H166" s="5">
        <f t="shared" si="2"/>
        <v>1.8731981673799217E-3</v>
      </c>
    </row>
    <row r="167" spans="1:8" ht="13.5" x14ac:dyDescent="0.25">
      <c r="A167" s="1"/>
      <c r="B167" s="3">
        <v>44844</v>
      </c>
      <c r="C167" s="4">
        <v>26.5</v>
      </c>
      <c r="D167" s="4">
        <v>20.995699999999999</v>
      </c>
      <c r="E167" s="4">
        <v>4266</v>
      </c>
      <c r="F167" s="4">
        <v>26.757000000000001</v>
      </c>
      <c r="G167" s="4">
        <v>114145.36199999999</v>
      </c>
      <c r="H167" s="5">
        <f t="shared" si="2"/>
        <v>-1.1194627332410272E-2</v>
      </c>
    </row>
    <row r="168" spans="1:8" ht="13.5" x14ac:dyDescent="0.25">
      <c r="A168" s="1"/>
      <c r="B168" s="3">
        <v>44845</v>
      </c>
      <c r="C168" s="4">
        <v>26.8</v>
      </c>
      <c r="D168" s="4">
        <v>21.2334</v>
      </c>
      <c r="E168" s="4">
        <v>1101</v>
      </c>
      <c r="F168" s="4">
        <v>26.605</v>
      </c>
      <c r="G168" s="4">
        <v>29292.105</v>
      </c>
      <c r="H168" s="5">
        <f t="shared" si="2"/>
        <v>1.1321365803474056E-2</v>
      </c>
    </row>
    <row r="169" spans="1:8" ht="13.5" x14ac:dyDescent="0.25">
      <c r="A169" s="1"/>
      <c r="B169" s="3">
        <v>44846</v>
      </c>
      <c r="C169" s="4">
        <v>26.3</v>
      </c>
      <c r="D169" s="4">
        <v>20.837199999999999</v>
      </c>
      <c r="E169" s="4">
        <v>350</v>
      </c>
      <c r="F169" s="4">
        <v>26.268999999999998</v>
      </c>
      <c r="G169" s="4">
        <v>9194.15</v>
      </c>
      <c r="H169" s="5">
        <f t="shared" si="2"/>
        <v>-1.8659282074467601E-2</v>
      </c>
    </row>
    <row r="170" spans="1:8" ht="13.5" x14ac:dyDescent="0.25">
      <c r="A170" s="1"/>
      <c r="B170" s="3">
        <v>44847</v>
      </c>
      <c r="C170" s="4">
        <v>25.48</v>
      </c>
      <c r="D170" s="4">
        <v>20.1875</v>
      </c>
      <c r="E170" s="4">
        <v>1185</v>
      </c>
      <c r="F170" s="4">
        <v>25.524999999999999</v>
      </c>
      <c r="G170" s="4">
        <v>30247.125</v>
      </c>
      <c r="H170" s="5">
        <f t="shared" si="2"/>
        <v>-3.1179813026702211E-2</v>
      </c>
    </row>
    <row r="171" spans="1:8" ht="13.5" x14ac:dyDescent="0.25">
      <c r="A171" s="1"/>
      <c r="B171" s="3">
        <v>44848</v>
      </c>
      <c r="C171" s="4">
        <v>26</v>
      </c>
      <c r="D171" s="4">
        <v>20.599499999999999</v>
      </c>
      <c r="E171" s="4">
        <v>1634</v>
      </c>
      <c r="F171" s="4">
        <v>25.725000000000001</v>
      </c>
      <c r="G171" s="4">
        <v>42034.65</v>
      </c>
      <c r="H171" s="5">
        <f t="shared" si="2"/>
        <v>2.0408668730650108E-2</v>
      </c>
    </row>
    <row r="172" spans="1:8" ht="13.5" x14ac:dyDescent="0.25">
      <c r="A172" s="1"/>
      <c r="B172" s="3">
        <v>44851</v>
      </c>
      <c r="C172" s="4">
        <v>25.9</v>
      </c>
      <c r="D172" s="4">
        <v>20.520299999999999</v>
      </c>
      <c r="E172" s="4">
        <v>7424</v>
      </c>
      <c r="F172" s="4">
        <v>25.544</v>
      </c>
      <c r="G172" s="4">
        <v>189638.65599999999</v>
      </c>
      <c r="H172" s="5">
        <f t="shared" si="2"/>
        <v>-3.8447535134348001E-3</v>
      </c>
    </row>
    <row r="173" spans="1:8" ht="13.5" x14ac:dyDescent="0.25">
      <c r="A173" s="1"/>
      <c r="B173" s="3">
        <v>44852</v>
      </c>
      <c r="C173" s="4">
        <v>25.9</v>
      </c>
      <c r="D173" s="4">
        <v>20.520299999999999</v>
      </c>
      <c r="E173" s="4">
        <v>1381</v>
      </c>
      <c r="F173" s="4">
        <v>25.565000000000001</v>
      </c>
      <c r="G173" s="4">
        <v>35305.264999999999</v>
      </c>
      <c r="H173" s="5">
        <f t="shared" si="2"/>
        <v>0</v>
      </c>
    </row>
    <row r="174" spans="1:8" ht="13.5" x14ac:dyDescent="0.25">
      <c r="A174" s="1"/>
      <c r="B174" s="3">
        <v>44853</v>
      </c>
      <c r="C174" s="4">
        <v>26</v>
      </c>
      <c r="D174" s="4">
        <v>20.599499999999999</v>
      </c>
      <c r="E174" s="4">
        <v>2378</v>
      </c>
      <c r="F174" s="4">
        <v>25.814</v>
      </c>
      <c r="G174" s="4">
        <v>61385.692000000003</v>
      </c>
      <c r="H174" s="5">
        <f t="shared" si="2"/>
        <v>3.8595926960132243E-3</v>
      </c>
    </row>
    <row r="175" spans="1:8" ht="13.5" x14ac:dyDescent="0.25">
      <c r="A175" s="1"/>
      <c r="B175" s="3">
        <v>44854</v>
      </c>
      <c r="C175" s="4">
        <v>26</v>
      </c>
      <c r="D175" s="4">
        <v>20.599499999999999</v>
      </c>
      <c r="E175" s="4">
        <v>4111</v>
      </c>
      <c r="F175" s="4">
        <v>25.728999999999999</v>
      </c>
      <c r="G175" s="4">
        <v>105771.91899999999</v>
      </c>
      <c r="H175" s="5">
        <f t="shared" si="2"/>
        <v>0</v>
      </c>
    </row>
    <row r="176" spans="1:8" ht="13.5" x14ac:dyDescent="0.25">
      <c r="A176" s="1"/>
      <c r="B176" s="3">
        <v>44855</v>
      </c>
      <c r="C176" s="4">
        <v>26</v>
      </c>
      <c r="D176" s="4">
        <v>20.599499999999999</v>
      </c>
      <c r="E176" s="4">
        <v>250</v>
      </c>
      <c r="F176" s="4">
        <v>26</v>
      </c>
      <c r="G176" s="4">
        <v>6500</v>
      </c>
      <c r="H176" s="5">
        <f t="shared" si="2"/>
        <v>0</v>
      </c>
    </row>
    <row r="177" spans="1:8" ht="13.5" x14ac:dyDescent="0.25">
      <c r="A177" s="1"/>
      <c r="B177" s="3">
        <v>44858</v>
      </c>
      <c r="C177" s="4">
        <v>25.8</v>
      </c>
      <c r="D177" s="4">
        <v>20.441099999999999</v>
      </c>
      <c r="E177" s="4">
        <v>704</v>
      </c>
      <c r="F177" s="4">
        <v>25.521999999999998</v>
      </c>
      <c r="G177" s="4">
        <v>17967.488000000001</v>
      </c>
      <c r="H177" s="5">
        <f t="shared" si="2"/>
        <v>-7.6895070268696002E-3</v>
      </c>
    </row>
    <row r="178" spans="1:8" ht="13.5" x14ac:dyDescent="0.25">
      <c r="A178" s="1"/>
      <c r="B178" s="3">
        <v>44859</v>
      </c>
      <c r="C178" s="4">
        <v>25.7</v>
      </c>
      <c r="D178" s="4">
        <v>20.361799999999999</v>
      </c>
      <c r="E178" s="4">
        <v>1031</v>
      </c>
      <c r="F178" s="4">
        <v>25.797000000000001</v>
      </c>
      <c r="G178" s="4">
        <v>26596.706999999999</v>
      </c>
      <c r="H178" s="5">
        <f t="shared" si="2"/>
        <v>-3.8794389734407605E-3</v>
      </c>
    </row>
    <row r="179" spans="1:8" ht="13.5" x14ac:dyDescent="0.25">
      <c r="A179" s="1"/>
      <c r="B179" s="3">
        <v>44860</v>
      </c>
      <c r="C179" s="4">
        <v>25.7</v>
      </c>
      <c r="D179" s="4">
        <v>20.361799999999999</v>
      </c>
      <c r="E179" s="4">
        <v>3473</v>
      </c>
      <c r="F179" s="4">
        <v>25.593</v>
      </c>
      <c r="G179" s="4">
        <v>88884.489000000001</v>
      </c>
      <c r="H179" s="5">
        <f t="shared" si="2"/>
        <v>0</v>
      </c>
    </row>
    <row r="180" spans="1:8" ht="13.5" x14ac:dyDescent="0.25">
      <c r="A180" s="1"/>
      <c r="B180" s="3">
        <v>44861</v>
      </c>
      <c r="C180" s="4">
        <v>25.7</v>
      </c>
      <c r="D180" s="4">
        <v>20.361799999999999</v>
      </c>
      <c r="E180" s="4">
        <v>0</v>
      </c>
      <c r="F180" s="4">
        <v>0</v>
      </c>
      <c r="G180" s="4">
        <v>0</v>
      </c>
      <c r="H180" s="5">
        <f t="shared" si="2"/>
        <v>0</v>
      </c>
    </row>
    <row r="181" spans="1:8" ht="13.5" x14ac:dyDescent="0.25">
      <c r="A181" s="1"/>
      <c r="B181" s="3">
        <v>44862</v>
      </c>
      <c r="C181" s="4">
        <v>25.7</v>
      </c>
      <c r="D181" s="4">
        <v>20.361799999999999</v>
      </c>
      <c r="E181" s="4">
        <v>1337</v>
      </c>
      <c r="F181" s="4">
        <v>25.58</v>
      </c>
      <c r="G181" s="4">
        <v>34200.46</v>
      </c>
      <c r="H181" s="5">
        <f t="shared" si="2"/>
        <v>0</v>
      </c>
    </row>
    <row r="182" spans="1:8" ht="13.5" x14ac:dyDescent="0.25">
      <c r="A182" s="1"/>
      <c r="B182" s="3">
        <v>44865</v>
      </c>
      <c r="C182" s="4">
        <v>25.5</v>
      </c>
      <c r="D182" s="4">
        <v>20.203399999999998</v>
      </c>
      <c r="E182" s="4">
        <v>2156</v>
      </c>
      <c r="F182" s="4">
        <v>25.326000000000001</v>
      </c>
      <c r="G182" s="4">
        <v>54602.856</v>
      </c>
      <c r="H182" s="5">
        <f t="shared" si="2"/>
        <v>-7.7792729522930355E-3</v>
      </c>
    </row>
    <row r="183" spans="1:8" ht="13.5" x14ac:dyDescent="0.25">
      <c r="A183" s="1"/>
      <c r="B183" s="3">
        <v>44866</v>
      </c>
      <c r="C183" s="4">
        <v>25.77</v>
      </c>
      <c r="D183" s="4">
        <v>20.417300000000001</v>
      </c>
      <c r="E183" s="4">
        <v>6570</v>
      </c>
      <c r="F183" s="4">
        <v>25.771000000000001</v>
      </c>
      <c r="G183" s="4">
        <v>169315.47</v>
      </c>
      <c r="H183" s="5">
        <f t="shared" si="2"/>
        <v>1.0587326885573836E-2</v>
      </c>
    </row>
    <row r="184" spans="1:8" ht="13.5" x14ac:dyDescent="0.25">
      <c r="A184" s="1"/>
      <c r="B184" s="3">
        <v>44867</v>
      </c>
      <c r="C184" s="4">
        <v>25.5</v>
      </c>
      <c r="D184" s="4">
        <v>20.203399999999998</v>
      </c>
      <c r="E184" s="4">
        <v>6242</v>
      </c>
      <c r="F184" s="4">
        <v>25.518999999999998</v>
      </c>
      <c r="G184" s="4">
        <v>159289.598</v>
      </c>
      <c r="H184" s="5">
        <f t="shared" si="2"/>
        <v>-1.0476409711372337E-2</v>
      </c>
    </row>
    <row r="185" spans="1:8" ht="13.5" x14ac:dyDescent="0.25">
      <c r="A185" s="1"/>
      <c r="B185" s="3">
        <v>44868</v>
      </c>
      <c r="C185" s="4">
        <v>25.49</v>
      </c>
      <c r="D185" s="4">
        <v>20.195499999999999</v>
      </c>
      <c r="E185" s="4">
        <v>3785</v>
      </c>
      <c r="F185" s="4">
        <v>25.349</v>
      </c>
      <c r="G185" s="4">
        <v>95945.964999999997</v>
      </c>
      <c r="H185" s="5">
        <f t="shared" si="2"/>
        <v>-3.9102329310904859E-4</v>
      </c>
    </row>
    <row r="186" spans="1:8" ht="13.5" x14ac:dyDescent="0.25">
      <c r="A186" s="1"/>
      <c r="B186" s="3">
        <v>44869</v>
      </c>
      <c r="C186" s="4">
        <v>25.23</v>
      </c>
      <c r="D186" s="4">
        <v>19.9895</v>
      </c>
      <c r="E186" s="4">
        <v>1378</v>
      </c>
      <c r="F186" s="4">
        <v>24.952000000000002</v>
      </c>
      <c r="G186" s="4">
        <v>34383.856</v>
      </c>
      <c r="H186" s="5">
        <f t="shared" si="2"/>
        <v>-1.0200292144289545E-2</v>
      </c>
    </row>
    <row r="187" spans="1:8" ht="13.5" x14ac:dyDescent="0.25">
      <c r="A187" s="1"/>
      <c r="B187" s="3">
        <v>44872</v>
      </c>
      <c r="C187" s="4">
        <v>25.1</v>
      </c>
      <c r="D187" s="4">
        <v>19.886500000000002</v>
      </c>
      <c r="E187" s="4">
        <v>2475</v>
      </c>
      <c r="F187" s="4">
        <v>24.83</v>
      </c>
      <c r="G187" s="4">
        <v>61454.25</v>
      </c>
      <c r="H187" s="5">
        <f t="shared" si="2"/>
        <v>-5.1527051702142616E-3</v>
      </c>
    </row>
    <row r="188" spans="1:8" ht="13.5" x14ac:dyDescent="0.25">
      <c r="A188" s="1"/>
      <c r="B188" s="3">
        <v>44873</v>
      </c>
      <c r="C188" s="4">
        <v>25</v>
      </c>
      <c r="D188" s="4">
        <v>19.807200000000002</v>
      </c>
      <c r="E188" s="4">
        <v>974</v>
      </c>
      <c r="F188" s="4">
        <v>24.826000000000001</v>
      </c>
      <c r="G188" s="4">
        <v>24180.524000000001</v>
      </c>
      <c r="H188" s="5">
        <f t="shared" si="2"/>
        <v>-3.9876297991099452E-3</v>
      </c>
    </row>
    <row r="189" spans="1:8" ht="13.5" x14ac:dyDescent="0.25">
      <c r="A189" s="1"/>
      <c r="B189" s="3">
        <v>44874</v>
      </c>
      <c r="C189" s="4">
        <v>25.35</v>
      </c>
      <c r="D189" s="4">
        <v>20.084499999999998</v>
      </c>
      <c r="E189" s="4">
        <v>5050</v>
      </c>
      <c r="F189" s="4">
        <v>25.074000000000002</v>
      </c>
      <c r="G189" s="4">
        <v>126623.7</v>
      </c>
      <c r="H189" s="5">
        <f t="shared" si="2"/>
        <v>1.399995961064647E-2</v>
      </c>
    </row>
    <row r="190" spans="1:8" ht="13.5" x14ac:dyDescent="0.25">
      <c r="A190" s="1"/>
      <c r="B190" s="3">
        <v>44875</v>
      </c>
      <c r="C190" s="4">
        <v>25.34</v>
      </c>
      <c r="D190" s="4">
        <v>20.076599999999999</v>
      </c>
      <c r="E190" s="4">
        <v>2976</v>
      </c>
      <c r="F190" s="4">
        <v>25.297999999999998</v>
      </c>
      <c r="G190" s="4">
        <v>75286.847999999998</v>
      </c>
      <c r="H190" s="5">
        <f t="shared" si="2"/>
        <v>-3.9333814633171613E-4</v>
      </c>
    </row>
    <row r="191" spans="1:8" ht="13.5" x14ac:dyDescent="0.25">
      <c r="A191" s="1"/>
      <c r="B191" s="3">
        <v>44876</v>
      </c>
      <c r="C191" s="4">
        <v>25.7</v>
      </c>
      <c r="D191" s="4">
        <v>20.361799999999999</v>
      </c>
      <c r="E191" s="4">
        <v>1945</v>
      </c>
      <c r="F191" s="4">
        <v>25.552</v>
      </c>
      <c r="G191" s="4">
        <v>49698.64</v>
      </c>
      <c r="H191" s="5">
        <f t="shared" si="2"/>
        <v>1.4205592580416987E-2</v>
      </c>
    </row>
    <row r="192" spans="1:8" ht="13.5" x14ac:dyDescent="0.25">
      <c r="A192" s="1"/>
      <c r="B192" s="3">
        <v>44879</v>
      </c>
      <c r="C192" s="4">
        <v>25.74</v>
      </c>
      <c r="D192" s="4">
        <v>20.3935</v>
      </c>
      <c r="E192" s="4">
        <v>357</v>
      </c>
      <c r="F192" s="4">
        <v>25.75</v>
      </c>
      <c r="G192" s="4">
        <v>9192.75</v>
      </c>
      <c r="H192" s="5">
        <f t="shared" si="2"/>
        <v>1.55683682189201E-3</v>
      </c>
    </row>
    <row r="193" spans="1:8" ht="13.5" x14ac:dyDescent="0.25">
      <c r="A193" s="1"/>
      <c r="B193" s="3">
        <v>44880</v>
      </c>
      <c r="C193" s="4">
        <v>25.8</v>
      </c>
      <c r="D193" s="4">
        <v>20.441099999999999</v>
      </c>
      <c r="E193" s="4">
        <v>1899</v>
      </c>
      <c r="F193" s="4">
        <v>25.41</v>
      </c>
      <c r="G193" s="4">
        <v>48253.59</v>
      </c>
      <c r="H193" s="5">
        <f t="shared" si="2"/>
        <v>2.3340770343491407E-3</v>
      </c>
    </row>
    <row r="194" spans="1:8" ht="13.5" x14ac:dyDescent="0.25">
      <c r="A194" s="1"/>
      <c r="B194" s="3">
        <v>44881</v>
      </c>
      <c r="C194" s="4">
        <v>25.8</v>
      </c>
      <c r="D194" s="4">
        <v>20.441099999999999</v>
      </c>
      <c r="E194" s="4">
        <v>0</v>
      </c>
      <c r="F194" s="4">
        <v>0</v>
      </c>
      <c r="G194" s="4">
        <v>0</v>
      </c>
      <c r="H194" s="5">
        <f t="shared" si="2"/>
        <v>0</v>
      </c>
    </row>
    <row r="195" spans="1:8" ht="13.5" x14ac:dyDescent="0.25">
      <c r="A195" s="1"/>
      <c r="B195" s="3">
        <v>44882</v>
      </c>
      <c r="C195" s="4">
        <v>25.7</v>
      </c>
      <c r="D195" s="4">
        <v>20.361799999999999</v>
      </c>
      <c r="E195" s="4">
        <v>7002</v>
      </c>
      <c r="F195" s="4">
        <v>25.504999999999999</v>
      </c>
      <c r="G195" s="4">
        <v>178586.01</v>
      </c>
      <c r="H195" s="5">
        <f t="shared" si="2"/>
        <v>-3.8794389734407605E-3</v>
      </c>
    </row>
    <row r="196" spans="1:8" ht="13.5" x14ac:dyDescent="0.25">
      <c r="A196" s="1"/>
      <c r="B196" s="3">
        <v>44883</v>
      </c>
      <c r="C196" s="4">
        <v>25.69</v>
      </c>
      <c r="D196" s="4">
        <v>20.353899999999999</v>
      </c>
      <c r="E196" s="4">
        <v>427</v>
      </c>
      <c r="F196" s="4">
        <v>25.582000000000001</v>
      </c>
      <c r="G196" s="4">
        <v>10923.513999999999</v>
      </c>
      <c r="H196" s="5">
        <f t="shared" si="2"/>
        <v>-3.8798141618124883E-4</v>
      </c>
    </row>
    <row r="197" spans="1:8" ht="13.5" x14ac:dyDescent="0.25">
      <c r="A197" s="1"/>
      <c r="B197" s="3">
        <v>44886</v>
      </c>
      <c r="C197" s="4">
        <v>25.59</v>
      </c>
      <c r="D197" s="4">
        <v>20.274699999999999</v>
      </c>
      <c r="E197" s="4">
        <v>299</v>
      </c>
      <c r="F197" s="4">
        <v>25.591000000000001</v>
      </c>
      <c r="G197" s="4">
        <v>7651.7089999999998</v>
      </c>
      <c r="H197" s="5">
        <f t="shared" si="2"/>
        <v>-3.891146168547559E-3</v>
      </c>
    </row>
    <row r="198" spans="1:8" ht="13.5" x14ac:dyDescent="0.25">
      <c r="A198" s="1"/>
      <c r="B198" s="3">
        <v>44887</v>
      </c>
      <c r="C198" s="4">
        <v>25.6</v>
      </c>
      <c r="D198" s="4">
        <v>20.282599999999999</v>
      </c>
      <c r="E198" s="4">
        <v>418</v>
      </c>
      <c r="F198" s="4">
        <v>25.596</v>
      </c>
      <c r="G198" s="4">
        <v>10699.128000000001</v>
      </c>
      <c r="H198" s="5">
        <f t="shared" si="2"/>
        <v>3.8964818221721417E-4</v>
      </c>
    </row>
    <row r="199" spans="1:8" ht="13.5" x14ac:dyDescent="0.25">
      <c r="A199" s="1"/>
      <c r="B199" s="3">
        <v>44888</v>
      </c>
      <c r="C199" s="4">
        <v>25.6</v>
      </c>
      <c r="D199" s="4">
        <v>20.282599999999999</v>
      </c>
      <c r="E199" s="4">
        <v>0</v>
      </c>
      <c r="F199" s="4">
        <v>0</v>
      </c>
      <c r="G199" s="4">
        <v>0</v>
      </c>
      <c r="H199" s="5">
        <f t="shared" ref="H199:H262" si="3">(D199-D198)/D198</f>
        <v>0</v>
      </c>
    </row>
    <row r="200" spans="1:8" ht="13.5" x14ac:dyDescent="0.25">
      <c r="A200" s="1"/>
      <c r="B200" s="3">
        <v>44889</v>
      </c>
      <c r="C200" s="4">
        <v>25.59</v>
      </c>
      <c r="D200" s="4">
        <v>20.274699999999999</v>
      </c>
      <c r="E200" s="4">
        <v>450</v>
      </c>
      <c r="F200" s="4">
        <v>25.369</v>
      </c>
      <c r="G200" s="4">
        <v>11416.05</v>
      </c>
      <c r="H200" s="5">
        <f t="shared" si="3"/>
        <v>-3.8949641564687724E-4</v>
      </c>
    </row>
    <row r="201" spans="1:8" ht="13.5" x14ac:dyDescent="0.25">
      <c r="A201" s="1"/>
      <c r="B201" s="3">
        <v>44890</v>
      </c>
      <c r="C201" s="4">
        <v>25.49</v>
      </c>
      <c r="D201" s="4">
        <v>20.195499999999999</v>
      </c>
      <c r="E201" s="4">
        <v>251</v>
      </c>
      <c r="F201" s="4">
        <v>25.527000000000001</v>
      </c>
      <c r="G201" s="4">
        <v>6407.277</v>
      </c>
      <c r="H201" s="5">
        <f t="shared" si="3"/>
        <v>-3.906346333114678E-3</v>
      </c>
    </row>
    <row r="202" spans="1:8" ht="13.5" x14ac:dyDescent="0.25">
      <c r="A202" s="1"/>
      <c r="B202" s="3">
        <v>44893</v>
      </c>
      <c r="C202" s="4">
        <v>25.5</v>
      </c>
      <c r="D202" s="4">
        <v>20.203399999999998</v>
      </c>
      <c r="E202" s="4">
        <v>772</v>
      </c>
      <c r="F202" s="4">
        <v>25.53</v>
      </c>
      <c r="G202" s="4">
        <v>19709.16</v>
      </c>
      <c r="H202" s="5">
        <f t="shared" si="3"/>
        <v>3.9117625213534464E-4</v>
      </c>
    </row>
    <row r="203" spans="1:8" ht="13.5" x14ac:dyDescent="0.25">
      <c r="A203" s="1"/>
      <c r="B203" s="3">
        <v>44894</v>
      </c>
      <c r="C203" s="4">
        <v>25.3</v>
      </c>
      <c r="D203" s="4">
        <v>20.044899999999998</v>
      </c>
      <c r="E203" s="4">
        <v>337</v>
      </c>
      <c r="F203" s="4">
        <v>25.15</v>
      </c>
      <c r="G203" s="4">
        <v>8475.5499999999993</v>
      </c>
      <c r="H203" s="5">
        <f t="shared" si="3"/>
        <v>-7.8452141718720666E-3</v>
      </c>
    </row>
    <row r="204" spans="1:8" ht="13.5" x14ac:dyDescent="0.25">
      <c r="A204" s="1"/>
      <c r="B204" s="3">
        <v>44895</v>
      </c>
      <c r="C204" s="4">
        <v>25.3</v>
      </c>
      <c r="D204" s="4">
        <v>20.044899999999998</v>
      </c>
      <c r="E204" s="4">
        <v>1330</v>
      </c>
      <c r="F204" s="4">
        <v>25.312999999999999</v>
      </c>
      <c r="G204" s="4">
        <v>33666.29</v>
      </c>
      <c r="H204" s="5">
        <f t="shared" si="3"/>
        <v>0</v>
      </c>
    </row>
    <row r="205" spans="1:8" ht="13.5" x14ac:dyDescent="0.25">
      <c r="A205" s="1"/>
      <c r="B205" s="3">
        <v>44896</v>
      </c>
      <c r="C205" s="4">
        <v>25</v>
      </c>
      <c r="D205" s="4">
        <v>19.807200000000002</v>
      </c>
      <c r="E205" s="4">
        <v>51</v>
      </c>
      <c r="F205" s="4">
        <v>25.006</v>
      </c>
      <c r="G205" s="4">
        <v>1275.306</v>
      </c>
      <c r="H205" s="5">
        <f t="shared" si="3"/>
        <v>-1.1858377941521121E-2</v>
      </c>
    </row>
    <row r="206" spans="1:8" ht="13.5" x14ac:dyDescent="0.25">
      <c r="A206" s="1"/>
      <c r="B206" s="3">
        <v>44897</v>
      </c>
      <c r="C206" s="4">
        <v>25.29</v>
      </c>
      <c r="D206" s="4">
        <v>20.036999999999999</v>
      </c>
      <c r="E206" s="4">
        <v>53</v>
      </c>
      <c r="F206" s="4">
        <v>25.047999999999998</v>
      </c>
      <c r="G206" s="4">
        <v>1327.5440000000001</v>
      </c>
      <c r="H206" s="5">
        <f t="shared" si="3"/>
        <v>1.1601841754513375E-2</v>
      </c>
    </row>
    <row r="207" spans="1:8" ht="13.5" x14ac:dyDescent="0.25">
      <c r="A207" s="1"/>
      <c r="B207" s="3">
        <v>44900</v>
      </c>
      <c r="C207" s="4">
        <v>24.2</v>
      </c>
      <c r="D207" s="4">
        <v>19.173400000000001</v>
      </c>
      <c r="E207" s="4">
        <v>419</v>
      </c>
      <c r="F207" s="4">
        <v>24.359000000000002</v>
      </c>
      <c r="G207" s="4">
        <v>10206.421</v>
      </c>
      <c r="H207" s="5">
        <f t="shared" si="3"/>
        <v>-4.3100264510655198E-2</v>
      </c>
    </row>
    <row r="208" spans="1:8" ht="13.5" x14ac:dyDescent="0.25">
      <c r="A208" s="1"/>
      <c r="B208" s="3">
        <v>44901</v>
      </c>
      <c r="C208" s="4">
        <v>25.3</v>
      </c>
      <c r="D208" s="4">
        <v>20.044899999999998</v>
      </c>
      <c r="E208" s="4">
        <v>364</v>
      </c>
      <c r="F208" s="4">
        <v>25.059000000000001</v>
      </c>
      <c r="G208" s="4">
        <v>9121.4760000000006</v>
      </c>
      <c r="H208" s="5">
        <f t="shared" si="3"/>
        <v>4.5453597171080634E-2</v>
      </c>
    </row>
    <row r="209" spans="1:8" ht="13.5" x14ac:dyDescent="0.25">
      <c r="A209" s="1"/>
      <c r="B209" s="3">
        <v>44902</v>
      </c>
      <c r="C209" s="4">
        <v>25</v>
      </c>
      <c r="D209" s="4">
        <v>19.807200000000002</v>
      </c>
      <c r="E209" s="4">
        <v>3196</v>
      </c>
      <c r="F209" s="4">
        <v>25</v>
      </c>
      <c r="G209" s="4">
        <v>79900</v>
      </c>
      <c r="H209" s="5">
        <f t="shared" si="3"/>
        <v>-1.1858377941521121E-2</v>
      </c>
    </row>
    <row r="210" spans="1:8" ht="13.5" x14ac:dyDescent="0.25">
      <c r="A210" s="1"/>
      <c r="B210" s="3">
        <v>44903</v>
      </c>
      <c r="C210" s="4">
        <v>25</v>
      </c>
      <c r="D210" s="4">
        <v>19.807200000000002</v>
      </c>
      <c r="E210" s="4">
        <v>58</v>
      </c>
      <c r="F210" s="4">
        <v>24.991</v>
      </c>
      <c r="G210" s="4">
        <v>1449.4780000000001</v>
      </c>
      <c r="H210" s="5">
        <f t="shared" si="3"/>
        <v>0</v>
      </c>
    </row>
    <row r="211" spans="1:8" ht="13.5" x14ac:dyDescent="0.25">
      <c r="A211" s="1"/>
      <c r="B211" s="3">
        <v>44904</v>
      </c>
      <c r="C211" s="4">
        <v>25</v>
      </c>
      <c r="D211" s="4">
        <v>19.807200000000002</v>
      </c>
      <c r="E211" s="4">
        <v>338</v>
      </c>
      <c r="F211" s="4">
        <v>24.927</v>
      </c>
      <c r="G211" s="4">
        <v>8425.3259999999991</v>
      </c>
      <c r="H211" s="5">
        <f t="shared" si="3"/>
        <v>0</v>
      </c>
    </row>
    <row r="212" spans="1:8" ht="13.5" x14ac:dyDescent="0.25">
      <c r="A212" s="1"/>
      <c r="B212" s="3">
        <v>44907</v>
      </c>
      <c r="C212" s="4">
        <v>25</v>
      </c>
      <c r="D212" s="4">
        <v>19.807200000000002</v>
      </c>
      <c r="E212" s="4">
        <v>615</v>
      </c>
      <c r="F212" s="4">
        <v>24.992000000000001</v>
      </c>
      <c r="G212" s="4">
        <v>15370.08</v>
      </c>
      <c r="H212" s="5">
        <f t="shared" si="3"/>
        <v>0</v>
      </c>
    </row>
    <row r="213" spans="1:8" ht="13.5" x14ac:dyDescent="0.25">
      <c r="A213" s="1"/>
      <c r="B213" s="3">
        <v>44908</v>
      </c>
      <c r="C213" s="4">
        <v>24.95</v>
      </c>
      <c r="D213" s="4">
        <v>19.767600000000002</v>
      </c>
      <c r="E213" s="4">
        <v>1970</v>
      </c>
      <c r="F213" s="4">
        <v>24.978000000000002</v>
      </c>
      <c r="G213" s="4">
        <v>49206.66</v>
      </c>
      <c r="H213" s="5">
        <f t="shared" si="3"/>
        <v>-1.9992729916394076E-3</v>
      </c>
    </row>
    <row r="214" spans="1:8" ht="13.5" x14ac:dyDescent="0.25">
      <c r="A214" s="1"/>
      <c r="B214" s="3">
        <v>44909</v>
      </c>
      <c r="C214" s="4">
        <v>24.89</v>
      </c>
      <c r="D214" s="4">
        <v>19.720099999999999</v>
      </c>
      <c r="E214" s="4">
        <v>1292</v>
      </c>
      <c r="F214" s="4">
        <v>24.878</v>
      </c>
      <c r="G214" s="4">
        <v>32142.376</v>
      </c>
      <c r="H214" s="5">
        <f t="shared" si="3"/>
        <v>-2.4029219530951143E-3</v>
      </c>
    </row>
    <row r="215" spans="1:8" ht="13.5" x14ac:dyDescent="0.25">
      <c r="A215" s="1"/>
      <c r="B215" s="3">
        <v>44910</v>
      </c>
      <c r="C215" s="4">
        <v>24.89</v>
      </c>
      <c r="D215" s="4">
        <v>19.720099999999999</v>
      </c>
      <c r="E215" s="4">
        <v>0</v>
      </c>
      <c r="F215" s="4">
        <v>0</v>
      </c>
      <c r="G215" s="4">
        <v>0</v>
      </c>
      <c r="H215" s="5">
        <f t="shared" si="3"/>
        <v>0</v>
      </c>
    </row>
    <row r="216" spans="1:8" ht="13.5" x14ac:dyDescent="0.25">
      <c r="A216" s="1"/>
      <c r="B216" s="3">
        <v>44911</v>
      </c>
      <c r="C216" s="4">
        <v>24.89</v>
      </c>
      <c r="D216" s="4">
        <v>19.720099999999999</v>
      </c>
      <c r="E216" s="4">
        <v>906</v>
      </c>
      <c r="F216" s="4">
        <v>24.792000000000002</v>
      </c>
      <c r="G216" s="4">
        <v>22461.552</v>
      </c>
      <c r="H216" s="5">
        <f t="shared" si="3"/>
        <v>0</v>
      </c>
    </row>
    <row r="217" spans="1:8" ht="13.5" x14ac:dyDescent="0.25">
      <c r="A217" s="1"/>
      <c r="B217" s="3">
        <v>44914</v>
      </c>
      <c r="C217" s="4">
        <v>24.89</v>
      </c>
      <c r="D217" s="4">
        <v>19.720099999999999</v>
      </c>
      <c r="E217" s="4">
        <v>0</v>
      </c>
      <c r="F217" s="4">
        <v>0</v>
      </c>
      <c r="G217" s="4">
        <v>0</v>
      </c>
      <c r="H217" s="5">
        <f t="shared" si="3"/>
        <v>0</v>
      </c>
    </row>
    <row r="218" spans="1:8" ht="13.5" x14ac:dyDescent="0.25">
      <c r="A218" s="1"/>
      <c r="B218" s="3">
        <v>44915</v>
      </c>
      <c r="C218" s="4">
        <v>24.89</v>
      </c>
      <c r="D218" s="4">
        <v>19.720099999999999</v>
      </c>
      <c r="E218" s="4">
        <v>458</v>
      </c>
      <c r="F218" s="4">
        <v>24.738</v>
      </c>
      <c r="G218" s="4">
        <v>11330.004000000001</v>
      </c>
      <c r="H218" s="5">
        <f t="shared" si="3"/>
        <v>0</v>
      </c>
    </row>
    <row r="219" spans="1:8" ht="13.5" x14ac:dyDescent="0.25">
      <c r="A219" s="1"/>
      <c r="B219" s="3">
        <v>44916</v>
      </c>
      <c r="C219" s="4">
        <v>24.85</v>
      </c>
      <c r="D219" s="4">
        <v>19.688400000000001</v>
      </c>
      <c r="E219" s="4">
        <v>570</v>
      </c>
      <c r="F219" s="4">
        <v>24.84</v>
      </c>
      <c r="G219" s="4">
        <v>14158.8</v>
      </c>
      <c r="H219" s="5">
        <f t="shared" si="3"/>
        <v>-1.6074969193866754E-3</v>
      </c>
    </row>
    <row r="220" spans="1:8" ht="13.5" x14ac:dyDescent="0.25">
      <c r="A220" s="1"/>
      <c r="B220" s="3">
        <v>44917</v>
      </c>
      <c r="C220" s="4">
        <v>24.68</v>
      </c>
      <c r="D220" s="4">
        <v>19.553699999999999</v>
      </c>
      <c r="E220" s="4">
        <v>3106</v>
      </c>
      <c r="F220" s="4">
        <v>24.738</v>
      </c>
      <c r="G220" s="4">
        <v>76836.228000000003</v>
      </c>
      <c r="H220" s="5">
        <f t="shared" si="3"/>
        <v>-6.8415920034132919E-3</v>
      </c>
    </row>
    <row r="221" spans="1:8" ht="13.5" x14ac:dyDescent="0.25">
      <c r="A221" s="1"/>
      <c r="B221" s="3">
        <v>44918</v>
      </c>
      <c r="C221" s="4">
        <v>24.68</v>
      </c>
      <c r="D221" s="4">
        <v>19.553699999999999</v>
      </c>
      <c r="E221" s="4">
        <v>137</v>
      </c>
      <c r="F221" s="4">
        <v>24.686</v>
      </c>
      <c r="G221" s="4">
        <v>3381.982</v>
      </c>
      <c r="H221" s="5">
        <f t="shared" si="3"/>
        <v>0</v>
      </c>
    </row>
    <row r="222" spans="1:8" ht="13.5" x14ac:dyDescent="0.25">
      <c r="A222" s="1"/>
      <c r="B222" s="3">
        <v>44921</v>
      </c>
      <c r="C222" s="4">
        <v>24.5</v>
      </c>
      <c r="D222" s="4">
        <v>19.411100000000001</v>
      </c>
      <c r="E222" s="4">
        <v>755</v>
      </c>
      <c r="F222" s="4">
        <v>24.521000000000001</v>
      </c>
      <c r="G222" s="4">
        <v>18513.355</v>
      </c>
      <c r="H222" s="5">
        <f t="shared" si="3"/>
        <v>-7.2927374358816013E-3</v>
      </c>
    </row>
    <row r="223" spans="1:8" ht="13.5" x14ac:dyDescent="0.25">
      <c r="A223" s="1"/>
      <c r="B223" s="3">
        <v>44922</v>
      </c>
      <c r="C223" s="4">
        <v>24.76</v>
      </c>
      <c r="D223" s="4">
        <v>19.617100000000001</v>
      </c>
      <c r="E223" s="4">
        <v>2961</v>
      </c>
      <c r="F223" s="4">
        <v>24.683</v>
      </c>
      <c r="G223" s="4">
        <v>73086.362999999998</v>
      </c>
      <c r="H223" s="5">
        <f t="shared" si="3"/>
        <v>1.0612484609321446E-2</v>
      </c>
    </row>
    <row r="224" spans="1:8" ht="13.5" x14ac:dyDescent="0.25">
      <c r="A224" s="1"/>
      <c r="B224" s="3">
        <v>44923</v>
      </c>
      <c r="C224" s="4">
        <v>24.76</v>
      </c>
      <c r="D224" s="4">
        <v>19.617100000000001</v>
      </c>
      <c r="E224" s="4">
        <v>9196</v>
      </c>
      <c r="F224" s="4">
        <v>24.968</v>
      </c>
      <c r="G224" s="4">
        <v>229605.728</v>
      </c>
      <c r="H224" s="5">
        <f t="shared" si="3"/>
        <v>0</v>
      </c>
    </row>
    <row r="225" spans="1:8" ht="13.5" x14ac:dyDescent="0.25">
      <c r="A225" s="1"/>
      <c r="B225" s="3">
        <v>44924</v>
      </c>
      <c r="C225" s="4">
        <v>24.67</v>
      </c>
      <c r="D225" s="4">
        <v>19.5458</v>
      </c>
      <c r="E225" s="4">
        <v>356</v>
      </c>
      <c r="F225" s="4">
        <v>24.626999999999999</v>
      </c>
      <c r="G225" s="4">
        <v>8767.2119999999995</v>
      </c>
      <c r="H225" s="5">
        <f t="shared" si="3"/>
        <v>-3.6345841128403692E-3</v>
      </c>
    </row>
    <row r="226" spans="1:8" ht="13.5" x14ac:dyDescent="0.25">
      <c r="A226" s="1"/>
      <c r="B226" s="3">
        <v>44925</v>
      </c>
      <c r="C226" s="4">
        <v>24.67</v>
      </c>
      <c r="D226" s="4">
        <v>19.5458</v>
      </c>
      <c r="E226" s="4">
        <v>1253</v>
      </c>
      <c r="F226" s="4">
        <v>24.611000000000001</v>
      </c>
      <c r="G226" s="4">
        <v>30837.582999999999</v>
      </c>
      <c r="H226" s="5">
        <f t="shared" si="3"/>
        <v>0</v>
      </c>
    </row>
    <row r="227" spans="1:8" ht="13.5" x14ac:dyDescent="0.25">
      <c r="A227" s="1"/>
      <c r="B227" s="3">
        <v>44928</v>
      </c>
      <c r="C227" s="4">
        <v>25</v>
      </c>
      <c r="D227" s="4">
        <v>19.807200000000002</v>
      </c>
      <c r="E227" s="4">
        <v>1658</v>
      </c>
      <c r="F227" s="4">
        <v>24.774999999999999</v>
      </c>
      <c r="G227" s="4">
        <v>41076.949999999997</v>
      </c>
      <c r="H227" s="5">
        <f t="shared" si="3"/>
        <v>1.3373717115697585E-2</v>
      </c>
    </row>
    <row r="228" spans="1:8" ht="13.5" x14ac:dyDescent="0.25">
      <c r="A228" s="1"/>
      <c r="B228" s="3">
        <v>44929</v>
      </c>
      <c r="C228" s="4">
        <v>25.5</v>
      </c>
      <c r="D228" s="4">
        <v>20.203399999999998</v>
      </c>
      <c r="E228" s="4">
        <v>1116</v>
      </c>
      <c r="F228" s="4">
        <v>25.285</v>
      </c>
      <c r="G228" s="4">
        <v>28218.06</v>
      </c>
      <c r="H228" s="5">
        <f t="shared" si="3"/>
        <v>2.0002827254735487E-2</v>
      </c>
    </row>
    <row r="229" spans="1:8" ht="13.5" x14ac:dyDescent="0.25">
      <c r="A229" s="1"/>
      <c r="B229" s="3">
        <v>44930</v>
      </c>
      <c r="C229" s="4">
        <v>25.5</v>
      </c>
      <c r="D229" s="4">
        <v>20.203399999999998</v>
      </c>
      <c r="E229" s="4">
        <v>755</v>
      </c>
      <c r="F229" s="4">
        <v>25.759</v>
      </c>
      <c r="G229" s="4">
        <v>19448.044999999998</v>
      </c>
      <c r="H229" s="5">
        <f t="shared" si="3"/>
        <v>0</v>
      </c>
    </row>
    <row r="230" spans="1:8" ht="13.5" x14ac:dyDescent="0.25">
      <c r="A230" s="1"/>
      <c r="B230" s="3">
        <v>44931</v>
      </c>
      <c r="C230" s="4">
        <v>25.75</v>
      </c>
      <c r="D230" s="4">
        <v>20.401499999999999</v>
      </c>
      <c r="E230" s="4">
        <v>830</v>
      </c>
      <c r="F230" s="4">
        <v>25.725999999999999</v>
      </c>
      <c r="G230" s="4">
        <v>21352.58</v>
      </c>
      <c r="H230" s="5">
        <f t="shared" si="3"/>
        <v>9.8052802993555625E-3</v>
      </c>
    </row>
    <row r="231" spans="1:8" ht="13.5" x14ac:dyDescent="0.25">
      <c r="A231" s="1"/>
      <c r="B231" s="3">
        <v>44932</v>
      </c>
      <c r="C231" s="4">
        <v>25.74</v>
      </c>
      <c r="D231" s="4">
        <v>20.3935</v>
      </c>
      <c r="E231" s="4">
        <v>1660</v>
      </c>
      <c r="F231" s="4">
        <v>25.734999999999999</v>
      </c>
      <c r="G231" s="4">
        <v>42720.1</v>
      </c>
      <c r="H231" s="5">
        <f t="shared" si="3"/>
        <v>-3.921280298016871E-4</v>
      </c>
    </row>
    <row r="232" spans="1:8" ht="13.5" x14ac:dyDescent="0.25">
      <c r="A232" s="1"/>
      <c r="B232" s="3">
        <v>44935</v>
      </c>
      <c r="C232" s="4">
        <v>25.75</v>
      </c>
      <c r="D232" s="4">
        <v>20.401499999999999</v>
      </c>
      <c r="E232" s="4">
        <v>995</v>
      </c>
      <c r="F232" s="4">
        <v>25.74</v>
      </c>
      <c r="G232" s="4">
        <v>25611.3</v>
      </c>
      <c r="H232" s="5">
        <f t="shared" si="3"/>
        <v>3.92281854512424E-4</v>
      </c>
    </row>
    <row r="233" spans="1:8" ht="13.5" x14ac:dyDescent="0.25">
      <c r="A233" s="1"/>
      <c r="B233" s="3">
        <v>44936</v>
      </c>
      <c r="C233" s="4">
        <v>25.7</v>
      </c>
      <c r="D233" s="4">
        <v>20.361799999999999</v>
      </c>
      <c r="E233" s="4">
        <v>55</v>
      </c>
      <c r="F233" s="4">
        <v>25.693000000000001</v>
      </c>
      <c r="G233" s="4">
        <v>1413.115</v>
      </c>
      <c r="H233" s="5">
        <f t="shared" si="3"/>
        <v>-1.945935347891079E-3</v>
      </c>
    </row>
    <row r="234" spans="1:8" ht="13.5" x14ac:dyDescent="0.25">
      <c r="A234" s="1"/>
      <c r="B234" s="3">
        <v>44937</v>
      </c>
      <c r="C234" s="4">
        <v>25.7</v>
      </c>
      <c r="D234" s="4">
        <v>20.361799999999999</v>
      </c>
      <c r="E234" s="4">
        <v>103</v>
      </c>
      <c r="F234" s="4">
        <v>25.7</v>
      </c>
      <c r="G234" s="4">
        <v>2647.1</v>
      </c>
      <c r="H234" s="5">
        <f t="shared" si="3"/>
        <v>0</v>
      </c>
    </row>
    <row r="235" spans="1:8" ht="13.5" x14ac:dyDescent="0.25">
      <c r="A235" s="1"/>
      <c r="B235" s="3">
        <v>44938</v>
      </c>
      <c r="C235" s="4">
        <v>25</v>
      </c>
      <c r="D235" s="4">
        <v>19.807200000000002</v>
      </c>
      <c r="E235" s="4">
        <v>2830</v>
      </c>
      <c r="F235" s="4">
        <v>24.669</v>
      </c>
      <c r="G235" s="4">
        <v>69813.27</v>
      </c>
      <c r="H235" s="5">
        <f t="shared" si="3"/>
        <v>-2.7237277647359129E-2</v>
      </c>
    </row>
    <row r="236" spans="1:8" ht="13.5" x14ac:dyDescent="0.25">
      <c r="A236" s="1"/>
      <c r="B236" s="3">
        <v>44939</v>
      </c>
      <c r="C236" s="4">
        <v>25.1</v>
      </c>
      <c r="D236" s="4">
        <v>19.886500000000002</v>
      </c>
      <c r="E236" s="4">
        <v>3544</v>
      </c>
      <c r="F236" s="4">
        <v>24.341999999999999</v>
      </c>
      <c r="G236" s="4">
        <v>86268.047999999995</v>
      </c>
      <c r="H236" s="5">
        <f t="shared" si="3"/>
        <v>4.00359465244961E-3</v>
      </c>
    </row>
    <row r="237" spans="1:8" ht="13.5" x14ac:dyDescent="0.25">
      <c r="A237" s="1"/>
      <c r="B237" s="3">
        <v>44942</v>
      </c>
      <c r="C237" s="4">
        <v>25.49</v>
      </c>
      <c r="D237" s="4">
        <v>20.195499999999999</v>
      </c>
      <c r="E237" s="4">
        <v>810</v>
      </c>
      <c r="F237" s="4">
        <v>25.372</v>
      </c>
      <c r="G237" s="4">
        <v>20551.32</v>
      </c>
      <c r="H237" s="5">
        <f t="shared" si="3"/>
        <v>1.5538179166771301E-2</v>
      </c>
    </row>
    <row r="238" spans="1:8" ht="13.5" x14ac:dyDescent="0.25">
      <c r="A238" s="1"/>
      <c r="B238" s="3">
        <v>44943</v>
      </c>
      <c r="C238" s="4">
        <v>24.99</v>
      </c>
      <c r="D238" s="4">
        <v>19.799299999999999</v>
      </c>
      <c r="E238" s="4">
        <v>4707</v>
      </c>
      <c r="F238" s="4">
        <v>25</v>
      </c>
      <c r="G238" s="4">
        <v>117675</v>
      </c>
      <c r="H238" s="5">
        <f t="shared" si="3"/>
        <v>-1.9618231784308403E-2</v>
      </c>
    </row>
    <row r="239" spans="1:8" ht="13.5" x14ac:dyDescent="0.25">
      <c r="A239" s="1"/>
      <c r="B239" s="3">
        <v>44944</v>
      </c>
      <c r="C239" s="4">
        <v>25.35</v>
      </c>
      <c r="D239" s="4">
        <v>20.084499999999998</v>
      </c>
      <c r="E239" s="4">
        <v>183</v>
      </c>
      <c r="F239" s="4">
        <v>25.283999999999999</v>
      </c>
      <c r="G239" s="4">
        <v>4626.9719999999998</v>
      </c>
      <c r="H239" s="5">
        <f t="shared" si="3"/>
        <v>1.4404549655795896E-2</v>
      </c>
    </row>
    <row r="240" spans="1:8" ht="13.5" x14ac:dyDescent="0.25">
      <c r="A240" s="1"/>
      <c r="B240" s="3">
        <v>44945</v>
      </c>
      <c r="C240" s="4">
        <v>25</v>
      </c>
      <c r="D240" s="4">
        <v>19.807200000000002</v>
      </c>
      <c r="E240" s="4">
        <v>1200</v>
      </c>
      <c r="F240" s="4">
        <v>24.582999999999998</v>
      </c>
      <c r="G240" s="4">
        <v>29499.599999999999</v>
      </c>
      <c r="H240" s="5">
        <f t="shared" si="3"/>
        <v>-1.3806666832631969E-2</v>
      </c>
    </row>
    <row r="241" spans="1:8" ht="13.5" x14ac:dyDescent="0.25">
      <c r="A241" s="1"/>
      <c r="B241" s="3">
        <v>44946</v>
      </c>
      <c r="C241" s="4">
        <v>24.99</v>
      </c>
      <c r="D241" s="4">
        <v>19.799299999999999</v>
      </c>
      <c r="E241" s="4">
        <v>320</v>
      </c>
      <c r="F241" s="4">
        <v>24.914000000000001</v>
      </c>
      <c r="G241" s="4">
        <v>7972.48</v>
      </c>
      <c r="H241" s="5">
        <f t="shared" si="3"/>
        <v>-3.9884486449386607E-4</v>
      </c>
    </row>
    <row r="242" spans="1:8" ht="13.5" x14ac:dyDescent="0.25">
      <c r="A242" s="1"/>
      <c r="B242" s="3">
        <v>44949</v>
      </c>
      <c r="C242" s="4">
        <v>24</v>
      </c>
      <c r="D242" s="4">
        <v>19.014900000000001</v>
      </c>
      <c r="E242" s="4">
        <v>10420</v>
      </c>
      <c r="F242" s="4">
        <v>24.001000000000001</v>
      </c>
      <c r="G242" s="4">
        <v>250090.42</v>
      </c>
      <c r="H242" s="5">
        <f t="shared" si="3"/>
        <v>-3.9617562237048688E-2</v>
      </c>
    </row>
    <row r="243" spans="1:8" ht="13.5" x14ac:dyDescent="0.25">
      <c r="A243" s="1"/>
      <c r="B243" s="3">
        <v>44950</v>
      </c>
      <c r="C243" s="4">
        <v>25</v>
      </c>
      <c r="D243" s="4">
        <v>19.807200000000002</v>
      </c>
      <c r="E243" s="4">
        <v>2243</v>
      </c>
      <c r="F243" s="4">
        <v>24.437999999999999</v>
      </c>
      <c r="G243" s="4">
        <v>54814.434000000001</v>
      </c>
      <c r="H243" s="5">
        <f t="shared" si="3"/>
        <v>4.1667324045879854E-2</v>
      </c>
    </row>
    <row r="244" spans="1:8" ht="13.5" x14ac:dyDescent="0.25">
      <c r="A244" s="1"/>
      <c r="B244" s="3">
        <v>44951</v>
      </c>
      <c r="C244" s="4">
        <v>25</v>
      </c>
      <c r="D244" s="4">
        <v>19.807200000000002</v>
      </c>
      <c r="E244" s="4">
        <v>1410</v>
      </c>
      <c r="F244" s="4">
        <v>24.652000000000001</v>
      </c>
      <c r="G244" s="4">
        <v>34759.32</v>
      </c>
      <c r="H244" s="5">
        <f t="shared" si="3"/>
        <v>0</v>
      </c>
    </row>
    <row r="245" spans="1:8" ht="13.5" x14ac:dyDescent="0.25">
      <c r="A245" s="1"/>
      <c r="B245" s="3">
        <v>44952</v>
      </c>
      <c r="C245" s="4">
        <v>24.8</v>
      </c>
      <c r="D245" s="4">
        <v>19.648800000000001</v>
      </c>
      <c r="E245" s="4">
        <v>789</v>
      </c>
      <c r="F245" s="4">
        <v>24.824000000000002</v>
      </c>
      <c r="G245" s="4">
        <v>19586.135999999999</v>
      </c>
      <c r="H245" s="5">
        <f t="shared" si="3"/>
        <v>-7.9970919665576304E-3</v>
      </c>
    </row>
    <row r="246" spans="1:8" ht="13.5" x14ac:dyDescent="0.25">
      <c r="A246" s="1"/>
      <c r="B246" s="3">
        <v>44953</v>
      </c>
      <c r="C246" s="4">
        <v>25</v>
      </c>
      <c r="D246" s="4">
        <v>19.807200000000002</v>
      </c>
      <c r="E246" s="4">
        <v>391</v>
      </c>
      <c r="F246" s="4">
        <v>24.965</v>
      </c>
      <c r="G246" s="4">
        <v>9761.3150000000005</v>
      </c>
      <c r="H246" s="5">
        <f t="shared" si="3"/>
        <v>8.0615610113594881E-3</v>
      </c>
    </row>
    <row r="247" spans="1:8" ht="13.5" x14ac:dyDescent="0.25">
      <c r="A247" s="1"/>
      <c r="B247" s="3">
        <v>44956</v>
      </c>
      <c r="C247" s="4">
        <v>25</v>
      </c>
      <c r="D247" s="4">
        <v>19.807200000000002</v>
      </c>
      <c r="E247" s="4">
        <v>1810</v>
      </c>
      <c r="F247" s="4">
        <v>24.943000000000001</v>
      </c>
      <c r="G247" s="4">
        <v>45146.83</v>
      </c>
      <c r="H247" s="5">
        <f t="shared" si="3"/>
        <v>0</v>
      </c>
    </row>
    <row r="248" spans="1:8" ht="13.5" x14ac:dyDescent="0.25">
      <c r="A248" s="1"/>
      <c r="B248" s="3">
        <v>44957</v>
      </c>
      <c r="C248" s="4">
        <v>25</v>
      </c>
      <c r="D248" s="4">
        <v>19.807200000000002</v>
      </c>
      <c r="E248" s="4">
        <v>0</v>
      </c>
      <c r="F248" s="4">
        <v>0</v>
      </c>
      <c r="G248" s="4">
        <v>0</v>
      </c>
      <c r="H248" s="5">
        <f t="shared" si="3"/>
        <v>0</v>
      </c>
    </row>
    <row r="249" spans="1:8" ht="13.5" x14ac:dyDescent="0.25">
      <c r="A249" s="1"/>
      <c r="B249" s="3">
        <v>44958</v>
      </c>
      <c r="C249" s="4">
        <v>24.97</v>
      </c>
      <c r="D249" s="4">
        <v>19.7835</v>
      </c>
      <c r="E249" s="4">
        <v>741</v>
      </c>
      <c r="F249" s="4">
        <v>24.978000000000002</v>
      </c>
      <c r="G249" s="4">
        <v>18508.698</v>
      </c>
      <c r="H249" s="5">
        <f t="shared" si="3"/>
        <v>-1.1965345934812394E-3</v>
      </c>
    </row>
    <row r="250" spans="1:8" ht="13.5" x14ac:dyDescent="0.25">
      <c r="A250" s="1"/>
      <c r="B250" s="3">
        <v>44959</v>
      </c>
      <c r="C250" s="4">
        <v>24.96</v>
      </c>
      <c r="D250" s="4">
        <v>19.775500000000001</v>
      </c>
      <c r="E250" s="4">
        <v>206</v>
      </c>
      <c r="F250" s="4">
        <v>24.925999999999998</v>
      </c>
      <c r="G250" s="4">
        <v>5134.7560000000003</v>
      </c>
      <c r="H250" s="5">
        <f t="shared" si="3"/>
        <v>-4.0437738519468846E-4</v>
      </c>
    </row>
    <row r="251" spans="1:8" ht="13.5" x14ac:dyDescent="0.25">
      <c r="A251" s="1"/>
      <c r="B251" s="3">
        <v>44960</v>
      </c>
      <c r="C251" s="4">
        <v>24.96</v>
      </c>
      <c r="D251" s="4">
        <v>19.775500000000001</v>
      </c>
      <c r="E251" s="4">
        <v>133</v>
      </c>
      <c r="F251" s="4">
        <v>24.956</v>
      </c>
      <c r="G251" s="4">
        <v>3319.1480000000001</v>
      </c>
      <c r="H251" s="5">
        <f t="shared" si="3"/>
        <v>0</v>
      </c>
    </row>
    <row r="252" spans="1:8" ht="13.5" x14ac:dyDescent="0.25">
      <c r="A252" s="1"/>
      <c r="B252" s="3">
        <v>44963</v>
      </c>
      <c r="C252" s="4">
        <v>25.44</v>
      </c>
      <c r="D252" s="4">
        <v>20.155799999999999</v>
      </c>
      <c r="E252" s="4">
        <v>1</v>
      </c>
      <c r="F252" s="4">
        <v>25.44</v>
      </c>
      <c r="G252" s="4">
        <v>25.44</v>
      </c>
      <c r="H252" s="5">
        <f t="shared" si="3"/>
        <v>1.9230866476195204E-2</v>
      </c>
    </row>
    <row r="253" spans="1:8" ht="13.5" x14ac:dyDescent="0.25">
      <c r="A253" s="1"/>
      <c r="B253" s="3">
        <v>44964</v>
      </c>
      <c r="C253" s="4">
        <v>24.88</v>
      </c>
      <c r="D253" s="4">
        <v>19.712199999999999</v>
      </c>
      <c r="E253" s="4">
        <v>2221</v>
      </c>
      <c r="F253" s="4">
        <v>24.800999999999998</v>
      </c>
      <c r="G253" s="4">
        <v>55083.021000000001</v>
      </c>
      <c r="H253" s="5">
        <f t="shared" si="3"/>
        <v>-2.2008553369253517E-2</v>
      </c>
    </row>
    <row r="254" spans="1:8" ht="13.5" x14ac:dyDescent="0.25">
      <c r="A254" s="1"/>
      <c r="B254" s="3">
        <v>44965</v>
      </c>
      <c r="C254" s="4">
        <v>24.88</v>
      </c>
      <c r="D254" s="4">
        <v>19.712199999999999</v>
      </c>
      <c r="E254" s="4">
        <v>56</v>
      </c>
      <c r="F254" s="4">
        <v>24.460999999999999</v>
      </c>
      <c r="G254" s="4">
        <v>1369.816</v>
      </c>
      <c r="H254" s="5">
        <f t="shared" si="3"/>
        <v>0</v>
      </c>
    </row>
    <row r="255" spans="1:8" ht="13.5" x14ac:dyDescent="0.25">
      <c r="A255" s="1"/>
      <c r="B255" s="3">
        <v>44966</v>
      </c>
      <c r="C255" s="4">
        <v>24.89</v>
      </c>
      <c r="D255" s="4">
        <v>19.720099999999999</v>
      </c>
      <c r="E255" s="4">
        <v>1643</v>
      </c>
      <c r="F255" s="4">
        <v>24.882999999999999</v>
      </c>
      <c r="G255" s="4">
        <v>40882.769</v>
      </c>
      <c r="H255" s="5">
        <f t="shared" si="3"/>
        <v>4.007670376720687E-4</v>
      </c>
    </row>
    <row r="256" spans="1:8" ht="13.5" x14ac:dyDescent="0.25">
      <c r="A256" s="1"/>
      <c r="B256" s="3">
        <v>44967</v>
      </c>
      <c r="C256" s="4">
        <v>24.79</v>
      </c>
      <c r="D256" s="4">
        <v>19.640899999999998</v>
      </c>
      <c r="E256" s="4">
        <v>819</v>
      </c>
      <c r="F256" s="4">
        <v>24.7</v>
      </c>
      <c r="G256" s="4">
        <v>20229.3</v>
      </c>
      <c r="H256" s="5">
        <f t="shared" si="3"/>
        <v>-4.0162068143670751E-3</v>
      </c>
    </row>
    <row r="257" spans="1:8" ht="13.5" x14ac:dyDescent="0.25">
      <c r="A257" s="1"/>
      <c r="B257" s="3">
        <v>44970</v>
      </c>
      <c r="C257" s="4">
        <v>24.87</v>
      </c>
      <c r="D257" s="4">
        <v>19.7042</v>
      </c>
      <c r="E257" s="4">
        <v>242</v>
      </c>
      <c r="F257" s="4">
        <v>24.722999999999999</v>
      </c>
      <c r="G257" s="4">
        <v>5982.9660000000003</v>
      </c>
      <c r="H257" s="5">
        <f t="shared" si="3"/>
        <v>3.2228665692509862E-3</v>
      </c>
    </row>
    <row r="258" spans="1:8" ht="13.5" x14ac:dyDescent="0.25">
      <c r="A258" s="1"/>
      <c r="B258" s="3">
        <v>44971</v>
      </c>
      <c r="C258" s="4">
        <v>24.78</v>
      </c>
      <c r="D258" s="4">
        <v>19.632899999999999</v>
      </c>
      <c r="E258" s="4">
        <v>2238</v>
      </c>
      <c r="F258" s="4">
        <v>24.707000000000001</v>
      </c>
      <c r="G258" s="4">
        <v>55294.266000000003</v>
      </c>
      <c r="H258" s="5">
        <f t="shared" si="3"/>
        <v>-3.6185178794369121E-3</v>
      </c>
    </row>
    <row r="259" spans="1:8" ht="13.5" x14ac:dyDescent="0.25">
      <c r="A259" s="1"/>
      <c r="B259" s="3">
        <v>44972</v>
      </c>
      <c r="C259" s="4">
        <v>24.77</v>
      </c>
      <c r="D259" s="4">
        <v>19.625</v>
      </c>
      <c r="E259" s="4">
        <v>401</v>
      </c>
      <c r="F259" s="4">
        <v>24.706</v>
      </c>
      <c r="G259" s="4">
        <v>9907.1059999999998</v>
      </c>
      <c r="H259" s="5">
        <f t="shared" si="3"/>
        <v>-4.023857911973958E-4</v>
      </c>
    </row>
    <row r="260" spans="1:8" ht="13.5" x14ac:dyDescent="0.25">
      <c r="A260" s="1"/>
      <c r="B260" s="3">
        <v>44973</v>
      </c>
      <c r="C260" s="4">
        <v>24.78</v>
      </c>
      <c r="D260" s="4">
        <v>19.632899999999999</v>
      </c>
      <c r="E260" s="4">
        <v>1</v>
      </c>
      <c r="F260" s="4">
        <v>24.78</v>
      </c>
      <c r="G260" s="4">
        <v>24.78</v>
      </c>
      <c r="H260" s="5">
        <f t="shared" si="3"/>
        <v>4.0254777070060393E-4</v>
      </c>
    </row>
    <row r="261" spans="1:8" ht="13.5" x14ac:dyDescent="0.25">
      <c r="A261" s="1"/>
      <c r="B261" s="3">
        <v>44974</v>
      </c>
      <c r="C261" s="4">
        <v>24.78</v>
      </c>
      <c r="D261" s="4">
        <v>19.632899999999999</v>
      </c>
      <c r="E261" s="4">
        <v>1</v>
      </c>
      <c r="F261" s="4">
        <v>24.78</v>
      </c>
      <c r="G261" s="4">
        <v>24.78</v>
      </c>
      <c r="H261" s="5">
        <f t="shared" si="3"/>
        <v>0</v>
      </c>
    </row>
    <row r="262" spans="1:8" ht="13.5" x14ac:dyDescent="0.25">
      <c r="A262" s="1"/>
      <c r="B262" s="3">
        <v>44977</v>
      </c>
      <c r="C262" s="4">
        <v>24.77</v>
      </c>
      <c r="D262" s="4">
        <v>19.625</v>
      </c>
      <c r="E262" s="4">
        <v>777</v>
      </c>
      <c r="F262" s="4">
        <v>24.102</v>
      </c>
      <c r="G262" s="4">
        <v>18727.254000000001</v>
      </c>
      <c r="H262" s="5">
        <f t="shared" si="3"/>
        <v>-4.023857911973958E-4</v>
      </c>
    </row>
    <row r="263" spans="1:8" ht="13.5" x14ac:dyDescent="0.25">
      <c r="A263" s="1"/>
      <c r="B263" s="3">
        <v>44978</v>
      </c>
      <c r="C263" s="4">
        <v>24.78</v>
      </c>
      <c r="D263" s="4">
        <v>19.632899999999999</v>
      </c>
      <c r="E263" s="4">
        <v>1</v>
      </c>
      <c r="F263" s="4">
        <v>24.78</v>
      </c>
      <c r="G263" s="4">
        <v>24.78</v>
      </c>
      <c r="H263" s="5">
        <f t="shared" ref="H263:H326" si="4">(D263-D262)/D262</f>
        <v>4.0254777070060393E-4</v>
      </c>
    </row>
    <row r="264" spans="1:8" ht="13.5" x14ac:dyDescent="0.25">
      <c r="A264" s="1"/>
      <c r="B264" s="3">
        <v>44979</v>
      </c>
      <c r="C264" s="4">
        <v>24.72</v>
      </c>
      <c r="D264" s="4">
        <v>19.5854</v>
      </c>
      <c r="E264" s="4">
        <v>1001</v>
      </c>
      <c r="F264" s="4">
        <v>24.702999999999999</v>
      </c>
      <c r="G264" s="4">
        <v>24727.703000000001</v>
      </c>
      <c r="H264" s="5">
        <f t="shared" si="4"/>
        <v>-2.4194082382123596E-3</v>
      </c>
    </row>
    <row r="265" spans="1:8" ht="13.5" x14ac:dyDescent="0.25">
      <c r="A265" s="1"/>
      <c r="B265" s="3">
        <v>44980</v>
      </c>
      <c r="C265" s="4">
        <v>24.78</v>
      </c>
      <c r="D265" s="4">
        <v>19.632899999999999</v>
      </c>
      <c r="E265" s="4">
        <v>1</v>
      </c>
      <c r="F265" s="4">
        <v>24.78</v>
      </c>
      <c r="G265" s="4">
        <v>24.78</v>
      </c>
      <c r="H265" s="5">
        <f t="shared" si="4"/>
        <v>2.4252759708762359E-3</v>
      </c>
    </row>
    <row r="266" spans="1:8" ht="13.5" x14ac:dyDescent="0.25">
      <c r="A266" s="1"/>
      <c r="B266" s="3">
        <v>44981</v>
      </c>
      <c r="C266" s="4">
        <v>24.78</v>
      </c>
      <c r="D266" s="4">
        <v>19.632899999999999</v>
      </c>
      <c r="E266" s="4">
        <v>60</v>
      </c>
      <c r="F266" s="4">
        <v>24.742999999999999</v>
      </c>
      <c r="G266" s="4">
        <v>1484.58</v>
      </c>
      <c r="H266" s="5">
        <f t="shared" si="4"/>
        <v>0</v>
      </c>
    </row>
    <row r="267" spans="1:8" ht="13.5" x14ac:dyDescent="0.25">
      <c r="A267" s="1"/>
      <c r="B267" s="3">
        <v>44984</v>
      </c>
      <c r="C267" s="4">
        <v>24.75</v>
      </c>
      <c r="D267" s="4">
        <v>19.609200000000001</v>
      </c>
      <c r="E267" s="4">
        <v>1512</v>
      </c>
      <c r="F267" s="4">
        <v>24.303999999999998</v>
      </c>
      <c r="G267" s="4">
        <v>36747.648000000001</v>
      </c>
      <c r="H267" s="5">
        <f t="shared" si="4"/>
        <v>-1.2071573735921875E-3</v>
      </c>
    </row>
    <row r="268" spans="1:8" ht="13.5" x14ac:dyDescent="0.25">
      <c r="A268" s="1"/>
      <c r="B268" s="3">
        <v>44985</v>
      </c>
      <c r="C268" s="4">
        <v>24.75</v>
      </c>
      <c r="D268" s="4">
        <v>19.609200000000001</v>
      </c>
      <c r="E268" s="4">
        <v>200</v>
      </c>
      <c r="F268" s="4">
        <v>24.54</v>
      </c>
      <c r="G268" s="4">
        <v>4908</v>
      </c>
      <c r="H268" s="5">
        <f t="shared" si="4"/>
        <v>0</v>
      </c>
    </row>
    <row r="269" spans="1:8" ht="13.5" x14ac:dyDescent="0.25">
      <c r="A269" s="1"/>
      <c r="B269" s="3">
        <v>44986</v>
      </c>
      <c r="C269" s="4">
        <v>24.77</v>
      </c>
      <c r="D269" s="4">
        <v>19.625</v>
      </c>
      <c r="E269" s="4">
        <v>1</v>
      </c>
      <c r="F269" s="4">
        <v>24.77</v>
      </c>
      <c r="G269" s="4">
        <v>24.77</v>
      </c>
      <c r="H269" s="5">
        <f t="shared" si="4"/>
        <v>8.0574424249835294E-4</v>
      </c>
    </row>
    <row r="270" spans="1:8" ht="13.5" x14ac:dyDescent="0.25">
      <c r="A270" s="1"/>
      <c r="B270" s="3">
        <v>44987</v>
      </c>
      <c r="C270" s="4">
        <v>24.7</v>
      </c>
      <c r="D270" s="4">
        <v>19.569500000000001</v>
      </c>
      <c r="E270" s="4">
        <v>10</v>
      </c>
      <c r="F270" s="4">
        <v>24.7</v>
      </c>
      <c r="G270" s="4">
        <v>247</v>
      </c>
      <c r="H270" s="5">
        <f t="shared" si="4"/>
        <v>-2.8280254777069327E-3</v>
      </c>
    </row>
    <row r="271" spans="1:8" ht="13.5" x14ac:dyDescent="0.25">
      <c r="A271" s="1"/>
      <c r="B271" s="3">
        <v>44988</v>
      </c>
      <c r="C271" s="4">
        <v>24.3</v>
      </c>
      <c r="D271" s="4">
        <v>19.252600000000001</v>
      </c>
      <c r="E271" s="4">
        <v>171</v>
      </c>
      <c r="F271" s="4">
        <v>24.302</v>
      </c>
      <c r="G271" s="4">
        <v>4155.6419999999998</v>
      </c>
      <c r="H271" s="5">
        <f t="shared" si="4"/>
        <v>-1.6193566519328566E-2</v>
      </c>
    </row>
    <row r="272" spans="1:8" ht="13.5" x14ac:dyDescent="0.25">
      <c r="A272" s="1"/>
      <c r="B272" s="3">
        <v>44991</v>
      </c>
      <c r="C272" s="4">
        <v>22.85</v>
      </c>
      <c r="D272" s="4">
        <v>18.1038</v>
      </c>
      <c r="E272" s="4">
        <v>1</v>
      </c>
      <c r="F272" s="4">
        <v>24.3</v>
      </c>
      <c r="G272" s="4">
        <v>24.3</v>
      </c>
      <c r="H272" s="5">
        <f t="shared" si="4"/>
        <v>-5.9669862771781539E-2</v>
      </c>
    </row>
    <row r="273" spans="1:8" ht="13.5" x14ac:dyDescent="0.25">
      <c r="A273" s="1"/>
      <c r="B273" s="3">
        <v>44992</v>
      </c>
      <c r="C273" s="4">
        <v>24.22</v>
      </c>
      <c r="D273" s="4">
        <v>19.1892</v>
      </c>
      <c r="E273" s="4">
        <v>810</v>
      </c>
      <c r="F273" s="4">
        <v>24.181000000000001</v>
      </c>
      <c r="G273" s="4">
        <v>19586.61</v>
      </c>
      <c r="H273" s="5">
        <f t="shared" si="4"/>
        <v>5.9954263745732934E-2</v>
      </c>
    </row>
    <row r="274" spans="1:8" ht="13.5" x14ac:dyDescent="0.25">
      <c r="A274" s="1"/>
      <c r="B274" s="3">
        <v>44993</v>
      </c>
      <c r="C274" s="4">
        <v>24.3</v>
      </c>
      <c r="D274" s="4">
        <v>19.252600000000001</v>
      </c>
      <c r="E274" s="4">
        <v>910</v>
      </c>
      <c r="F274" s="4">
        <v>24.172000000000001</v>
      </c>
      <c r="G274" s="4">
        <v>21996.52</v>
      </c>
      <c r="H274" s="5">
        <f t="shared" si="4"/>
        <v>3.3039418005962446E-3</v>
      </c>
    </row>
    <row r="275" spans="1:8" ht="13.5" x14ac:dyDescent="0.25">
      <c r="A275" s="1"/>
      <c r="B275" s="3">
        <v>44994</v>
      </c>
      <c r="C275" s="4">
        <v>24.3</v>
      </c>
      <c r="D275" s="4">
        <v>19.252600000000001</v>
      </c>
      <c r="E275" s="4">
        <v>1160</v>
      </c>
      <c r="F275" s="4">
        <v>24.344000000000001</v>
      </c>
      <c r="G275" s="4">
        <v>28239.040000000001</v>
      </c>
      <c r="H275" s="5">
        <f t="shared" si="4"/>
        <v>0</v>
      </c>
    </row>
    <row r="276" spans="1:8" ht="13.5" x14ac:dyDescent="0.25">
      <c r="A276" s="1"/>
      <c r="B276" s="3">
        <v>44995</v>
      </c>
      <c r="C276" s="4">
        <v>24.3</v>
      </c>
      <c r="D276" s="4">
        <v>19.252600000000001</v>
      </c>
      <c r="E276" s="4">
        <v>1795</v>
      </c>
      <c r="F276" s="4">
        <v>24.134</v>
      </c>
      <c r="G276" s="4">
        <v>43320.53</v>
      </c>
      <c r="H276" s="5">
        <f t="shared" si="4"/>
        <v>0</v>
      </c>
    </row>
    <row r="277" spans="1:8" ht="13.5" x14ac:dyDescent="0.25">
      <c r="A277" s="1"/>
      <c r="B277" s="3">
        <v>44998</v>
      </c>
      <c r="C277" s="4">
        <v>24.3</v>
      </c>
      <c r="D277" s="4">
        <v>19.252600000000001</v>
      </c>
      <c r="E277" s="4">
        <v>3757</v>
      </c>
      <c r="F277" s="4">
        <v>24.027000000000001</v>
      </c>
      <c r="G277" s="4">
        <v>90269.438999999998</v>
      </c>
      <c r="H277" s="5">
        <f t="shared" si="4"/>
        <v>0</v>
      </c>
    </row>
    <row r="278" spans="1:8" ht="13.5" x14ac:dyDescent="0.25">
      <c r="A278" s="1"/>
      <c r="B278" s="3">
        <v>44999</v>
      </c>
      <c r="C278" s="4">
        <v>24.3</v>
      </c>
      <c r="D278" s="4">
        <v>19.252600000000001</v>
      </c>
      <c r="E278" s="4">
        <v>81</v>
      </c>
      <c r="F278" s="4">
        <v>24.283999999999999</v>
      </c>
      <c r="G278" s="4">
        <v>1967.0039999999999</v>
      </c>
      <c r="H278" s="5">
        <f t="shared" si="4"/>
        <v>0</v>
      </c>
    </row>
    <row r="279" spans="1:8" ht="13.5" x14ac:dyDescent="0.25">
      <c r="A279" s="1"/>
      <c r="B279" s="3">
        <v>45000</v>
      </c>
      <c r="C279" s="4">
        <v>24</v>
      </c>
      <c r="D279" s="4">
        <v>19.014900000000001</v>
      </c>
      <c r="E279" s="4">
        <v>248</v>
      </c>
      <c r="F279" s="4">
        <v>23.908000000000001</v>
      </c>
      <c r="G279" s="4">
        <v>5929.1840000000002</v>
      </c>
      <c r="H279" s="5">
        <f t="shared" si="4"/>
        <v>-1.2346384384446789E-2</v>
      </c>
    </row>
    <row r="280" spans="1:8" ht="13.5" x14ac:dyDescent="0.25">
      <c r="A280" s="1"/>
      <c r="B280" s="3">
        <v>45001</v>
      </c>
      <c r="C280" s="4">
        <v>24.2</v>
      </c>
      <c r="D280" s="4">
        <v>19.173400000000001</v>
      </c>
      <c r="E280" s="4">
        <v>1836</v>
      </c>
      <c r="F280" s="4">
        <v>23.614999999999998</v>
      </c>
      <c r="G280" s="4">
        <v>43357.14</v>
      </c>
      <c r="H280" s="5">
        <f t="shared" si="4"/>
        <v>8.3355684226580247E-3</v>
      </c>
    </row>
    <row r="281" spans="1:8" ht="13.5" x14ac:dyDescent="0.25">
      <c r="A281" s="1"/>
      <c r="B281" s="3">
        <v>45002</v>
      </c>
      <c r="C281" s="4">
        <v>24.3</v>
      </c>
      <c r="D281" s="4">
        <v>19.252600000000001</v>
      </c>
      <c r="E281" s="4">
        <v>5</v>
      </c>
      <c r="F281" s="4">
        <v>24.3</v>
      </c>
      <c r="G281" s="4">
        <v>121.5</v>
      </c>
      <c r="H281" s="5">
        <f t="shared" si="4"/>
        <v>4.1307227721739575E-3</v>
      </c>
    </row>
    <row r="282" spans="1:8" ht="13.5" x14ac:dyDescent="0.25">
      <c r="A282" s="1"/>
      <c r="B282" s="3">
        <v>45006</v>
      </c>
      <c r="C282" s="4">
        <v>24.3</v>
      </c>
      <c r="D282" s="4">
        <v>19.252600000000001</v>
      </c>
      <c r="E282" s="4">
        <v>450</v>
      </c>
      <c r="F282" s="4">
        <v>24.266999999999999</v>
      </c>
      <c r="G282" s="4">
        <v>10920.15</v>
      </c>
      <c r="H282" s="5">
        <f t="shared" si="4"/>
        <v>0</v>
      </c>
    </row>
    <row r="283" spans="1:8" ht="13.5" x14ac:dyDescent="0.25">
      <c r="A283" s="1"/>
      <c r="B283" s="3">
        <v>45007</v>
      </c>
      <c r="C283" s="4">
        <v>24.3</v>
      </c>
      <c r="D283" s="4">
        <v>19.252600000000001</v>
      </c>
      <c r="E283" s="4">
        <v>1308</v>
      </c>
      <c r="F283" s="4">
        <v>24.292000000000002</v>
      </c>
      <c r="G283" s="4">
        <v>31773.936000000002</v>
      </c>
      <c r="H283" s="5">
        <f t="shared" si="4"/>
        <v>0</v>
      </c>
    </row>
    <row r="284" spans="1:8" ht="13.5" x14ac:dyDescent="0.25">
      <c r="A284" s="1"/>
      <c r="B284" s="3">
        <v>45008</v>
      </c>
      <c r="C284" s="4">
        <v>24.3</v>
      </c>
      <c r="D284" s="4">
        <v>19.252600000000001</v>
      </c>
      <c r="E284" s="4">
        <v>1038</v>
      </c>
      <c r="F284" s="4">
        <v>24.265999999999998</v>
      </c>
      <c r="G284" s="4">
        <v>25188.108</v>
      </c>
      <c r="H284" s="5">
        <f t="shared" si="4"/>
        <v>0</v>
      </c>
    </row>
    <row r="285" spans="1:8" ht="13.5" x14ac:dyDescent="0.25">
      <c r="A285" s="1"/>
      <c r="B285" s="3">
        <v>45009</v>
      </c>
      <c r="C285" s="4">
        <v>24.25</v>
      </c>
      <c r="D285" s="4">
        <v>19.213000000000001</v>
      </c>
      <c r="E285" s="4">
        <v>652</v>
      </c>
      <c r="F285" s="4">
        <v>24.254999999999999</v>
      </c>
      <c r="G285" s="4">
        <v>15814.26</v>
      </c>
      <c r="H285" s="5">
        <f t="shared" si="4"/>
        <v>-2.0568650467988779E-3</v>
      </c>
    </row>
    <row r="286" spans="1:8" ht="13.5" x14ac:dyDescent="0.25">
      <c r="A286" s="1"/>
      <c r="B286" s="3">
        <v>45012</v>
      </c>
      <c r="C286" s="4">
        <v>24.2</v>
      </c>
      <c r="D286" s="4">
        <v>19.173400000000001</v>
      </c>
      <c r="E286" s="4">
        <v>50</v>
      </c>
      <c r="F286" s="4">
        <v>24.193999999999999</v>
      </c>
      <c r="G286" s="4">
        <v>1209.7</v>
      </c>
      <c r="H286" s="5">
        <f t="shared" si="4"/>
        <v>-2.0611044605215261E-3</v>
      </c>
    </row>
    <row r="287" spans="1:8" ht="13.5" x14ac:dyDescent="0.25">
      <c r="A287" s="1"/>
      <c r="B287" s="3">
        <v>45013</v>
      </c>
      <c r="C287" s="4">
        <v>24.2</v>
      </c>
      <c r="D287" s="4">
        <v>19.173400000000001</v>
      </c>
      <c r="E287" s="4">
        <v>1736</v>
      </c>
      <c r="F287" s="4">
        <v>24.196999999999999</v>
      </c>
      <c r="G287" s="4">
        <v>42005.991999999998</v>
      </c>
      <c r="H287" s="5">
        <f t="shared" si="4"/>
        <v>0</v>
      </c>
    </row>
    <row r="288" spans="1:8" ht="13.5" x14ac:dyDescent="0.25">
      <c r="A288" s="1"/>
      <c r="B288" s="3">
        <v>45014</v>
      </c>
      <c r="C288" s="4">
        <v>24</v>
      </c>
      <c r="D288" s="4">
        <v>19.014900000000001</v>
      </c>
      <c r="E288" s="4">
        <v>5524</v>
      </c>
      <c r="F288" s="4">
        <v>24.001999999999999</v>
      </c>
      <c r="G288" s="4">
        <v>132587.04800000001</v>
      </c>
      <c r="H288" s="5">
        <f t="shared" si="4"/>
        <v>-8.2666611034036778E-3</v>
      </c>
    </row>
    <row r="289" spans="1:8" ht="13.5" x14ac:dyDescent="0.25">
      <c r="A289" s="1"/>
      <c r="B289" s="3">
        <v>45015</v>
      </c>
      <c r="C289" s="4">
        <v>24</v>
      </c>
      <c r="D289" s="4">
        <v>19.014900000000001</v>
      </c>
      <c r="E289" s="4">
        <v>2632</v>
      </c>
      <c r="F289" s="4">
        <v>24.003</v>
      </c>
      <c r="G289" s="4">
        <v>63175.896000000001</v>
      </c>
      <c r="H289" s="5">
        <f t="shared" si="4"/>
        <v>0</v>
      </c>
    </row>
    <row r="290" spans="1:8" ht="13.5" x14ac:dyDescent="0.25">
      <c r="A290" s="1"/>
      <c r="B290" s="3">
        <v>45016</v>
      </c>
      <c r="C290" s="4">
        <v>24.5</v>
      </c>
      <c r="D290" s="4">
        <v>19.411100000000001</v>
      </c>
      <c r="E290" s="4">
        <v>3100</v>
      </c>
      <c r="F290" s="4">
        <v>24.084</v>
      </c>
      <c r="G290" s="4">
        <v>74660.399999999994</v>
      </c>
      <c r="H290" s="5">
        <f t="shared" si="4"/>
        <v>2.0836291539792495E-2</v>
      </c>
    </row>
    <row r="291" spans="1:8" ht="13.5" x14ac:dyDescent="0.25">
      <c r="A291" s="1"/>
      <c r="B291" s="3">
        <v>45019</v>
      </c>
      <c r="C291" s="4">
        <v>24.89</v>
      </c>
      <c r="D291" s="4">
        <v>19.720099999999999</v>
      </c>
      <c r="E291" s="4">
        <v>1007</v>
      </c>
      <c r="F291" s="4">
        <v>24.85</v>
      </c>
      <c r="G291" s="4">
        <v>25023.95</v>
      </c>
      <c r="H291" s="5">
        <f t="shared" si="4"/>
        <v>1.5918726913982075E-2</v>
      </c>
    </row>
    <row r="292" spans="1:8" ht="13.5" x14ac:dyDescent="0.25">
      <c r="A292" s="1"/>
      <c r="B292" s="3">
        <v>45020</v>
      </c>
      <c r="C292" s="4">
        <v>24.8</v>
      </c>
      <c r="D292" s="4">
        <v>19.648800000000001</v>
      </c>
      <c r="E292" s="4">
        <v>270</v>
      </c>
      <c r="F292" s="4">
        <v>24.850999999999999</v>
      </c>
      <c r="G292" s="4">
        <v>6709.77</v>
      </c>
      <c r="H292" s="5">
        <f t="shared" si="4"/>
        <v>-3.6156003265702132E-3</v>
      </c>
    </row>
    <row r="293" spans="1:8" ht="13.5" x14ac:dyDescent="0.25">
      <c r="A293" s="1"/>
      <c r="B293" s="3">
        <v>45021</v>
      </c>
      <c r="C293" s="4">
        <v>24.8</v>
      </c>
      <c r="D293" s="4">
        <v>19.648800000000001</v>
      </c>
      <c r="E293" s="4">
        <v>1</v>
      </c>
      <c r="F293" s="4">
        <v>24.8</v>
      </c>
      <c r="G293" s="4">
        <v>24.8</v>
      </c>
      <c r="H293" s="5">
        <f t="shared" si="4"/>
        <v>0</v>
      </c>
    </row>
    <row r="294" spans="1:8" ht="13.5" x14ac:dyDescent="0.25">
      <c r="A294" s="1"/>
      <c r="B294" s="3">
        <v>45022</v>
      </c>
      <c r="C294" s="4">
        <v>24.78</v>
      </c>
      <c r="D294" s="4">
        <v>19.632899999999999</v>
      </c>
      <c r="E294" s="4">
        <v>114</v>
      </c>
      <c r="F294" s="4">
        <v>24.725000000000001</v>
      </c>
      <c r="G294" s="4">
        <v>2818.65</v>
      </c>
      <c r="H294" s="5">
        <f t="shared" si="4"/>
        <v>-8.0920972273126207E-4</v>
      </c>
    </row>
    <row r="295" spans="1:8" ht="13.5" x14ac:dyDescent="0.25">
      <c r="A295" s="1"/>
      <c r="B295" s="3">
        <v>45023</v>
      </c>
      <c r="C295" s="4">
        <v>24.8</v>
      </c>
      <c r="D295" s="4">
        <v>19.648800000000001</v>
      </c>
      <c r="E295" s="4">
        <v>930</v>
      </c>
      <c r="F295" s="4">
        <v>24.780999999999999</v>
      </c>
      <c r="G295" s="4">
        <v>23046.33</v>
      </c>
      <c r="H295" s="5">
        <f t="shared" si="4"/>
        <v>8.0986507342277621E-4</v>
      </c>
    </row>
    <row r="296" spans="1:8" ht="13.5" x14ac:dyDescent="0.25">
      <c r="A296" s="1"/>
      <c r="B296" s="3">
        <v>45026</v>
      </c>
      <c r="C296" s="4">
        <v>24.9</v>
      </c>
      <c r="D296" s="4">
        <v>19.728000000000002</v>
      </c>
      <c r="E296" s="4">
        <v>140</v>
      </c>
      <c r="F296" s="4">
        <v>24.821000000000002</v>
      </c>
      <c r="G296" s="4">
        <v>3474.94</v>
      </c>
      <c r="H296" s="5">
        <f t="shared" si="4"/>
        <v>4.030780505679744E-3</v>
      </c>
    </row>
    <row r="297" spans="1:8" ht="13.5" x14ac:dyDescent="0.25">
      <c r="A297" s="1"/>
      <c r="B297" s="3">
        <v>45027</v>
      </c>
      <c r="C297" s="4">
        <v>24.9</v>
      </c>
      <c r="D297" s="4">
        <v>19.728000000000002</v>
      </c>
      <c r="E297" s="4">
        <v>0</v>
      </c>
      <c r="F297" s="4">
        <v>0</v>
      </c>
      <c r="G297" s="4">
        <v>0</v>
      </c>
      <c r="H297" s="5">
        <f t="shared" si="4"/>
        <v>0</v>
      </c>
    </row>
    <row r="298" spans="1:8" ht="13.5" x14ac:dyDescent="0.25">
      <c r="A298" s="1"/>
      <c r="B298" s="3">
        <v>45028</v>
      </c>
      <c r="C298" s="4">
        <v>24.9</v>
      </c>
      <c r="D298" s="4">
        <v>19.728000000000002</v>
      </c>
      <c r="E298" s="4">
        <v>0</v>
      </c>
      <c r="F298" s="4">
        <v>0</v>
      </c>
      <c r="G298" s="4">
        <v>0</v>
      </c>
      <c r="H298" s="5">
        <f t="shared" si="4"/>
        <v>0</v>
      </c>
    </row>
    <row r="299" spans="1:8" ht="13.5" x14ac:dyDescent="0.25">
      <c r="A299" s="1"/>
      <c r="B299" s="3">
        <v>45029</v>
      </c>
      <c r="C299" s="4">
        <v>24.5</v>
      </c>
      <c r="D299" s="4">
        <v>19.411100000000001</v>
      </c>
      <c r="E299" s="4">
        <v>243</v>
      </c>
      <c r="F299" s="4">
        <v>24.486999999999998</v>
      </c>
      <c r="G299" s="4">
        <v>5950.3410000000003</v>
      </c>
      <c r="H299" s="5">
        <f t="shared" si="4"/>
        <v>-1.606346309813465E-2</v>
      </c>
    </row>
    <row r="300" spans="1:8" ht="13.5" x14ac:dyDescent="0.25">
      <c r="A300" s="1"/>
      <c r="B300" s="3">
        <v>45030</v>
      </c>
      <c r="C300" s="4">
        <v>24.5</v>
      </c>
      <c r="D300" s="4">
        <v>19.411100000000001</v>
      </c>
      <c r="E300" s="4">
        <v>1386</v>
      </c>
      <c r="F300" s="4">
        <v>24.058</v>
      </c>
      <c r="G300" s="4">
        <v>33344.387999999999</v>
      </c>
      <c r="H300" s="5">
        <f t="shared" si="4"/>
        <v>0</v>
      </c>
    </row>
    <row r="301" spans="1:8" ht="13.5" x14ac:dyDescent="0.25">
      <c r="A301" s="1"/>
      <c r="B301" s="3">
        <v>45033</v>
      </c>
      <c r="C301" s="4">
        <v>24.4</v>
      </c>
      <c r="D301" s="4">
        <v>19.331900000000001</v>
      </c>
      <c r="E301" s="4">
        <v>925</v>
      </c>
      <c r="F301" s="4">
        <v>24.434999999999999</v>
      </c>
      <c r="G301" s="4">
        <v>22602.375</v>
      </c>
      <c r="H301" s="5">
        <f t="shared" si="4"/>
        <v>-4.0801397138750589E-3</v>
      </c>
    </row>
    <row r="302" spans="1:8" ht="13.5" x14ac:dyDescent="0.25">
      <c r="A302" s="1"/>
      <c r="B302" s="3">
        <v>45034</v>
      </c>
      <c r="C302" s="4">
        <v>24.4</v>
      </c>
      <c r="D302" s="4">
        <v>19.331900000000001</v>
      </c>
      <c r="E302" s="4">
        <v>235</v>
      </c>
      <c r="F302" s="4">
        <v>24.001999999999999</v>
      </c>
      <c r="G302" s="4">
        <v>5640.47</v>
      </c>
      <c r="H302" s="5">
        <f t="shared" si="4"/>
        <v>0</v>
      </c>
    </row>
    <row r="303" spans="1:8" ht="13.5" x14ac:dyDescent="0.25">
      <c r="A303" s="1"/>
      <c r="B303" s="3">
        <v>45035</v>
      </c>
      <c r="C303" s="4">
        <v>24.4</v>
      </c>
      <c r="D303" s="4">
        <v>19.331900000000001</v>
      </c>
      <c r="E303" s="4">
        <v>956</v>
      </c>
      <c r="F303" s="4">
        <v>23.821000000000002</v>
      </c>
      <c r="G303" s="4">
        <v>22772.876</v>
      </c>
      <c r="H303" s="5">
        <f t="shared" si="4"/>
        <v>0</v>
      </c>
    </row>
    <row r="304" spans="1:8" ht="13.5" x14ac:dyDescent="0.25">
      <c r="A304" s="1"/>
      <c r="B304" s="3">
        <v>45036</v>
      </c>
      <c r="C304" s="4">
        <v>22.94</v>
      </c>
      <c r="D304" s="4">
        <v>18.1751</v>
      </c>
      <c r="E304" s="4">
        <v>125</v>
      </c>
      <c r="F304" s="4">
        <v>23.937999999999999</v>
      </c>
      <c r="G304" s="4">
        <v>2992.25</v>
      </c>
      <c r="H304" s="5">
        <f t="shared" si="4"/>
        <v>-5.9838919092277551E-2</v>
      </c>
    </row>
    <row r="305" spans="1:8" ht="13.5" x14ac:dyDescent="0.25">
      <c r="A305" s="1"/>
      <c r="B305" s="3">
        <v>45040</v>
      </c>
      <c r="C305" s="4">
        <v>24</v>
      </c>
      <c r="D305" s="4">
        <v>19.014900000000001</v>
      </c>
      <c r="E305" s="4">
        <v>772</v>
      </c>
      <c r="F305" s="4">
        <v>23.777000000000001</v>
      </c>
      <c r="G305" s="4">
        <v>18355.844000000001</v>
      </c>
      <c r="H305" s="5">
        <f t="shared" si="4"/>
        <v>4.6206073144026735E-2</v>
      </c>
    </row>
    <row r="306" spans="1:8" ht="13.5" x14ac:dyDescent="0.25">
      <c r="A306" s="1"/>
      <c r="B306" s="3">
        <v>45041</v>
      </c>
      <c r="C306" s="4">
        <v>23.99</v>
      </c>
      <c r="D306" s="4">
        <v>19.007000000000001</v>
      </c>
      <c r="E306" s="4">
        <v>279</v>
      </c>
      <c r="F306" s="4">
        <v>23.919</v>
      </c>
      <c r="G306" s="4">
        <v>6673.4009999999998</v>
      </c>
      <c r="H306" s="5">
        <f t="shared" si="4"/>
        <v>-4.1546366270658018E-4</v>
      </c>
    </row>
    <row r="307" spans="1:8" ht="13.5" x14ac:dyDescent="0.25">
      <c r="A307" s="1"/>
      <c r="B307" s="3">
        <v>45042</v>
      </c>
      <c r="C307" s="4">
        <v>22.56</v>
      </c>
      <c r="D307" s="4">
        <v>17.873999999999999</v>
      </c>
      <c r="E307" s="4">
        <v>916</v>
      </c>
      <c r="F307" s="4">
        <v>23.192</v>
      </c>
      <c r="G307" s="4">
        <v>21243.871999999999</v>
      </c>
      <c r="H307" s="5">
        <f t="shared" si="4"/>
        <v>-5.9609617509338804E-2</v>
      </c>
    </row>
    <row r="308" spans="1:8" ht="13.5" x14ac:dyDescent="0.25">
      <c r="A308" s="1"/>
      <c r="B308" s="3">
        <v>45043</v>
      </c>
      <c r="C308" s="4">
        <v>23.8</v>
      </c>
      <c r="D308" s="4">
        <v>18.8565</v>
      </c>
      <c r="E308" s="4">
        <v>3063</v>
      </c>
      <c r="F308" s="4">
        <v>23.725999999999999</v>
      </c>
      <c r="G308" s="4">
        <v>72672.737999999998</v>
      </c>
      <c r="H308" s="5">
        <f t="shared" si="4"/>
        <v>5.4968110104061864E-2</v>
      </c>
    </row>
    <row r="309" spans="1:8" ht="13.5" x14ac:dyDescent="0.25">
      <c r="A309" s="1"/>
      <c r="B309" s="3">
        <v>45044</v>
      </c>
      <c r="C309" s="4">
        <v>24.35</v>
      </c>
      <c r="D309" s="4">
        <v>19.292200000000001</v>
      </c>
      <c r="E309" s="4">
        <v>1968</v>
      </c>
      <c r="F309" s="4">
        <v>24.25</v>
      </c>
      <c r="G309" s="4">
        <v>47724</v>
      </c>
      <c r="H309" s="5">
        <f t="shared" si="4"/>
        <v>2.3106090737941856E-2</v>
      </c>
    </row>
    <row r="310" spans="1:8" ht="13.5" x14ac:dyDescent="0.25">
      <c r="A310" s="1"/>
      <c r="B310" s="3">
        <v>45048</v>
      </c>
      <c r="C310" s="4">
        <v>24.48</v>
      </c>
      <c r="D310" s="4">
        <v>19.395199999999999</v>
      </c>
      <c r="E310" s="4">
        <v>170</v>
      </c>
      <c r="F310" s="4">
        <v>24.489000000000001</v>
      </c>
      <c r="G310" s="4">
        <v>4163.13</v>
      </c>
      <c r="H310" s="5">
        <f t="shared" si="4"/>
        <v>5.3389452732191239E-3</v>
      </c>
    </row>
    <row r="311" spans="1:8" ht="13.5" x14ac:dyDescent="0.25">
      <c r="A311" s="1"/>
      <c r="B311" s="3">
        <v>45049</v>
      </c>
      <c r="C311" s="4">
        <v>24.45</v>
      </c>
      <c r="D311" s="4">
        <v>19.371500000000001</v>
      </c>
      <c r="E311" s="4">
        <v>310</v>
      </c>
      <c r="F311" s="4">
        <v>24.448</v>
      </c>
      <c r="G311" s="4">
        <v>7578.88</v>
      </c>
      <c r="H311" s="5">
        <f t="shared" si="4"/>
        <v>-1.2219518231313964E-3</v>
      </c>
    </row>
    <row r="312" spans="1:8" ht="13.5" x14ac:dyDescent="0.25">
      <c r="A312" s="1"/>
      <c r="B312" s="3">
        <v>45050</v>
      </c>
      <c r="C312" s="4">
        <v>24.4</v>
      </c>
      <c r="D312" s="4">
        <v>19.331900000000001</v>
      </c>
      <c r="E312" s="4">
        <v>400</v>
      </c>
      <c r="F312" s="4">
        <v>24.4</v>
      </c>
      <c r="G312" s="4">
        <v>9760</v>
      </c>
      <c r="H312" s="5">
        <f t="shared" si="4"/>
        <v>-2.0442402498515901E-3</v>
      </c>
    </row>
    <row r="313" spans="1:8" ht="13.5" x14ac:dyDescent="0.25">
      <c r="A313" s="1"/>
      <c r="B313" s="3">
        <v>45051</v>
      </c>
      <c r="C313" s="4">
        <v>23.01</v>
      </c>
      <c r="D313" s="4">
        <v>18.230599999999999</v>
      </c>
      <c r="E313" s="4">
        <v>601</v>
      </c>
      <c r="F313" s="4">
        <v>23.88</v>
      </c>
      <c r="G313" s="4">
        <v>14351.88</v>
      </c>
      <c r="H313" s="5">
        <f t="shared" si="4"/>
        <v>-5.6968016594333815E-2</v>
      </c>
    </row>
    <row r="314" spans="1:8" ht="13.5" x14ac:dyDescent="0.25">
      <c r="A314" s="1"/>
      <c r="B314" s="3">
        <v>45054</v>
      </c>
      <c r="C314" s="4">
        <v>24.35</v>
      </c>
      <c r="D314" s="4">
        <v>19.292200000000001</v>
      </c>
      <c r="E314" s="4">
        <v>738</v>
      </c>
      <c r="F314" s="4">
        <v>24.206</v>
      </c>
      <c r="G314" s="4">
        <v>17864.027999999998</v>
      </c>
      <c r="H314" s="5">
        <f t="shared" si="4"/>
        <v>5.8231764176713996E-2</v>
      </c>
    </row>
    <row r="315" spans="1:8" ht="13.5" x14ac:dyDescent="0.25">
      <c r="A315" s="1"/>
      <c r="B315" s="3">
        <v>45055</v>
      </c>
      <c r="C315" s="4">
        <v>24.42</v>
      </c>
      <c r="D315" s="4">
        <v>19.3477</v>
      </c>
      <c r="E315" s="4">
        <v>159</v>
      </c>
      <c r="F315" s="4">
        <v>24.411000000000001</v>
      </c>
      <c r="G315" s="4">
        <v>3881.3490000000002</v>
      </c>
      <c r="H315" s="5">
        <f t="shared" si="4"/>
        <v>2.876810317122907E-3</v>
      </c>
    </row>
    <row r="316" spans="1:8" ht="13.5" x14ac:dyDescent="0.25">
      <c r="A316" s="1"/>
      <c r="B316" s="3">
        <v>45056</v>
      </c>
      <c r="C316" s="4">
        <v>24.4</v>
      </c>
      <c r="D316" s="4">
        <v>19.331900000000001</v>
      </c>
      <c r="E316" s="4">
        <v>441</v>
      </c>
      <c r="F316" s="4">
        <v>24.215</v>
      </c>
      <c r="G316" s="4">
        <v>10678.815000000001</v>
      </c>
      <c r="H316" s="5">
        <f t="shared" si="4"/>
        <v>-8.1663453537106237E-4</v>
      </c>
    </row>
    <row r="317" spans="1:8" ht="13.5" x14ac:dyDescent="0.25">
      <c r="A317" s="1"/>
      <c r="B317" s="3">
        <v>45057</v>
      </c>
      <c r="C317" s="4">
        <v>24.2</v>
      </c>
      <c r="D317" s="4">
        <v>19.173400000000001</v>
      </c>
      <c r="E317" s="4">
        <v>4563</v>
      </c>
      <c r="F317" s="4">
        <v>24.173999999999999</v>
      </c>
      <c r="G317" s="4">
        <v>110305.962</v>
      </c>
      <c r="H317" s="5">
        <f t="shared" si="4"/>
        <v>-8.1988837103440463E-3</v>
      </c>
    </row>
    <row r="318" spans="1:8" ht="13.5" x14ac:dyDescent="0.25">
      <c r="A318" s="1"/>
      <c r="B318" s="3">
        <v>45058</v>
      </c>
      <c r="C318" s="4">
        <v>24.4</v>
      </c>
      <c r="D318" s="4">
        <v>19.331900000000001</v>
      </c>
      <c r="E318" s="4">
        <v>2613</v>
      </c>
      <c r="F318" s="4">
        <v>24</v>
      </c>
      <c r="G318" s="4">
        <v>62712</v>
      </c>
      <c r="H318" s="5">
        <f t="shared" si="4"/>
        <v>8.2666611034036778E-3</v>
      </c>
    </row>
    <row r="319" spans="1:8" ht="13.5" x14ac:dyDescent="0.25">
      <c r="A319" s="1"/>
      <c r="B319" s="3">
        <v>45061</v>
      </c>
      <c r="C319" s="4">
        <v>24.4</v>
      </c>
      <c r="D319" s="4">
        <v>19.331900000000001</v>
      </c>
      <c r="E319" s="4">
        <v>0</v>
      </c>
      <c r="F319" s="4">
        <v>0</v>
      </c>
      <c r="G319" s="4">
        <v>0</v>
      </c>
      <c r="H319" s="5">
        <f t="shared" si="4"/>
        <v>0</v>
      </c>
    </row>
    <row r="320" spans="1:8" ht="13.5" x14ac:dyDescent="0.25">
      <c r="A320" s="1"/>
      <c r="B320" s="3">
        <v>45062</v>
      </c>
      <c r="C320" s="4">
        <v>24.5</v>
      </c>
      <c r="D320" s="4">
        <v>19.411100000000001</v>
      </c>
      <c r="E320" s="4">
        <v>3658</v>
      </c>
      <c r="F320" s="4">
        <v>24.349</v>
      </c>
      <c r="G320" s="4">
        <v>89068.642000000007</v>
      </c>
      <c r="H320" s="5">
        <f t="shared" si="4"/>
        <v>4.0968554565252334E-3</v>
      </c>
    </row>
    <row r="321" spans="1:8" ht="13.5" x14ac:dyDescent="0.25">
      <c r="A321" s="1"/>
      <c r="B321" s="3">
        <v>45063</v>
      </c>
      <c r="C321" s="4">
        <v>24.5</v>
      </c>
      <c r="D321" s="4">
        <v>19.411100000000001</v>
      </c>
      <c r="E321" s="4">
        <v>720</v>
      </c>
      <c r="F321" s="4">
        <v>24.484999999999999</v>
      </c>
      <c r="G321" s="4">
        <v>17629.2</v>
      </c>
      <c r="H321" s="5">
        <f t="shared" si="4"/>
        <v>0</v>
      </c>
    </row>
    <row r="322" spans="1:8" ht="13.5" x14ac:dyDescent="0.25">
      <c r="A322" s="1"/>
      <c r="B322" s="3">
        <v>45064</v>
      </c>
      <c r="C322" s="4">
        <v>24.9</v>
      </c>
      <c r="D322" s="4">
        <v>19.728000000000002</v>
      </c>
      <c r="E322" s="4">
        <v>3063</v>
      </c>
      <c r="F322" s="4">
        <v>24.116</v>
      </c>
      <c r="G322" s="4">
        <v>73867.308000000005</v>
      </c>
      <c r="H322" s="5">
        <f t="shared" si="4"/>
        <v>1.6325710547058146E-2</v>
      </c>
    </row>
    <row r="323" spans="1:8" ht="13.5" x14ac:dyDescent="0.25">
      <c r="A323" s="1"/>
      <c r="B323" s="3">
        <v>45065</v>
      </c>
      <c r="C323" s="4">
        <v>24.85</v>
      </c>
      <c r="D323" s="4">
        <v>19.688400000000001</v>
      </c>
      <c r="E323" s="4">
        <v>3637</v>
      </c>
      <c r="F323" s="4">
        <v>24.515999999999998</v>
      </c>
      <c r="G323" s="4">
        <v>89164.691999999995</v>
      </c>
      <c r="H323" s="5">
        <f t="shared" si="4"/>
        <v>-2.0072992700729967E-3</v>
      </c>
    </row>
    <row r="324" spans="1:8" ht="13.5" x14ac:dyDescent="0.25">
      <c r="A324" s="1"/>
      <c r="B324" s="3">
        <v>45068</v>
      </c>
      <c r="C324" s="4">
        <v>23.36</v>
      </c>
      <c r="D324" s="4">
        <v>18.507899999999999</v>
      </c>
      <c r="E324" s="4">
        <v>1027</v>
      </c>
      <c r="F324" s="4">
        <v>24.407</v>
      </c>
      <c r="G324" s="4">
        <v>25065.989000000001</v>
      </c>
      <c r="H324" s="5">
        <f t="shared" si="4"/>
        <v>-5.9959163771561019E-2</v>
      </c>
    </row>
    <row r="325" spans="1:8" ht="13.5" x14ac:dyDescent="0.25">
      <c r="A325" s="1"/>
      <c r="B325" s="3">
        <v>45069</v>
      </c>
      <c r="C325" s="4">
        <v>24.32</v>
      </c>
      <c r="D325" s="4">
        <v>19.2685</v>
      </c>
      <c r="E325" s="4">
        <v>4250</v>
      </c>
      <c r="F325" s="4">
        <v>23.859000000000002</v>
      </c>
      <c r="G325" s="4">
        <v>101400.75</v>
      </c>
      <c r="H325" s="5">
        <f t="shared" si="4"/>
        <v>4.1095964426001878E-2</v>
      </c>
    </row>
    <row r="326" spans="1:8" ht="13.5" x14ac:dyDescent="0.25">
      <c r="A326" s="1"/>
      <c r="B326" s="3">
        <v>45070</v>
      </c>
      <c r="C326" s="4">
        <v>24.79</v>
      </c>
      <c r="D326" s="4">
        <v>19.640899999999998</v>
      </c>
      <c r="E326" s="4">
        <v>2288</v>
      </c>
      <c r="F326" s="4">
        <v>24.344999999999999</v>
      </c>
      <c r="G326" s="4">
        <v>55701.36</v>
      </c>
      <c r="H326" s="5">
        <f t="shared" si="4"/>
        <v>1.9326880660144742E-2</v>
      </c>
    </row>
    <row r="327" spans="1:8" ht="13.5" x14ac:dyDescent="0.25">
      <c r="A327" s="1"/>
      <c r="B327" s="3">
        <v>45071</v>
      </c>
      <c r="C327" s="4">
        <v>25.6</v>
      </c>
      <c r="D327" s="4">
        <v>20.282599999999999</v>
      </c>
      <c r="E327" s="4">
        <v>3581</v>
      </c>
      <c r="F327" s="4">
        <v>24.992999999999999</v>
      </c>
      <c r="G327" s="4">
        <v>89499.933000000005</v>
      </c>
      <c r="H327" s="5">
        <f t="shared" ref="H327:H390" si="5">(D327-D326)/D326</f>
        <v>3.2671618917666713E-2</v>
      </c>
    </row>
    <row r="328" spans="1:8" ht="13.5" x14ac:dyDescent="0.25">
      <c r="A328" s="1"/>
      <c r="B328" s="3">
        <v>45072</v>
      </c>
      <c r="C328" s="4">
        <v>25.99</v>
      </c>
      <c r="D328" s="4">
        <v>20.5916</v>
      </c>
      <c r="E328" s="4">
        <v>6835</v>
      </c>
      <c r="F328" s="4">
        <v>25.902000000000001</v>
      </c>
      <c r="G328" s="4">
        <v>177040.17</v>
      </c>
      <c r="H328" s="5">
        <f t="shared" si="5"/>
        <v>1.5234733219607006E-2</v>
      </c>
    </row>
    <row r="329" spans="1:8" ht="13.5" x14ac:dyDescent="0.25">
      <c r="A329" s="1"/>
      <c r="B329" s="3">
        <v>45075</v>
      </c>
      <c r="C329" s="4">
        <v>25.59</v>
      </c>
      <c r="D329" s="4">
        <v>20.274699999999999</v>
      </c>
      <c r="E329" s="4">
        <v>3127</v>
      </c>
      <c r="F329" s="4">
        <v>25.527000000000001</v>
      </c>
      <c r="G329" s="4">
        <v>79822.929000000004</v>
      </c>
      <c r="H329" s="5">
        <f t="shared" si="5"/>
        <v>-1.5389770586064239E-2</v>
      </c>
    </row>
    <row r="330" spans="1:8" ht="13.5" x14ac:dyDescent="0.25">
      <c r="A330" s="1"/>
      <c r="B330" s="3">
        <v>45076</v>
      </c>
      <c r="C330" s="4">
        <v>25.49</v>
      </c>
      <c r="D330" s="4">
        <v>20.195499999999999</v>
      </c>
      <c r="E330" s="4">
        <v>14238</v>
      </c>
      <c r="F330" s="4">
        <v>25.19</v>
      </c>
      <c r="G330" s="4">
        <v>358655.22</v>
      </c>
      <c r="H330" s="5">
        <f t="shared" si="5"/>
        <v>-3.906346333114678E-3</v>
      </c>
    </row>
    <row r="331" spans="1:8" ht="13.5" x14ac:dyDescent="0.25">
      <c r="A331" s="1"/>
      <c r="B331" s="3">
        <v>45077</v>
      </c>
      <c r="C331" s="4">
        <v>25.57</v>
      </c>
      <c r="D331" s="4">
        <v>20.258800000000001</v>
      </c>
      <c r="E331" s="4">
        <v>6957</v>
      </c>
      <c r="F331" s="4">
        <v>24.972999999999999</v>
      </c>
      <c r="G331" s="4">
        <v>173737.16099999999</v>
      </c>
      <c r="H331" s="5">
        <f t="shared" si="5"/>
        <v>3.1343616152113931E-3</v>
      </c>
    </row>
    <row r="332" spans="1:8" ht="13.5" x14ac:dyDescent="0.25">
      <c r="A332" s="1"/>
      <c r="B332" s="3">
        <v>45078</v>
      </c>
      <c r="C332" s="4">
        <v>26</v>
      </c>
      <c r="D332" s="4">
        <v>20.599499999999999</v>
      </c>
      <c r="E332" s="4">
        <v>12409</v>
      </c>
      <c r="F332" s="4">
        <v>25.145</v>
      </c>
      <c r="G332" s="4">
        <v>312024.30499999999</v>
      </c>
      <c r="H332" s="5">
        <f t="shared" si="5"/>
        <v>1.6817383063162588E-2</v>
      </c>
    </row>
    <row r="333" spans="1:8" ht="13.5" x14ac:dyDescent="0.25">
      <c r="A333" s="1"/>
      <c r="B333" s="3">
        <v>45079</v>
      </c>
      <c r="C333" s="4">
        <v>25.95</v>
      </c>
      <c r="D333" s="4">
        <v>20.559899999999999</v>
      </c>
      <c r="E333" s="4">
        <v>7082</v>
      </c>
      <c r="F333" s="4">
        <v>25.632000000000001</v>
      </c>
      <c r="G333" s="4">
        <v>181525.82399999999</v>
      </c>
      <c r="H333" s="5">
        <f t="shared" si="5"/>
        <v>-1.9223767567174001E-3</v>
      </c>
    </row>
    <row r="334" spans="1:8" ht="13.5" x14ac:dyDescent="0.25">
      <c r="A334" s="1"/>
      <c r="B334" s="3">
        <v>45082</v>
      </c>
      <c r="C334" s="4">
        <v>24.19</v>
      </c>
      <c r="D334" s="4">
        <v>21.026299999999999</v>
      </c>
      <c r="E334" s="4">
        <v>1243</v>
      </c>
      <c r="F334" s="4">
        <v>23.812999999999999</v>
      </c>
      <c r="G334" s="4">
        <v>29599.559000000001</v>
      </c>
      <c r="H334" s="5">
        <f t="shared" si="5"/>
        <v>2.2684935238011867E-2</v>
      </c>
    </row>
    <row r="335" spans="1:8" ht="13.5" x14ac:dyDescent="0.25">
      <c r="A335" s="1"/>
      <c r="B335" s="3">
        <v>45083</v>
      </c>
      <c r="C335" s="4">
        <v>23.25</v>
      </c>
      <c r="D335" s="4">
        <v>20.209199999999999</v>
      </c>
      <c r="E335" s="4">
        <v>6962</v>
      </c>
      <c r="F335" s="4">
        <v>23.803999999999998</v>
      </c>
      <c r="G335" s="4">
        <v>165723.448</v>
      </c>
      <c r="H335" s="5">
        <f t="shared" si="5"/>
        <v>-3.8860855214659734E-2</v>
      </c>
    </row>
    <row r="336" spans="1:8" ht="13.5" x14ac:dyDescent="0.25">
      <c r="A336" s="1"/>
      <c r="B336" s="3">
        <v>45084</v>
      </c>
      <c r="C336" s="4">
        <v>23.75</v>
      </c>
      <c r="D336" s="4">
        <v>20.643899999999999</v>
      </c>
      <c r="E336" s="4">
        <v>2897</v>
      </c>
      <c r="F336" s="4">
        <v>23.292999999999999</v>
      </c>
      <c r="G336" s="4">
        <v>67479.820999999996</v>
      </c>
      <c r="H336" s="5">
        <f t="shared" si="5"/>
        <v>2.1510005344100677E-2</v>
      </c>
    </row>
    <row r="337" spans="1:8" ht="13.5" x14ac:dyDescent="0.25">
      <c r="A337" s="1"/>
      <c r="B337" s="3">
        <v>45085</v>
      </c>
      <c r="C337" s="4">
        <v>23.75</v>
      </c>
      <c r="D337" s="4">
        <v>20.643899999999999</v>
      </c>
      <c r="E337" s="4">
        <v>0</v>
      </c>
      <c r="F337" s="4">
        <v>0</v>
      </c>
      <c r="G337" s="4">
        <v>0</v>
      </c>
      <c r="H337" s="5">
        <f t="shared" si="5"/>
        <v>0</v>
      </c>
    </row>
    <row r="338" spans="1:8" ht="13.5" x14ac:dyDescent="0.25">
      <c r="A338" s="1"/>
      <c r="B338" s="3">
        <v>45086</v>
      </c>
      <c r="C338" s="4">
        <v>23.44</v>
      </c>
      <c r="D338" s="4">
        <v>20.374400000000001</v>
      </c>
      <c r="E338" s="4">
        <v>7744</v>
      </c>
      <c r="F338" s="4">
        <v>23.484999999999999</v>
      </c>
      <c r="G338" s="4">
        <v>181867.84</v>
      </c>
      <c r="H338" s="5">
        <f t="shared" si="5"/>
        <v>-1.3054703810810806E-2</v>
      </c>
    </row>
    <row r="339" spans="1:8" ht="13.5" x14ac:dyDescent="0.25">
      <c r="A339" s="1"/>
      <c r="B339" s="3">
        <v>45089</v>
      </c>
      <c r="C339" s="4">
        <v>23.44</v>
      </c>
      <c r="D339" s="4">
        <v>20.374400000000001</v>
      </c>
      <c r="E339" s="4">
        <v>250</v>
      </c>
      <c r="F339" s="4">
        <v>23.382999999999999</v>
      </c>
      <c r="G339" s="4">
        <v>5845.75</v>
      </c>
      <c r="H339" s="5">
        <f t="shared" si="5"/>
        <v>0</v>
      </c>
    </row>
    <row r="340" spans="1:8" ht="13.5" x14ac:dyDescent="0.25">
      <c r="A340" s="1"/>
      <c r="B340" s="3">
        <v>45090</v>
      </c>
      <c r="C340" s="4">
        <v>23</v>
      </c>
      <c r="D340" s="4">
        <v>19.991900000000001</v>
      </c>
      <c r="E340" s="4">
        <v>2677</v>
      </c>
      <c r="F340" s="4">
        <v>22.997</v>
      </c>
      <c r="G340" s="4">
        <v>61562.968999999997</v>
      </c>
      <c r="H340" s="5">
        <f t="shared" si="5"/>
        <v>-1.8773558975969856E-2</v>
      </c>
    </row>
    <row r="341" spans="1:8" ht="13.5" x14ac:dyDescent="0.25">
      <c r="A341" s="1"/>
      <c r="B341" s="3">
        <v>45091</v>
      </c>
      <c r="C341" s="4">
        <v>23.19</v>
      </c>
      <c r="D341" s="4">
        <v>20.1571</v>
      </c>
      <c r="E341" s="4">
        <v>1</v>
      </c>
      <c r="F341" s="4">
        <v>23.19</v>
      </c>
      <c r="G341" s="4">
        <v>23.19</v>
      </c>
      <c r="H341" s="5">
        <f t="shared" si="5"/>
        <v>8.2633466553953695E-3</v>
      </c>
    </row>
    <row r="342" spans="1:8" ht="13.5" x14ac:dyDescent="0.25">
      <c r="A342" s="1"/>
      <c r="B342" s="3">
        <v>45092</v>
      </c>
      <c r="C342" s="4">
        <v>23.25</v>
      </c>
      <c r="D342" s="4">
        <v>20.209199999999999</v>
      </c>
      <c r="E342" s="4">
        <v>463</v>
      </c>
      <c r="F342" s="4">
        <v>23.248999999999999</v>
      </c>
      <c r="G342" s="4">
        <v>10764.287</v>
      </c>
      <c r="H342" s="5">
        <f t="shared" si="5"/>
        <v>2.5846972034667373E-3</v>
      </c>
    </row>
    <row r="343" spans="1:8" ht="13.5" x14ac:dyDescent="0.25">
      <c r="A343" s="1"/>
      <c r="B343" s="3">
        <v>45093</v>
      </c>
      <c r="C343" s="4">
        <v>23.4</v>
      </c>
      <c r="D343" s="4">
        <v>20.339600000000001</v>
      </c>
      <c r="E343" s="4">
        <v>3816</v>
      </c>
      <c r="F343" s="4">
        <v>23.295000000000002</v>
      </c>
      <c r="G343" s="4">
        <v>88893.72</v>
      </c>
      <c r="H343" s="5">
        <f t="shared" si="5"/>
        <v>6.4525067790907921E-3</v>
      </c>
    </row>
    <row r="344" spans="1:8" ht="13.5" x14ac:dyDescent="0.25">
      <c r="A344" s="1"/>
      <c r="B344" s="3">
        <v>45096</v>
      </c>
      <c r="C344" s="4">
        <v>23.44</v>
      </c>
      <c r="D344" s="4">
        <v>20.374400000000001</v>
      </c>
      <c r="E344" s="4">
        <v>7617</v>
      </c>
      <c r="F344" s="4">
        <v>23.05</v>
      </c>
      <c r="G344" s="4">
        <v>175571.85</v>
      </c>
      <c r="H344" s="5">
        <f t="shared" si="5"/>
        <v>1.7109481012409589E-3</v>
      </c>
    </row>
    <row r="345" spans="1:8" ht="13.5" x14ac:dyDescent="0.25">
      <c r="A345" s="1"/>
      <c r="B345" s="3">
        <v>45097</v>
      </c>
      <c r="C345" s="4">
        <v>23.44</v>
      </c>
      <c r="D345" s="4">
        <v>20.374400000000001</v>
      </c>
      <c r="E345" s="4">
        <v>1810</v>
      </c>
      <c r="F345" s="4">
        <v>23.428999999999998</v>
      </c>
      <c r="G345" s="4">
        <v>42406.49</v>
      </c>
      <c r="H345" s="5">
        <f t="shared" si="5"/>
        <v>0</v>
      </c>
    </row>
    <row r="346" spans="1:8" ht="13.5" x14ac:dyDescent="0.25">
      <c r="A346" s="1"/>
      <c r="B346" s="3">
        <v>45098</v>
      </c>
      <c r="C346" s="4">
        <v>23.44</v>
      </c>
      <c r="D346" s="4">
        <v>20.374400000000001</v>
      </c>
      <c r="E346" s="4">
        <v>4120</v>
      </c>
      <c r="F346" s="4">
        <v>23.332999999999998</v>
      </c>
      <c r="G346" s="4">
        <v>96131.96</v>
      </c>
      <c r="H346" s="5">
        <f t="shared" si="5"/>
        <v>0</v>
      </c>
    </row>
    <row r="347" spans="1:8" ht="13.5" x14ac:dyDescent="0.25">
      <c r="A347" s="1"/>
      <c r="B347" s="3">
        <v>45099</v>
      </c>
      <c r="C347" s="4">
        <v>23.44</v>
      </c>
      <c r="D347" s="4">
        <v>20.374400000000001</v>
      </c>
      <c r="E347" s="4">
        <v>1264</v>
      </c>
      <c r="F347" s="4">
        <v>23.408000000000001</v>
      </c>
      <c r="G347" s="4">
        <v>29587.712</v>
      </c>
      <c r="H347" s="5">
        <f t="shared" si="5"/>
        <v>0</v>
      </c>
    </row>
    <row r="348" spans="1:8" ht="13.5" x14ac:dyDescent="0.25">
      <c r="A348" s="1"/>
      <c r="B348" s="3">
        <v>45100</v>
      </c>
      <c r="C348" s="4">
        <v>23.44</v>
      </c>
      <c r="D348" s="4">
        <v>20.374400000000001</v>
      </c>
      <c r="E348" s="4">
        <v>2672</v>
      </c>
      <c r="F348" s="4">
        <v>23.032</v>
      </c>
      <c r="G348" s="4">
        <v>61541.504000000001</v>
      </c>
      <c r="H348" s="5">
        <f t="shared" si="5"/>
        <v>0</v>
      </c>
    </row>
    <row r="349" spans="1:8" ht="13.5" x14ac:dyDescent="0.25">
      <c r="A349" s="1"/>
      <c r="B349" s="3">
        <v>45103</v>
      </c>
      <c r="C349" s="4">
        <v>23.42</v>
      </c>
      <c r="D349" s="4">
        <v>20.356999999999999</v>
      </c>
      <c r="E349" s="4">
        <v>50</v>
      </c>
      <c r="F349" s="4">
        <v>23.42</v>
      </c>
      <c r="G349" s="4">
        <v>1171</v>
      </c>
      <c r="H349" s="5">
        <f t="shared" si="5"/>
        <v>-8.5401287890696557E-4</v>
      </c>
    </row>
    <row r="350" spans="1:8" ht="13.5" x14ac:dyDescent="0.25">
      <c r="A350" s="1"/>
      <c r="B350" s="3">
        <v>45104</v>
      </c>
      <c r="C350" s="4">
        <v>23.39</v>
      </c>
      <c r="D350" s="4">
        <v>20.3309</v>
      </c>
      <c r="E350" s="4">
        <v>820</v>
      </c>
      <c r="F350" s="4">
        <v>23.393999999999998</v>
      </c>
      <c r="G350" s="4">
        <v>19183.080000000002</v>
      </c>
      <c r="H350" s="5">
        <f t="shared" si="5"/>
        <v>-1.2821142604509293E-3</v>
      </c>
    </row>
    <row r="351" spans="1:8" ht="13.5" x14ac:dyDescent="0.25">
      <c r="A351" s="1"/>
      <c r="B351" s="3">
        <v>45107</v>
      </c>
      <c r="C351" s="4">
        <v>23.39</v>
      </c>
      <c r="D351" s="4">
        <v>20.3309</v>
      </c>
      <c r="E351" s="4">
        <v>1666</v>
      </c>
      <c r="F351" s="4">
        <v>23.39</v>
      </c>
      <c r="G351" s="4">
        <v>38967.74</v>
      </c>
      <c r="H351" s="5">
        <f t="shared" si="5"/>
        <v>0</v>
      </c>
    </row>
    <row r="352" spans="1:8" ht="13.5" x14ac:dyDescent="0.25">
      <c r="A352" s="1"/>
      <c r="B352" s="3">
        <v>45110</v>
      </c>
      <c r="C352" s="4">
        <v>23.39</v>
      </c>
      <c r="D352" s="4">
        <v>20.3309</v>
      </c>
      <c r="E352" s="4">
        <v>2278</v>
      </c>
      <c r="F352" s="4">
        <v>22.492000000000001</v>
      </c>
      <c r="G352" s="4">
        <v>51236.775999999998</v>
      </c>
      <c r="H352" s="5">
        <f t="shared" si="5"/>
        <v>0</v>
      </c>
    </row>
    <row r="353" spans="1:8" ht="13.5" x14ac:dyDescent="0.25">
      <c r="A353" s="1"/>
      <c r="B353" s="3">
        <v>45111</v>
      </c>
      <c r="C353" s="4">
        <v>23.39</v>
      </c>
      <c r="D353" s="4">
        <v>20.3309</v>
      </c>
      <c r="E353" s="4">
        <v>49</v>
      </c>
      <c r="F353" s="4">
        <v>23.376000000000001</v>
      </c>
      <c r="G353" s="4">
        <v>1145.424</v>
      </c>
      <c r="H353" s="5">
        <f t="shared" si="5"/>
        <v>0</v>
      </c>
    </row>
    <row r="354" spans="1:8" ht="13.5" x14ac:dyDescent="0.25">
      <c r="A354" s="1"/>
      <c r="B354" s="3">
        <v>45112</v>
      </c>
      <c r="C354" s="4">
        <v>23.39</v>
      </c>
      <c r="D354" s="4">
        <v>20.3309</v>
      </c>
      <c r="E354" s="4">
        <v>0</v>
      </c>
      <c r="F354" s="4">
        <v>0</v>
      </c>
      <c r="G354" s="4">
        <v>0</v>
      </c>
      <c r="H354" s="5">
        <f t="shared" si="5"/>
        <v>0</v>
      </c>
    </row>
    <row r="355" spans="1:8" ht="13.5" x14ac:dyDescent="0.25">
      <c r="A355" s="1"/>
      <c r="B355" s="3">
        <v>45113</v>
      </c>
      <c r="C355" s="4">
        <v>23.39</v>
      </c>
      <c r="D355" s="4">
        <v>20.3309</v>
      </c>
      <c r="E355" s="4">
        <v>0</v>
      </c>
      <c r="F355" s="4">
        <v>0</v>
      </c>
      <c r="G355" s="4">
        <v>0</v>
      </c>
      <c r="H355" s="5">
        <f t="shared" si="5"/>
        <v>0</v>
      </c>
    </row>
    <row r="356" spans="1:8" ht="13.5" x14ac:dyDescent="0.25">
      <c r="A356" s="1"/>
      <c r="B356" s="3">
        <v>45114</v>
      </c>
      <c r="C356" s="4">
        <v>23.39</v>
      </c>
      <c r="D356" s="4">
        <v>20.3309</v>
      </c>
      <c r="E356" s="4">
        <v>0</v>
      </c>
      <c r="F356" s="4">
        <v>0</v>
      </c>
      <c r="G356" s="4">
        <v>0</v>
      </c>
      <c r="H356" s="5">
        <f t="shared" si="5"/>
        <v>0</v>
      </c>
    </row>
    <row r="357" spans="1:8" ht="13.5" x14ac:dyDescent="0.25">
      <c r="A357" s="1"/>
      <c r="B357" s="3">
        <v>45117</v>
      </c>
      <c r="C357" s="4">
        <v>23.29</v>
      </c>
      <c r="D357" s="4">
        <v>20.244</v>
      </c>
      <c r="E357" s="4">
        <v>3</v>
      </c>
      <c r="F357" s="4">
        <v>23.29</v>
      </c>
      <c r="G357" s="4">
        <v>69.87</v>
      </c>
      <c r="H357" s="5">
        <f t="shared" si="5"/>
        <v>-4.2742820042398506E-3</v>
      </c>
    </row>
    <row r="358" spans="1:8" ht="13.5" x14ac:dyDescent="0.25">
      <c r="A358" s="1"/>
      <c r="B358" s="3">
        <v>45118</v>
      </c>
      <c r="C358" s="4">
        <v>23.29</v>
      </c>
      <c r="D358" s="4">
        <v>20.244</v>
      </c>
      <c r="E358" s="4">
        <v>0</v>
      </c>
      <c r="F358" s="4">
        <v>0</v>
      </c>
      <c r="G358" s="4">
        <v>0</v>
      </c>
      <c r="H358" s="5">
        <f t="shared" si="5"/>
        <v>0</v>
      </c>
    </row>
    <row r="359" spans="1:8" ht="13.5" x14ac:dyDescent="0.25">
      <c r="A359" s="1"/>
      <c r="B359" s="3">
        <v>45119</v>
      </c>
      <c r="C359" s="4">
        <v>23.29</v>
      </c>
      <c r="D359" s="4">
        <v>20.244</v>
      </c>
      <c r="E359" s="4">
        <v>0</v>
      </c>
      <c r="F359" s="4">
        <v>0</v>
      </c>
      <c r="G359" s="4">
        <v>0</v>
      </c>
      <c r="H359" s="5">
        <f t="shared" si="5"/>
        <v>0</v>
      </c>
    </row>
    <row r="360" spans="1:8" ht="13.5" x14ac:dyDescent="0.25">
      <c r="A360" s="1"/>
      <c r="B360" s="3">
        <v>45120</v>
      </c>
      <c r="C360" s="4">
        <v>23.29</v>
      </c>
      <c r="D360" s="4">
        <v>20.244</v>
      </c>
      <c r="E360" s="4">
        <v>0</v>
      </c>
      <c r="F360" s="4">
        <v>0</v>
      </c>
      <c r="G360" s="4">
        <v>0</v>
      </c>
      <c r="H360" s="5">
        <f t="shared" si="5"/>
        <v>0</v>
      </c>
    </row>
    <row r="361" spans="1:8" ht="13.5" x14ac:dyDescent="0.25">
      <c r="A361" s="1"/>
      <c r="B361" s="3">
        <v>45121</v>
      </c>
      <c r="C361" s="4">
        <v>23.29</v>
      </c>
      <c r="D361" s="4">
        <v>20.244</v>
      </c>
      <c r="E361" s="4">
        <v>0</v>
      </c>
      <c r="F361" s="4">
        <v>0</v>
      </c>
      <c r="G361" s="4">
        <v>0</v>
      </c>
      <c r="H361" s="5">
        <f t="shared" si="5"/>
        <v>0</v>
      </c>
    </row>
    <row r="362" spans="1:8" ht="13.5" x14ac:dyDescent="0.25">
      <c r="A362" s="1"/>
      <c r="B362" s="3">
        <v>45124</v>
      </c>
      <c r="C362" s="4">
        <v>23.29</v>
      </c>
      <c r="D362" s="4">
        <v>20.244</v>
      </c>
      <c r="E362" s="4">
        <v>0</v>
      </c>
      <c r="F362" s="4">
        <v>0</v>
      </c>
      <c r="G362" s="4">
        <v>0</v>
      </c>
      <c r="H362" s="5">
        <f t="shared" si="5"/>
        <v>0</v>
      </c>
    </row>
    <row r="363" spans="1:8" ht="13.5" x14ac:dyDescent="0.25">
      <c r="A363" s="1"/>
      <c r="B363" s="3">
        <v>45125</v>
      </c>
      <c r="C363" s="4">
        <v>23.18</v>
      </c>
      <c r="D363" s="4">
        <v>20.148399999999999</v>
      </c>
      <c r="E363" s="4">
        <v>44</v>
      </c>
      <c r="F363" s="4">
        <v>23.18</v>
      </c>
      <c r="G363" s="4">
        <v>1019.92</v>
      </c>
      <c r="H363" s="5">
        <f t="shared" si="5"/>
        <v>-4.7223868800632786E-3</v>
      </c>
    </row>
    <row r="364" spans="1:8" ht="13.5" x14ac:dyDescent="0.25">
      <c r="A364" s="1"/>
      <c r="B364" s="3">
        <v>45127</v>
      </c>
      <c r="C364" s="4">
        <v>23.17</v>
      </c>
      <c r="D364" s="4">
        <v>20.139700000000001</v>
      </c>
      <c r="E364" s="4">
        <v>200</v>
      </c>
      <c r="F364" s="4">
        <v>23.172000000000001</v>
      </c>
      <c r="G364" s="4">
        <v>4634.3999999999996</v>
      </c>
      <c r="H364" s="5">
        <f t="shared" si="5"/>
        <v>-4.3179607313719641E-4</v>
      </c>
    </row>
    <row r="365" spans="1:8" ht="13.5" x14ac:dyDescent="0.25">
      <c r="A365" s="1"/>
      <c r="B365" s="3">
        <v>45128</v>
      </c>
      <c r="C365" s="4">
        <v>23</v>
      </c>
      <c r="D365" s="4">
        <v>19.991900000000001</v>
      </c>
      <c r="E365" s="4">
        <v>790</v>
      </c>
      <c r="F365" s="4">
        <v>22.57</v>
      </c>
      <c r="G365" s="4">
        <v>17830.3</v>
      </c>
      <c r="H365" s="5">
        <f t="shared" si="5"/>
        <v>-7.3387389087225799E-3</v>
      </c>
    </row>
    <row r="366" spans="1:8" ht="13.5" x14ac:dyDescent="0.25">
      <c r="A366" s="1"/>
      <c r="B366" s="3">
        <v>45131</v>
      </c>
      <c r="C366" s="4">
        <v>23</v>
      </c>
      <c r="D366" s="4">
        <v>19.991900000000001</v>
      </c>
      <c r="E366" s="4">
        <v>500</v>
      </c>
      <c r="F366" s="4">
        <v>23</v>
      </c>
      <c r="G366" s="4">
        <v>11500</v>
      </c>
      <c r="H366" s="5">
        <f t="shared" si="5"/>
        <v>0</v>
      </c>
    </row>
    <row r="367" spans="1:8" ht="13.5" x14ac:dyDescent="0.25">
      <c r="A367" s="1"/>
      <c r="B367" s="3">
        <v>45133</v>
      </c>
      <c r="C367" s="4">
        <v>23.28</v>
      </c>
      <c r="D367" s="4">
        <v>20.235299999999999</v>
      </c>
      <c r="E367" s="4">
        <v>3630</v>
      </c>
      <c r="F367" s="4">
        <v>23.154</v>
      </c>
      <c r="G367" s="4">
        <v>84049.02</v>
      </c>
      <c r="H367" s="5">
        <f t="shared" si="5"/>
        <v>1.2174930846992912E-2</v>
      </c>
    </row>
    <row r="368" spans="1:8" ht="13.5" x14ac:dyDescent="0.25">
      <c r="A368" s="1"/>
      <c r="B368" s="3">
        <v>45134</v>
      </c>
      <c r="C368" s="4">
        <v>23.2</v>
      </c>
      <c r="D368" s="4">
        <v>20.165800000000001</v>
      </c>
      <c r="E368" s="4">
        <v>43</v>
      </c>
      <c r="F368" s="4">
        <v>23.120999999999999</v>
      </c>
      <c r="G368" s="4">
        <v>994.20299999999997</v>
      </c>
      <c r="H368" s="5">
        <f t="shared" si="5"/>
        <v>-3.4345920248277958E-3</v>
      </c>
    </row>
    <row r="369" spans="1:8" ht="13.5" x14ac:dyDescent="0.25">
      <c r="A369" s="1"/>
      <c r="B369" s="3">
        <v>45135</v>
      </c>
      <c r="C369" s="4">
        <v>23.2</v>
      </c>
      <c r="D369" s="4">
        <v>20.165800000000001</v>
      </c>
      <c r="E369" s="4">
        <v>560</v>
      </c>
      <c r="F369" s="4">
        <v>23.201000000000001</v>
      </c>
      <c r="G369" s="4">
        <v>12992.56</v>
      </c>
      <c r="H369" s="5">
        <f t="shared" si="5"/>
        <v>0</v>
      </c>
    </row>
    <row r="370" spans="1:8" ht="13.5" x14ac:dyDescent="0.25">
      <c r="A370" s="1"/>
      <c r="B370" s="3">
        <v>45138</v>
      </c>
      <c r="C370" s="4">
        <v>23.2</v>
      </c>
      <c r="D370" s="4">
        <v>20.165800000000001</v>
      </c>
      <c r="E370" s="4">
        <v>0</v>
      </c>
      <c r="F370" s="4">
        <v>0</v>
      </c>
      <c r="G370" s="4">
        <v>0</v>
      </c>
      <c r="H370" s="5">
        <f t="shared" si="5"/>
        <v>0</v>
      </c>
    </row>
    <row r="371" spans="1:8" ht="13.5" x14ac:dyDescent="0.25">
      <c r="A371" s="1"/>
      <c r="B371" s="3">
        <v>45139</v>
      </c>
      <c r="C371" s="4">
        <v>23.2</v>
      </c>
      <c r="D371" s="4">
        <v>20.165800000000001</v>
      </c>
      <c r="E371" s="4">
        <v>654</v>
      </c>
      <c r="F371" s="4">
        <v>23.253</v>
      </c>
      <c r="G371" s="4">
        <v>15207.462</v>
      </c>
      <c r="H371" s="5">
        <f t="shared" si="5"/>
        <v>0</v>
      </c>
    </row>
    <row r="372" spans="1:8" ht="13.5" x14ac:dyDescent="0.25">
      <c r="A372" s="1"/>
      <c r="B372" s="3">
        <v>45140</v>
      </c>
      <c r="C372" s="4">
        <v>23.19</v>
      </c>
      <c r="D372" s="4">
        <v>20.1571</v>
      </c>
      <c r="E372" s="4">
        <v>60</v>
      </c>
      <c r="F372" s="4">
        <v>22.815000000000001</v>
      </c>
      <c r="G372" s="4">
        <v>1368.9</v>
      </c>
      <c r="H372" s="5">
        <f t="shared" si="5"/>
        <v>-4.3142349919175239E-4</v>
      </c>
    </row>
    <row r="373" spans="1:8" ht="13.5" x14ac:dyDescent="0.25">
      <c r="A373" s="1"/>
      <c r="B373" s="3">
        <v>45141</v>
      </c>
      <c r="C373" s="4">
        <v>23.19</v>
      </c>
      <c r="D373" s="4">
        <v>20.1571</v>
      </c>
      <c r="E373" s="4">
        <v>60</v>
      </c>
      <c r="F373" s="4">
        <v>22.806999999999999</v>
      </c>
      <c r="G373" s="4">
        <v>1368.42</v>
      </c>
      <c r="H373" s="5">
        <f t="shared" si="5"/>
        <v>0</v>
      </c>
    </row>
    <row r="374" spans="1:8" ht="13.5" x14ac:dyDescent="0.25">
      <c r="A374" s="1"/>
      <c r="B374" s="3">
        <v>45142</v>
      </c>
      <c r="C374" s="4">
        <v>23.19</v>
      </c>
      <c r="D374" s="4">
        <v>20.1571</v>
      </c>
      <c r="E374" s="4">
        <v>103</v>
      </c>
      <c r="F374" s="4">
        <v>22.878</v>
      </c>
      <c r="G374" s="4">
        <v>2356.4340000000002</v>
      </c>
      <c r="H374" s="5">
        <f t="shared" si="5"/>
        <v>0</v>
      </c>
    </row>
    <row r="375" spans="1:8" ht="13.5" x14ac:dyDescent="0.25">
      <c r="A375" s="1"/>
      <c r="B375" s="3">
        <v>45145</v>
      </c>
      <c r="C375" s="4">
        <v>23.19</v>
      </c>
      <c r="D375" s="4">
        <v>20.1571</v>
      </c>
      <c r="E375" s="4">
        <v>0</v>
      </c>
      <c r="F375" s="4">
        <v>0</v>
      </c>
      <c r="G375" s="4">
        <v>0</v>
      </c>
      <c r="H375" s="5">
        <f t="shared" si="5"/>
        <v>0</v>
      </c>
    </row>
    <row r="376" spans="1:8" ht="13.5" x14ac:dyDescent="0.25">
      <c r="A376" s="1"/>
      <c r="B376" s="3">
        <v>45146</v>
      </c>
      <c r="C376" s="4">
        <v>23.19</v>
      </c>
      <c r="D376" s="4">
        <v>20.1571</v>
      </c>
      <c r="E376" s="4">
        <v>164</v>
      </c>
      <c r="F376" s="4">
        <v>23</v>
      </c>
      <c r="G376" s="4">
        <v>3772</v>
      </c>
      <c r="H376" s="5">
        <f t="shared" si="5"/>
        <v>0</v>
      </c>
    </row>
    <row r="377" spans="1:8" ht="13.5" x14ac:dyDescent="0.25">
      <c r="A377" s="1"/>
      <c r="B377" s="3">
        <v>45147</v>
      </c>
      <c r="C377" s="4">
        <v>23.18</v>
      </c>
      <c r="D377" s="4">
        <v>20.148399999999999</v>
      </c>
      <c r="E377" s="4">
        <v>105</v>
      </c>
      <c r="F377" s="4">
        <v>23.009</v>
      </c>
      <c r="G377" s="4">
        <v>2415.9450000000002</v>
      </c>
      <c r="H377" s="5">
        <f t="shared" si="5"/>
        <v>-4.3160970576129701E-4</v>
      </c>
    </row>
    <row r="378" spans="1:8" ht="13.5" x14ac:dyDescent="0.25">
      <c r="A378" s="1"/>
      <c r="B378" s="3">
        <v>45148</v>
      </c>
      <c r="C378" s="4">
        <v>23.18</v>
      </c>
      <c r="D378" s="4">
        <v>20.148399999999999</v>
      </c>
      <c r="E378" s="4">
        <v>0</v>
      </c>
      <c r="F378" s="4">
        <v>0</v>
      </c>
      <c r="G378" s="4">
        <v>0</v>
      </c>
      <c r="H378" s="5">
        <f t="shared" si="5"/>
        <v>0</v>
      </c>
    </row>
    <row r="379" spans="1:8" ht="13.5" x14ac:dyDescent="0.25">
      <c r="A379" s="1"/>
      <c r="B379" s="3">
        <v>45149</v>
      </c>
      <c r="C379" s="4">
        <v>23</v>
      </c>
      <c r="D379" s="4">
        <v>19.991900000000001</v>
      </c>
      <c r="E379" s="4">
        <v>655</v>
      </c>
      <c r="F379" s="4">
        <v>22.384</v>
      </c>
      <c r="G379" s="4">
        <v>14661.52</v>
      </c>
      <c r="H379" s="5">
        <f t="shared" si="5"/>
        <v>-7.767366143217211E-3</v>
      </c>
    </row>
    <row r="380" spans="1:8" ht="13.5" x14ac:dyDescent="0.25">
      <c r="A380" s="1"/>
      <c r="B380" s="3">
        <v>45152</v>
      </c>
      <c r="C380" s="4">
        <v>23.15</v>
      </c>
      <c r="D380" s="4">
        <v>20.122299999999999</v>
      </c>
      <c r="E380" s="4">
        <v>510</v>
      </c>
      <c r="F380" s="4">
        <v>23.047000000000001</v>
      </c>
      <c r="G380" s="4">
        <v>11753.97</v>
      </c>
      <c r="H380" s="5">
        <f t="shared" si="5"/>
        <v>6.5226416698762031E-3</v>
      </c>
    </row>
    <row r="381" spans="1:8" ht="13.5" x14ac:dyDescent="0.25">
      <c r="A381" s="1"/>
      <c r="B381" s="3">
        <v>45153</v>
      </c>
      <c r="C381" s="4">
        <v>22.97</v>
      </c>
      <c r="D381" s="4">
        <v>19.965900000000001</v>
      </c>
      <c r="E381" s="4">
        <v>3530</v>
      </c>
      <c r="F381" s="4">
        <v>22.503</v>
      </c>
      <c r="G381" s="4">
        <v>79435.59</v>
      </c>
      <c r="H381" s="5">
        <f t="shared" si="5"/>
        <v>-7.7724713377694335E-3</v>
      </c>
    </row>
    <row r="382" spans="1:8" ht="13.5" x14ac:dyDescent="0.25">
      <c r="A382" s="1"/>
      <c r="B382" s="3">
        <v>45154</v>
      </c>
      <c r="C382" s="4">
        <v>22.4</v>
      </c>
      <c r="D382" s="4">
        <v>19.470400000000001</v>
      </c>
      <c r="E382" s="4">
        <v>200</v>
      </c>
      <c r="F382" s="4">
        <v>22.4</v>
      </c>
      <c r="G382" s="4">
        <v>4480</v>
      </c>
      <c r="H382" s="5">
        <f t="shared" si="5"/>
        <v>-2.4817313519550823E-2</v>
      </c>
    </row>
    <row r="383" spans="1:8" ht="13.5" x14ac:dyDescent="0.25">
      <c r="A383" s="1"/>
      <c r="B383" s="3">
        <v>45155</v>
      </c>
      <c r="C383" s="4">
        <v>22.5</v>
      </c>
      <c r="D383" s="4">
        <v>19.557300000000001</v>
      </c>
      <c r="E383" s="4">
        <v>3030</v>
      </c>
      <c r="F383" s="4">
        <v>22.492000000000001</v>
      </c>
      <c r="G383" s="4">
        <v>68150.759999999995</v>
      </c>
      <c r="H383" s="5">
        <f t="shared" si="5"/>
        <v>4.4631851425753948E-3</v>
      </c>
    </row>
    <row r="384" spans="1:8" ht="13.5" x14ac:dyDescent="0.25">
      <c r="A384" s="1"/>
      <c r="B384" s="3">
        <v>45156</v>
      </c>
      <c r="C384" s="4">
        <v>22.5</v>
      </c>
      <c r="D384" s="4">
        <v>19.557300000000001</v>
      </c>
      <c r="E384" s="4">
        <v>2021</v>
      </c>
      <c r="F384" s="4">
        <v>22.401</v>
      </c>
      <c r="G384" s="4">
        <v>45272.421000000002</v>
      </c>
      <c r="H384" s="5">
        <f t="shared" si="5"/>
        <v>0</v>
      </c>
    </row>
    <row r="385" spans="1:8" ht="13.5" x14ac:dyDescent="0.25">
      <c r="A385" s="1"/>
      <c r="B385" s="3">
        <v>45159</v>
      </c>
      <c r="C385" s="4">
        <v>22.5</v>
      </c>
      <c r="D385" s="4">
        <v>19.557300000000001</v>
      </c>
      <c r="E385" s="4">
        <v>784</v>
      </c>
      <c r="F385" s="4">
        <v>22.192</v>
      </c>
      <c r="G385" s="4">
        <v>17398.527999999998</v>
      </c>
      <c r="H385" s="5">
        <f t="shared" si="5"/>
        <v>0</v>
      </c>
    </row>
    <row r="386" spans="1:8" ht="13.5" x14ac:dyDescent="0.25">
      <c r="A386" s="1"/>
      <c r="B386" s="3">
        <v>45160</v>
      </c>
      <c r="C386" s="4">
        <v>22.5</v>
      </c>
      <c r="D386" s="4">
        <v>19.557300000000001</v>
      </c>
      <c r="E386" s="4">
        <v>0</v>
      </c>
      <c r="F386" s="4">
        <v>0</v>
      </c>
      <c r="G386" s="4">
        <v>0</v>
      </c>
      <c r="H386" s="5">
        <f t="shared" si="5"/>
        <v>0</v>
      </c>
    </row>
    <row r="387" spans="1:8" ht="13.5" x14ac:dyDescent="0.25">
      <c r="A387" s="1"/>
      <c r="B387" s="3">
        <v>45161</v>
      </c>
      <c r="C387" s="4">
        <v>22.49</v>
      </c>
      <c r="D387" s="4">
        <v>19.5486</v>
      </c>
      <c r="E387" s="4">
        <v>205</v>
      </c>
      <c r="F387" s="4">
        <v>22.061</v>
      </c>
      <c r="G387" s="4">
        <v>4522.5050000000001</v>
      </c>
      <c r="H387" s="5">
        <f t="shared" si="5"/>
        <v>-4.4484668129041535E-4</v>
      </c>
    </row>
    <row r="388" spans="1:8" ht="13.5" x14ac:dyDescent="0.25">
      <c r="A388" s="1"/>
      <c r="B388" s="3">
        <v>45162</v>
      </c>
      <c r="C388" s="4">
        <v>22.47</v>
      </c>
      <c r="D388" s="4">
        <v>19.531300000000002</v>
      </c>
      <c r="E388" s="4">
        <v>910</v>
      </c>
      <c r="F388" s="4">
        <v>22.248000000000001</v>
      </c>
      <c r="G388" s="4">
        <v>20245.68</v>
      </c>
      <c r="H388" s="5">
        <f t="shared" si="5"/>
        <v>-8.8497386002060307E-4</v>
      </c>
    </row>
    <row r="389" spans="1:8" ht="13.5" x14ac:dyDescent="0.25">
      <c r="A389" s="1"/>
      <c r="B389" s="3">
        <v>45163</v>
      </c>
      <c r="C389" s="4">
        <v>22.49</v>
      </c>
      <c r="D389" s="4">
        <v>19.5486</v>
      </c>
      <c r="E389" s="4">
        <v>1</v>
      </c>
      <c r="F389" s="4">
        <v>22.49</v>
      </c>
      <c r="G389" s="4">
        <v>22.49</v>
      </c>
      <c r="H389" s="5">
        <f t="shared" si="5"/>
        <v>8.857577324601414E-4</v>
      </c>
    </row>
    <row r="390" spans="1:8" ht="13.5" x14ac:dyDescent="0.25">
      <c r="A390" s="1"/>
      <c r="B390" s="3">
        <v>45166</v>
      </c>
      <c r="C390" s="4">
        <v>22.45</v>
      </c>
      <c r="D390" s="4">
        <v>19.5139</v>
      </c>
      <c r="E390" s="4">
        <v>636</v>
      </c>
      <c r="F390" s="4">
        <v>22.425000000000001</v>
      </c>
      <c r="G390" s="4">
        <v>14262.3</v>
      </c>
      <c r="H390" s="5">
        <f t="shared" si="5"/>
        <v>-1.7750631758796456E-3</v>
      </c>
    </row>
    <row r="391" spans="1:8" ht="13.5" x14ac:dyDescent="0.25">
      <c r="A391" s="1"/>
      <c r="B391" s="3">
        <v>45167</v>
      </c>
      <c r="C391" s="4">
        <v>22.35</v>
      </c>
      <c r="D391" s="4">
        <v>19.427</v>
      </c>
      <c r="E391" s="4">
        <v>469</v>
      </c>
      <c r="F391" s="4">
        <v>22.061</v>
      </c>
      <c r="G391" s="4">
        <v>10346.609</v>
      </c>
      <c r="H391" s="5">
        <f t="shared" ref="H391:H454" si="6">(D391-D390)/D390</f>
        <v>-4.453235898513366E-3</v>
      </c>
    </row>
    <row r="392" spans="1:8" ht="13.5" x14ac:dyDescent="0.25">
      <c r="A392" s="1"/>
      <c r="B392" s="3">
        <v>45168</v>
      </c>
      <c r="C392" s="4">
        <v>22.3</v>
      </c>
      <c r="D392" s="4">
        <v>19.383500000000002</v>
      </c>
      <c r="E392" s="4">
        <v>1500</v>
      </c>
      <c r="F392" s="4">
        <v>22.097999999999999</v>
      </c>
      <c r="G392" s="4">
        <v>33147</v>
      </c>
      <c r="H392" s="5">
        <f t="shared" si="6"/>
        <v>-2.2391516960929684E-3</v>
      </c>
    </row>
    <row r="393" spans="1:8" ht="13.5" x14ac:dyDescent="0.25">
      <c r="A393" s="1"/>
      <c r="B393" s="3">
        <v>45169</v>
      </c>
      <c r="C393" s="4">
        <v>22.3</v>
      </c>
      <c r="D393" s="4">
        <v>19.383500000000002</v>
      </c>
      <c r="E393" s="4">
        <v>420</v>
      </c>
      <c r="F393" s="4">
        <v>22.3</v>
      </c>
      <c r="G393" s="4">
        <v>9366</v>
      </c>
      <c r="H393" s="5">
        <f t="shared" si="6"/>
        <v>0</v>
      </c>
    </row>
    <row r="394" spans="1:8" ht="13.5" x14ac:dyDescent="0.25">
      <c r="A394" s="1"/>
      <c r="B394" s="3">
        <v>45170</v>
      </c>
      <c r="C394" s="4">
        <v>22.39</v>
      </c>
      <c r="D394" s="4">
        <v>19.4617</v>
      </c>
      <c r="E394" s="4">
        <v>21</v>
      </c>
      <c r="F394" s="4">
        <v>22.373000000000001</v>
      </c>
      <c r="G394" s="4">
        <v>469.83300000000003</v>
      </c>
      <c r="H394" s="5">
        <f t="shared" si="6"/>
        <v>4.0343591198699373E-3</v>
      </c>
    </row>
    <row r="395" spans="1:8" ht="13.5" x14ac:dyDescent="0.25">
      <c r="A395" s="1"/>
      <c r="B395" s="3">
        <v>45173</v>
      </c>
      <c r="C395" s="4">
        <v>22.3</v>
      </c>
      <c r="D395" s="4">
        <v>19.383500000000002</v>
      </c>
      <c r="E395" s="4">
        <v>1</v>
      </c>
      <c r="F395" s="4">
        <v>22.3</v>
      </c>
      <c r="G395" s="4">
        <v>22.3</v>
      </c>
      <c r="H395" s="5">
        <f t="shared" si="6"/>
        <v>-4.0181484659612948E-3</v>
      </c>
    </row>
    <row r="396" spans="1:8" ht="13.5" x14ac:dyDescent="0.25">
      <c r="A396" s="1"/>
      <c r="B396" s="3">
        <v>45174</v>
      </c>
      <c r="C396" s="4">
        <v>22.3</v>
      </c>
      <c r="D396" s="4">
        <v>19.383500000000002</v>
      </c>
      <c r="E396" s="4">
        <v>0</v>
      </c>
      <c r="F396" s="4">
        <v>0</v>
      </c>
      <c r="G396" s="4">
        <v>0</v>
      </c>
      <c r="H396" s="5">
        <f t="shared" si="6"/>
        <v>0</v>
      </c>
    </row>
    <row r="397" spans="1:8" ht="13.5" x14ac:dyDescent="0.25">
      <c r="A397" s="1"/>
      <c r="B397" s="3">
        <v>45175</v>
      </c>
      <c r="C397" s="4">
        <v>22.3</v>
      </c>
      <c r="D397" s="4">
        <v>19.383500000000002</v>
      </c>
      <c r="E397" s="4">
        <v>0</v>
      </c>
      <c r="F397" s="4">
        <v>0</v>
      </c>
      <c r="G397" s="4">
        <v>0</v>
      </c>
      <c r="H397" s="5">
        <f t="shared" si="6"/>
        <v>0</v>
      </c>
    </row>
    <row r="398" spans="1:8" ht="13.5" x14ac:dyDescent="0.25">
      <c r="A398" s="1"/>
      <c r="B398" s="3">
        <v>45176</v>
      </c>
      <c r="C398" s="4">
        <v>20.97</v>
      </c>
      <c r="D398" s="4">
        <v>18.227399999999999</v>
      </c>
      <c r="E398" s="4">
        <v>0</v>
      </c>
      <c r="F398" s="4">
        <v>0</v>
      </c>
      <c r="G398" s="4">
        <v>0</v>
      </c>
      <c r="H398" s="5">
        <f t="shared" si="6"/>
        <v>-5.9643511233781414E-2</v>
      </c>
    </row>
    <row r="399" spans="1:8" ht="13.5" x14ac:dyDescent="0.25">
      <c r="A399" s="1"/>
      <c r="B399" s="3">
        <v>45177</v>
      </c>
      <c r="C399" s="4">
        <v>22</v>
      </c>
      <c r="D399" s="4">
        <v>19.122699999999998</v>
      </c>
      <c r="E399" s="4">
        <v>3220</v>
      </c>
      <c r="F399" s="4">
        <v>20.734000000000002</v>
      </c>
      <c r="G399" s="4">
        <v>66763.48</v>
      </c>
      <c r="H399" s="5">
        <f t="shared" si="6"/>
        <v>4.9118360270801041E-2</v>
      </c>
    </row>
    <row r="400" spans="1:8" ht="13.5" x14ac:dyDescent="0.25">
      <c r="A400" s="1"/>
      <c r="B400" s="3">
        <v>45180</v>
      </c>
      <c r="C400" s="4">
        <v>22</v>
      </c>
      <c r="D400" s="4">
        <v>19.122699999999998</v>
      </c>
      <c r="E400" s="4">
        <v>263</v>
      </c>
      <c r="F400" s="4">
        <v>21.956</v>
      </c>
      <c r="G400" s="4">
        <v>5774.4279999999999</v>
      </c>
      <c r="H400" s="5">
        <f t="shared" si="6"/>
        <v>0</v>
      </c>
    </row>
    <row r="401" spans="1:8" ht="13.5" x14ac:dyDescent="0.25">
      <c r="A401" s="1"/>
      <c r="B401" s="3">
        <v>45181</v>
      </c>
      <c r="C401" s="4">
        <v>22</v>
      </c>
      <c r="D401" s="4">
        <v>19.122699999999998</v>
      </c>
      <c r="E401" s="4">
        <v>110</v>
      </c>
      <c r="F401" s="4">
        <v>22</v>
      </c>
      <c r="G401" s="4">
        <v>2420</v>
      </c>
      <c r="H401" s="5">
        <f t="shared" si="6"/>
        <v>0</v>
      </c>
    </row>
    <row r="402" spans="1:8" ht="13.5" x14ac:dyDescent="0.25">
      <c r="A402" s="1"/>
      <c r="B402" s="3">
        <v>45182</v>
      </c>
      <c r="C402" s="4">
        <v>22</v>
      </c>
      <c r="D402" s="4">
        <v>19.122699999999998</v>
      </c>
      <c r="E402" s="4">
        <v>200</v>
      </c>
      <c r="F402" s="4">
        <v>22</v>
      </c>
      <c r="G402" s="4">
        <v>4400</v>
      </c>
      <c r="H402" s="5">
        <f t="shared" si="6"/>
        <v>0</v>
      </c>
    </row>
    <row r="403" spans="1:8" ht="13.5" x14ac:dyDescent="0.25">
      <c r="A403" s="1"/>
      <c r="B403" s="3">
        <v>45183</v>
      </c>
      <c r="C403" s="4">
        <v>22</v>
      </c>
      <c r="D403" s="4">
        <v>19.122699999999998</v>
      </c>
      <c r="E403" s="4">
        <v>0</v>
      </c>
      <c r="F403" s="4">
        <v>0</v>
      </c>
      <c r="G403" s="4">
        <v>0</v>
      </c>
      <c r="H403" s="5">
        <f t="shared" si="6"/>
        <v>0</v>
      </c>
    </row>
    <row r="404" spans="1:8" ht="13.5" x14ac:dyDescent="0.25">
      <c r="A404" s="1"/>
      <c r="B404" s="3">
        <v>45184</v>
      </c>
      <c r="C404" s="4">
        <v>21.99</v>
      </c>
      <c r="D404" s="4">
        <v>19.114000000000001</v>
      </c>
      <c r="E404" s="4">
        <v>15</v>
      </c>
      <c r="F404" s="4">
        <v>21.983000000000001</v>
      </c>
      <c r="G404" s="4">
        <v>329.745</v>
      </c>
      <c r="H404" s="5">
        <f t="shared" si="6"/>
        <v>-4.549566745280472E-4</v>
      </c>
    </row>
    <row r="405" spans="1:8" ht="13.5" x14ac:dyDescent="0.25">
      <c r="A405" s="1"/>
      <c r="B405" s="3">
        <v>45187</v>
      </c>
      <c r="C405" s="4">
        <v>21.99</v>
      </c>
      <c r="D405" s="4">
        <v>19.114000000000001</v>
      </c>
      <c r="E405" s="4">
        <v>0</v>
      </c>
      <c r="F405" s="4">
        <v>0</v>
      </c>
      <c r="G405" s="4">
        <v>0</v>
      </c>
      <c r="H405" s="5">
        <f t="shared" si="6"/>
        <v>0</v>
      </c>
    </row>
    <row r="406" spans="1:8" ht="13.5" x14ac:dyDescent="0.25">
      <c r="A406" s="1"/>
      <c r="B406" s="3">
        <v>45188</v>
      </c>
      <c r="C406" s="4">
        <v>21.99</v>
      </c>
      <c r="D406" s="4">
        <v>19.114000000000001</v>
      </c>
      <c r="E406" s="4">
        <v>220</v>
      </c>
      <c r="F406" s="4">
        <v>21.98</v>
      </c>
      <c r="G406" s="4">
        <v>4835.6000000000004</v>
      </c>
      <c r="H406" s="5">
        <f t="shared" si="6"/>
        <v>0</v>
      </c>
    </row>
    <row r="407" spans="1:8" ht="13.5" x14ac:dyDescent="0.25">
      <c r="A407" s="1"/>
      <c r="B407" s="3">
        <v>45189</v>
      </c>
      <c r="C407" s="4">
        <v>21.99</v>
      </c>
      <c r="D407" s="4">
        <v>19.114000000000001</v>
      </c>
      <c r="E407" s="4">
        <v>0</v>
      </c>
      <c r="F407" s="4">
        <v>0</v>
      </c>
      <c r="G407" s="4">
        <v>0</v>
      </c>
      <c r="H407" s="5">
        <f t="shared" si="6"/>
        <v>0</v>
      </c>
    </row>
    <row r="408" spans="1:8" ht="13.5" x14ac:dyDescent="0.25">
      <c r="A408" s="1"/>
      <c r="B408" s="3">
        <v>45190</v>
      </c>
      <c r="C408" s="4">
        <v>21.98</v>
      </c>
      <c r="D408" s="4">
        <v>19.1053</v>
      </c>
      <c r="E408" s="4">
        <v>27</v>
      </c>
      <c r="F408" s="4">
        <v>21.98</v>
      </c>
      <c r="G408" s="4">
        <v>593.46</v>
      </c>
      <c r="H408" s="5">
        <f t="shared" si="6"/>
        <v>-4.5516375431626241E-4</v>
      </c>
    </row>
    <row r="409" spans="1:8" ht="13.5" x14ac:dyDescent="0.25">
      <c r="A409" s="1"/>
      <c r="B409" s="3">
        <v>45191</v>
      </c>
      <c r="C409" s="4">
        <v>21.98</v>
      </c>
      <c r="D409" s="4">
        <v>19.1053</v>
      </c>
      <c r="E409" s="4">
        <v>80</v>
      </c>
      <c r="F409" s="4">
        <v>21.805</v>
      </c>
      <c r="G409" s="4">
        <v>1744.4</v>
      </c>
      <c r="H409" s="5">
        <f t="shared" si="6"/>
        <v>0</v>
      </c>
    </row>
    <row r="410" spans="1:8" ht="13.5" x14ac:dyDescent="0.25">
      <c r="A410" s="1"/>
      <c r="B410" s="3">
        <v>45194</v>
      </c>
      <c r="C410" s="4">
        <v>21.8</v>
      </c>
      <c r="D410" s="4">
        <v>18.948899999999998</v>
      </c>
      <c r="E410" s="4">
        <v>17</v>
      </c>
      <c r="F410" s="4">
        <v>21.8</v>
      </c>
      <c r="G410" s="4">
        <v>370.6</v>
      </c>
      <c r="H410" s="5">
        <f t="shared" si="6"/>
        <v>-8.1862101092367787E-3</v>
      </c>
    </row>
    <row r="411" spans="1:8" ht="13.5" x14ac:dyDescent="0.25">
      <c r="A411" s="1"/>
      <c r="B411" s="3">
        <v>45195</v>
      </c>
      <c r="C411" s="4">
        <v>21.8</v>
      </c>
      <c r="D411" s="4">
        <v>18.948899999999998</v>
      </c>
      <c r="E411" s="4">
        <v>3127</v>
      </c>
      <c r="F411" s="4">
        <v>21.79</v>
      </c>
      <c r="G411" s="4">
        <v>68137.33</v>
      </c>
      <c r="H411" s="5">
        <f t="shared" si="6"/>
        <v>0</v>
      </c>
    </row>
    <row r="412" spans="1:8" ht="13.5" x14ac:dyDescent="0.25">
      <c r="A412" s="1"/>
      <c r="B412" s="3">
        <v>45197</v>
      </c>
      <c r="C412" s="4">
        <v>21.8</v>
      </c>
      <c r="D412" s="4">
        <v>18.948899999999998</v>
      </c>
      <c r="E412" s="4">
        <v>0</v>
      </c>
      <c r="F412" s="4">
        <v>0</v>
      </c>
      <c r="G412" s="4">
        <v>0</v>
      </c>
      <c r="H412" s="5">
        <f t="shared" si="6"/>
        <v>0</v>
      </c>
    </row>
    <row r="413" spans="1:8" ht="13.5" x14ac:dyDescent="0.25">
      <c r="A413" s="1"/>
      <c r="B413" s="3">
        <v>45198</v>
      </c>
      <c r="C413" s="4">
        <v>21.7</v>
      </c>
      <c r="D413" s="4">
        <v>18.861999999999998</v>
      </c>
      <c r="E413" s="4">
        <v>5955</v>
      </c>
      <c r="F413" s="4">
        <v>21.582999999999998</v>
      </c>
      <c r="G413" s="4">
        <v>128526.765</v>
      </c>
      <c r="H413" s="5">
        <f t="shared" si="6"/>
        <v>-4.5860181857522069E-3</v>
      </c>
    </row>
    <row r="414" spans="1:8" ht="13.5" x14ac:dyDescent="0.25">
      <c r="A414" s="1"/>
      <c r="B414" s="3">
        <v>45201</v>
      </c>
      <c r="C414" s="4">
        <v>21.7</v>
      </c>
      <c r="D414" s="4">
        <v>18.861999999999998</v>
      </c>
      <c r="E414" s="4">
        <v>0</v>
      </c>
      <c r="F414" s="4">
        <v>0</v>
      </c>
      <c r="G414" s="4">
        <v>0</v>
      </c>
      <c r="H414" s="5">
        <f t="shared" si="6"/>
        <v>0</v>
      </c>
    </row>
    <row r="415" spans="1:8" ht="13.5" x14ac:dyDescent="0.25">
      <c r="A415" s="1"/>
      <c r="B415" s="3">
        <v>45202</v>
      </c>
      <c r="C415" s="4">
        <v>21.6</v>
      </c>
      <c r="D415" s="4">
        <v>18.774999999999999</v>
      </c>
      <c r="E415" s="4">
        <v>590</v>
      </c>
      <c r="F415" s="4">
        <v>21.483000000000001</v>
      </c>
      <c r="G415" s="4">
        <v>12674.97</v>
      </c>
      <c r="H415" s="5">
        <f t="shared" si="6"/>
        <v>-4.61244830876894E-3</v>
      </c>
    </row>
    <row r="416" spans="1:8" ht="13.5" x14ac:dyDescent="0.25">
      <c r="A416" s="1"/>
      <c r="B416" s="3">
        <v>45203</v>
      </c>
      <c r="C416" s="4">
        <v>21.6</v>
      </c>
      <c r="D416" s="4">
        <v>18.774999999999999</v>
      </c>
      <c r="E416" s="4">
        <v>0</v>
      </c>
      <c r="F416" s="4">
        <v>0</v>
      </c>
      <c r="G416" s="4">
        <v>0</v>
      </c>
      <c r="H416" s="5">
        <f t="shared" si="6"/>
        <v>0</v>
      </c>
    </row>
    <row r="417" spans="1:8" ht="13.5" x14ac:dyDescent="0.25">
      <c r="A417" s="1"/>
      <c r="B417" s="3">
        <v>45204</v>
      </c>
      <c r="C417" s="4">
        <v>21.6</v>
      </c>
      <c r="D417" s="4">
        <v>18.774999999999999</v>
      </c>
      <c r="E417" s="4">
        <v>750</v>
      </c>
      <c r="F417" s="4">
        <v>21.593</v>
      </c>
      <c r="G417" s="4">
        <v>16194.75</v>
      </c>
      <c r="H417" s="5">
        <f t="shared" si="6"/>
        <v>0</v>
      </c>
    </row>
    <row r="418" spans="1:8" ht="13.5" x14ac:dyDescent="0.25">
      <c r="A418" s="1"/>
      <c r="B418" s="3">
        <v>45205</v>
      </c>
      <c r="C418" s="4">
        <v>21.6</v>
      </c>
      <c r="D418" s="4">
        <v>18.774999999999999</v>
      </c>
      <c r="E418" s="4">
        <v>0</v>
      </c>
      <c r="F418" s="4">
        <v>0</v>
      </c>
      <c r="G418" s="4">
        <v>0</v>
      </c>
      <c r="H418" s="5">
        <f t="shared" si="6"/>
        <v>0</v>
      </c>
    </row>
    <row r="419" spans="1:8" ht="13.5" x14ac:dyDescent="0.25">
      <c r="A419" s="1"/>
      <c r="B419" s="3">
        <v>45208</v>
      </c>
      <c r="C419" s="4">
        <v>21.6</v>
      </c>
      <c r="D419" s="4">
        <v>18.774999999999999</v>
      </c>
      <c r="E419" s="4">
        <v>0</v>
      </c>
      <c r="F419" s="4">
        <v>0</v>
      </c>
      <c r="G419" s="4">
        <v>0</v>
      </c>
      <c r="H419" s="5">
        <f t="shared" si="6"/>
        <v>0</v>
      </c>
    </row>
    <row r="420" spans="1:8" ht="13.5" x14ac:dyDescent="0.25">
      <c r="A420" s="1"/>
      <c r="B420" s="3">
        <v>45209</v>
      </c>
      <c r="C420" s="4">
        <v>21.6</v>
      </c>
      <c r="D420" s="4">
        <v>18.774999999999999</v>
      </c>
      <c r="E420" s="4">
        <v>0</v>
      </c>
      <c r="F420" s="4">
        <v>0</v>
      </c>
      <c r="G420" s="4">
        <v>0</v>
      </c>
      <c r="H420" s="5">
        <f t="shared" si="6"/>
        <v>0</v>
      </c>
    </row>
    <row r="421" spans="1:8" ht="13.5" x14ac:dyDescent="0.25">
      <c r="A421" s="1"/>
      <c r="B421" s="3">
        <v>45210</v>
      </c>
      <c r="C421" s="4">
        <v>21.6</v>
      </c>
      <c r="D421" s="4">
        <v>18.774999999999999</v>
      </c>
      <c r="E421" s="4">
        <v>0</v>
      </c>
      <c r="F421" s="4">
        <v>0</v>
      </c>
      <c r="G421" s="4">
        <v>0</v>
      </c>
      <c r="H421" s="5">
        <f t="shared" si="6"/>
        <v>0</v>
      </c>
    </row>
    <row r="422" spans="1:8" ht="13.5" x14ac:dyDescent="0.25">
      <c r="A422" s="1"/>
      <c r="B422" s="3">
        <v>45211</v>
      </c>
      <c r="C422" s="4">
        <v>21.6</v>
      </c>
      <c r="D422" s="4">
        <v>18.774999999999999</v>
      </c>
      <c r="E422" s="4">
        <v>0</v>
      </c>
      <c r="F422" s="4">
        <v>0</v>
      </c>
      <c r="G422" s="4">
        <v>0</v>
      </c>
      <c r="H422" s="5">
        <f t="shared" si="6"/>
        <v>0</v>
      </c>
    </row>
    <row r="423" spans="1:8" ht="13.5" x14ac:dyDescent="0.25">
      <c r="A423" s="1"/>
      <c r="B423" s="3">
        <v>45212</v>
      </c>
      <c r="C423" s="4">
        <v>21.54</v>
      </c>
      <c r="D423" s="4">
        <v>18.722899999999999</v>
      </c>
      <c r="E423" s="4">
        <v>2520</v>
      </c>
      <c r="F423" s="4">
        <v>21.172999999999998</v>
      </c>
      <c r="G423" s="4">
        <v>53355.96</v>
      </c>
      <c r="H423" s="5">
        <f t="shared" si="6"/>
        <v>-2.7749667110518973E-3</v>
      </c>
    </row>
    <row r="424" spans="1:8" ht="13.5" x14ac:dyDescent="0.25">
      <c r="A424" s="1"/>
      <c r="B424" s="3">
        <v>45215</v>
      </c>
      <c r="C424" s="4">
        <v>21.54</v>
      </c>
      <c r="D424" s="4">
        <v>18.722899999999999</v>
      </c>
      <c r="E424" s="4">
        <v>0</v>
      </c>
      <c r="F424" s="4">
        <v>0</v>
      </c>
      <c r="G424" s="4">
        <v>0</v>
      </c>
      <c r="H424" s="5">
        <f t="shared" si="6"/>
        <v>0</v>
      </c>
    </row>
    <row r="425" spans="1:8" ht="13.5" x14ac:dyDescent="0.25">
      <c r="A425" s="1"/>
      <c r="B425" s="3">
        <v>45216</v>
      </c>
      <c r="C425" s="4">
        <v>21.54</v>
      </c>
      <c r="D425" s="4">
        <v>18.722899999999999</v>
      </c>
      <c r="E425" s="4">
        <v>0</v>
      </c>
      <c r="F425" s="4">
        <v>0</v>
      </c>
      <c r="G425" s="4">
        <v>0</v>
      </c>
      <c r="H425" s="5">
        <f t="shared" si="6"/>
        <v>0</v>
      </c>
    </row>
    <row r="426" spans="1:8" ht="13.5" x14ac:dyDescent="0.25">
      <c r="A426" s="1"/>
      <c r="B426" s="3">
        <v>45217</v>
      </c>
      <c r="C426" s="4">
        <v>21</v>
      </c>
      <c r="D426" s="4">
        <v>18.253499999999999</v>
      </c>
      <c r="E426" s="4">
        <v>2711</v>
      </c>
      <c r="F426" s="4">
        <v>21.131</v>
      </c>
      <c r="G426" s="4">
        <v>57286.141000000003</v>
      </c>
      <c r="H426" s="5">
        <f t="shared" si="6"/>
        <v>-2.5070902477714471E-2</v>
      </c>
    </row>
    <row r="427" spans="1:8" ht="13.5" x14ac:dyDescent="0.25">
      <c r="A427" s="1"/>
      <c r="B427" s="3">
        <v>45218</v>
      </c>
      <c r="C427" s="4">
        <v>21.55</v>
      </c>
      <c r="D427" s="4">
        <v>18.7316</v>
      </c>
      <c r="E427" s="4">
        <v>9</v>
      </c>
      <c r="F427" s="4">
        <v>21.544</v>
      </c>
      <c r="G427" s="4">
        <v>193.89599999999999</v>
      </c>
      <c r="H427" s="5">
        <f t="shared" si="6"/>
        <v>2.6192237105212773E-2</v>
      </c>
    </row>
    <row r="428" spans="1:8" ht="13.5" x14ac:dyDescent="0.25">
      <c r="A428" s="1"/>
      <c r="B428" s="3">
        <v>45219</v>
      </c>
      <c r="C428" s="4">
        <v>21.55</v>
      </c>
      <c r="D428" s="4">
        <v>18.7316</v>
      </c>
      <c r="E428" s="4">
        <v>0</v>
      </c>
      <c r="F428" s="4">
        <v>0</v>
      </c>
      <c r="G428" s="4">
        <v>0</v>
      </c>
      <c r="H428" s="5">
        <f t="shared" si="6"/>
        <v>0</v>
      </c>
    </row>
    <row r="429" spans="1:8" ht="13.5" x14ac:dyDescent="0.25">
      <c r="A429" s="1"/>
      <c r="B429" s="3">
        <v>45222</v>
      </c>
      <c r="C429" s="4">
        <v>21.55</v>
      </c>
      <c r="D429" s="4">
        <v>18.7316</v>
      </c>
      <c r="E429" s="4">
        <v>130</v>
      </c>
      <c r="F429" s="4">
        <v>21.55</v>
      </c>
      <c r="G429" s="4">
        <v>2801.5</v>
      </c>
      <c r="H429" s="5">
        <f t="shared" si="6"/>
        <v>0</v>
      </c>
    </row>
    <row r="430" spans="1:8" ht="13.5" x14ac:dyDescent="0.25">
      <c r="A430" s="1"/>
      <c r="B430" s="3">
        <v>45223</v>
      </c>
      <c r="C430" s="4">
        <v>21.54</v>
      </c>
      <c r="D430" s="4">
        <v>18.722899999999999</v>
      </c>
      <c r="E430" s="4">
        <v>366</v>
      </c>
      <c r="F430" s="4">
        <v>21.545999999999999</v>
      </c>
      <c r="G430" s="4">
        <v>7885.8360000000002</v>
      </c>
      <c r="H430" s="5">
        <f t="shared" si="6"/>
        <v>-4.644557859446625E-4</v>
      </c>
    </row>
    <row r="431" spans="1:8" ht="13.5" x14ac:dyDescent="0.25">
      <c r="A431" s="1"/>
      <c r="B431" s="3">
        <v>45224</v>
      </c>
      <c r="C431" s="4">
        <v>21.4</v>
      </c>
      <c r="D431" s="4">
        <v>18.601199999999999</v>
      </c>
      <c r="E431" s="4">
        <v>1293</v>
      </c>
      <c r="F431" s="4">
        <v>21.413</v>
      </c>
      <c r="G431" s="4">
        <v>27687.008999999998</v>
      </c>
      <c r="H431" s="5">
        <f t="shared" si="6"/>
        <v>-6.500061422108786E-3</v>
      </c>
    </row>
    <row r="432" spans="1:8" ht="13.5" x14ac:dyDescent="0.25">
      <c r="A432" s="1"/>
      <c r="B432" s="3">
        <v>45225</v>
      </c>
      <c r="C432" s="4">
        <v>21.4</v>
      </c>
      <c r="D432" s="4">
        <v>18.601199999999999</v>
      </c>
      <c r="E432" s="4">
        <v>0</v>
      </c>
      <c r="F432" s="4">
        <v>0</v>
      </c>
      <c r="G432" s="4">
        <v>0</v>
      </c>
      <c r="H432" s="5">
        <f t="shared" si="6"/>
        <v>0</v>
      </c>
    </row>
    <row r="433" spans="1:8" ht="13.5" x14ac:dyDescent="0.25">
      <c r="A433" s="1"/>
      <c r="B433" s="3">
        <v>45226</v>
      </c>
      <c r="C433" s="4">
        <v>21.4</v>
      </c>
      <c r="D433" s="4">
        <v>18.601199999999999</v>
      </c>
      <c r="E433" s="4">
        <v>0</v>
      </c>
      <c r="F433" s="4">
        <v>0</v>
      </c>
      <c r="G433" s="4">
        <v>0</v>
      </c>
      <c r="H433" s="5">
        <f t="shared" si="6"/>
        <v>0</v>
      </c>
    </row>
    <row r="434" spans="1:8" ht="13.5" x14ac:dyDescent="0.25">
      <c r="A434" s="1"/>
      <c r="B434" s="3">
        <v>45229</v>
      </c>
      <c r="C434" s="4">
        <v>21.45</v>
      </c>
      <c r="D434" s="4">
        <v>18.6447</v>
      </c>
      <c r="E434" s="4">
        <v>1</v>
      </c>
      <c r="F434" s="4">
        <v>21.45</v>
      </c>
      <c r="G434" s="4">
        <v>21.45</v>
      </c>
      <c r="H434" s="5">
        <f t="shared" si="6"/>
        <v>2.3385588026579819E-3</v>
      </c>
    </row>
    <row r="435" spans="1:8" ht="13.5" x14ac:dyDescent="0.25">
      <c r="A435" s="1"/>
      <c r="B435" s="3">
        <v>45230</v>
      </c>
      <c r="C435" s="4">
        <v>21.45</v>
      </c>
      <c r="D435" s="4">
        <v>18.6447</v>
      </c>
      <c r="E435" s="4">
        <v>0</v>
      </c>
      <c r="F435" s="4">
        <v>0</v>
      </c>
      <c r="G435" s="4">
        <v>0</v>
      </c>
      <c r="H435" s="5">
        <f t="shared" si="6"/>
        <v>0</v>
      </c>
    </row>
    <row r="436" spans="1:8" ht="13.5" x14ac:dyDescent="0.25">
      <c r="A436" s="1"/>
      <c r="B436" s="3">
        <v>45231</v>
      </c>
      <c r="C436" s="4">
        <v>21.39</v>
      </c>
      <c r="D436" s="4">
        <v>18.592500000000001</v>
      </c>
      <c r="E436" s="4">
        <v>1403</v>
      </c>
      <c r="F436" s="4">
        <v>21.199000000000002</v>
      </c>
      <c r="G436" s="4">
        <v>29742.197</v>
      </c>
      <c r="H436" s="5">
        <f t="shared" si="6"/>
        <v>-2.7997232457480752E-3</v>
      </c>
    </row>
    <row r="437" spans="1:8" ht="13.5" x14ac:dyDescent="0.25">
      <c r="A437" s="1"/>
      <c r="B437" s="3">
        <v>45232</v>
      </c>
      <c r="C437" s="4">
        <v>20.98</v>
      </c>
      <c r="D437" s="4">
        <v>18.2361</v>
      </c>
      <c r="E437" s="4">
        <v>626</v>
      </c>
      <c r="F437" s="4">
        <v>20.995000000000001</v>
      </c>
      <c r="G437" s="4">
        <v>13142.87</v>
      </c>
      <c r="H437" s="5">
        <f t="shared" si="6"/>
        <v>-1.9169019766034728E-2</v>
      </c>
    </row>
    <row r="438" spans="1:8" ht="13.5" x14ac:dyDescent="0.25">
      <c r="A438" s="1"/>
      <c r="B438" s="3">
        <v>45233</v>
      </c>
      <c r="C438" s="4">
        <v>20.96</v>
      </c>
      <c r="D438" s="4">
        <v>18.218699999999998</v>
      </c>
      <c r="E438" s="4">
        <v>646</v>
      </c>
      <c r="F438" s="4">
        <v>20.838999999999999</v>
      </c>
      <c r="G438" s="4">
        <v>13461.994000000001</v>
      </c>
      <c r="H438" s="5">
        <f t="shared" si="6"/>
        <v>-9.5415138105198367E-4</v>
      </c>
    </row>
    <row r="439" spans="1:8" ht="13.5" x14ac:dyDescent="0.25">
      <c r="A439" s="1"/>
      <c r="B439" s="3">
        <v>45236</v>
      </c>
      <c r="C439" s="4">
        <v>21.28</v>
      </c>
      <c r="D439" s="4">
        <v>18.4969</v>
      </c>
      <c r="E439" s="4">
        <v>477</v>
      </c>
      <c r="F439" s="4">
        <v>21.268999999999998</v>
      </c>
      <c r="G439" s="4">
        <v>10145.313</v>
      </c>
      <c r="H439" s="5">
        <f t="shared" si="6"/>
        <v>1.5270024754785018E-2</v>
      </c>
    </row>
    <row r="440" spans="1:8" ht="13.5" x14ac:dyDescent="0.25">
      <c r="A440" s="1"/>
      <c r="B440" s="3">
        <v>45237</v>
      </c>
      <c r="C440" s="4">
        <v>21.28</v>
      </c>
      <c r="D440" s="4">
        <v>18.4969</v>
      </c>
      <c r="E440" s="4">
        <v>2</v>
      </c>
      <c r="F440" s="4">
        <v>21.28</v>
      </c>
      <c r="G440" s="4">
        <v>42.56</v>
      </c>
      <c r="H440" s="5">
        <f t="shared" si="6"/>
        <v>0</v>
      </c>
    </row>
    <row r="441" spans="1:8" ht="13.5" x14ac:dyDescent="0.25">
      <c r="A441" s="1"/>
      <c r="B441" s="3">
        <v>45238</v>
      </c>
      <c r="C441" s="4">
        <v>21.24</v>
      </c>
      <c r="D441" s="4">
        <v>18.4621</v>
      </c>
      <c r="E441" s="4">
        <v>26</v>
      </c>
      <c r="F441" s="4">
        <v>21.265000000000001</v>
      </c>
      <c r="G441" s="4">
        <v>552.89</v>
      </c>
      <c r="H441" s="5">
        <f t="shared" si="6"/>
        <v>-1.8813963420897884E-3</v>
      </c>
    </row>
    <row r="442" spans="1:8" ht="13.5" x14ac:dyDescent="0.25">
      <c r="A442" s="1"/>
      <c r="B442" s="3">
        <v>45239</v>
      </c>
      <c r="C442" s="4">
        <v>20.5</v>
      </c>
      <c r="D442" s="4">
        <v>17.818899999999999</v>
      </c>
      <c r="E442" s="4">
        <v>446</v>
      </c>
      <c r="F442" s="4">
        <v>20.745000000000001</v>
      </c>
      <c r="G442" s="4">
        <v>9252.27</v>
      </c>
      <c r="H442" s="5">
        <f t="shared" si="6"/>
        <v>-3.4838940315565413E-2</v>
      </c>
    </row>
    <row r="443" spans="1:8" ht="13.5" x14ac:dyDescent="0.25">
      <c r="A443" s="1"/>
      <c r="B443" s="3">
        <v>45240</v>
      </c>
      <c r="C443" s="4">
        <v>20.5</v>
      </c>
      <c r="D443" s="4">
        <v>17.818899999999999</v>
      </c>
      <c r="E443" s="4">
        <v>0</v>
      </c>
      <c r="F443" s="4">
        <v>0</v>
      </c>
      <c r="G443" s="4">
        <v>0</v>
      </c>
      <c r="H443" s="5">
        <f t="shared" si="6"/>
        <v>0</v>
      </c>
    </row>
    <row r="444" spans="1:8" ht="13.5" x14ac:dyDescent="0.25">
      <c r="A444" s="1"/>
      <c r="B444" s="3">
        <v>45243</v>
      </c>
      <c r="C444" s="4">
        <v>20</v>
      </c>
      <c r="D444" s="4">
        <v>17.3843</v>
      </c>
      <c r="E444" s="4">
        <v>273</v>
      </c>
      <c r="F444" s="4">
        <v>20.122</v>
      </c>
      <c r="G444" s="4">
        <v>5493.3059999999996</v>
      </c>
      <c r="H444" s="5">
        <f t="shared" si="6"/>
        <v>-2.4389833266924427E-2</v>
      </c>
    </row>
    <row r="445" spans="1:8" ht="13.5" x14ac:dyDescent="0.25">
      <c r="A445" s="1"/>
      <c r="B445" s="3">
        <v>45244</v>
      </c>
      <c r="C445" s="4">
        <v>21.2</v>
      </c>
      <c r="D445" s="4">
        <v>18.427399999999999</v>
      </c>
      <c r="E445" s="4">
        <v>1703</v>
      </c>
      <c r="F445" s="4">
        <v>20.545000000000002</v>
      </c>
      <c r="G445" s="4">
        <v>34988.135000000002</v>
      </c>
      <c r="H445" s="5">
        <f t="shared" si="6"/>
        <v>6.0002415973033081E-2</v>
      </c>
    </row>
    <row r="446" spans="1:8" ht="13.5" x14ac:dyDescent="0.25">
      <c r="A446" s="1"/>
      <c r="B446" s="3">
        <v>45245</v>
      </c>
      <c r="C446" s="4">
        <v>21.2</v>
      </c>
      <c r="D446" s="4">
        <v>18.427399999999999</v>
      </c>
      <c r="E446" s="4">
        <v>0</v>
      </c>
      <c r="F446" s="4">
        <v>0</v>
      </c>
      <c r="G446" s="4">
        <v>0</v>
      </c>
      <c r="H446" s="5">
        <f t="shared" si="6"/>
        <v>0</v>
      </c>
    </row>
    <row r="447" spans="1:8" ht="13.5" x14ac:dyDescent="0.25">
      <c r="A447" s="1"/>
      <c r="B447" s="3">
        <v>45246</v>
      </c>
      <c r="C447" s="4">
        <v>20</v>
      </c>
      <c r="D447" s="4">
        <v>17.3843</v>
      </c>
      <c r="E447" s="4">
        <v>1526</v>
      </c>
      <c r="F447" s="4">
        <v>19.977</v>
      </c>
      <c r="G447" s="4">
        <v>30484.901999999998</v>
      </c>
      <c r="H447" s="5">
        <f t="shared" si="6"/>
        <v>-5.6605923787403492E-2</v>
      </c>
    </row>
    <row r="448" spans="1:8" ht="13.5" x14ac:dyDescent="0.25">
      <c r="A448" s="1"/>
      <c r="B448" s="3">
        <v>45247</v>
      </c>
      <c r="C448" s="4">
        <v>20</v>
      </c>
      <c r="D448" s="4">
        <v>17.3843</v>
      </c>
      <c r="E448" s="4">
        <v>5</v>
      </c>
      <c r="F448" s="4">
        <v>20</v>
      </c>
      <c r="G448" s="4">
        <v>100</v>
      </c>
      <c r="H448" s="5">
        <f t="shared" si="6"/>
        <v>0</v>
      </c>
    </row>
    <row r="449" spans="1:8" ht="13.5" x14ac:dyDescent="0.25">
      <c r="A449" s="1"/>
      <c r="B449" s="3">
        <v>45250</v>
      </c>
      <c r="C449" s="4">
        <v>20</v>
      </c>
      <c r="D449" s="4">
        <v>17.3843</v>
      </c>
      <c r="E449" s="4">
        <v>240</v>
      </c>
      <c r="F449" s="4">
        <v>19.998999999999999</v>
      </c>
      <c r="G449" s="4">
        <v>4799.76</v>
      </c>
      <c r="H449" s="5">
        <f t="shared" si="6"/>
        <v>0</v>
      </c>
    </row>
    <row r="450" spans="1:8" ht="13.5" x14ac:dyDescent="0.25">
      <c r="A450" s="1"/>
      <c r="B450" s="3">
        <v>45251</v>
      </c>
      <c r="C450" s="4">
        <v>20</v>
      </c>
      <c r="D450" s="4">
        <v>17.3843</v>
      </c>
      <c r="E450" s="4">
        <v>1745</v>
      </c>
      <c r="F450" s="4">
        <v>19.991</v>
      </c>
      <c r="G450" s="4">
        <v>34884.294999999998</v>
      </c>
      <c r="H450" s="5">
        <f t="shared" si="6"/>
        <v>0</v>
      </c>
    </row>
    <row r="451" spans="1:8" ht="13.5" x14ac:dyDescent="0.25">
      <c r="A451" s="1"/>
      <c r="B451" s="3">
        <v>45252</v>
      </c>
      <c r="C451" s="4">
        <v>20</v>
      </c>
      <c r="D451" s="4">
        <v>17.3843</v>
      </c>
      <c r="E451" s="4">
        <v>870</v>
      </c>
      <c r="F451" s="4">
        <v>19.989999999999998</v>
      </c>
      <c r="G451" s="4">
        <v>17391.3</v>
      </c>
      <c r="H451" s="5">
        <f t="shared" si="6"/>
        <v>0</v>
      </c>
    </row>
    <row r="452" spans="1:8" ht="13.5" x14ac:dyDescent="0.25">
      <c r="A452" s="1"/>
      <c r="B452" s="3">
        <v>45253</v>
      </c>
      <c r="C452" s="4">
        <v>20</v>
      </c>
      <c r="D452" s="4">
        <v>17.3843</v>
      </c>
      <c r="E452" s="4">
        <v>0</v>
      </c>
      <c r="F452" s="4">
        <v>0</v>
      </c>
      <c r="G452" s="4">
        <v>0</v>
      </c>
      <c r="H452" s="5">
        <f t="shared" si="6"/>
        <v>0</v>
      </c>
    </row>
    <row r="453" spans="1:8" ht="13.5" x14ac:dyDescent="0.25">
      <c r="A453" s="1"/>
      <c r="B453" s="3">
        <v>45254</v>
      </c>
      <c r="C453" s="4">
        <v>19.989999999999998</v>
      </c>
      <c r="D453" s="4">
        <v>17.375599999999999</v>
      </c>
      <c r="E453" s="4">
        <v>1156</v>
      </c>
      <c r="F453" s="4">
        <v>19.925000000000001</v>
      </c>
      <c r="G453" s="4">
        <v>23033.3</v>
      </c>
      <c r="H453" s="5">
        <f t="shared" si="6"/>
        <v>-5.0045155686458706E-4</v>
      </c>
    </row>
    <row r="454" spans="1:8" ht="13.5" x14ac:dyDescent="0.25">
      <c r="A454" s="1"/>
      <c r="B454" s="3">
        <v>45257</v>
      </c>
      <c r="C454" s="4">
        <v>19.98</v>
      </c>
      <c r="D454" s="4">
        <v>17.366900000000001</v>
      </c>
      <c r="E454" s="4">
        <v>1207</v>
      </c>
      <c r="F454" s="4">
        <v>19.975999999999999</v>
      </c>
      <c r="G454" s="4">
        <v>24111.031999999999</v>
      </c>
      <c r="H454" s="5">
        <f t="shared" si="6"/>
        <v>-5.0070213402688183E-4</v>
      </c>
    </row>
    <row r="455" spans="1:8" ht="13.5" x14ac:dyDescent="0.25">
      <c r="A455" s="1"/>
      <c r="B455" s="3">
        <v>45258</v>
      </c>
      <c r="C455" s="4">
        <v>19.98</v>
      </c>
      <c r="D455" s="4">
        <v>17.366900000000001</v>
      </c>
      <c r="E455" s="4">
        <v>338</v>
      </c>
      <c r="F455" s="4">
        <v>19.98</v>
      </c>
      <c r="G455" s="4">
        <v>6753.24</v>
      </c>
      <c r="H455" s="5">
        <f t="shared" ref="H455:H518" si="7">(D455-D454)/D454</f>
        <v>0</v>
      </c>
    </row>
    <row r="456" spans="1:8" ht="13.5" x14ac:dyDescent="0.25">
      <c r="A456" s="1"/>
      <c r="B456" s="3">
        <v>45259</v>
      </c>
      <c r="C456" s="4">
        <v>19.98</v>
      </c>
      <c r="D456" s="4">
        <v>17.366900000000001</v>
      </c>
      <c r="E456" s="4">
        <v>107</v>
      </c>
      <c r="F456" s="4">
        <v>19.952000000000002</v>
      </c>
      <c r="G456" s="4">
        <v>2134.864</v>
      </c>
      <c r="H456" s="5">
        <f t="shared" si="7"/>
        <v>0</v>
      </c>
    </row>
    <row r="457" spans="1:8" ht="13.5" x14ac:dyDescent="0.25">
      <c r="A457" s="1"/>
      <c r="B457" s="3">
        <v>45260</v>
      </c>
      <c r="C457" s="4">
        <v>19.89</v>
      </c>
      <c r="D457" s="4">
        <v>17.288699999999999</v>
      </c>
      <c r="E457" s="4">
        <v>204</v>
      </c>
      <c r="F457" s="4">
        <v>19.89</v>
      </c>
      <c r="G457" s="4">
        <v>4057.56</v>
      </c>
      <c r="H457" s="5">
        <f t="shared" si="7"/>
        <v>-4.5028185801727705E-3</v>
      </c>
    </row>
    <row r="458" spans="1:8" ht="13.5" x14ac:dyDescent="0.25">
      <c r="A458" s="1"/>
      <c r="B458" s="3">
        <v>45261</v>
      </c>
      <c r="C458" s="4">
        <v>19.98</v>
      </c>
      <c r="D458" s="4">
        <v>17.366900000000001</v>
      </c>
      <c r="E458" s="4">
        <v>60</v>
      </c>
      <c r="F458" s="4">
        <v>19.359000000000002</v>
      </c>
      <c r="G458" s="4">
        <v>1161.54</v>
      </c>
      <c r="H458" s="5">
        <f t="shared" si="7"/>
        <v>4.5231856646250146E-3</v>
      </c>
    </row>
    <row r="459" spans="1:8" ht="13.5" x14ac:dyDescent="0.25">
      <c r="A459" s="1"/>
      <c r="B459" s="3">
        <v>45264</v>
      </c>
      <c r="C459" s="4">
        <v>19.98</v>
      </c>
      <c r="D459" s="4">
        <v>17.366900000000001</v>
      </c>
      <c r="E459" s="4">
        <v>0</v>
      </c>
      <c r="F459" s="4">
        <v>0</v>
      </c>
      <c r="G459" s="4">
        <v>0</v>
      </c>
      <c r="H459" s="5">
        <f t="shared" si="7"/>
        <v>0</v>
      </c>
    </row>
    <row r="460" spans="1:8" ht="13.5" x14ac:dyDescent="0.25">
      <c r="A460" s="1"/>
      <c r="B460" s="3">
        <v>45265</v>
      </c>
      <c r="C460" s="4">
        <v>19.97</v>
      </c>
      <c r="D460" s="4">
        <v>17.3582</v>
      </c>
      <c r="E460" s="4">
        <v>638</v>
      </c>
      <c r="F460" s="4">
        <v>19.948</v>
      </c>
      <c r="G460" s="4">
        <v>12726.824000000001</v>
      </c>
      <c r="H460" s="5">
        <f t="shared" si="7"/>
        <v>-5.0095296224432918E-4</v>
      </c>
    </row>
    <row r="461" spans="1:8" ht="13.5" x14ac:dyDescent="0.25">
      <c r="A461" s="1"/>
      <c r="B461" s="3">
        <v>45266</v>
      </c>
      <c r="C461" s="4">
        <v>19.96</v>
      </c>
      <c r="D461" s="4">
        <v>17.349499999999999</v>
      </c>
      <c r="E461" s="4">
        <v>505</v>
      </c>
      <c r="F461" s="4">
        <v>19.943999999999999</v>
      </c>
      <c r="G461" s="4">
        <v>10071.719999999999</v>
      </c>
      <c r="H461" s="5">
        <f t="shared" si="7"/>
        <v>-5.0120404189380472E-4</v>
      </c>
    </row>
    <row r="462" spans="1:8" ht="13.5" x14ac:dyDescent="0.25">
      <c r="A462" s="1"/>
      <c r="B462" s="3">
        <v>45267</v>
      </c>
      <c r="C462" s="4">
        <v>19.96</v>
      </c>
      <c r="D462" s="4">
        <v>17.349499999999999</v>
      </c>
      <c r="E462" s="4">
        <v>300</v>
      </c>
      <c r="F462" s="4">
        <v>19.954000000000001</v>
      </c>
      <c r="G462" s="4">
        <v>5986.2</v>
      </c>
      <c r="H462" s="5">
        <f t="shared" si="7"/>
        <v>0</v>
      </c>
    </row>
    <row r="463" spans="1:8" ht="13.5" x14ac:dyDescent="0.25">
      <c r="A463" s="1"/>
      <c r="B463" s="3">
        <v>45268</v>
      </c>
      <c r="C463" s="4">
        <v>19.95</v>
      </c>
      <c r="D463" s="4">
        <v>17.340800000000002</v>
      </c>
      <c r="E463" s="4">
        <v>491</v>
      </c>
      <c r="F463" s="4">
        <v>19.896000000000001</v>
      </c>
      <c r="G463" s="4">
        <v>9768.9359999999997</v>
      </c>
      <c r="H463" s="5">
        <f t="shared" si="7"/>
        <v>-5.0145537335355417E-4</v>
      </c>
    </row>
    <row r="464" spans="1:8" ht="13.5" x14ac:dyDescent="0.25">
      <c r="A464" s="1"/>
      <c r="B464" s="3">
        <v>45271</v>
      </c>
      <c r="C464" s="4">
        <v>19.989999999999998</v>
      </c>
      <c r="D464" s="4">
        <v>17.375599999999999</v>
      </c>
      <c r="E464" s="4">
        <v>11311</v>
      </c>
      <c r="F464" s="4">
        <v>19.998000000000001</v>
      </c>
      <c r="G464" s="4">
        <v>226197.378</v>
      </c>
      <c r="H464" s="5">
        <f t="shared" si="7"/>
        <v>2.0068278280123784E-3</v>
      </c>
    </row>
    <row r="465" spans="1:8" ht="13.5" x14ac:dyDescent="0.25">
      <c r="A465" s="1"/>
      <c r="B465" s="3">
        <v>45272</v>
      </c>
      <c r="C465" s="4">
        <v>19.98</v>
      </c>
      <c r="D465" s="4">
        <v>17.366900000000001</v>
      </c>
      <c r="E465" s="4">
        <v>20</v>
      </c>
      <c r="F465" s="4">
        <v>19.98</v>
      </c>
      <c r="G465" s="4">
        <v>399.6</v>
      </c>
      <c r="H465" s="5">
        <f t="shared" si="7"/>
        <v>-5.0070213402688183E-4</v>
      </c>
    </row>
    <row r="466" spans="1:8" ht="13.5" x14ac:dyDescent="0.25">
      <c r="A466" s="1"/>
      <c r="B466" s="3">
        <v>45273</v>
      </c>
      <c r="C466" s="4">
        <v>19.98</v>
      </c>
      <c r="D466" s="4">
        <v>17.366900000000001</v>
      </c>
      <c r="E466" s="4">
        <v>0</v>
      </c>
      <c r="F466" s="4">
        <v>0</v>
      </c>
      <c r="G466" s="4">
        <v>0</v>
      </c>
      <c r="H466" s="5">
        <f t="shared" si="7"/>
        <v>0</v>
      </c>
    </row>
    <row r="467" spans="1:8" ht="13.5" x14ac:dyDescent="0.25">
      <c r="A467" s="1"/>
      <c r="B467" s="3">
        <v>45274</v>
      </c>
      <c r="C467" s="4">
        <v>19.899999999999999</v>
      </c>
      <c r="D467" s="4">
        <v>17.2974</v>
      </c>
      <c r="E467" s="4">
        <v>200</v>
      </c>
      <c r="F467" s="4">
        <v>19.920000000000002</v>
      </c>
      <c r="G467" s="4">
        <v>3984</v>
      </c>
      <c r="H467" s="5">
        <f t="shared" si="7"/>
        <v>-4.0018656179284413E-3</v>
      </c>
    </row>
    <row r="468" spans="1:8" ht="13.5" x14ac:dyDescent="0.25">
      <c r="A468" s="1"/>
      <c r="B468" s="3">
        <v>45275</v>
      </c>
      <c r="C468" s="4">
        <v>19.940000000000001</v>
      </c>
      <c r="D468" s="4">
        <v>17.332100000000001</v>
      </c>
      <c r="E468" s="4">
        <v>51</v>
      </c>
      <c r="F468" s="4">
        <v>19.905000000000001</v>
      </c>
      <c r="G468" s="4">
        <v>1015.155</v>
      </c>
      <c r="H468" s="5">
        <f t="shared" si="7"/>
        <v>2.0060818388891303E-3</v>
      </c>
    </row>
    <row r="469" spans="1:8" ht="13.5" x14ac:dyDescent="0.25">
      <c r="A469" s="1"/>
      <c r="B469" s="3">
        <v>45278</v>
      </c>
      <c r="C469" s="4">
        <v>19.940000000000001</v>
      </c>
      <c r="D469" s="4">
        <v>17.332100000000001</v>
      </c>
      <c r="E469" s="4">
        <v>1475</v>
      </c>
      <c r="F469" s="4">
        <v>19.074999999999999</v>
      </c>
      <c r="G469" s="4">
        <v>28135.625</v>
      </c>
      <c r="H469" s="5">
        <f t="shared" si="7"/>
        <v>0</v>
      </c>
    </row>
    <row r="470" spans="1:8" ht="13.5" x14ac:dyDescent="0.25">
      <c r="A470" s="1"/>
      <c r="B470" s="3">
        <v>45279</v>
      </c>
      <c r="C470" s="4">
        <v>19.940000000000001</v>
      </c>
      <c r="D470" s="4">
        <v>17.332100000000001</v>
      </c>
      <c r="E470" s="4">
        <v>199</v>
      </c>
      <c r="F470" s="4">
        <v>19.905999999999999</v>
      </c>
      <c r="G470" s="4">
        <v>3961.2939999999999</v>
      </c>
      <c r="H470" s="5">
        <f t="shared" si="7"/>
        <v>0</v>
      </c>
    </row>
    <row r="471" spans="1:8" ht="13.5" x14ac:dyDescent="0.25">
      <c r="A471" s="1"/>
      <c r="B471" s="3">
        <v>45280</v>
      </c>
      <c r="C471" s="4">
        <v>19.920000000000002</v>
      </c>
      <c r="D471" s="4">
        <v>17.314800000000002</v>
      </c>
      <c r="E471" s="4">
        <v>274</v>
      </c>
      <c r="F471" s="4">
        <v>19.192</v>
      </c>
      <c r="G471" s="4">
        <v>5258.6080000000002</v>
      </c>
      <c r="H471" s="5">
        <f t="shared" si="7"/>
        <v>-9.9814794514217894E-4</v>
      </c>
    </row>
    <row r="472" spans="1:8" ht="13.5" x14ac:dyDescent="0.25">
      <c r="A472" s="1"/>
      <c r="B472" s="3">
        <v>45281</v>
      </c>
      <c r="C472" s="4">
        <v>19.920000000000002</v>
      </c>
      <c r="D472" s="4">
        <v>17.314800000000002</v>
      </c>
      <c r="E472" s="4">
        <v>0</v>
      </c>
      <c r="F472" s="4">
        <v>0</v>
      </c>
      <c r="G472" s="4">
        <v>0</v>
      </c>
      <c r="H472" s="5">
        <f t="shared" si="7"/>
        <v>0</v>
      </c>
    </row>
    <row r="473" spans="1:8" ht="13.5" x14ac:dyDescent="0.25">
      <c r="A473" s="1"/>
      <c r="B473" s="3">
        <v>45282</v>
      </c>
      <c r="C473" s="4">
        <v>19.489999999999998</v>
      </c>
      <c r="D473" s="4">
        <v>16.940999999999999</v>
      </c>
      <c r="E473" s="4">
        <v>141</v>
      </c>
      <c r="F473" s="4">
        <v>19.407</v>
      </c>
      <c r="G473" s="4">
        <v>2736.3870000000002</v>
      </c>
      <c r="H473" s="5">
        <f t="shared" si="7"/>
        <v>-2.1588467669277311E-2</v>
      </c>
    </row>
    <row r="474" spans="1:8" ht="13.5" x14ac:dyDescent="0.25">
      <c r="A474" s="1"/>
      <c r="B474" s="3">
        <v>45285</v>
      </c>
      <c r="C474" s="4">
        <v>19.489999999999998</v>
      </c>
      <c r="D474" s="4">
        <v>16.940999999999999</v>
      </c>
      <c r="E474" s="4">
        <v>10</v>
      </c>
      <c r="F474" s="4">
        <v>19.489999999999998</v>
      </c>
      <c r="G474" s="4">
        <v>194.9</v>
      </c>
      <c r="H474" s="5">
        <f t="shared" si="7"/>
        <v>0</v>
      </c>
    </row>
    <row r="475" spans="1:8" ht="13.5" x14ac:dyDescent="0.25">
      <c r="A475" s="1"/>
      <c r="B475" s="3">
        <v>45286</v>
      </c>
      <c r="C475" s="4">
        <v>19.489999999999998</v>
      </c>
      <c r="D475" s="4">
        <v>16.940999999999999</v>
      </c>
      <c r="E475" s="4">
        <v>0</v>
      </c>
      <c r="F475" s="4">
        <v>0</v>
      </c>
      <c r="G475" s="4">
        <v>0</v>
      </c>
      <c r="H475" s="5">
        <f t="shared" si="7"/>
        <v>0</v>
      </c>
    </row>
    <row r="476" spans="1:8" ht="13.5" x14ac:dyDescent="0.25">
      <c r="A476" s="1"/>
      <c r="B476" s="3">
        <v>45287</v>
      </c>
      <c r="C476" s="4">
        <v>19.5</v>
      </c>
      <c r="D476" s="4">
        <v>16.9497</v>
      </c>
      <c r="E476" s="4">
        <v>4602</v>
      </c>
      <c r="F476" s="4">
        <v>19.291</v>
      </c>
      <c r="G476" s="4">
        <v>88777.182000000001</v>
      </c>
      <c r="H476" s="5">
        <f t="shared" si="7"/>
        <v>5.1354701611481266E-4</v>
      </c>
    </row>
    <row r="477" spans="1:8" ht="13.5" x14ac:dyDescent="0.25">
      <c r="A477" s="1"/>
      <c r="B477" s="3">
        <v>45288</v>
      </c>
      <c r="C477" s="4">
        <v>19.5</v>
      </c>
      <c r="D477" s="4">
        <v>16.9497</v>
      </c>
      <c r="E477" s="4">
        <v>500</v>
      </c>
      <c r="F477" s="4">
        <v>19.5</v>
      </c>
      <c r="G477" s="4">
        <v>9750</v>
      </c>
      <c r="H477" s="5">
        <f t="shared" si="7"/>
        <v>0</v>
      </c>
    </row>
    <row r="478" spans="1:8" ht="13.5" x14ac:dyDescent="0.25">
      <c r="A478" s="1"/>
      <c r="B478" s="3">
        <v>45289</v>
      </c>
      <c r="C478" s="4">
        <v>19.5</v>
      </c>
      <c r="D478" s="4">
        <v>16.9497</v>
      </c>
      <c r="E478" s="4">
        <v>1717</v>
      </c>
      <c r="F478" s="4">
        <v>19.5</v>
      </c>
      <c r="G478" s="4">
        <v>33481.5</v>
      </c>
      <c r="H478" s="5">
        <f t="shared" si="7"/>
        <v>0</v>
      </c>
    </row>
    <row r="479" spans="1:8" ht="13.5" x14ac:dyDescent="0.25">
      <c r="A479" s="1"/>
      <c r="B479" s="3">
        <v>45293</v>
      </c>
      <c r="C479" s="4">
        <v>20.5</v>
      </c>
      <c r="D479" s="4">
        <v>17.818899999999999</v>
      </c>
      <c r="E479" s="4">
        <v>326</v>
      </c>
      <c r="F479" s="4">
        <v>20.323</v>
      </c>
      <c r="G479" s="4">
        <v>6625.2979999999998</v>
      </c>
      <c r="H479" s="5">
        <f t="shared" si="7"/>
        <v>5.1281143619061061E-2</v>
      </c>
    </row>
    <row r="480" spans="1:8" ht="13.5" x14ac:dyDescent="0.25">
      <c r="A480" s="1"/>
      <c r="B480" s="3">
        <v>45294</v>
      </c>
      <c r="C480" s="4">
        <v>20</v>
      </c>
      <c r="D480" s="4">
        <v>17.3843</v>
      </c>
      <c r="E480" s="4">
        <v>195</v>
      </c>
      <c r="F480" s="4">
        <v>20.132999999999999</v>
      </c>
      <c r="G480" s="4">
        <v>3925.9349999999999</v>
      </c>
      <c r="H480" s="5">
        <f t="shared" si="7"/>
        <v>-2.4389833266924427E-2</v>
      </c>
    </row>
    <row r="481" spans="1:8" ht="13.5" x14ac:dyDescent="0.25">
      <c r="A481" s="1"/>
      <c r="B481" s="3">
        <v>45295</v>
      </c>
      <c r="C481" s="4">
        <v>19.98</v>
      </c>
      <c r="D481" s="4">
        <v>17.366900000000001</v>
      </c>
      <c r="E481" s="4">
        <v>1994</v>
      </c>
      <c r="F481" s="4">
        <v>19.829999999999998</v>
      </c>
      <c r="G481" s="4">
        <v>39541.019999999997</v>
      </c>
      <c r="H481" s="5">
        <f t="shared" si="7"/>
        <v>-1.0009031137289696E-3</v>
      </c>
    </row>
    <row r="482" spans="1:8" ht="13.5" x14ac:dyDescent="0.25">
      <c r="A482" s="1"/>
      <c r="B482" s="3">
        <v>45296</v>
      </c>
      <c r="C482" s="4">
        <v>19.96</v>
      </c>
      <c r="D482" s="4">
        <v>17.349499999999999</v>
      </c>
      <c r="E482" s="4">
        <v>205</v>
      </c>
      <c r="F482" s="4">
        <v>19.978000000000002</v>
      </c>
      <c r="G482" s="4">
        <v>4095.49</v>
      </c>
      <c r="H482" s="5">
        <f t="shared" si="7"/>
        <v>-1.0019059244886584E-3</v>
      </c>
    </row>
    <row r="483" spans="1:8" ht="13.5" x14ac:dyDescent="0.25">
      <c r="A483" s="1"/>
      <c r="B483" s="3">
        <v>45299</v>
      </c>
      <c r="C483" s="4">
        <v>19.89</v>
      </c>
      <c r="D483" s="4">
        <v>17.288699999999999</v>
      </c>
      <c r="E483" s="4">
        <v>555</v>
      </c>
      <c r="F483" s="4">
        <v>19.827000000000002</v>
      </c>
      <c r="G483" s="4">
        <v>11003.985000000001</v>
      </c>
      <c r="H483" s="5">
        <f t="shared" si="7"/>
        <v>-3.5044237586097822E-3</v>
      </c>
    </row>
    <row r="484" spans="1:8" ht="13.5" x14ac:dyDescent="0.25">
      <c r="A484" s="1"/>
      <c r="B484" s="3">
        <v>45300</v>
      </c>
      <c r="C484" s="4">
        <v>19.79</v>
      </c>
      <c r="D484" s="4">
        <v>17.201799999999999</v>
      </c>
      <c r="E484" s="4">
        <v>85</v>
      </c>
      <c r="F484" s="4">
        <v>19.754000000000001</v>
      </c>
      <c r="G484" s="4">
        <v>1679.09</v>
      </c>
      <c r="H484" s="5">
        <f t="shared" si="7"/>
        <v>-5.0264045301266136E-3</v>
      </c>
    </row>
    <row r="485" spans="1:8" ht="13.5" x14ac:dyDescent="0.25">
      <c r="A485" s="1"/>
      <c r="B485" s="3">
        <v>45301</v>
      </c>
      <c r="C485" s="4">
        <v>19.79</v>
      </c>
      <c r="D485" s="4">
        <v>17.201799999999999</v>
      </c>
      <c r="E485" s="4">
        <v>183</v>
      </c>
      <c r="F485" s="4">
        <v>19.785</v>
      </c>
      <c r="G485" s="4">
        <v>3620.6550000000002</v>
      </c>
      <c r="H485" s="5">
        <f t="shared" si="7"/>
        <v>0</v>
      </c>
    </row>
    <row r="486" spans="1:8" ht="13.5" x14ac:dyDescent="0.25">
      <c r="A486" s="1"/>
      <c r="B486" s="3">
        <v>45302</v>
      </c>
      <c r="C486" s="4">
        <v>19.690000000000001</v>
      </c>
      <c r="D486" s="4">
        <v>17.114799999999999</v>
      </c>
      <c r="E486" s="4">
        <v>482</v>
      </c>
      <c r="F486" s="4">
        <v>19.690000000000001</v>
      </c>
      <c r="G486" s="4">
        <v>9490.58</v>
      </c>
      <c r="H486" s="5">
        <f t="shared" si="7"/>
        <v>-5.0576102500900924E-3</v>
      </c>
    </row>
    <row r="487" spans="1:8" ht="13.5" x14ac:dyDescent="0.25">
      <c r="A487" s="1"/>
      <c r="B487" s="3">
        <v>45303</v>
      </c>
      <c r="C487" s="4">
        <v>19.68</v>
      </c>
      <c r="D487" s="4">
        <v>17.106200000000001</v>
      </c>
      <c r="E487" s="4">
        <v>505</v>
      </c>
      <c r="F487" s="4">
        <v>19.68</v>
      </c>
      <c r="G487" s="4">
        <v>9938.4</v>
      </c>
      <c r="H487" s="5">
        <f t="shared" si="7"/>
        <v>-5.0248907378396012E-4</v>
      </c>
    </row>
    <row r="488" spans="1:8" ht="13.5" x14ac:dyDescent="0.25">
      <c r="A488" s="1"/>
      <c r="B488" s="3">
        <v>45306</v>
      </c>
      <c r="C488" s="4">
        <v>19.66</v>
      </c>
      <c r="D488" s="4">
        <v>17.088799999999999</v>
      </c>
      <c r="E488" s="4">
        <v>1765</v>
      </c>
      <c r="F488" s="4">
        <v>19.651</v>
      </c>
      <c r="G488" s="4">
        <v>34684.014999999999</v>
      </c>
      <c r="H488" s="5">
        <f t="shared" si="7"/>
        <v>-1.0171750593353332E-3</v>
      </c>
    </row>
    <row r="489" spans="1:8" ht="13.5" x14ac:dyDescent="0.25">
      <c r="A489" s="1"/>
      <c r="B489" s="3">
        <v>45307</v>
      </c>
      <c r="C489" s="4">
        <v>19.850000000000001</v>
      </c>
      <c r="D489" s="4">
        <v>17.253900000000002</v>
      </c>
      <c r="E489" s="4">
        <v>949</v>
      </c>
      <c r="F489" s="4">
        <v>19.725000000000001</v>
      </c>
      <c r="G489" s="4">
        <v>18719.025000000001</v>
      </c>
      <c r="H489" s="5">
        <f t="shared" si="7"/>
        <v>9.6612986283415147E-3</v>
      </c>
    </row>
    <row r="490" spans="1:8" ht="13.5" x14ac:dyDescent="0.25">
      <c r="A490" s="1"/>
      <c r="B490" s="3">
        <v>45308</v>
      </c>
      <c r="C490" s="4">
        <v>19.850000000000001</v>
      </c>
      <c r="D490" s="4">
        <v>17.253900000000002</v>
      </c>
      <c r="E490" s="4">
        <v>0</v>
      </c>
      <c r="F490" s="4">
        <v>0</v>
      </c>
      <c r="G490" s="4">
        <v>0</v>
      </c>
      <c r="H490" s="5">
        <f t="shared" si="7"/>
        <v>0</v>
      </c>
    </row>
    <row r="491" spans="1:8" ht="13.5" x14ac:dyDescent="0.25">
      <c r="A491" s="1"/>
      <c r="B491" s="3">
        <v>45309</v>
      </c>
      <c r="C491" s="4">
        <v>20</v>
      </c>
      <c r="D491" s="4">
        <v>17.3843</v>
      </c>
      <c r="E491" s="4">
        <v>4</v>
      </c>
      <c r="F491" s="4">
        <v>20</v>
      </c>
      <c r="G491" s="4">
        <v>80</v>
      </c>
      <c r="H491" s="5">
        <f t="shared" si="7"/>
        <v>7.5577115898433434E-3</v>
      </c>
    </row>
    <row r="492" spans="1:8" ht="13.5" x14ac:dyDescent="0.25">
      <c r="A492" s="1"/>
      <c r="B492" s="3">
        <v>45310</v>
      </c>
      <c r="C492" s="4">
        <v>20</v>
      </c>
      <c r="D492" s="4">
        <v>17.3843</v>
      </c>
      <c r="E492" s="4">
        <v>0</v>
      </c>
      <c r="F492" s="4">
        <v>0</v>
      </c>
      <c r="G492" s="4">
        <v>0</v>
      </c>
      <c r="H492" s="5">
        <f t="shared" si="7"/>
        <v>0</v>
      </c>
    </row>
    <row r="493" spans="1:8" ht="13.5" x14ac:dyDescent="0.25">
      <c r="A493" s="1"/>
      <c r="B493" s="3">
        <v>45313</v>
      </c>
      <c r="C493" s="4">
        <v>19.7</v>
      </c>
      <c r="D493" s="4">
        <v>17.1235</v>
      </c>
      <c r="E493" s="4">
        <v>141</v>
      </c>
      <c r="F493" s="4">
        <v>19.692</v>
      </c>
      <c r="G493" s="4">
        <v>2776.5720000000001</v>
      </c>
      <c r="H493" s="5">
        <f t="shared" si="7"/>
        <v>-1.500204207244466E-2</v>
      </c>
    </row>
    <row r="494" spans="1:8" ht="13.5" x14ac:dyDescent="0.25">
      <c r="A494" s="1"/>
      <c r="B494" s="3">
        <v>45314</v>
      </c>
      <c r="C494" s="4">
        <v>19.66</v>
      </c>
      <c r="D494" s="4">
        <v>17.088799999999999</v>
      </c>
      <c r="E494" s="4">
        <v>562</v>
      </c>
      <c r="F494" s="4">
        <v>19.649999999999999</v>
      </c>
      <c r="G494" s="4">
        <v>11043.3</v>
      </c>
      <c r="H494" s="5">
        <f t="shared" si="7"/>
        <v>-2.0264548719596369E-3</v>
      </c>
    </row>
    <row r="495" spans="1:8" ht="13.5" x14ac:dyDescent="0.25">
      <c r="A495" s="1"/>
      <c r="B495" s="3">
        <v>45315</v>
      </c>
      <c r="C495" s="4">
        <v>19.600000000000001</v>
      </c>
      <c r="D495" s="4">
        <v>17.0366</v>
      </c>
      <c r="E495" s="4">
        <v>415</v>
      </c>
      <c r="F495" s="4">
        <v>19.547999999999998</v>
      </c>
      <c r="G495" s="4">
        <v>8112.42</v>
      </c>
      <c r="H495" s="5">
        <f t="shared" si="7"/>
        <v>-3.0546322737699041E-3</v>
      </c>
    </row>
    <row r="496" spans="1:8" ht="13.5" x14ac:dyDescent="0.25">
      <c r="A496" s="1"/>
      <c r="B496" s="3">
        <v>45316</v>
      </c>
      <c r="C496" s="4">
        <v>19.600000000000001</v>
      </c>
      <c r="D496" s="4">
        <v>17.0366</v>
      </c>
      <c r="E496" s="4">
        <v>0</v>
      </c>
      <c r="F496" s="4">
        <v>0</v>
      </c>
      <c r="G496" s="4">
        <v>0</v>
      </c>
      <c r="H496" s="5">
        <f t="shared" si="7"/>
        <v>0</v>
      </c>
    </row>
    <row r="497" spans="1:8" ht="13.5" x14ac:dyDescent="0.25">
      <c r="A497" s="1"/>
      <c r="B497" s="3">
        <v>45317</v>
      </c>
      <c r="C497" s="4">
        <v>19.7</v>
      </c>
      <c r="D497" s="4">
        <v>17.1235</v>
      </c>
      <c r="E497" s="4">
        <v>1</v>
      </c>
      <c r="F497" s="4">
        <v>19.7</v>
      </c>
      <c r="G497" s="4">
        <v>19.7</v>
      </c>
      <c r="H497" s="5">
        <f t="shared" si="7"/>
        <v>5.1007830200861665E-3</v>
      </c>
    </row>
    <row r="498" spans="1:8" ht="13.5" x14ac:dyDescent="0.25">
      <c r="A498" s="1"/>
      <c r="B498" s="3">
        <v>45320</v>
      </c>
      <c r="C498" s="4">
        <v>19.739999999999998</v>
      </c>
      <c r="D498" s="4">
        <v>17.158300000000001</v>
      </c>
      <c r="E498" s="4">
        <v>616</v>
      </c>
      <c r="F498" s="4">
        <v>19.623999999999999</v>
      </c>
      <c r="G498" s="4">
        <v>12088.384</v>
      </c>
      <c r="H498" s="5">
        <f t="shared" si="7"/>
        <v>2.0322947995445213E-3</v>
      </c>
    </row>
    <row r="499" spans="1:8" ht="13.5" x14ac:dyDescent="0.25">
      <c r="A499" s="1"/>
      <c r="B499" s="3">
        <v>45321</v>
      </c>
      <c r="C499" s="4">
        <v>19.739999999999998</v>
      </c>
      <c r="D499" s="4">
        <v>17.158300000000001</v>
      </c>
      <c r="E499" s="4">
        <v>30</v>
      </c>
      <c r="F499" s="4">
        <v>19.739999999999998</v>
      </c>
      <c r="G499" s="4">
        <v>592.20000000000005</v>
      </c>
      <c r="H499" s="5">
        <f t="shared" si="7"/>
        <v>0</v>
      </c>
    </row>
    <row r="500" spans="1:8" ht="13.5" x14ac:dyDescent="0.25">
      <c r="A500" s="1"/>
      <c r="B500" s="3">
        <v>45322</v>
      </c>
      <c r="C500" s="4">
        <v>19.739999999999998</v>
      </c>
      <c r="D500" s="4">
        <v>17.158300000000001</v>
      </c>
      <c r="E500" s="4">
        <v>432</v>
      </c>
      <c r="F500" s="4">
        <v>19.327999999999999</v>
      </c>
      <c r="G500" s="4">
        <v>8349.6959999999999</v>
      </c>
      <c r="H500" s="5">
        <f t="shared" si="7"/>
        <v>0</v>
      </c>
    </row>
    <row r="501" spans="1:8" ht="13.5" x14ac:dyDescent="0.25">
      <c r="A501" s="1"/>
      <c r="B501" s="3">
        <v>45323</v>
      </c>
      <c r="C501" s="4">
        <v>19.78</v>
      </c>
      <c r="D501" s="4">
        <v>17.193100000000001</v>
      </c>
      <c r="E501" s="4">
        <v>591</v>
      </c>
      <c r="F501" s="4">
        <v>19.75</v>
      </c>
      <c r="G501" s="4">
        <v>11672.25</v>
      </c>
      <c r="H501" s="5">
        <f t="shared" si="7"/>
        <v>2.0281729541971297E-3</v>
      </c>
    </row>
    <row r="502" spans="1:8" ht="13.5" x14ac:dyDescent="0.25">
      <c r="A502" s="1"/>
      <c r="B502" s="3">
        <v>45324</v>
      </c>
      <c r="C502" s="4">
        <v>19.5</v>
      </c>
      <c r="D502" s="4">
        <v>16.9497</v>
      </c>
      <c r="E502" s="4">
        <v>805</v>
      </c>
      <c r="F502" s="4">
        <v>19.501000000000001</v>
      </c>
      <c r="G502" s="4">
        <v>15698.305</v>
      </c>
      <c r="H502" s="5">
        <f t="shared" si="7"/>
        <v>-1.4156841988937489E-2</v>
      </c>
    </row>
    <row r="503" spans="1:8" ht="13.5" x14ac:dyDescent="0.25">
      <c r="A503" s="1"/>
      <c r="B503" s="3">
        <v>45327</v>
      </c>
      <c r="C503" s="4">
        <v>19.43</v>
      </c>
      <c r="D503" s="4">
        <v>16.8888</v>
      </c>
      <c r="E503" s="4">
        <v>650</v>
      </c>
      <c r="F503" s="4">
        <v>19.367000000000001</v>
      </c>
      <c r="G503" s="4">
        <v>12588.55</v>
      </c>
      <c r="H503" s="5">
        <f t="shared" si="7"/>
        <v>-3.5929839466185345E-3</v>
      </c>
    </row>
    <row r="504" spans="1:8" ht="13.5" x14ac:dyDescent="0.25">
      <c r="A504" s="1"/>
      <c r="B504" s="3">
        <v>45328</v>
      </c>
      <c r="C504" s="4">
        <v>19.39</v>
      </c>
      <c r="D504" s="4">
        <v>16.854099999999999</v>
      </c>
      <c r="E504" s="4">
        <v>955</v>
      </c>
      <c r="F504" s="4">
        <v>19.399999999999999</v>
      </c>
      <c r="G504" s="4">
        <v>18527</v>
      </c>
      <c r="H504" s="5">
        <f t="shared" si="7"/>
        <v>-2.0546160769267705E-3</v>
      </c>
    </row>
    <row r="505" spans="1:8" ht="13.5" x14ac:dyDescent="0.25">
      <c r="A505" s="1"/>
      <c r="B505" s="3">
        <v>45329</v>
      </c>
      <c r="C505" s="4">
        <v>19.329999999999998</v>
      </c>
      <c r="D505" s="4">
        <v>16.8019</v>
      </c>
      <c r="E505" s="4">
        <v>741</v>
      </c>
      <c r="F505" s="4">
        <v>19.32</v>
      </c>
      <c r="G505" s="4">
        <v>14316.12</v>
      </c>
      <c r="H505" s="5">
        <f t="shared" si="7"/>
        <v>-3.0971692347855503E-3</v>
      </c>
    </row>
    <row r="506" spans="1:8" ht="13.5" x14ac:dyDescent="0.25">
      <c r="A506" s="1"/>
      <c r="B506" s="3">
        <v>45330</v>
      </c>
      <c r="C506" s="4">
        <v>19.100000000000001</v>
      </c>
      <c r="D506" s="4">
        <v>16.602</v>
      </c>
      <c r="E506" s="4">
        <v>543</v>
      </c>
      <c r="F506" s="4">
        <v>19.081</v>
      </c>
      <c r="G506" s="4">
        <v>10360.983</v>
      </c>
      <c r="H506" s="5">
        <f t="shared" si="7"/>
        <v>-1.1897463977288254E-2</v>
      </c>
    </row>
    <row r="507" spans="1:8" ht="13.5" x14ac:dyDescent="0.25">
      <c r="A507" s="1"/>
      <c r="B507" s="3">
        <v>45331</v>
      </c>
      <c r="C507" s="4">
        <v>19.079999999999998</v>
      </c>
      <c r="D507" s="4">
        <v>16.584599999999998</v>
      </c>
      <c r="E507" s="4">
        <v>1071</v>
      </c>
      <c r="F507" s="4">
        <v>19.056999999999999</v>
      </c>
      <c r="G507" s="4">
        <v>20410.046999999999</v>
      </c>
      <c r="H507" s="5">
        <f t="shared" si="7"/>
        <v>-1.0480664980124131E-3</v>
      </c>
    </row>
    <row r="508" spans="1:8" ht="13.5" x14ac:dyDescent="0.25">
      <c r="A508" s="1"/>
      <c r="B508" s="3">
        <v>45334</v>
      </c>
      <c r="C508" s="4">
        <v>19.059999999999999</v>
      </c>
      <c r="D508" s="4">
        <v>16.5672</v>
      </c>
      <c r="E508" s="4">
        <v>736</v>
      </c>
      <c r="F508" s="4">
        <v>19.058</v>
      </c>
      <c r="G508" s="4">
        <v>14026.688</v>
      </c>
      <c r="H508" s="5">
        <f t="shared" si="7"/>
        <v>-1.0491660938460096E-3</v>
      </c>
    </row>
    <row r="509" spans="1:8" ht="13.5" x14ac:dyDescent="0.25">
      <c r="A509" s="1"/>
      <c r="B509" s="3">
        <v>45335</v>
      </c>
      <c r="C509" s="4">
        <v>18.899999999999999</v>
      </c>
      <c r="D509" s="4">
        <v>16.4282</v>
      </c>
      <c r="E509" s="4">
        <v>1086</v>
      </c>
      <c r="F509" s="4">
        <v>18.873999999999999</v>
      </c>
      <c r="G509" s="4">
        <v>20497.164000000001</v>
      </c>
      <c r="H509" s="5">
        <f t="shared" si="7"/>
        <v>-8.3900719493939444E-3</v>
      </c>
    </row>
    <row r="510" spans="1:8" ht="13.5" x14ac:dyDescent="0.25">
      <c r="A510" s="1"/>
      <c r="B510" s="3">
        <v>45336</v>
      </c>
      <c r="C510" s="4">
        <v>18.899999999999999</v>
      </c>
      <c r="D510" s="4">
        <v>16.4282</v>
      </c>
      <c r="E510" s="4">
        <v>410</v>
      </c>
      <c r="F510" s="4">
        <v>18.89</v>
      </c>
      <c r="G510" s="4">
        <v>7744.9</v>
      </c>
      <c r="H510" s="5">
        <f t="shared" si="7"/>
        <v>0</v>
      </c>
    </row>
    <row r="511" spans="1:8" ht="13.5" x14ac:dyDescent="0.25">
      <c r="A511" s="1"/>
      <c r="B511" s="3">
        <v>45337</v>
      </c>
      <c r="C511" s="4">
        <v>18.899999999999999</v>
      </c>
      <c r="D511" s="4">
        <v>16.4282</v>
      </c>
      <c r="E511" s="4">
        <v>947</v>
      </c>
      <c r="F511" s="4">
        <v>18.899000000000001</v>
      </c>
      <c r="G511" s="4">
        <v>17897.352999999999</v>
      </c>
      <c r="H511" s="5">
        <f t="shared" si="7"/>
        <v>0</v>
      </c>
    </row>
    <row r="512" spans="1:8" ht="13.5" x14ac:dyDescent="0.25">
      <c r="A512" s="1"/>
      <c r="B512" s="3">
        <v>45338</v>
      </c>
      <c r="C512" s="4">
        <v>19</v>
      </c>
      <c r="D512" s="4">
        <v>16.5151</v>
      </c>
      <c r="E512" s="4">
        <v>685</v>
      </c>
      <c r="F512" s="4">
        <v>18.899999999999999</v>
      </c>
      <c r="G512" s="4">
        <v>12946.5</v>
      </c>
      <c r="H512" s="5">
        <f t="shared" si="7"/>
        <v>5.2896848102652744E-3</v>
      </c>
    </row>
    <row r="513" spans="1:8" ht="13.5" x14ac:dyDescent="0.25">
      <c r="A513" s="1"/>
      <c r="B513" s="3">
        <v>45341</v>
      </c>
      <c r="C513" s="4">
        <v>19</v>
      </c>
      <c r="D513" s="4">
        <v>16.5151</v>
      </c>
      <c r="E513" s="4">
        <v>250</v>
      </c>
      <c r="F513" s="4">
        <v>19</v>
      </c>
      <c r="G513" s="4">
        <v>4750</v>
      </c>
      <c r="H513" s="5">
        <f t="shared" si="7"/>
        <v>0</v>
      </c>
    </row>
    <row r="514" spans="1:8" ht="13.5" x14ac:dyDescent="0.25">
      <c r="A514" s="1"/>
      <c r="B514" s="3">
        <v>45342</v>
      </c>
      <c r="C514" s="4">
        <v>19.100000000000001</v>
      </c>
      <c r="D514" s="4">
        <v>16.602</v>
      </c>
      <c r="E514" s="4">
        <v>1250</v>
      </c>
      <c r="F514" s="4">
        <v>19.004000000000001</v>
      </c>
      <c r="G514" s="4">
        <v>23755</v>
      </c>
      <c r="H514" s="5">
        <f t="shared" si="7"/>
        <v>5.2618512754993903E-3</v>
      </c>
    </row>
    <row r="515" spans="1:8" ht="13.5" x14ac:dyDescent="0.25">
      <c r="A515" s="1"/>
      <c r="B515" s="3">
        <v>45343</v>
      </c>
      <c r="C515" s="4">
        <v>19.100000000000001</v>
      </c>
      <c r="D515" s="4">
        <v>16.602</v>
      </c>
      <c r="E515" s="4">
        <v>250</v>
      </c>
      <c r="F515" s="4">
        <v>19.100000000000001</v>
      </c>
      <c r="G515" s="4">
        <v>4775</v>
      </c>
      <c r="H515" s="5">
        <f t="shared" si="7"/>
        <v>0</v>
      </c>
    </row>
    <row r="516" spans="1:8" ht="13.5" x14ac:dyDescent="0.25">
      <c r="A516" s="1"/>
      <c r="B516" s="3">
        <v>45344</v>
      </c>
      <c r="C516" s="4">
        <v>19.100000000000001</v>
      </c>
      <c r="D516" s="4">
        <v>16.602</v>
      </c>
      <c r="E516" s="4">
        <v>503</v>
      </c>
      <c r="F516" s="4">
        <v>19.097999999999999</v>
      </c>
      <c r="G516" s="4">
        <v>9606.2939999999999</v>
      </c>
      <c r="H516" s="5">
        <f t="shared" si="7"/>
        <v>0</v>
      </c>
    </row>
    <row r="517" spans="1:8" ht="13.5" x14ac:dyDescent="0.25">
      <c r="A517" s="1"/>
      <c r="B517" s="3">
        <v>45345</v>
      </c>
      <c r="C517" s="4">
        <v>19.100000000000001</v>
      </c>
      <c r="D517" s="4">
        <v>16.602</v>
      </c>
      <c r="E517" s="4">
        <v>452</v>
      </c>
      <c r="F517" s="4">
        <v>19.016999999999999</v>
      </c>
      <c r="G517" s="4">
        <v>8595.6839999999993</v>
      </c>
      <c r="H517" s="5">
        <f t="shared" si="7"/>
        <v>0</v>
      </c>
    </row>
    <row r="518" spans="1:8" ht="13.5" x14ac:dyDescent="0.25">
      <c r="A518" s="1"/>
      <c r="B518" s="3">
        <v>45348</v>
      </c>
      <c r="C518" s="4">
        <v>19.3</v>
      </c>
      <c r="D518" s="4">
        <v>16.7758</v>
      </c>
      <c r="E518" s="4">
        <v>1109</v>
      </c>
      <c r="F518" s="4">
        <v>19.119</v>
      </c>
      <c r="G518" s="4">
        <v>21202.971000000001</v>
      </c>
      <c r="H518" s="5">
        <f t="shared" si="7"/>
        <v>1.046861823876641E-2</v>
      </c>
    </row>
    <row r="519" spans="1:8" ht="13.5" x14ac:dyDescent="0.25">
      <c r="A519" s="1"/>
      <c r="B519" s="3">
        <v>45349</v>
      </c>
      <c r="C519" s="4">
        <v>19.190000000000001</v>
      </c>
      <c r="D519" s="4">
        <v>16.680199999999999</v>
      </c>
      <c r="E519" s="4">
        <v>7</v>
      </c>
      <c r="F519" s="4">
        <v>19.190000000000001</v>
      </c>
      <c r="G519" s="4">
        <v>134.33000000000001</v>
      </c>
      <c r="H519" s="5">
        <f t="shared" ref="H519:H582" si="8">(D519-D518)/D518</f>
        <v>-5.6986850105509735E-3</v>
      </c>
    </row>
    <row r="520" spans="1:8" ht="13.5" x14ac:dyDescent="0.25">
      <c r="A520" s="1"/>
      <c r="B520" s="3">
        <v>45350</v>
      </c>
      <c r="C520" s="4">
        <v>19.190000000000001</v>
      </c>
      <c r="D520" s="4">
        <v>16.680199999999999</v>
      </c>
      <c r="E520" s="4">
        <v>556</v>
      </c>
      <c r="F520" s="4">
        <v>19.190000000000001</v>
      </c>
      <c r="G520" s="4">
        <v>10669.64</v>
      </c>
      <c r="H520" s="5">
        <f t="shared" si="8"/>
        <v>0</v>
      </c>
    </row>
    <row r="521" spans="1:8" ht="13.5" x14ac:dyDescent="0.25">
      <c r="A521" s="1"/>
      <c r="B521" s="3">
        <v>45351</v>
      </c>
      <c r="C521" s="4">
        <v>19.190000000000001</v>
      </c>
      <c r="D521" s="4">
        <v>16.680199999999999</v>
      </c>
      <c r="E521" s="4">
        <v>340</v>
      </c>
      <c r="F521" s="4">
        <v>19.190000000000001</v>
      </c>
      <c r="G521" s="4">
        <v>6524.6</v>
      </c>
      <c r="H521" s="5">
        <f t="shared" si="8"/>
        <v>0</v>
      </c>
    </row>
    <row r="522" spans="1:8" ht="13.5" x14ac:dyDescent="0.25">
      <c r="A522" s="1"/>
      <c r="B522" s="3">
        <v>45352</v>
      </c>
      <c r="C522" s="4">
        <v>19.2</v>
      </c>
      <c r="D522" s="4">
        <v>16.6889</v>
      </c>
      <c r="E522" s="4">
        <v>5</v>
      </c>
      <c r="F522" s="4">
        <v>19.2</v>
      </c>
      <c r="G522" s="4">
        <v>96</v>
      </c>
      <c r="H522" s="5">
        <f t="shared" si="8"/>
        <v>5.2157647989838497E-4</v>
      </c>
    </row>
    <row r="523" spans="1:8" ht="13.5" x14ac:dyDescent="0.25">
      <c r="A523" s="1"/>
      <c r="B523" s="3">
        <v>45355</v>
      </c>
      <c r="C523" s="4">
        <v>19.190000000000001</v>
      </c>
      <c r="D523" s="4">
        <v>16.680199999999999</v>
      </c>
      <c r="E523" s="4">
        <v>1000</v>
      </c>
      <c r="F523" s="4">
        <v>19.190000000000001</v>
      </c>
      <c r="G523" s="4">
        <v>19190</v>
      </c>
      <c r="H523" s="5">
        <f t="shared" si="8"/>
        <v>-5.2130457969075492E-4</v>
      </c>
    </row>
    <row r="524" spans="1:8" ht="13.5" x14ac:dyDescent="0.25">
      <c r="A524" s="1"/>
      <c r="B524" s="3">
        <v>45356</v>
      </c>
      <c r="C524" s="4">
        <v>19.2</v>
      </c>
      <c r="D524" s="4">
        <v>16.6889</v>
      </c>
      <c r="E524" s="4">
        <v>806</v>
      </c>
      <c r="F524" s="4">
        <v>19.190000000000001</v>
      </c>
      <c r="G524" s="4">
        <v>15467.14</v>
      </c>
      <c r="H524" s="5">
        <f t="shared" si="8"/>
        <v>5.2157647989838497E-4</v>
      </c>
    </row>
    <row r="525" spans="1:8" ht="13.5" x14ac:dyDescent="0.25">
      <c r="A525" s="1"/>
      <c r="B525" s="3">
        <v>45357</v>
      </c>
      <c r="C525" s="4">
        <v>19.2</v>
      </c>
      <c r="D525" s="4">
        <v>16.6889</v>
      </c>
      <c r="E525" s="4">
        <v>1192</v>
      </c>
      <c r="F525" s="4">
        <v>19.190000000000001</v>
      </c>
      <c r="G525" s="4">
        <v>22874.48</v>
      </c>
      <c r="H525" s="5">
        <f t="shared" si="8"/>
        <v>0</v>
      </c>
    </row>
    <row r="526" spans="1:8" ht="13.5" x14ac:dyDescent="0.25">
      <c r="A526" s="1"/>
      <c r="B526" s="3">
        <v>45358</v>
      </c>
      <c r="C526" s="4">
        <v>19.149999999999999</v>
      </c>
      <c r="D526" s="4">
        <v>16.645499999999998</v>
      </c>
      <c r="E526" s="4">
        <v>500</v>
      </c>
      <c r="F526" s="4">
        <v>19.149999999999999</v>
      </c>
      <c r="G526" s="4">
        <v>9575</v>
      </c>
      <c r="H526" s="5">
        <f t="shared" si="8"/>
        <v>-2.6005308917904642E-3</v>
      </c>
    </row>
    <row r="527" spans="1:8" ht="13.5" x14ac:dyDescent="0.25">
      <c r="A527" s="1"/>
      <c r="B527" s="3">
        <v>45359</v>
      </c>
      <c r="C527" s="4">
        <v>19.14</v>
      </c>
      <c r="D527" s="4">
        <v>16.636800000000001</v>
      </c>
      <c r="E527" s="4">
        <v>470</v>
      </c>
      <c r="F527" s="4">
        <v>19.14</v>
      </c>
      <c r="G527" s="4">
        <v>8995.7999999999993</v>
      </c>
      <c r="H527" s="5">
        <f t="shared" si="8"/>
        <v>-5.2266378300426476E-4</v>
      </c>
    </row>
    <row r="528" spans="1:8" ht="13.5" x14ac:dyDescent="0.25">
      <c r="A528" s="1"/>
      <c r="B528" s="3">
        <v>45362</v>
      </c>
      <c r="C528" s="4">
        <v>19.13</v>
      </c>
      <c r="D528" s="4">
        <v>16.6281</v>
      </c>
      <c r="E528" s="4">
        <v>1000</v>
      </c>
      <c r="F528" s="4">
        <v>19.126000000000001</v>
      </c>
      <c r="G528" s="4">
        <v>19126</v>
      </c>
      <c r="H528" s="5">
        <f t="shared" si="8"/>
        <v>-5.2293710328915654E-4</v>
      </c>
    </row>
    <row r="529" spans="1:8" ht="13.5" x14ac:dyDescent="0.25">
      <c r="A529" s="1"/>
      <c r="B529" s="3">
        <v>45363</v>
      </c>
      <c r="C529" s="4">
        <v>19.13</v>
      </c>
      <c r="D529" s="4">
        <v>16.6281</v>
      </c>
      <c r="E529" s="4">
        <v>1000</v>
      </c>
      <c r="F529" s="4">
        <v>19.13</v>
      </c>
      <c r="G529" s="4">
        <v>19130</v>
      </c>
      <c r="H529" s="5">
        <f t="shared" si="8"/>
        <v>0</v>
      </c>
    </row>
    <row r="530" spans="1:8" ht="13.5" x14ac:dyDescent="0.25">
      <c r="A530" s="1"/>
      <c r="B530" s="3">
        <v>45364</v>
      </c>
      <c r="C530" s="4">
        <v>19.13</v>
      </c>
      <c r="D530" s="4">
        <v>16.6281</v>
      </c>
      <c r="E530" s="4">
        <v>1915</v>
      </c>
      <c r="F530" s="4">
        <v>19.125</v>
      </c>
      <c r="G530" s="4">
        <v>36624.375</v>
      </c>
      <c r="H530" s="5">
        <f t="shared" si="8"/>
        <v>0</v>
      </c>
    </row>
    <row r="531" spans="1:8" ht="13.5" x14ac:dyDescent="0.25">
      <c r="A531" s="1"/>
      <c r="B531" s="3">
        <v>45365</v>
      </c>
      <c r="C531" s="4">
        <v>19.13</v>
      </c>
      <c r="D531" s="4">
        <v>16.6281</v>
      </c>
      <c r="E531" s="4">
        <v>360</v>
      </c>
      <c r="F531" s="4">
        <v>19.12</v>
      </c>
      <c r="G531" s="4">
        <v>6883.2</v>
      </c>
      <c r="H531" s="5">
        <f t="shared" si="8"/>
        <v>0</v>
      </c>
    </row>
    <row r="532" spans="1:8" ht="13.5" x14ac:dyDescent="0.25">
      <c r="A532" s="1"/>
      <c r="B532" s="3">
        <v>45366</v>
      </c>
      <c r="C532" s="4">
        <v>19.11</v>
      </c>
      <c r="D532" s="4">
        <v>16.610700000000001</v>
      </c>
      <c r="E532" s="4">
        <v>2652</v>
      </c>
      <c r="F532" s="4">
        <v>19.111999999999998</v>
      </c>
      <c r="G532" s="4">
        <v>50685.023999999998</v>
      </c>
      <c r="H532" s="5">
        <f t="shared" si="8"/>
        <v>-1.0464214191638569E-3</v>
      </c>
    </row>
    <row r="533" spans="1:8" ht="13.5" x14ac:dyDescent="0.25">
      <c r="A533" s="1"/>
      <c r="B533" s="3">
        <v>45369</v>
      </c>
      <c r="C533" s="4">
        <v>19.100000000000001</v>
      </c>
      <c r="D533" s="4">
        <v>16.602</v>
      </c>
      <c r="E533" s="4">
        <v>52</v>
      </c>
      <c r="F533" s="4">
        <v>19.100000000000001</v>
      </c>
      <c r="G533" s="4">
        <v>993.2</v>
      </c>
      <c r="H533" s="5">
        <f t="shared" si="8"/>
        <v>-5.2375878198998474E-4</v>
      </c>
    </row>
    <row r="534" spans="1:8" ht="13.5" x14ac:dyDescent="0.25">
      <c r="A534" s="1"/>
      <c r="B534" s="3">
        <v>45370</v>
      </c>
      <c r="C534" s="4">
        <v>19.100000000000001</v>
      </c>
      <c r="D534" s="4">
        <v>16.602</v>
      </c>
      <c r="E534" s="4">
        <v>26</v>
      </c>
      <c r="F534" s="4">
        <v>19.100000000000001</v>
      </c>
      <c r="G534" s="4">
        <v>496.6</v>
      </c>
      <c r="H534" s="5">
        <f t="shared" si="8"/>
        <v>0</v>
      </c>
    </row>
    <row r="535" spans="1:8" ht="13.5" x14ac:dyDescent="0.25">
      <c r="A535" s="1"/>
      <c r="B535" s="3">
        <v>45372</v>
      </c>
      <c r="C535" s="4">
        <v>19.100000000000001</v>
      </c>
      <c r="D535" s="4">
        <v>16.602</v>
      </c>
      <c r="E535" s="4">
        <v>0</v>
      </c>
      <c r="F535" s="4">
        <v>0</v>
      </c>
      <c r="G535" s="4">
        <v>0</v>
      </c>
      <c r="H535" s="5">
        <f t="shared" si="8"/>
        <v>0</v>
      </c>
    </row>
    <row r="536" spans="1:8" ht="13.5" x14ac:dyDescent="0.25">
      <c r="A536" s="1"/>
      <c r="B536" s="3">
        <v>45373</v>
      </c>
      <c r="C536" s="4">
        <v>19.100000000000001</v>
      </c>
      <c r="D536" s="4">
        <v>16.602</v>
      </c>
      <c r="E536" s="4">
        <v>0</v>
      </c>
      <c r="F536" s="4">
        <v>0</v>
      </c>
      <c r="G536" s="4">
        <v>0</v>
      </c>
      <c r="H536" s="5">
        <f t="shared" si="8"/>
        <v>0</v>
      </c>
    </row>
    <row r="537" spans="1:8" ht="13.5" x14ac:dyDescent="0.25">
      <c r="A537" s="1"/>
      <c r="B537" s="3">
        <v>45376</v>
      </c>
      <c r="C537" s="4">
        <v>19.05</v>
      </c>
      <c r="D537" s="4">
        <v>16.558499999999999</v>
      </c>
      <c r="E537" s="4">
        <v>485</v>
      </c>
      <c r="F537" s="4">
        <v>18.738</v>
      </c>
      <c r="G537" s="4">
        <v>9087.93</v>
      </c>
      <c r="H537" s="5">
        <f t="shared" si="8"/>
        <v>-2.6201662450308183E-3</v>
      </c>
    </row>
    <row r="538" spans="1:8" ht="13.5" x14ac:dyDescent="0.25">
      <c r="A538" s="1"/>
      <c r="B538" s="3">
        <v>45377</v>
      </c>
      <c r="C538" s="4">
        <v>19.05</v>
      </c>
      <c r="D538" s="4">
        <v>16.558499999999999</v>
      </c>
      <c r="E538" s="4">
        <v>0</v>
      </c>
      <c r="F538" s="4">
        <v>0</v>
      </c>
      <c r="G538" s="4">
        <v>0</v>
      </c>
      <c r="H538" s="5">
        <f t="shared" si="8"/>
        <v>0</v>
      </c>
    </row>
    <row r="539" spans="1:8" ht="13.5" x14ac:dyDescent="0.25">
      <c r="A539" s="1"/>
      <c r="B539" s="3">
        <v>45378</v>
      </c>
      <c r="C539" s="4">
        <v>18.989999999999998</v>
      </c>
      <c r="D539" s="4">
        <v>16.506399999999999</v>
      </c>
      <c r="E539" s="4">
        <v>5</v>
      </c>
      <c r="F539" s="4">
        <v>18.989999999999998</v>
      </c>
      <c r="G539" s="4">
        <v>94.95</v>
      </c>
      <c r="H539" s="5">
        <f t="shared" si="8"/>
        <v>-3.1464202675362727E-3</v>
      </c>
    </row>
    <row r="540" spans="1:8" ht="13.5" x14ac:dyDescent="0.25">
      <c r="A540" s="1"/>
      <c r="B540" s="3">
        <v>45379</v>
      </c>
      <c r="C540" s="4">
        <v>19</v>
      </c>
      <c r="D540" s="4">
        <v>16.5151</v>
      </c>
      <c r="E540" s="4">
        <v>2426</v>
      </c>
      <c r="F540" s="4">
        <v>18.858000000000001</v>
      </c>
      <c r="G540" s="4">
        <v>45749.508000000002</v>
      </c>
      <c r="H540" s="5">
        <f t="shared" si="8"/>
        <v>5.2706828866385411E-4</v>
      </c>
    </row>
    <row r="541" spans="1:8" ht="13.5" x14ac:dyDescent="0.25">
      <c r="A541" s="1"/>
      <c r="B541" s="3">
        <v>45380</v>
      </c>
      <c r="C541" s="4">
        <v>19</v>
      </c>
      <c r="D541" s="4">
        <v>16.5151</v>
      </c>
      <c r="E541" s="4">
        <v>0</v>
      </c>
      <c r="F541" s="4">
        <v>0</v>
      </c>
      <c r="G541" s="4">
        <v>0</v>
      </c>
      <c r="H541" s="5">
        <f t="shared" si="8"/>
        <v>0</v>
      </c>
    </row>
    <row r="542" spans="1:8" ht="13.5" x14ac:dyDescent="0.25">
      <c r="A542" s="1"/>
      <c r="B542" s="3">
        <v>45383</v>
      </c>
      <c r="C542" s="4">
        <v>19</v>
      </c>
      <c r="D542" s="4">
        <v>16.5151</v>
      </c>
      <c r="E542" s="4">
        <v>116</v>
      </c>
      <c r="F542" s="4">
        <v>18.998999999999999</v>
      </c>
      <c r="G542" s="4">
        <v>2203.884</v>
      </c>
      <c r="H542" s="5">
        <f t="shared" si="8"/>
        <v>0</v>
      </c>
    </row>
    <row r="543" spans="1:8" ht="13.5" x14ac:dyDescent="0.25">
      <c r="A543" s="1"/>
      <c r="B543" s="3">
        <v>45384</v>
      </c>
      <c r="C543" s="4">
        <v>19</v>
      </c>
      <c r="D543" s="4">
        <v>16.5151</v>
      </c>
      <c r="E543" s="4">
        <v>0</v>
      </c>
      <c r="F543" s="4">
        <v>0</v>
      </c>
      <c r="G543" s="4">
        <v>0</v>
      </c>
      <c r="H543" s="5">
        <f t="shared" si="8"/>
        <v>0</v>
      </c>
    </row>
    <row r="544" spans="1:8" ht="13.5" x14ac:dyDescent="0.25">
      <c r="A544" s="1"/>
      <c r="B544" s="3">
        <v>45385</v>
      </c>
      <c r="C544" s="4">
        <v>19</v>
      </c>
      <c r="D544" s="4">
        <v>16.5151</v>
      </c>
      <c r="E544" s="4">
        <v>0</v>
      </c>
      <c r="F544" s="4">
        <v>0</v>
      </c>
      <c r="G544" s="4">
        <v>0</v>
      </c>
      <c r="H544" s="5">
        <f t="shared" si="8"/>
        <v>0</v>
      </c>
    </row>
    <row r="545" spans="1:8" ht="13.5" x14ac:dyDescent="0.25">
      <c r="A545" s="1"/>
      <c r="B545" s="3">
        <v>45386</v>
      </c>
      <c r="C545" s="4">
        <v>19</v>
      </c>
      <c r="D545" s="4">
        <v>16.5151</v>
      </c>
      <c r="E545" s="4">
        <v>614</v>
      </c>
      <c r="F545" s="4">
        <v>19</v>
      </c>
      <c r="G545" s="4">
        <v>11666</v>
      </c>
      <c r="H545" s="5">
        <f t="shared" si="8"/>
        <v>0</v>
      </c>
    </row>
    <row r="546" spans="1:8" ht="13.5" x14ac:dyDescent="0.25">
      <c r="A546" s="1"/>
      <c r="B546" s="3">
        <v>45387</v>
      </c>
      <c r="C546" s="4">
        <v>18.98</v>
      </c>
      <c r="D546" s="4">
        <v>16.497699999999998</v>
      </c>
      <c r="E546" s="4">
        <v>381</v>
      </c>
      <c r="F546" s="4">
        <v>18.664999999999999</v>
      </c>
      <c r="G546" s="4">
        <v>7111.3649999999998</v>
      </c>
      <c r="H546" s="5">
        <f t="shared" si="8"/>
        <v>-1.0535812680517878E-3</v>
      </c>
    </row>
    <row r="547" spans="1:8" ht="13.5" x14ac:dyDescent="0.25">
      <c r="A547" s="1"/>
      <c r="B547" s="3">
        <v>45390</v>
      </c>
      <c r="C547" s="4">
        <v>19.05</v>
      </c>
      <c r="D547" s="4">
        <v>16.558499999999999</v>
      </c>
      <c r="E547" s="4">
        <v>460</v>
      </c>
      <c r="F547" s="4">
        <v>19.010999999999999</v>
      </c>
      <c r="G547" s="4">
        <v>8745.06</v>
      </c>
      <c r="H547" s="5">
        <f t="shared" si="8"/>
        <v>3.6853622020039411E-3</v>
      </c>
    </row>
    <row r="548" spans="1:8" ht="13.5" x14ac:dyDescent="0.25">
      <c r="A548" s="1"/>
      <c r="B548" s="3">
        <v>45394</v>
      </c>
      <c r="C548" s="4">
        <v>19.05</v>
      </c>
      <c r="D548" s="4">
        <v>16.558499999999999</v>
      </c>
      <c r="E548" s="4">
        <v>0</v>
      </c>
      <c r="F548" s="4">
        <v>0</v>
      </c>
      <c r="G548" s="4">
        <v>0</v>
      </c>
      <c r="H548" s="5">
        <f t="shared" si="8"/>
        <v>0</v>
      </c>
    </row>
    <row r="549" spans="1:8" ht="13.5" x14ac:dyDescent="0.25">
      <c r="A549" s="1"/>
      <c r="B549" s="3">
        <v>45397</v>
      </c>
      <c r="C549" s="4">
        <v>19</v>
      </c>
      <c r="D549" s="4">
        <v>16.5151</v>
      </c>
      <c r="E549" s="4">
        <v>1</v>
      </c>
      <c r="F549" s="4">
        <v>19</v>
      </c>
      <c r="G549" s="4">
        <v>19</v>
      </c>
      <c r="H549" s="5">
        <f t="shared" si="8"/>
        <v>-2.6210103572182463E-3</v>
      </c>
    </row>
    <row r="550" spans="1:8" ht="13.5" x14ac:dyDescent="0.25">
      <c r="A550" s="1"/>
      <c r="B550" s="3">
        <v>45398</v>
      </c>
      <c r="C550" s="4">
        <v>19</v>
      </c>
      <c r="D550" s="4">
        <v>16.5151</v>
      </c>
      <c r="E550" s="4">
        <v>53201</v>
      </c>
      <c r="F550" s="4">
        <v>18.98</v>
      </c>
      <c r="G550" s="4">
        <v>1009754.98</v>
      </c>
      <c r="H550" s="5">
        <f t="shared" si="8"/>
        <v>0</v>
      </c>
    </row>
    <row r="551" spans="1:8" ht="13.5" x14ac:dyDescent="0.25">
      <c r="A551" s="1"/>
      <c r="B551" s="3">
        <v>45399</v>
      </c>
      <c r="C551" s="4">
        <v>19</v>
      </c>
      <c r="D551" s="4">
        <v>16.5151</v>
      </c>
      <c r="E551" s="4">
        <v>45</v>
      </c>
      <c r="F551" s="4">
        <v>19</v>
      </c>
      <c r="G551" s="4">
        <v>855</v>
      </c>
      <c r="H551" s="5">
        <f t="shared" si="8"/>
        <v>0</v>
      </c>
    </row>
    <row r="552" spans="1:8" ht="13.5" x14ac:dyDescent="0.25">
      <c r="A552" s="1"/>
      <c r="B552" s="3">
        <v>45400</v>
      </c>
      <c r="C552" s="4">
        <v>19</v>
      </c>
      <c r="D552" s="4">
        <v>16.5151</v>
      </c>
      <c r="E552" s="4">
        <v>38</v>
      </c>
      <c r="F552" s="4">
        <v>19</v>
      </c>
      <c r="G552" s="4">
        <v>722</v>
      </c>
      <c r="H552" s="5">
        <f t="shared" si="8"/>
        <v>0</v>
      </c>
    </row>
    <row r="553" spans="1:8" ht="13.5" x14ac:dyDescent="0.25">
      <c r="A553" s="1"/>
      <c r="B553" s="3">
        <v>45401</v>
      </c>
      <c r="C553" s="4">
        <v>19</v>
      </c>
      <c r="D553" s="4">
        <v>16.5151</v>
      </c>
      <c r="E553" s="4">
        <v>0</v>
      </c>
      <c r="F553" s="4">
        <v>0</v>
      </c>
      <c r="G553" s="4">
        <v>0</v>
      </c>
      <c r="H553" s="5">
        <f t="shared" si="8"/>
        <v>0</v>
      </c>
    </row>
    <row r="554" spans="1:8" ht="13.5" x14ac:dyDescent="0.25">
      <c r="A554" s="1"/>
      <c r="B554" s="3">
        <v>45404</v>
      </c>
      <c r="C554" s="4">
        <v>19</v>
      </c>
      <c r="D554" s="4">
        <v>16.5151</v>
      </c>
      <c r="E554" s="4">
        <v>0</v>
      </c>
      <c r="F554" s="4">
        <v>0</v>
      </c>
      <c r="G554" s="4">
        <v>0</v>
      </c>
      <c r="H554" s="5">
        <f t="shared" si="8"/>
        <v>0</v>
      </c>
    </row>
    <row r="555" spans="1:8" ht="13.5" x14ac:dyDescent="0.25">
      <c r="A555" s="1"/>
      <c r="B555" s="3">
        <v>45405</v>
      </c>
      <c r="C555" s="4">
        <v>19</v>
      </c>
      <c r="D555" s="4">
        <v>16.5151</v>
      </c>
      <c r="E555" s="4">
        <v>0</v>
      </c>
      <c r="F555" s="4">
        <v>0</v>
      </c>
      <c r="G555" s="4">
        <v>0</v>
      </c>
      <c r="H555" s="5">
        <f t="shared" si="8"/>
        <v>0</v>
      </c>
    </row>
    <row r="556" spans="1:8" ht="13.5" x14ac:dyDescent="0.25">
      <c r="A556" s="1"/>
      <c r="B556" s="3">
        <v>45406</v>
      </c>
      <c r="C556" s="4">
        <v>19</v>
      </c>
      <c r="D556" s="4">
        <v>16.5151</v>
      </c>
      <c r="E556" s="4">
        <v>0</v>
      </c>
      <c r="F556" s="4">
        <v>0</v>
      </c>
      <c r="G556" s="4">
        <v>0</v>
      </c>
      <c r="H556" s="5">
        <f t="shared" si="8"/>
        <v>0</v>
      </c>
    </row>
    <row r="557" spans="1:8" ht="13.5" x14ac:dyDescent="0.25">
      <c r="A557" s="1"/>
      <c r="B557" s="3">
        <v>45407</v>
      </c>
      <c r="C557" s="4">
        <v>19</v>
      </c>
      <c r="D557" s="4">
        <v>16.5151</v>
      </c>
      <c r="E557" s="4">
        <v>0</v>
      </c>
      <c r="F557" s="4">
        <v>0</v>
      </c>
      <c r="G557" s="4">
        <v>0</v>
      </c>
      <c r="H557" s="5">
        <f t="shared" si="8"/>
        <v>0</v>
      </c>
    </row>
    <row r="558" spans="1:8" ht="13.5" x14ac:dyDescent="0.25">
      <c r="A558" s="1"/>
      <c r="B558" s="3">
        <v>45408</v>
      </c>
      <c r="C558" s="4">
        <v>19</v>
      </c>
      <c r="D558" s="4">
        <v>16.5151</v>
      </c>
      <c r="E558" s="4">
        <v>0</v>
      </c>
      <c r="F558" s="4">
        <v>0</v>
      </c>
      <c r="G558" s="4">
        <v>0</v>
      </c>
      <c r="H558" s="5">
        <f t="shared" si="8"/>
        <v>0</v>
      </c>
    </row>
    <row r="559" spans="1:8" ht="13.5" x14ac:dyDescent="0.25">
      <c r="A559" s="1"/>
      <c r="B559" s="3">
        <v>45411</v>
      </c>
      <c r="C559" s="4">
        <v>19</v>
      </c>
      <c r="D559" s="4">
        <v>16.5151</v>
      </c>
      <c r="E559" s="4">
        <v>0</v>
      </c>
      <c r="F559" s="4">
        <v>0</v>
      </c>
      <c r="G559" s="4">
        <v>0</v>
      </c>
      <c r="H559" s="5">
        <f t="shared" si="8"/>
        <v>0</v>
      </c>
    </row>
    <row r="560" spans="1:8" ht="13.5" x14ac:dyDescent="0.25">
      <c r="A560" s="1"/>
      <c r="B560" s="3">
        <v>45412</v>
      </c>
      <c r="C560" s="4">
        <v>19</v>
      </c>
      <c r="D560" s="4">
        <v>16.5151</v>
      </c>
      <c r="E560" s="4">
        <v>0</v>
      </c>
      <c r="F560" s="4">
        <v>0</v>
      </c>
      <c r="G560" s="4">
        <v>0</v>
      </c>
      <c r="H560" s="5">
        <f t="shared" si="8"/>
        <v>0</v>
      </c>
    </row>
    <row r="561" spans="1:8" ht="13.5" x14ac:dyDescent="0.25">
      <c r="A561" s="1"/>
      <c r="B561" s="3">
        <v>45414</v>
      </c>
      <c r="C561" s="4">
        <v>19.38</v>
      </c>
      <c r="D561" s="4">
        <v>16.845400000000001</v>
      </c>
      <c r="E561" s="4">
        <v>2</v>
      </c>
      <c r="F561" s="4">
        <v>19.38</v>
      </c>
      <c r="G561" s="4">
        <v>38.76</v>
      </c>
      <c r="H561" s="5">
        <f t="shared" si="8"/>
        <v>1.999987889870489E-2</v>
      </c>
    </row>
    <row r="562" spans="1:8" ht="13.5" x14ac:dyDescent="0.25">
      <c r="A562" s="1"/>
      <c r="B562" s="3">
        <v>45415</v>
      </c>
      <c r="C562" s="4">
        <v>20</v>
      </c>
      <c r="D562" s="4">
        <v>17.3843</v>
      </c>
      <c r="E562" s="4">
        <v>2</v>
      </c>
      <c r="F562" s="4">
        <v>20</v>
      </c>
      <c r="G562" s="4">
        <v>40</v>
      </c>
      <c r="H562" s="5">
        <f t="shared" si="8"/>
        <v>3.1990929274460574E-2</v>
      </c>
    </row>
    <row r="563" spans="1:8" ht="13.5" x14ac:dyDescent="0.25">
      <c r="A563" s="1"/>
      <c r="B563" s="3">
        <v>45418</v>
      </c>
      <c r="C563" s="4">
        <v>20</v>
      </c>
      <c r="D563" s="4">
        <v>17.3843</v>
      </c>
      <c r="E563" s="4">
        <v>223</v>
      </c>
      <c r="F563" s="4">
        <v>19.439</v>
      </c>
      <c r="G563" s="4">
        <v>4334.8969999999999</v>
      </c>
      <c r="H563" s="5">
        <f t="shared" si="8"/>
        <v>0</v>
      </c>
    </row>
    <row r="564" spans="1:8" ht="13.5" x14ac:dyDescent="0.25">
      <c r="A564" s="1"/>
      <c r="B564" s="3">
        <v>45419</v>
      </c>
      <c r="C564" s="4">
        <v>19.5</v>
      </c>
      <c r="D564" s="4">
        <v>16.9497</v>
      </c>
      <c r="E564" s="4">
        <v>506</v>
      </c>
      <c r="F564" s="4">
        <v>19.5</v>
      </c>
      <c r="G564" s="4">
        <v>9867</v>
      </c>
      <c r="H564" s="5">
        <f t="shared" si="8"/>
        <v>-2.4999568576244063E-2</v>
      </c>
    </row>
    <row r="565" spans="1:8" ht="13.5" x14ac:dyDescent="0.25">
      <c r="A565" s="1"/>
      <c r="B565" s="3">
        <v>45420</v>
      </c>
      <c r="C565" s="4">
        <v>19.5</v>
      </c>
      <c r="D565" s="4">
        <v>16.9497</v>
      </c>
      <c r="E565" s="4">
        <v>2</v>
      </c>
      <c r="F565" s="4">
        <v>19.5</v>
      </c>
      <c r="G565" s="4">
        <v>39</v>
      </c>
      <c r="H565" s="5">
        <f t="shared" si="8"/>
        <v>0</v>
      </c>
    </row>
    <row r="566" spans="1:8" ht="13.5" x14ac:dyDescent="0.25">
      <c r="A566" s="1"/>
      <c r="B566" s="3">
        <v>45421</v>
      </c>
      <c r="C566" s="4">
        <v>19.5</v>
      </c>
      <c r="D566" s="4">
        <v>16.9497</v>
      </c>
      <c r="E566" s="4">
        <v>0</v>
      </c>
      <c r="F566" s="4">
        <v>0</v>
      </c>
      <c r="G566" s="4">
        <v>0</v>
      </c>
      <c r="H566" s="5">
        <f t="shared" si="8"/>
        <v>0</v>
      </c>
    </row>
    <row r="567" spans="1:8" ht="13.5" x14ac:dyDescent="0.25">
      <c r="A567" s="1"/>
      <c r="B567" s="3">
        <v>45422</v>
      </c>
      <c r="C567" s="4">
        <v>19.5</v>
      </c>
      <c r="D567" s="4">
        <v>16.9497</v>
      </c>
      <c r="E567" s="4">
        <v>187</v>
      </c>
      <c r="F567" s="4">
        <v>19.152999999999999</v>
      </c>
      <c r="G567" s="4">
        <v>3581.6109999999999</v>
      </c>
      <c r="H567" s="5">
        <f t="shared" si="8"/>
        <v>0</v>
      </c>
    </row>
    <row r="568" spans="1:8" ht="13.5" x14ac:dyDescent="0.25">
      <c r="A568" s="1"/>
      <c r="B568" s="3">
        <v>45425</v>
      </c>
      <c r="C568" s="4">
        <v>19.5</v>
      </c>
      <c r="D568" s="4">
        <v>16.9497</v>
      </c>
      <c r="E568" s="4">
        <v>0</v>
      </c>
      <c r="F568" s="4">
        <v>0</v>
      </c>
      <c r="G568" s="4">
        <v>0</v>
      </c>
      <c r="H568" s="5">
        <f t="shared" si="8"/>
        <v>0</v>
      </c>
    </row>
    <row r="569" spans="1:8" ht="13.5" x14ac:dyDescent="0.25">
      <c r="A569" s="1"/>
      <c r="B569" s="3">
        <v>45426</v>
      </c>
      <c r="C569" s="4">
        <v>20</v>
      </c>
      <c r="D569" s="4">
        <v>17.3843</v>
      </c>
      <c r="E569" s="4">
        <v>735</v>
      </c>
      <c r="F569" s="4">
        <v>19.510999999999999</v>
      </c>
      <c r="G569" s="4">
        <v>14340.584999999999</v>
      </c>
      <c r="H569" s="5">
        <f t="shared" si="8"/>
        <v>2.564057180953053E-2</v>
      </c>
    </row>
    <row r="570" spans="1:8" ht="13.5" x14ac:dyDescent="0.25">
      <c r="A570" s="1"/>
      <c r="B570" s="3">
        <v>45427</v>
      </c>
      <c r="C570" s="4">
        <v>20.239999999999998</v>
      </c>
      <c r="D570" s="4">
        <v>17.5929</v>
      </c>
      <c r="E570" s="4">
        <v>185</v>
      </c>
      <c r="F570" s="4">
        <v>20.201000000000001</v>
      </c>
      <c r="G570" s="4">
        <v>3737.1849999999999</v>
      </c>
      <c r="H570" s="5">
        <f t="shared" si="8"/>
        <v>1.1999332731257547E-2</v>
      </c>
    </row>
    <row r="571" spans="1:8" ht="13.5" x14ac:dyDescent="0.25">
      <c r="A571" s="1"/>
      <c r="B571" s="3">
        <v>45428</v>
      </c>
      <c r="C571" s="4">
        <v>20.5</v>
      </c>
      <c r="D571" s="4">
        <v>17.818899999999999</v>
      </c>
      <c r="E571" s="4">
        <v>48</v>
      </c>
      <c r="F571" s="4">
        <v>20.343</v>
      </c>
      <c r="G571" s="4">
        <v>976.46400000000006</v>
      </c>
      <c r="H571" s="5">
        <f t="shared" si="8"/>
        <v>1.2846091320930552E-2</v>
      </c>
    </row>
    <row r="572" spans="1:8" ht="13.5" x14ac:dyDescent="0.25">
      <c r="A572" s="1"/>
      <c r="B572" s="3">
        <v>45429</v>
      </c>
      <c r="C572" s="4">
        <v>20.49</v>
      </c>
      <c r="D572" s="4">
        <v>17.810199999999998</v>
      </c>
      <c r="E572" s="4">
        <v>13</v>
      </c>
      <c r="F572" s="4">
        <v>20.190000000000001</v>
      </c>
      <c r="G572" s="4">
        <v>262.47000000000003</v>
      </c>
      <c r="H572" s="5">
        <f t="shared" si="8"/>
        <v>-4.8824562683448698E-4</v>
      </c>
    </row>
    <row r="573" spans="1:8" ht="13.5" x14ac:dyDescent="0.25">
      <c r="A573" s="1"/>
      <c r="B573" s="3">
        <v>45432</v>
      </c>
      <c r="C573" s="4">
        <v>19.5</v>
      </c>
      <c r="D573" s="4">
        <v>16.9497</v>
      </c>
      <c r="E573" s="4">
        <v>853</v>
      </c>
      <c r="F573" s="4">
        <v>19.501999999999999</v>
      </c>
      <c r="G573" s="4">
        <v>16635.205999999998</v>
      </c>
      <c r="H573" s="5">
        <f t="shared" si="8"/>
        <v>-4.8315010499601262E-2</v>
      </c>
    </row>
    <row r="574" spans="1:8" ht="13.5" x14ac:dyDescent="0.25">
      <c r="A574" s="1"/>
      <c r="B574" s="3">
        <v>45433</v>
      </c>
      <c r="C574" s="4">
        <v>20.5</v>
      </c>
      <c r="D574" s="4">
        <v>17.818899999999999</v>
      </c>
      <c r="E574" s="4">
        <v>30</v>
      </c>
      <c r="F574" s="4">
        <v>20.5</v>
      </c>
      <c r="G574" s="4">
        <v>615</v>
      </c>
      <c r="H574" s="5">
        <f t="shared" si="8"/>
        <v>5.1281143619061061E-2</v>
      </c>
    </row>
    <row r="575" spans="1:8" ht="13.5" x14ac:dyDescent="0.25">
      <c r="A575" s="1"/>
      <c r="B575" s="3">
        <v>45434</v>
      </c>
      <c r="C575" s="4">
        <v>20.45</v>
      </c>
      <c r="D575" s="4">
        <v>17.775400000000001</v>
      </c>
      <c r="E575" s="4">
        <v>21</v>
      </c>
      <c r="F575" s="4">
        <v>20.45</v>
      </c>
      <c r="G575" s="4">
        <v>429.45</v>
      </c>
      <c r="H575" s="5">
        <f t="shared" si="8"/>
        <v>-2.4412281341720365E-3</v>
      </c>
    </row>
    <row r="576" spans="1:8" ht="13.5" x14ac:dyDescent="0.25">
      <c r="A576" s="1"/>
      <c r="B576" s="3">
        <v>45435</v>
      </c>
      <c r="C576" s="4">
        <v>20.420000000000002</v>
      </c>
      <c r="D576" s="4">
        <v>17.749400000000001</v>
      </c>
      <c r="E576" s="4">
        <v>120</v>
      </c>
      <c r="F576" s="4">
        <v>19.43</v>
      </c>
      <c r="G576" s="4">
        <v>2331.6</v>
      </c>
      <c r="H576" s="5">
        <f t="shared" si="8"/>
        <v>-1.4626956355412424E-3</v>
      </c>
    </row>
    <row r="577" spans="1:8" ht="13.5" x14ac:dyDescent="0.25">
      <c r="A577" s="1"/>
      <c r="B577" s="3">
        <v>45436</v>
      </c>
      <c r="C577" s="4">
        <v>20.420000000000002</v>
      </c>
      <c r="D577" s="4">
        <v>17.749400000000001</v>
      </c>
      <c r="E577" s="4">
        <v>0</v>
      </c>
      <c r="F577" s="4">
        <v>0</v>
      </c>
      <c r="G577" s="4">
        <v>0</v>
      </c>
      <c r="H577" s="5">
        <f t="shared" si="8"/>
        <v>0</v>
      </c>
    </row>
    <row r="578" spans="1:8" ht="13.5" x14ac:dyDescent="0.25">
      <c r="A578" s="1"/>
      <c r="B578" s="3">
        <v>45439</v>
      </c>
      <c r="C578" s="4">
        <v>20</v>
      </c>
      <c r="D578" s="4">
        <v>17.3843</v>
      </c>
      <c r="E578" s="4">
        <v>110</v>
      </c>
      <c r="F578" s="4">
        <v>20.036999999999999</v>
      </c>
      <c r="G578" s="4">
        <v>2204.0700000000002</v>
      </c>
      <c r="H578" s="5">
        <f t="shared" si="8"/>
        <v>-2.0569709398627657E-2</v>
      </c>
    </row>
    <row r="579" spans="1:8" ht="13.5" x14ac:dyDescent="0.25">
      <c r="A579" s="1"/>
      <c r="B579" s="3">
        <v>45440</v>
      </c>
      <c r="C579" s="4">
        <v>20.420000000000002</v>
      </c>
      <c r="D579" s="4">
        <v>17.749400000000001</v>
      </c>
      <c r="E579" s="4">
        <v>95</v>
      </c>
      <c r="F579" s="4">
        <v>20.41</v>
      </c>
      <c r="G579" s="4">
        <v>1938.95</v>
      </c>
      <c r="H579" s="5">
        <f t="shared" si="8"/>
        <v>2.1001708438073537E-2</v>
      </c>
    </row>
    <row r="580" spans="1:8" ht="13.5" x14ac:dyDescent="0.25">
      <c r="A580" s="1"/>
      <c r="B580" s="3">
        <v>45441</v>
      </c>
      <c r="C580" s="4">
        <v>19.61</v>
      </c>
      <c r="D580" s="4">
        <v>17.045300000000001</v>
      </c>
      <c r="E580" s="4">
        <v>145</v>
      </c>
      <c r="F580" s="4">
        <v>19.61</v>
      </c>
      <c r="G580" s="4">
        <v>2843.45</v>
      </c>
      <c r="H580" s="5">
        <f t="shared" si="8"/>
        <v>-3.9668946555939937E-2</v>
      </c>
    </row>
    <row r="581" spans="1:8" ht="13.5" x14ac:dyDescent="0.25">
      <c r="A581" s="1"/>
      <c r="B581" s="3">
        <v>45442</v>
      </c>
      <c r="C581" s="4">
        <v>19.61</v>
      </c>
      <c r="D581" s="4">
        <v>17.045300000000001</v>
      </c>
      <c r="E581" s="4">
        <v>5</v>
      </c>
      <c r="F581" s="4">
        <v>19.61</v>
      </c>
      <c r="G581" s="4">
        <v>98.05</v>
      </c>
      <c r="H581" s="5">
        <f t="shared" si="8"/>
        <v>0</v>
      </c>
    </row>
    <row r="582" spans="1:8" ht="13.5" x14ac:dyDescent="0.25">
      <c r="A582" s="1"/>
      <c r="B582" s="3">
        <v>45443</v>
      </c>
      <c r="C582" s="4">
        <v>20.399999999999999</v>
      </c>
      <c r="D582" s="4">
        <v>17.731999999999999</v>
      </c>
      <c r="E582" s="4">
        <v>90</v>
      </c>
      <c r="F582" s="4">
        <v>19.600000000000001</v>
      </c>
      <c r="G582" s="4">
        <v>1764</v>
      </c>
      <c r="H582" s="5">
        <f t="shared" si="8"/>
        <v>4.0286765266671652E-2</v>
      </c>
    </row>
    <row r="583" spans="1:8" ht="13.5" x14ac:dyDescent="0.25">
      <c r="A583" s="1"/>
      <c r="B583" s="3">
        <v>45446</v>
      </c>
      <c r="C583" s="4">
        <v>20.39</v>
      </c>
      <c r="D583" s="4">
        <v>17.723299999999998</v>
      </c>
      <c r="E583" s="4">
        <v>276</v>
      </c>
      <c r="F583" s="4">
        <v>20.300999999999998</v>
      </c>
      <c r="G583" s="4">
        <v>5603.076</v>
      </c>
      <c r="H583" s="5">
        <f t="shared" ref="H583:H646" si="9">(D583-D582)/D582</f>
        <v>-4.9063839386425897E-4</v>
      </c>
    </row>
    <row r="584" spans="1:8" ht="13.5" x14ac:dyDescent="0.25">
      <c r="A584" s="1"/>
      <c r="B584" s="3">
        <v>45447</v>
      </c>
      <c r="C584" s="4">
        <v>20.39</v>
      </c>
      <c r="D584" s="4">
        <v>17.723299999999998</v>
      </c>
      <c r="E584" s="4">
        <v>0</v>
      </c>
      <c r="F584" s="4">
        <v>0</v>
      </c>
      <c r="G584" s="4">
        <v>0</v>
      </c>
      <c r="H584" s="5">
        <f t="shared" si="9"/>
        <v>0</v>
      </c>
    </row>
    <row r="585" spans="1:8" ht="13.5" x14ac:dyDescent="0.25">
      <c r="A585" s="1"/>
      <c r="B585" s="3">
        <v>45448</v>
      </c>
      <c r="C585" s="4">
        <v>19.190000000000001</v>
      </c>
      <c r="D585" s="4">
        <v>16.680199999999999</v>
      </c>
      <c r="E585" s="4">
        <v>430</v>
      </c>
      <c r="F585" s="4">
        <v>19.489000000000001</v>
      </c>
      <c r="G585" s="4">
        <v>8380.27</v>
      </c>
      <c r="H585" s="5">
        <f t="shared" si="9"/>
        <v>-5.8854727956983134E-2</v>
      </c>
    </row>
    <row r="586" spans="1:8" ht="13.5" x14ac:dyDescent="0.25">
      <c r="A586" s="1"/>
      <c r="B586" s="3">
        <v>45449</v>
      </c>
      <c r="C586" s="4">
        <v>20</v>
      </c>
      <c r="D586" s="4">
        <v>17.3843</v>
      </c>
      <c r="E586" s="4">
        <v>60</v>
      </c>
      <c r="F586" s="4">
        <v>19.954000000000001</v>
      </c>
      <c r="G586" s="4">
        <v>1197.24</v>
      </c>
      <c r="H586" s="5">
        <f t="shared" si="9"/>
        <v>4.2211724080047031E-2</v>
      </c>
    </row>
    <row r="587" spans="1:8" ht="13.5" x14ac:dyDescent="0.25">
      <c r="A587" s="1"/>
      <c r="B587" s="3">
        <v>45450</v>
      </c>
      <c r="C587" s="4">
        <v>20</v>
      </c>
      <c r="D587" s="4">
        <v>17.3843</v>
      </c>
      <c r="E587" s="4">
        <v>0</v>
      </c>
      <c r="F587" s="4">
        <v>0</v>
      </c>
      <c r="G587" s="4">
        <v>0</v>
      </c>
      <c r="H587" s="5">
        <f t="shared" si="9"/>
        <v>0</v>
      </c>
    </row>
    <row r="588" spans="1:8" ht="13.5" x14ac:dyDescent="0.25">
      <c r="A588" s="1"/>
      <c r="B588" s="3">
        <v>45453</v>
      </c>
      <c r="C588" s="4">
        <v>20</v>
      </c>
      <c r="D588" s="4">
        <v>17.3843</v>
      </c>
      <c r="E588" s="4">
        <v>0</v>
      </c>
      <c r="F588" s="4">
        <v>0</v>
      </c>
      <c r="G588" s="4">
        <v>0</v>
      </c>
      <c r="H588" s="5">
        <f t="shared" si="9"/>
        <v>0</v>
      </c>
    </row>
    <row r="589" spans="1:8" ht="13.5" x14ac:dyDescent="0.25">
      <c r="A589" s="1"/>
      <c r="B589" s="3">
        <v>45454</v>
      </c>
      <c r="C589" s="4">
        <v>20</v>
      </c>
      <c r="D589" s="4">
        <v>17.3843</v>
      </c>
      <c r="E589" s="4">
        <v>0</v>
      </c>
      <c r="F589" s="4">
        <v>0</v>
      </c>
      <c r="G589" s="4">
        <v>0</v>
      </c>
      <c r="H589" s="5">
        <f t="shared" si="9"/>
        <v>0</v>
      </c>
    </row>
    <row r="590" spans="1:8" ht="13.5" x14ac:dyDescent="0.25">
      <c r="A590" s="1"/>
      <c r="B590" s="3">
        <v>45455</v>
      </c>
      <c r="C590" s="4">
        <v>18.8</v>
      </c>
      <c r="D590" s="4">
        <v>16.341200000000001</v>
      </c>
      <c r="E590" s="4">
        <v>20</v>
      </c>
      <c r="F590" s="4">
        <v>18.8</v>
      </c>
      <c r="G590" s="4">
        <v>376</v>
      </c>
      <c r="H590" s="5">
        <f t="shared" si="9"/>
        <v>-6.0002415973033081E-2</v>
      </c>
    </row>
    <row r="591" spans="1:8" ht="13.5" x14ac:dyDescent="0.25">
      <c r="A591" s="1"/>
      <c r="B591" s="3">
        <v>45456</v>
      </c>
      <c r="C591" s="4">
        <v>19.52</v>
      </c>
      <c r="D591" s="4">
        <v>16.967099999999999</v>
      </c>
      <c r="E591" s="4">
        <v>65</v>
      </c>
      <c r="F591" s="4">
        <v>19.536999999999999</v>
      </c>
      <c r="G591" s="4">
        <v>1269.905</v>
      </c>
      <c r="H591" s="5">
        <f t="shared" si="9"/>
        <v>3.8301960688321417E-2</v>
      </c>
    </row>
    <row r="592" spans="1:8" ht="13.5" x14ac:dyDescent="0.25">
      <c r="A592" s="1"/>
      <c r="B592" s="3">
        <v>45457</v>
      </c>
      <c r="C592" s="4">
        <v>19.899999999999999</v>
      </c>
      <c r="D592" s="4">
        <v>17.2974</v>
      </c>
      <c r="E592" s="4">
        <v>156</v>
      </c>
      <c r="F592" s="4">
        <v>19.704000000000001</v>
      </c>
      <c r="G592" s="4">
        <v>3073.8240000000001</v>
      </c>
      <c r="H592" s="5">
        <f t="shared" si="9"/>
        <v>1.946708630231455E-2</v>
      </c>
    </row>
    <row r="593" spans="1:8" ht="13.5" x14ac:dyDescent="0.25">
      <c r="A593" s="1"/>
      <c r="B593" s="3">
        <v>45461</v>
      </c>
      <c r="C593" s="4">
        <v>19.899999999999999</v>
      </c>
      <c r="D593" s="4">
        <v>17.2974</v>
      </c>
      <c r="E593" s="4">
        <v>0</v>
      </c>
      <c r="F593" s="4">
        <v>0</v>
      </c>
      <c r="G593" s="4">
        <v>0</v>
      </c>
      <c r="H593" s="5">
        <f t="shared" si="9"/>
        <v>0</v>
      </c>
    </row>
    <row r="594" spans="1:8" ht="13.5" x14ac:dyDescent="0.25">
      <c r="A594" s="1"/>
      <c r="B594" s="3">
        <v>45462</v>
      </c>
      <c r="C594" s="4">
        <v>19.5</v>
      </c>
      <c r="D594" s="4">
        <v>16.9497</v>
      </c>
      <c r="E594" s="4">
        <v>2</v>
      </c>
      <c r="F594" s="4">
        <v>19.5</v>
      </c>
      <c r="G594" s="4">
        <v>39</v>
      </c>
      <c r="H594" s="5">
        <f t="shared" si="9"/>
        <v>-2.010128689860902E-2</v>
      </c>
    </row>
    <row r="595" spans="1:8" ht="13.5" x14ac:dyDescent="0.25">
      <c r="A595" s="1"/>
      <c r="B595" s="3">
        <v>45463</v>
      </c>
      <c r="C595" s="4">
        <v>19.5</v>
      </c>
      <c r="D595" s="4">
        <v>16.9497</v>
      </c>
      <c r="E595" s="4">
        <v>0</v>
      </c>
      <c r="F595" s="4">
        <v>0</v>
      </c>
      <c r="G595" s="4">
        <v>0</v>
      </c>
      <c r="H595" s="5">
        <f t="shared" si="9"/>
        <v>0</v>
      </c>
    </row>
    <row r="596" spans="1:8" ht="13.5" x14ac:dyDescent="0.25">
      <c r="A596" s="1"/>
      <c r="B596" s="3">
        <v>45464</v>
      </c>
      <c r="C596" s="4">
        <v>19.5</v>
      </c>
      <c r="D596" s="4">
        <v>16.9497</v>
      </c>
      <c r="E596" s="4">
        <v>0</v>
      </c>
      <c r="F596" s="4">
        <v>0</v>
      </c>
      <c r="G596" s="4">
        <v>0</v>
      </c>
      <c r="H596" s="5">
        <f t="shared" si="9"/>
        <v>0</v>
      </c>
    </row>
    <row r="597" spans="1:8" ht="13.5" x14ac:dyDescent="0.25">
      <c r="A597" s="1"/>
      <c r="B597" s="3">
        <v>45467</v>
      </c>
      <c r="C597" s="4">
        <v>19.5</v>
      </c>
      <c r="D597" s="4">
        <v>16.9497</v>
      </c>
      <c r="E597" s="4">
        <v>0</v>
      </c>
      <c r="F597" s="4">
        <v>0</v>
      </c>
      <c r="G597" s="4">
        <v>0</v>
      </c>
      <c r="H597" s="5">
        <f t="shared" si="9"/>
        <v>0</v>
      </c>
    </row>
    <row r="598" spans="1:8" ht="13.5" x14ac:dyDescent="0.25">
      <c r="A598" s="1"/>
      <c r="B598" s="3">
        <v>45468</v>
      </c>
      <c r="C598" s="4">
        <v>19.5</v>
      </c>
      <c r="D598" s="4">
        <v>16.9497</v>
      </c>
      <c r="E598" s="4">
        <v>0</v>
      </c>
      <c r="F598" s="4">
        <v>0</v>
      </c>
      <c r="G598" s="4">
        <v>0</v>
      </c>
      <c r="H598" s="5">
        <f t="shared" si="9"/>
        <v>0</v>
      </c>
    </row>
    <row r="599" spans="1:8" ht="13.5" x14ac:dyDescent="0.25">
      <c r="A599" s="1"/>
      <c r="B599" s="3">
        <v>45469</v>
      </c>
      <c r="C599" s="4">
        <v>19</v>
      </c>
      <c r="D599" s="4">
        <v>16.5151</v>
      </c>
      <c r="E599" s="4">
        <v>43</v>
      </c>
      <c r="F599" s="4">
        <v>19</v>
      </c>
      <c r="G599" s="4">
        <v>817</v>
      </c>
      <c r="H599" s="5">
        <f t="shared" si="9"/>
        <v>-2.564057180953053E-2</v>
      </c>
    </row>
    <row r="600" spans="1:8" ht="13.5" x14ac:dyDescent="0.25">
      <c r="A600" s="1"/>
      <c r="B600" s="3">
        <v>45470</v>
      </c>
      <c r="C600" s="4">
        <v>19</v>
      </c>
      <c r="D600" s="4">
        <v>16.5151</v>
      </c>
      <c r="E600" s="4">
        <v>10</v>
      </c>
      <c r="F600" s="4">
        <v>19</v>
      </c>
      <c r="G600" s="4">
        <v>190</v>
      </c>
      <c r="H600" s="5">
        <f t="shared" si="9"/>
        <v>0</v>
      </c>
    </row>
    <row r="601" spans="1:8" ht="13.5" x14ac:dyDescent="0.25">
      <c r="A601" s="1"/>
      <c r="B601" s="3">
        <v>45471</v>
      </c>
      <c r="C601" s="4">
        <v>19.5</v>
      </c>
      <c r="D601" s="4">
        <v>16.9497</v>
      </c>
      <c r="E601" s="4">
        <v>1767</v>
      </c>
      <c r="F601" s="4">
        <v>19.013000000000002</v>
      </c>
      <c r="G601" s="4">
        <v>33595.970999999998</v>
      </c>
      <c r="H601" s="5">
        <f t="shared" si="9"/>
        <v>2.6315311442255854E-2</v>
      </c>
    </row>
    <row r="602" spans="1:8" ht="13.5" x14ac:dyDescent="0.25">
      <c r="A602" s="1"/>
      <c r="B602" s="3">
        <v>45474</v>
      </c>
      <c r="C602" s="4">
        <v>19.98</v>
      </c>
      <c r="D602" s="4">
        <v>17.366900000000001</v>
      </c>
      <c r="E602" s="4">
        <v>221</v>
      </c>
      <c r="F602" s="4">
        <v>19.457000000000001</v>
      </c>
      <c r="G602" s="4">
        <v>4299.9970000000003</v>
      </c>
      <c r="H602" s="5">
        <f t="shared" si="9"/>
        <v>2.4614004967639613E-2</v>
      </c>
    </row>
    <row r="603" spans="1:8" ht="13.5" x14ac:dyDescent="0.25">
      <c r="A603" s="1"/>
      <c r="B603" s="3">
        <v>45475</v>
      </c>
      <c r="C603" s="4">
        <v>19</v>
      </c>
      <c r="D603" s="4">
        <v>16.5151</v>
      </c>
      <c r="E603" s="4">
        <v>252</v>
      </c>
      <c r="F603" s="4">
        <v>19.042999999999999</v>
      </c>
      <c r="G603" s="4">
        <v>4798.8360000000002</v>
      </c>
      <c r="H603" s="5">
        <f t="shared" si="9"/>
        <v>-4.9047325659732063E-2</v>
      </c>
    </row>
    <row r="604" spans="1:8" ht="13.5" x14ac:dyDescent="0.25">
      <c r="A604" s="1"/>
      <c r="B604" s="3">
        <v>45476</v>
      </c>
      <c r="C604" s="4">
        <v>19.399999999999999</v>
      </c>
      <c r="D604" s="4">
        <v>16.8628</v>
      </c>
      <c r="E604" s="4">
        <v>140</v>
      </c>
      <c r="F604" s="4">
        <v>19.114000000000001</v>
      </c>
      <c r="G604" s="4">
        <v>2675.96</v>
      </c>
      <c r="H604" s="5">
        <f t="shared" si="9"/>
        <v>2.1053460166756462E-2</v>
      </c>
    </row>
    <row r="605" spans="1:8" ht="13.5" x14ac:dyDescent="0.25">
      <c r="A605" s="1"/>
      <c r="B605" s="3">
        <v>45477</v>
      </c>
      <c r="C605" s="4">
        <v>19.14</v>
      </c>
      <c r="D605" s="4">
        <v>16.636800000000001</v>
      </c>
      <c r="E605" s="4">
        <v>131</v>
      </c>
      <c r="F605" s="4">
        <v>19.297999999999998</v>
      </c>
      <c r="G605" s="4">
        <v>2528.038</v>
      </c>
      <c r="H605" s="5">
        <f t="shared" si="9"/>
        <v>-1.3402281946058726E-2</v>
      </c>
    </row>
    <row r="606" spans="1:8" ht="13.5" x14ac:dyDescent="0.25">
      <c r="A606" s="1"/>
      <c r="B606" s="3">
        <v>45478</v>
      </c>
      <c r="C606" s="4">
        <v>19.899999999999999</v>
      </c>
      <c r="D606" s="4">
        <v>17.2974</v>
      </c>
      <c r="E606" s="4">
        <v>244</v>
      </c>
      <c r="F606" s="4">
        <v>19.913</v>
      </c>
      <c r="G606" s="4">
        <v>4858.7719999999999</v>
      </c>
      <c r="H606" s="5">
        <f t="shared" si="9"/>
        <v>3.9707155222158029E-2</v>
      </c>
    </row>
    <row r="607" spans="1:8" ht="13.5" x14ac:dyDescent="0.25">
      <c r="A607" s="1"/>
      <c r="B607" s="3">
        <v>45481</v>
      </c>
      <c r="C607" s="4">
        <v>19.850000000000001</v>
      </c>
      <c r="D607" s="4">
        <v>17.253900000000002</v>
      </c>
      <c r="E607" s="4">
        <v>239</v>
      </c>
      <c r="F607" s="4">
        <v>19.053000000000001</v>
      </c>
      <c r="G607" s="4">
        <v>4553.6670000000004</v>
      </c>
      <c r="H607" s="5">
        <f t="shared" si="9"/>
        <v>-2.5148288182037818E-3</v>
      </c>
    </row>
    <row r="608" spans="1:8" ht="13.5" x14ac:dyDescent="0.25">
      <c r="A608" s="1"/>
      <c r="B608" s="3">
        <v>45482</v>
      </c>
      <c r="C608" s="4">
        <v>19.760000000000002</v>
      </c>
      <c r="D608" s="4">
        <v>17.175699999999999</v>
      </c>
      <c r="E608" s="4">
        <v>1930</v>
      </c>
      <c r="F608" s="4">
        <v>19.004000000000001</v>
      </c>
      <c r="G608" s="4">
        <v>36677.72</v>
      </c>
      <c r="H608" s="5">
        <f t="shared" si="9"/>
        <v>-4.5323086374676148E-3</v>
      </c>
    </row>
    <row r="609" spans="1:8" ht="13.5" x14ac:dyDescent="0.25">
      <c r="A609" s="1"/>
      <c r="B609" s="3">
        <v>45483</v>
      </c>
      <c r="C609" s="4">
        <v>19.760000000000002</v>
      </c>
      <c r="D609" s="4">
        <v>17.175699999999999</v>
      </c>
      <c r="E609" s="4">
        <v>0</v>
      </c>
      <c r="F609" s="4">
        <v>0</v>
      </c>
      <c r="G609" s="4">
        <v>0</v>
      </c>
      <c r="H609" s="5">
        <f t="shared" si="9"/>
        <v>0</v>
      </c>
    </row>
    <row r="610" spans="1:8" ht="13.5" x14ac:dyDescent="0.25">
      <c r="A610" s="1"/>
      <c r="B610" s="3">
        <v>45484</v>
      </c>
      <c r="C610" s="4">
        <v>19.760000000000002</v>
      </c>
      <c r="D610" s="4">
        <v>17.175699999999999</v>
      </c>
      <c r="E610" s="4">
        <v>0</v>
      </c>
      <c r="F610" s="4">
        <v>0</v>
      </c>
      <c r="G610" s="4">
        <v>0</v>
      </c>
      <c r="H610" s="5">
        <f t="shared" si="9"/>
        <v>0</v>
      </c>
    </row>
    <row r="611" spans="1:8" ht="13.5" x14ac:dyDescent="0.25">
      <c r="A611" s="1"/>
      <c r="B611" s="3">
        <v>45485</v>
      </c>
      <c r="C611" s="4">
        <v>19.350000000000001</v>
      </c>
      <c r="D611" s="4">
        <v>16.819299999999998</v>
      </c>
      <c r="E611" s="4">
        <v>118</v>
      </c>
      <c r="F611" s="4">
        <v>19.158999999999999</v>
      </c>
      <c r="G611" s="4">
        <v>2260.7620000000002</v>
      </c>
      <c r="H611" s="5">
        <f t="shared" si="9"/>
        <v>-2.0750245987063161E-2</v>
      </c>
    </row>
    <row r="612" spans="1:8" ht="13.5" x14ac:dyDescent="0.25">
      <c r="A612" s="1"/>
      <c r="B612" s="3">
        <v>45488</v>
      </c>
      <c r="C612" s="4">
        <v>19.350000000000001</v>
      </c>
      <c r="D612" s="4">
        <v>16.819299999999998</v>
      </c>
      <c r="E612" s="4">
        <v>0</v>
      </c>
      <c r="F612" s="4">
        <v>0</v>
      </c>
      <c r="G612" s="4">
        <v>0</v>
      </c>
      <c r="H612" s="5">
        <f t="shared" si="9"/>
        <v>0</v>
      </c>
    </row>
    <row r="613" spans="1:8" ht="13.5" x14ac:dyDescent="0.25">
      <c r="A613" s="1"/>
      <c r="B613" s="3">
        <v>45489</v>
      </c>
      <c r="C613" s="4">
        <v>19.350000000000001</v>
      </c>
      <c r="D613" s="4">
        <v>16.819299999999998</v>
      </c>
      <c r="E613" s="4">
        <v>0</v>
      </c>
      <c r="F613" s="4">
        <v>0</v>
      </c>
      <c r="G613" s="4">
        <v>0</v>
      </c>
      <c r="H613" s="5">
        <f t="shared" si="9"/>
        <v>0</v>
      </c>
    </row>
    <row r="614" spans="1:8" ht="13.5" x14ac:dyDescent="0.25">
      <c r="A614" s="1"/>
      <c r="B614" s="3">
        <v>45490</v>
      </c>
      <c r="C614" s="4">
        <v>19.350000000000001</v>
      </c>
      <c r="D614" s="4">
        <v>16.819299999999998</v>
      </c>
      <c r="E614" s="4">
        <v>26</v>
      </c>
      <c r="F614" s="4">
        <v>19.120999999999999</v>
      </c>
      <c r="G614" s="4">
        <v>497.14600000000002</v>
      </c>
      <c r="H614" s="5">
        <f t="shared" si="9"/>
        <v>0</v>
      </c>
    </row>
    <row r="615" spans="1:8" ht="13.5" x14ac:dyDescent="0.25">
      <c r="A615" s="1"/>
      <c r="B615" s="3">
        <v>45491</v>
      </c>
      <c r="C615" s="4">
        <v>19.350000000000001</v>
      </c>
      <c r="D615" s="4">
        <v>16.819299999999998</v>
      </c>
      <c r="E615" s="4">
        <v>160</v>
      </c>
      <c r="F615" s="4">
        <v>19.161999999999999</v>
      </c>
      <c r="G615" s="4">
        <v>3065.92</v>
      </c>
      <c r="H615" s="5">
        <f t="shared" si="9"/>
        <v>0</v>
      </c>
    </row>
    <row r="616" spans="1:8" ht="13.5" x14ac:dyDescent="0.25">
      <c r="A616" s="1"/>
      <c r="B616" s="3">
        <v>45492</v>
      </c>
      <c r="C616" s="4">
        <v>19.350000000000001</v>
      </c>
      <c r="D616" s="4">
        <v>16.819299999999998</v>
      </c>
      <c r="E616" s="4">
        <v>0</v>
      </c>
      <c r="F616" s="4">
        <v>0</v>
      </c>
      <c r="G616" s="4">
        <v>0</v>
      </c>
      <c r="H616" s="5">
        <f t="shared" si="9"/>
        <v>0</v>
      </c>
    </row>
    <row r="617" spans="1:8" ht="13.5" x14ac:dyDescent="0.25">
      <c r="A617" s="1"/>
      <c r="B617" s="3">
        <v>45495</v>
      </c>
      <c r="C617" s="4">
        <v>19.32</v>
      </c>
      <c r="D617" s="4">
        <v>16.793199999999999</v>
      </c>
      <c r="E617" s="4">
        <v>76</v>
      </c>
      <c r="F617" s="4">
        <v>19.065000000000001</v>
      </c>
      <c r="G617" s="4">
        <v>1448.94</v>
      </c>
      <c r="H617" s="5">
        <f t="shared" si="9"/>
        <v>-1.5517887189121764E-3</v>
      </c>
    </row>
    <row r="618" spans="1:8" ht="13.5" x14ac:dyDescent="0.25">
      <c r="A618" s="1"/>
      <c r="B618" s="3">
        <v>45496</v>
      </c>
      <c r="C618" s="4">
        <v>19.3</v>
      </c>
      <c r="D618" s="4">
        <v>16.7758</v>
      </c>
      <c r="E618" s="4">
        <v>377</v>
      </c>
      <c r="F618" s="4">
        <v>19.327000000000002</v>
      </c>
      <c r="G618" s="4">
        <v>7286.2790000000005</v>
      </c>
      <c r="H618" s="5">
        <f t="shared" si="9"/>
        <v>-1.0361336731533317E-3</v>
      </c>
    </row>
    <row r="619" spans="1:8" ht="13.5" x14ac:dyDescent="0.25">
      <c r="A619" s="1"/>
      <c r="B619" s="3">
        <v>45497</v>
      </c>
      <c r="C619" s="4">
        <v>19.100000000000001</v>
      </c>
      <c r="D619" s="4">
        <v>17.509</v>
      </c>
      <c r="E619" s="4">
        <v>80</v>
      </c>
      <c r="F619" s="4">
        <v>19.175000000000001</v>
      </c>
      <c r="G619" s="4">
        <v>1534</v>
      </c>
      <c r="H619" s="5">
        <f t="shared" si="9"/>
        <v>4.3705814327781686E-2</v>
      </c>
    </row>
    <row r="620" spans="1:8" ht="13.5" x14ac:dyDescent="0.25">
      <c r="A620" s="1"/>
      <c r="B620" s="3">
        <v>45499</v>
      </c>
      <c r="C620" s="4">
        <v>19.5</v>
      </c>
      <c r="D620" s="4">
        <v>17.875699999999998</v>
      </c>
      <c r="E620" s="4">
        <v>98</v>
      </c>
      <c r="F620" s="4">
        <v>19.309999999999999</v>
      </c>
      <c r="G620" s="4">
        <v>1892.38</v>
      </c>
      <c r="H620" s="5">
        <f t="shared" si="9"/>
        <v>2.094351476383563E-2</v>
      </c>
    </row>
    <row r="621" spans="1:8" ht="13.5" x14ac:dyDescent="0.25">
      <c r="A621" s="1"/>
      <c r="B621" s="3">
        <v>45502</v>
      </c>
      <c r="C621" s="4">
        <v>19.649999999999999</v>
      </c>
      <c r="D621" s="4">
        <v>18.013200000000001</v>
      </c>
      <c r="E621" s="4">
        <v>2</v>
      </c>
      <c r="F621" s="4">
        <v>19.649999999999999</v>
      </c>
      <c r="G621" s="4">
        <v>39.299999999999997</v>
      </c>
      <c r="H621" s="5">
        <f t="shared" si="9"/>
        <v>7.6920064668797783E-3</v>
      </c>
    </row>
    <row r="622" spans="1:8" ht="13.5" x14ac:dyDescent="0.25">
      <c r="A622" s="1"/>
      <c r="B622" s="3">
        <v>45503</v>
      </c>
      <c r="C622" s="4">
        <v>19.649999999999999</v>
      </c>
      <c r="D622" s="4">
        <v>18.013200000000001</v>
      </c>
      <c r="E622" s="4">
        <v>0</v>
      </c>
      <c r="F622" s="4">
        <v>0</v>
      </c>
      <c r="G622" s="4">
        <v>0</v>
      </c>
      <c r="H622" s="5">
        <f t="shared" si="9"/>
        <v>0</v>
      </c>
    </row>
    <row r="623" spans="1:8" ht="13.5" x14ac:dyDescent="0.25">
      <c r="A623" s="1"/>
      <c r="B623" s="3">
        <v>45504</v>
      </c>
      <c r="C623" s="4">
        <v>19.649999999999999</v>
      </c>
      <c r="D623" s="4">
        <v>18.013200000000001</v>
      </c>
      <c r="E623" s="4">
        <v>0</v>
      </c>
      <c r="F623" s="4">
        <v>0</v>
      </c>
      <c r="G623" s="4">
        <v>0</v>
      </c>
      <c r="H623" s="5">
        <f t="shared" si="9"/>
        <v>0</v>
      </c>
    </row>
    <row r="624" spans="1:8" ht="13.5" x14ac:dyDescent="0.25">
      <c r="A624" s="1"/>
      <c r="B624" s="3">
        <v>45505</v>
      </c>
      <c r="C624" s="4">
        <v>20</v>
      </c>
      <c r="D624" s="4">
        <v>18.334</v>
      </c>
      <c r="E624" s="4">
        <v>170</v>
      </c>
      <c r="F624" s="4">
        <v>19.774000000000001</v>
      </c>
      <c r="G624" s="4">
        <v>3361.58</v>
      </c>
      <c r="H624" s="5">
        <f t="shared" si="9"/>
        <v>1.7809162169964161E-2</v>
      </c>
    </row>
    <row r="625" spans="1:8" ht="13.5" x14ac:dyDescent="0.25">
      <c r="A625" s="1"/>
      <c r="B625" s="3">
        <v>45506</v>
      </c>
      <c r="C625" s="4">
        <v>20</v>
      </c>
      <c r="D625" s="4">
        <v>18.334</v>
      </c>
      <c r="E625" s="4">
        <v>0</v>
      </c>
      <c r="F625" s="4">
        <v>0</v>
      </c>
      <c r="G625" s="4">
        <v>0</v>
      </c>
      <c r="H625" s="5">
        <f t="shared" si="9"/>
        <v>0</v>
      </c>
    </row>
    <row r="626" spans="1:8" ht="13.5" x14ac:dyDescent="0.25">
      <c r="A626" s="1"/>
      <c r="B626" s="3">
        <v>45509</v>
      </c>
      <c r="C626" s="4">
        <v>19.850000000000001</v>
      </c>
      <c r="D626" s="4">
        <v>18.1965</v>
      </c>
      <c r="E626" s="4">
        <v>562</v>
      </c>
      <c r="F626" s="4">
        <v>19.850000000000001</v>
      </c>
      <c r="G626" s="4">
        <v>11155.7</v>
      </c>
      <c r="H626" s="5">
        <f t="shared" si="9"/>
        <v>-7.4997272826442286E-3</v>
      </c>
    </row>
    <row r="627" spans="1:8" ht="13.5" x14ac:dyDescent="0.25">
      <c r="A627" s="1"/>
      <c r="B627" s="3">
        <v>45510</v>
      </c>
      <c r="C627" s="4">
        <v>19.75</v>
      </c>
      <c r="D627" s="4">
        <v>18.104800000000001</v>
      </c>
      <c r="E627" s="4">
        <v>349</v>
      </c>
      <c r="F627" s="4">
        <v>19.79</v>
      </c>
      <c r="G627" s="4">
        <v>6906.71</v>
      </c>
      <c r="H627" s="5">
        <f t="shared" si="9"/>
        <v>-5.039430659742228E-3</v>
      </c>
    </row>
    <row r="628" spans="1:8" ht="13.5" x14ac:dyDescent="0.25">
      <c r="A628" s="1"/>
      <c r="B628" s="3">
        <v>45511</v>
      </c>
      <c r="C628" s="4">
        <v>19.68</v>
      </c>
      <c r="D628" s="4">
        <v>18.040700000000001</v>
      </c>
      <c r="E628" s="4">
        <v>950</v>
      </c>
      <c r="F628" s="4">
        <v>19.518999999999998</v>
      </c>
      <c r="G628" s="4">
        <v>18543.05</v>
      </c>
      <c r="H628" s="5">
        <f t="shared" si="9"/>
        <v>-3.5404975476116731E-3</v>
      </c>
    </row>
    <row r="629" spans="1:8" ht="13.5" x14ac:dyDescent="0.25">
      <c r="A629" s="1"/>
      <c r="B629" s="3">
        <v>45512</v>
      </c>
      <c r="C629" s="4">
        <v>19</v>
      </c>
      <c r="D629" s="4">
        <v>17.417300000000001</v>
      </c>
      <c r="E629" s="4">
        <v>1424</v>
      </c>
      <c r="F629" s="4">
        <v>19.428999999999998</v>
      </c>
      <c r="G629" s="4">
        <v>27666.896000000001</v>
      </c>
      <c r="H629" s="5">
        <f t="shared" si="9"/>
        <v>-3.4555200186245555E-2</v>
      </c>
    </row>
    <row r="630" spans="1:8" ht="13.5" x14ac:dyDescent="0.25">
      <c r="A630" s="1"/>
      <c r="B630" s="3">
        <v>45513</v>
      </c>
      <c r="C630" s="4">
        <v>19.399999999999999</v>
      </c>
      <c r="D630" s="4">
        <v>17.783999999999999</v>
      </c>
      <c r="E630" s="4">
        <v>233</v>
      </c>
      <c r="F630" s="4">
        <v>19.312999999999999</v>
      </c>
      <c r="G630" s="4">
        <v>4499.9290000000001</v>
      </c>
      <c r="H630" s="5">
        <f t="shared" si="9"/>
        <v>2.1053779862550338E-2</v>
      </c>
    </row>
    <row r="631" spans="1:8" ht="13.5" x14ac:dyDescent="0.25">
      <c r="A631" s="1"/>
      <c r="B631" s="3">
        <v>45516</v>
      </c>
      <c r="C631" s="4">
        <v>19.3</v>
      </c>
      <c r="D631" s="4">
        <v>17.692299999999999</v>
      </c>
      <c r="E631" s="4">
        <v>91</v>
      </c>
      <c r="F631" s="4">
        <v>19.05</v>
      </c>
      <c r="G631" s="4">
        <v>1733.55</v>
      </c>
      <c r="H631" s="5">
        <f t="shared" si="9"/>
        <v>-5.1563202878992043E-3</v>
      </c>
    </row>
    <row r="632" spans="1:8" ht="13.5" x14ac:dyDescent="0.25">
      <c r="A632" s="1"/>
      <c r="B632" s="3">
        <v>45518</v>
      </c>
      <c r="C632" s="4">
        <v>19.3</v>
      </c>
      <c r="D632" s="4">
        <v>17.692299999999999</v>
      </c>
      <c r="E632" s="4">
        <v>20</v>
      </c>
      <c r="F632" s="4">
        <v>19.292000000000002</v>
      </c>
      <c r="G632" s="4">
        <v>385.84</v>
      </c>
      <c r="H632" s="5">
        <f t="shared" si="9"/>
        <v>0</v>
      </c>
    </row>
    <row r="633" spans="1:8" ht="13.5" x14ac:dyDescent="0.25">
      <c r="A633" s="1"/>
      <c r="B633" s="3">
        <v>45519</v>
      </c>
      <c r="C633" s="4">
        <v>19.100000000000001</v>
      </c>
      <c r="D633" s="4">
        <v>17.509</v>
      </c>
      <c r="E633" s="4">
        <v>3</v>
      </c>
      <c r="F633" s="4">
        <v>19.100000000000001</v>
      </c>
      <c r="G633" s="4">
        <v>57.3</v>
      </c>
      <c r="H633" s="5">
        <f t="shared" si="9"/>
        <v>-1.0360439287147468E-2</v>
      </c>
    </row>
    <row r="634" spans="1:8" ht="13.5" x14ac:dyDescent="0.25">
      <c r="A634" s="1"/>
      <c r="B634" s="3">
        <v>45520</v>
      </c>
      <c r="C634" s="4">
        <v>19.100000000000001</v>
      </c>
      <c r="D634" s="4">
        <v>17.509</v>
      </c>
      <c r="E634" s="4">
        <v>0</v>
      </c>
      <c r="F634" s="4">
        <v>0</v>
      </c>
      <c r="G634" s="4">
        <v>0</v>
      </c>
      <c r="H634" s="5">
        <f t="shared" si="9"/>
        <v>0</v>
      </c>
    </row>
    <row r="635" spans="1:8" ht="13.5" x14ac:dyDescent="0.25">
      <c r="A635" s="1"/>
      <c r="B635" s="3">
        <v>45523</v>
      </c>
      <c r="C635" s="4">
        <v>19.100000000000001</v>
      </c>
      <c r="D635" s="4">
        <v>17.509</v>
      </c>
      <c r="E635" s="4">
        <v>35</v>
      </c>
      <c r="F635" s="4">
        <v>19.006</v>
      </c>
      <c r="G635" s="4">
        <v>665.21</v>
      </c>
      <c r="H635" s="5">
        <f t="shared" si="9"/>
        <v>0</v>
      </c>
    </row>
    <row r="636" spans="1:8" ht="13.5" x14ac:dyDescent="0.25">
      <c r="A636" s="1"/>
      <c r="B636" s="3">
        <v>45524</v>
      </c>
      <c r="C636" s="4">
        <v>19.100000000000001</v>
      </c>
      <c r="D636" s="4">
        <v>17.509</v>
      </c>
      <c r="E636" s="4">
        <v>0</v>
      </c>
      <c r="F636" s="4">
        <v>0</v>
      </c>
      <c r="G636" s="4">
        <v>0</v>
      </c>
      <c r="H636" s="5">
        <f t="shared" si="9"/>
        <v>0</v>
      </c>
    </row>
    <row r="637" spans="1:8" ht="13.5" x14ac:dyDescent="0.25">
      <c r="A637" s="1"/>
      <c r="B637" s="3">
        <v>45525</v>
      </c>
      <c r="C637" s="4">
        <v>19.100000000000001</v>
      </c>
      <c r="D637" s="4">
        <v>17.509</v>
      </c>
      <c r="E637" s="4">
        <v>0</v>
      </c>
      <c r="F637" s="4">
        <v>0</v>
      </c>
      <c r="G637" s="4">
        <v>0</v>
      </c>
      <c r="H637" s="5">
        <f t="shared" si="9"/>
        <v>0</v>
      </c>
    </row>
    <row r="638" spans="1:8" ht="13.5" x14ac:dyDescent="0.25">
      <c r="A638" s="1"/>
      <c r="B638" s="3">
        <v>45526</v>
      </c>
      <c r="C638" s="4">
        <v>19.100000000000001</v>
      </c>
      <c r="D638" s="4">
        <v>17.509</v>
      </c>
      <c r="E638" s="4">
        <v>0</v>
      </c>
      <c r="F638" s="4">
        <v>0</v>
      </c>
      <c r="G638" s="4">
        <v>0</v>
      </c>
      <c r="H638" s="5">
        <f t="shared" si="9"/>
        <v>0</v>
      </c>
    </row>
    <row r="639" spans="1:8" ht="13.5" x14ac:dyDescent="0.25">
      <c r="A639" s="1"/>
      <c r="B639" s="3">
        <v>45527</v>
      </c>
      <c r="C639" s="4">
        <v>19.100000000000001</v>
      </c>
      <c r="D639" s="4">
        <v>17.509</v>
      </c>
      <c r="E639" s="4">
        <v>0</v>
      </c>
      <c r="F639" s="4">
        <v>0</v>
      </c>
      <c r="G639" s="4">
        <v>0</v>
      </c>
      <c r="H639" s="5">
        <f t="shared" si="9"/>
        <v>0</v>
      </c>
    </row>
    <row r="640" spans="1:8" ht="13.5" x14ac:dyDescent="0.25">
      <c r="A640" s="1"/>
      <c r="B640" s="3">
        <v>45530</v>
      </c>
      <c r="C640" s="4">
        <v>18.95</v>
      </c>
      <c r="D640" s="4">
        <v>17.371500000000001</v>
      </c>
      <c r="E640" s="4">
        <v>50</v>
      </c>
      <c r="F640" s="4">
        <v>18.95</v>
      </c>
      <c r="G640" s="4">
        <v>947.5</v>
      </c>
      <c r="H640" s="5">
        <f t="shared" si="9"/>
        <v>-7.8531041178821915E-3</v>
      </c>
    </row>
    <row r="641" spans="1:8" ht="13.5" x14ac:dyDescent="0.25">
      <c r="A641" s="1"/>
      <c r="B641" s="3">
        <v>45531</v>
      </c>
      <c r="C641" s="4">
        <v>18.95</v>
      </c>
      <c r="D641" s="4">
        <v>17.371500000000001</v>
      </c>
      <c r="E641" s="4">
        <v>0</v>
      </c>
      <c r="F641" s="4">
        <v>0</v>
      </c>
      <c r="G641" s="4">
        <v>0</v>
      </c>
      <c r="H641" s="5">
        <f t="shared" si="9"/>
        <v>0</v>
      </c>
    </row>
    <row r="642" spans="1:8" ht="13.5" x14ac:dyDescent="0.25">
      <c r="A642" s="1"/>
      <c r="B642" s="3">
        <v>45532</v>
      </c>
      <c r="C642" s="4">
        <v>18.940000000000001</v>
      </c>
      <c r="D642" s="4">
        <v>17.362300000000001</v>
      </c>
      <c r="E642" s="4">
        <v>620</v>
      </c>
      <c r="F642" s="4">
        <v>18.643000000000001</v>
      </c>
      <c r="G642" s="4">
        <v>11558.66</v>
      </c>
      <c r="H642" s="5">
        <f t="shared" si="9"/>
        <v>-5.2960308551362138E-4</v>
      </c>
    </row>
    <row r="643" spans="1:8" ht="13.5" x14ac:dyDescent="0.25">
      <c r="A643" s="1"/>
      <c r="B643" s="3">
        <v>45533</v>
      </c>
      <c r="C643" s="4">
        <v>18.940000000000001</v>
      </c>
      <c r="D643" s="4">
        <v>17.362300000000001</v>
      </c>
      <c r="E643" s="4">
        <v>11</v>
      </c>
      <c r="F643" s="4">
        <v>18.727</v>
      </c>
      <c r="G643" s="4">
        <v>205.99700000000001</v>
      </c>
      <c r="H643" s="5">
        <f t="shared" si="9"/>
        <v>0</v>
      </c>
    </row>
    <row r="644" spans="1:8" ht="13.5" x14ac:dyDescent="0.25">
      <c r="A644" s="1"/>
      <c r="B644" s="3">
        <v>45534</v>
      </c>
      <c r="C644" s="4">
        <v>18.95</v>
      </c>
      <c r="D644" s="4">
        <v>17.371500000000001</v>
      </c>
      <c r="E644" s="4">
        <v>1403</v>
      </c>
      <c r="F644" s="4">
        <v>18.666</v>
      </c>
      <c r="G644" s="4">
        <v>26188.398000000001</v>
      </c>
      <c r="H644" s="5">
        <f t="shared" si="9"/>
        <v>5.2988371356328797E-4</v>
      </c>
    </row>
    <row r="645" spans="1:8" ht="13.5" x14ac:dyDescent="0.25">
      <c r="A645" s="1"/>
      <c r="B645" s="3">
        <v>45537</v>
      </c>
      <c r="C645" s="4">
        <v>19.84</v>
      </c>
      <c r="D645" s="4">
        <v>18.1873</v>
      </c>
      <c r="E645" s="4">
        <v>924</v>
      </c>
      <c r="F645" s="4">
        <v>19.504999999999999</v>
      </c>
      <c r="G645" s="4">
        <v>18022.62</v>
      </c>
      <c r="H645" s="5">
        <f t="shared" si="9"/>
        <v>4.696197795239325E-2</v>
      </c>
    </row>
    <row r="646" spans="1:8" ht="13.5" x14ac:dyDescent="0.25">
      <c r="A646" s="1"/>
      <c r="B646" s="3">
        <v>45538</v>
      </c>
      <c r="C646" s="4">
        <v>19.8</v>
      </c>
      <c r="D646" s="4">
        <v>18.150700000000001</v>
      </c>
      <c r="E646" s="4">
        <v>3475</v>
      </c>
      <c r="F646" s="4">
        <v>19.795000000000002</v>
      </c>
      <c r="G646" s="4">
        <v>68787.625</v>
      </c>
      <c r="H646" s="5">
        <f t="shared" si="9"/>
        <v>-2.0123932634310737E-3</v>
      </c>
    </row>
    <row r="647" spans="1:8" ht="13.5" x14ac:dyDescent="0.25">
      <c r="A647" s="1"/>
      <c r="B647" s="3">
        <v>45539</v>
      </c>
      <c r="C647" s="4">
        <v>19.829999999999998</v>
      </c>
      <c r="D647" s="4">
        <v>18.1782</v>
      </c>
      <c r="E647" s="4">
        <v>24</v>
      </c>
      <c r="F647" s="4">
        <v>19.821999999999999</v>
      </c>
      <c r="G647" s="4">
        <v>475.72800000000001</v>
      </c>
      <c r="H647" s="5">
        <f t="shared" ref="H647:H710" si="10">(D647-D646)/D646</f>
        <v>1.5150930818095092E-3</v>
      </c>
    </row>
    <row r="648" spans="1:8" ht="13.5" x14ac:dyDescent="0.25">
      <c r="A648" s="1"/>
      <c r="B648" s="3">
        <v>45540</v>
      </c>
      <c r="C648" s="4">
        <v>19.5</v>
      </c>
      <c r="D648" s="4">
        <v>17.875699999999998</v>
      </c>
      <c r="E648" s="4">
        <v>503</v>
      </c>
      <c r="F648" s="4">
        <v>19.501999999999999</v>
      </c>
      <c r="G648" s="4">
        <v>9809.5059999999994</v>
      </c>
      <c r="H648" s="5">
        <f t="shared" si="10"/>
        <v>-1.6640811521492885E-2</v>
      </c>
    </row>
    <row r="649" spans="1:8" ht="13.5" x14ac:dyDescent="0.25">
      <c r="A649" s="1"/>
      <c r="B649" s="3">
        <v>45541</v>
      </c>
      <c r="C649" s="4">
        <v>19.5</v>
      </c>
      <c r="D649" s="4">
        <v>17.875699999999998</v>
      </c>
      <c r="E649" s="4">
        <v>0</v>
      </c>
      <c r="F649" s="4">
        <v>0</v>
      </c>
      <c r="G649" s="4">
        <v>0</v>
      </c>
      <c r="H649" s="5">
        <f t="shared" si="10"/>
        <v>0</v>
      </c>
    </row>
    <row r="650" spans="1:8" ht="13.5" x14ac:dyDescent="0.25">
      <c r="A650" s="1"/>
      <c r="B650" s="3">
        <v>45544</v>
      </c>
      <c r="C650" s="4">
        <v>19.5</v>
      </c>
      <c r="D650" s="4">
        <v>17.875699999999998</v>
      </c>
      <c r="E650" s="4">
        <v>0</v>
      </c>
      <c r="F650" s="4">
        <v>0</v>
      </c>
      <c r="G650" s="4">
        <v>0</v>
      </c>
      <c r="H650" s="5">
        <f t="shared" si="10"/>
        <v>0</v>
      </c>
    </row>
    <row r="651" spans="1:8" ht="13.5" x14ac:dyDescent="0.25">
      <c r="A651" s="1"/>
      <c r="B651" s="3">
        <v>45545</v>
      </c>
      <c r="C651" s="4">
        <v>19.5</v>
      </c>
      <c r="D651" s="4">
        <v>17.875699999999998</v>
      </c>
      <c r="E651" s="4">
        <v>0</v>
      </c>
      <c r="F651" s="4">
        <v>0</v>
      </c>
      <c r="G651" s="4">
        <v>0</v>
      </c>
      <c r="H651" s="5">
        <f t="shared" si="10"/>
        <v>0</v>
      </c>
    </row>
    <row r="652" spans="1:8" ht="13.5" x14ac:dyDescent="0.25">
      <c r="A652" s="1"/>
      <c r="B652" s="3">
        <v>45546</v>
      </c>
      <c r="C652" s="4">
        <v>19.5</v>
      </c>
      <c r="D652" s="4">
        <v>17.875699999999998</v>
      </c>
      <c r="E652" s="4">
        <v>0</v>
      </c>
      <c r="F652" s="4">
        <v>0</v>
      </c>
      <c r="G652" s="4">
        <v>0</v>
      </c>
      <c r="H652" s="5">
        <f t="shared" si="10"/>
        <v>0</v>
      </c>
    </row>
    <row r="653" spans="1:8" ht="13.5" x14ac:dyDescent="0.25">
      <c r="A653" s="1"/>
      <c r="B653" s="3">
        <v>45547</v>
      </c>
      <c r="C653" s="4">
        <v>19.5</v>
      </c>
      <c r="D653" s="4">
        <v>17.875699999999998</v>
      </c>
      <c r="E653" s="4">
        <v>1620</v>
      </c>
      <c r="F653" s="4">
        <v>19.234999999999999</v>
      </c>
      <c r="G653" s="4">
        <v>31160.7</v>
      </c>
      <c r="H653" s="5">
        <f t="shared" si="10"/>
        <v>0</v>
      </c>
    </row>
    <row r="654" spans="1:8" ht="13.5" x14ac:dyDescent="0.25">
      <c r="A654" s="1"/>
      <c r="B654" s="3">
        <v>45548</v>
      </c>
      <c r="C654" s="4">
        <v>19.45</v>
      </c>
      <c r="D654" s="4">
        <v>17.829799999999999</v>
      </c>
      <c r="E654" s="4">
        <v>232</v>
      </c>
      <c r="F654" s="4">
        <v>19.073</v>
      </c>
      <c r="G654" s="4">
        <v>4424.9359999999997</v>
      </c>
      <c r="H654" s="5">
        <f t="shared" si="10"/>
        <v>-2.5677316133074293E-3</v>
      </c>
    </row>
    <row r="655" spans="1:8" ht="13.5" x14ac:dyDescent="0.25">
      <c r="A655" s="1"/>
      <c r="B655" s="3">
        <v>45551</v>
      </c>
      <c r="C655" s="4">
        <v>19.45</v>
      </c>
      <c r="D655" s="4">
        <v>17.829799999999999</v>
      </c>
      <c r="E655" s="4">
        <v>73</v>
      </c>
      <c r="F655" s="4">
        <v>19.401</v>
      </c>
      <c r="G655" s="4">
        <v>1416.2729999999999</v>
      </c>
      <c r="H655" s="5">
        <f t="shared" si="10"/>
        <v>0</v>
      </c>
    </row>
    <row r="656" spans="1:8" ht="13.5" x14ac:dyDescent="0.25">
      <c r="A656" s="1"/>
      <c r="B656" s="3">
        <v>45552</v>
      </c>
      <c r="C656" s="4">
        <v>19.399999999999999</v>
      </c>
      <c r="D656" s="4">
        <v>17.783999999999999</v>
      </c>
      <c r="E656" s="4">
        <v>7</v>
      </c>
      <c r="F656" s="4">
        <v>19.390999999999998</v>
      </c>
      <c r="G656" s="4">
        <v>135.73699999999999</v>
      </c>
      <c r="H656" s="5">
        <f t="shared" si="10"/>
        <v>-2.5687332443437303E-3</v>
      </c>
    </row>
    <row r="657" spans="1:8" ht="13.5" x14ac:dyDescent="0.25">
      <c r="A657" s="1"/>
      <c r="B657" s="3">
        <v>45553</v>
      </c>
      <c r="C657" s="4">
        <v>19.399999999999999</v>
      </c>
      <c r="D657" s="4">
        <v>17.783999999999999</v>
      </c>
      <c r="E657" s="4">
        <v>0</v>
      </c>
      <c r="F657" s="4">
        <v>0</v>
      </c>
      <c r="G657" s="4">
        <v>0</v>
      </c>
      <c r="H657" s="5">
        <f t="shared" si="10"/>
        <v>0</v>
      </c>
    </row>
    <row r="658" spans="1:8" ht="13.5" x14ac:dyDescent="0.25">
      <c r="A658" s="1"/>
      <c r="B658" s="3">
        <v>45554</v>
      </c>
      <c r="C658" s="4">
        <v>19.399999999999999</v>
      </c>
      <c r="D658" s="4">
        <v>17.783999999999999</v>
      </c>
      <c r="E658" s="4">
        <v>0</v>
      </c>
      <c r="F658" s="4">
        <v>0</v>
      </c>
      <c r="G658" s="4">
        <v>0</v>
      </c>
      <c r="H658" s="5">
        <f t="shared" si="10"/>
        <v>0</v>
      </c>
    </row>
    <row r="659" spans="1:8" ht="13.5" x14ac:dyDescent="0.25">
      <c r="A659" s="1"/>
      <c r="B659" s="3">
        <v>45555</v>
      </c>
      <c r="C659" s="4">
        <v>19.3</v>
      </c>
      <c r="D659" s="4">
        <v>17.692299999999999</v>
      </c>
      <c r="E659" s="4">
        <v>20</v>
      </c>
      <c r="F659" s="4">
        <v>19.29</v>
      </c>
      <c r="G659" s="4">
        <v>385.8</v>
      </c>
      <c r="H659" s="5">
        <f t="shared" si="10"/>
        <v>-5.1563202878992043E-3</v>
      </c>
    </row>
    <row r="660" spans="1:8" ht="13.5" x14ac:dyDescent="0.25">
      <c r="A660" s="1"/>
      <c r="B660" s="3">
        <v>45558</v>
      </c>
      <c r="C660" s="4">
        <v>19.3</v>
      </c>
      <c r="D660" s="4">
        <v>17.692299999999999</v>
      </c>
      <c r="E660" s="4">
        <v>0</v>
      </c>
      <c r="F660" s="4">
        <v>0</v>
      </c>
      <c r="G660" s="4">
        <v>0</v>
      </c>
      <c r="H660" s="5">
        <f t="shared" si="10"/>
        <v>0</v>
      </c>
    </row>
    <row r="661" spans="1:8" ht="13.5" x14ac:dyDescent="0.25">
      <c r="A661" s="1"/>
      <c r="B661" s="3">
        <v>45559</v>
      </c>
      <c r="C661" s="4">
        <v>18.989999999999998</v>
      </c>
      <c r="D661" s="4">
        <v>17.408100000000001</v>
      </c>
      <c r="E661" s="4">
        <v>1592</v>
      </c>
      <c r="F661" s="4">
        <v>18.824000000000002</v>
      </c>
      <c r="G661" s="4">
        <v>29967.808000000001</v>
      </c>
      <c r="H661" s="5">
        <f t="shared" si="10"/>
        <v>-1.6063485244993497E-2</v>
      </c>
    </row>
    <row r="662" spans="1:8" ht="13.5" x14ac:dyDescent="0.25">
      <c r="A662" s="1"/>
      <c r="B662" s="3">
        <v>45560</v>
      </c>
      <c r="C662" s="4">
        <v>18.989999999999998</v>
      </c>
      <c r="D662" s="4">
        <v>17.408100000000001</v>
      </c>
      <c r="E662" s="4">
        <v>21</v>
      </c>
      <c r="F662" s="4">
        <v>18.911999999999999</v>
      </c>
      <c r="G662" s="4">
        <v>397.15199999999999</v>
      </c>
      <c r="H662" s="5">
        <f t="shared" si="10"/>
        <v>0</v>
      </c>
    </row>
    <row r="663" spans="1:8" ht="13.5" x14ac:dyDescent="0.25">
      <c r="A663" s="1"/>
      <c r="B663" s="3">
        <v>45561</v>
      </c>
      <c r="C663" s="4">
        <v>18.989999999999998</v>
      </c>
      <c r="D663" s="4">
        <v>17.408100000000001</v>
      </c>
      <c r="E663" s="4">
        <v>746</v>
      </c>
      <c r="F663" s="4">
        <v>18.911999999999999</v>
      </c>
      <c r="G663" s="4">
        <v>14108.352000000001</v>
      </c>
      <c r="H663" s="5">
        <f t="shared" si="10"/>
        <v>0</v>
      </c>
    </row>
    <row r="664" spans="1:8" ht="13.5" x14ac:dyDescent="0.25">
      <c r="A664" s="1"/>
      <c r="B664" s="3">
        <v>45562</v>
      </c>
      <c r="C664" s="4">
        <v>18.989999999999998</v>
      </c>
      <c r="D664" s="4">
        <v>17.408100000000001</v>
      </c>
      <c r="E664" s="4">
        <v>843</v>
      </c>
      <c r="F664" s="4">
        <v>18.568999999999999</v>
      </c>
      <c r="G664" s="4">
        <v>15653.666999999999</v>
      </c>
      <c r="H664" s="5">
        <f t="shared" si="10"/>
        <v>0</v>
      </c>
    </row>
    <row r="665" spans="1:8" ht="13.5" x14ac:dyDescent="0.25">
      <c r="A665" s="1"/>
      <c r="B665" s="3">
        <v>45565</v>
      </c>
      <c r="C665" s="4">
        <v>18.97</v>
      </c>
      <c r="D665" s="4">
        <v>17.389800000000001</v>
      </c>
      <c r="E665" s="4">
        <v>408</v>
      </c>
      <c r="F665" s="4">
        <v>18.626999999999999</v>
      </c>
      <c r="G665" s="4">
        <v>7599.8159999999998</v>
      </c>
      <c r="H665" s="5">
        <f t="shared" si="10"/>
        <v>-1.0512347700208514E-3</v>
      </c>
    </row>
    <row r="666" spans="1:8" ht="13.5" x14ac:dyDescent="0.25">
      <c r="A666" s="1"/>
      <c r="B666" s="3">
        <v>45566</v>
      </c>
      <c r="C666" s="4">
        <v>19.3</v>
      </c>
      <c r="D666" s="4">
        <v>17.692299999999999</v>
      </c>
      <c r="E666" s="4">
        <v>420</v>
      </c>
      <c r="F666" s="4">
        <v>19.280999999999999</v>
      </c>
      <c r="G666" s="4">
        <v>8098.02</v>
      </c>
      <c r="H666" s="5">
        <f t="shared" si="10"/>
        <v>1.7395254689530553E-2</v>
      </c>
    </row>
    <row r="667" spans="1:8" ht="13.5" x14ac:dyDescent="0.25">
      <c r="A667" s="1"/>
      <c r="B667" s="3">
        <v>45567</v>
      </c>
      <c r="C667" s="4">
        <v>19.3</v>
      </c>
      <c r="D667" s="4">
        <v>17.692299999999999</v>
      </c>
      <c r="E667" s="4">
        <v>0</v>
      </c>
      <c r="F667" s="4">
        <v>0</v>
      </c>
      <c r="G667" s="4">
        <v>0</v>
      </c>
      <c r="H667" s="5">
        <f t="shared" si="10"/>
        <v>0</v>
      </c>
    </row>
    <row r="668" spans="1:8" ht="13.5" x14ac:dyDescent="0.25">
      <c r="A668" s="1"/>
      <c r="B668" s="3">
        <v>45568</v>
      </c>
      <c r="C668" s="4">
        <v>19.25</v>
      </c>
      <c r="D668" s="4">
        <v>17.6465</v>
      </c>
      <c r="E668" s="4">
        <v>9</v>
      </c>
      <c r="F668" s="4">
        <v>19.25</v>
      </c>
      <c r="G668" s="4">
        <v>173.25</v>
      </c>
      <c r="H668" s="5">
        <f t="shared" si="10"/>
        <v>-2.588696777694242E-3</v>
      </c>
    </row>
    <row r="669" spans="1:8" ht="13.5" x14ac:dyDescent="0.25">
      <c r="A669" s="1"/>
      <c r="B669" s="3">
        <v>45569</v>
      </c>
      <c r="C669" s="4">
        <v>19.190000000000001</v>
      </c>
      <c r="D669" s="4">
        <v>17.5915</v>
      </c>
      <c r="E669" s="4">
        <v>2930</v>
      </c>
      <c r="F669" s="4">
        <v>19.187999999999999</v>
      </c>
      <c r="G669" s="4">
        <v>56220.84</v>
      </c>
      <c r="H669" s="5">
        <f t="shared" si="10"/>
        <v>-3.1167653642365182E-3</v>
      </c>
    </row>
    <row r="670" spans="1:8" ht="13.5" x14ac:dyDescent="0.25">
      <c r="A670" s="1"/>
      <c r="B670" s="3">
        <v>45572</v>
      </c>
      <c r="C670" s="4">
        <v>19.18</v>
      </c>
      <c r="D670" s="4">
        <v>17.5823</v>
      </c>
      <c r="E670" s="4">
        <v>31</v>
      </c>
      <c r="F670" s="4">
        <v>19.181000000000001</v>
      </c>
      <c r="G670" s="4">
        <v>594.61099999999999</v>
      </c>
      <c r="H670" s="5">
        <f t="shared" si="10"/>
        <v>-5.2297984822214565E-4</v>
      </c>
    </row>
    <row r="671" spans="1:8" ht="13.5" x14ac:dyDescent="0.25">
      <c r="A671" s="1"/>
      <c r="B671" s="3">
        <v>45573</v>
      </c>
      <c r="C671" s="4">
        <v>19.190000000000001</v>
      </c>
      <c r="D671" s="4">
        <v>17.5915</v>
      </c>
      <c r="E671" s="4">
        <v>940</v>
      </c>
      <c r="F671" s="4">
        <v>19.187999999999999</v>
      </c>
      <c r="G671" s="4">
        <v>18036.72</v>
      </c>
      <c r="H671" s="5">
        <f t="shared" si="10"/>
        <v>5.2325349925776913E-4</v>
      </c>
    </row>
    <row r="672" spans="1:8" ht="13.5" x14ac:dyDescent="0.25">
      <c r="A672" s="1"/>
      <c r="B672" s="3">
        <v>45574</v>
      </c>
      <c r="C672" s="4">
        <v>18.04</v>
      </c>
      <c r="D672" s="4">
        <v>16.537299999999998</v>
      </c>
      <c r="E672" s="4">
        <v>8438</v>
      </c>
      <c r="F672" s="4">
        <v>18.119</v>
      </c>
      <c r="G672" s="4">
        <v>152888.122</v>
      </c>
      <c r="H672" s="5">
        <f t="shared" si="10"/>
        <v>-5.9926669129977635E-2</v>
      </c>
    </row>
    <row r="673" spans="1:8" ht="13.5" x14ac:dyDescent="0.25">
      <c r="A673" s="1"/>
      <c r="B673" s="3">
        <v>45575</v>
      </c>
      <c r="C673" s="4">
        <v>18.8</v>
      </c>
      <c r="D673" s="4">
        <v>17.234000000000002</v>
      </c>
      <c r="E673" s="4">
        <v>6</v>
      </c>
      <c r="F673" s="4">
        <v>18.725000000000001</v>
      </c>
      <c r="G673" s="4">
        <v>112.35</v>
      </c>
      <c r="H673" s="5">
        <f t="shared" si="10"/>
        <v>4.2129005339444983E-2</v>
      </c>
    </row>
    <row r="674" spans="1:8" ht="13.5" x14ac:dyDescent="0.25">
      <c r="A674" s="1"/>
      <c r="B674" s="3">
        <v>45576</v>
      </c>
      <c r="C674" s="4">
        <v>18.440000000000001</v>
      </c>
      <c r="D674" s="4">
        <v>16.9039</v>
      </c>
      <c r="E674" s="4">
        <v>2090</v>
      </c>
      <c r="F674" s="4">
        <v>18.238</v>
      </c>
      <c r="G674" s="4">
        <v>38117.42</v>
      </c>
      <c r="H674" s="5">
        <f t="shared" si="10"/>
        <v>-1.9153997911106044E-2</v>
      </c>
    </row>
    <row r="675" spans="1:8" ht="13.5" x14ac:dyDescent="0.25">
      <c r="A675" s="1"/>
      <c r="B675" s="3">
        <v>45579</v>
      </c>
      <c r="C675" s="4">
        <v>18.7</v>
      </c>
      <c r="D675" s="4">
        <v>17.142299999999999</v>
      </c>
      <c r="E675" s="4">
        <v>312</v>
      </c>
      <c r="F675" s="4">
        <v>18.376999999999999</v>
      </c>
      <c r="G675" s="4">
        <v>5733.6239999999998</v>
      </c>
      <c r="H675" s="5">
        <f t="shared" si="10"/>
        <v>1.4103254278598348E-2</v>
      </c>
    </row>
    <row r="676" spans="1:8" ht="13.5" x14ac:dyDescent="0.25">
      <c r="A676" s="1"/>
      <c r="B676" s="3">
        <v>45581</v>
      </c>
      <c r="C676" s="4">
        <v>19.170000000000002</v>
      </c>
      <c r="D676" s="4">
        <v>17.5731</v>
      </c>
      <c r="E676" s="4">
        <v>3853</v>
      </c>
      <c r="F676" s="4">
        <v>18.908000000000001</v>
      </c>
      <c r="G676" s="4">
        <v>72852.524000000005</v>
      </c>
      <c r="H676" s="5">
        <f t="shared" si="10"/>
        <v>2.5130816751544507E-2</v>
      </c>
    </row>
    <row r="677" spans="1:8" ht="13.5" x14ac:dyDescent="0.25">
      <c r="A677" s="1"/>
      <c r="B677" s="3">
        <v>45582</v>
      </c>
      <c r="C677" s="4">
        <v>19</v>
      </c>
      <c r="D677" s="4">
        <v>17.417300000000001</v>
      </c>
      <c r="E677" s="4">
        <v>276</v>
      </c>
      <c r="F677" s="4">
        <v>19</v>
      </c>
      <c r="G677" s="4">
        <v>5244</v>
      </c>
      <c r="H677" s="5">
        <f t="shared" si="10"/>
        <v>-8.865823332252094E-3</v>
      </c>
    </row>
    <row r="678" spans="1:8" ht="13.5" x14ac:dyDescent="0.25">
      <c r="A678" s="1"/>
      <c r="B678" s="3">
        <v>45583</v>
      </c>
      <c r="C678" s="4">
        <v>19</v>
      </c>
      <c r="D678" s="4">
        <v>17.417300000000001</v>
      </c>
      <c r="E678" s="4">
        <v>0</v>
      </c>
      <c r="F678" s="4">
        <v>0</v>
      </c>
      <c r="G678" s="4">
        <v>0</v>
      </c>
      <c r="H678" s="5">
        <f t="shared" si="10"/>
        <v>0</v>
      </c>
    </row>
    <row r="679" spans="1:8" ht="13.5" x14ac:dyDescent="0.25">
      <c r="A679" s="1"/>
      <c r="B679" s="3">
        <v>45586</v>
      </c>
      <c r="C679" s="4">
        <v>18.88</v>
      </c>
      <c r="D679" s="4">
        <v>17.307300000000001</v>
      </c>
      <c r="E679" s="4">
        <v>3923</v>
      </c>
      <c r="F679" s="4">
        <v>18.38</v>
      </c>
      <c r="G679" s="4">
        <v>72104.740000000005</v>
      </c>
      <c r="H679" s="5">
        <f t="shared" si="10"/>
        <v>-6.3155598169635611E-3</v>
      </c>
    </row>
    <row r="680" spans="1:8" ht="13.5" x14ac:dyDescent="0.25">
      <c r="A680" s="1"/>
      <c r="B680" s="3">
        <v>45587</v>
      </c>
      <c r="C680" s="4">
        <v>18.98</v>
      </c>
      <c r="D680" s="4">
        <v>17.399000000000001</v>
      </c>
      <c r="E680" s="4">
        <v>1741</v>
      </c>
      <c r="F680" s="4">
        <v>18.969000000000001</v>
      </c>
      <c r="G680" s="4">
        <v>33025.029000000002</v>
      </c>
      <c r="H680" s="5">
        <f t="shared" si="10"/>
        <v>5.2983423179813974E-3</v>
      </c>
    </row>
    <row r="681" spans="1:8" ht="13.5" x14ac:dyDescent="0.25">
      <c r="A681" s="1"/>
      <c r="B681" s="3">
        <v>45588</v>
      </c>
      <c r="C681" s="4">
        <v>19</v>
      </c>
      <c r="D681" s="4">
        <v>17.417300000000001</v>
      </c>
      <c r="E681" s="4">
        <v>200</v>
      </c>
      <c r="F681" s="4">
        <v>19</v>
      </c>
      <c r="G681" s="4">
        <v>3800</v>
      </c>
      <c r="H681" s="5">
        <f t="shared" si="10"/>
        <v>1.0517845853209944E-3</v>
      </c>
    </row>
    <row r="682" spans="1:8" ht="13.5" x14ac:dyDescent="0.25">
      <c r="A682" s="1"/>
      <c r="B682" s="3">
        <v>45589</v>
      </c>
      <c r="C682" s="4">
        <v>19</v>
      </c>
      <c r="D682" s="4">
        <v>17.417300000000001</v>
      </c>
      <c r="E682" s="4">
        <v>0</v>
      </c>
      <c r="F682" s="4">
        <v>0</v>
      </c>
      <c r="G682" s="4">
        <v>0</v>
      </c>
      <c r="H682" s="5">
        <f t="shared" si="10"/>
        <v>0</v>
      </c>
    </row>
    <row r="683" spans="1:8" ht="13.5" x14ac:dyDescent="0.25">
      <c r="A683" s="1"/>
      <c r="B683" s="3">
        <v>45590</v>
      </c>
      <c r="C683" s="4">
        <v>18.72</v>
      </c>
      <c r="D683" s="4">
        <v>17.160599999999999</v>
      </c>
      <c r="E683" s="4">
        <v>5600</v>
      </c>
      <c r="F683" s="4">
        <v>18.302</v>
      </c>
      <c r="G683" s="4">
        <v>102491.2</v>
      </c>
      <c r="H683" s="5">
        <f t="shared" si="10"/>
        <v>-1.4738220045586982E-2</v>
      </c>
    </row>
    <row r="684" spans="1:8" ht="13.5" x14ac:dyDescent="0.25">
      <c r="A684" s="1"/>
      <c r="B684" s="3">
        <v>45593</v>
      </c>
      <c r="C684" s="4">
        <v>18.760000000000002</v>
      </c>
      <c r="D684" s="4">
        <v>17.197299999999998</v>
      </c>
      <c r="E684" s="4">
        <v>1916</v>
      </c>
      <c r="F684" s="4">
        <v>18.475999999999999</v>
      </c>
      <c r="G684" s="4">
        <v>35400.016000000003</v>
      </c>
      <c r="H684" s="5">
        <f t="shared" si="10"/>
        <v>2.1386198617763794E-3</v>
      </c>
    </row>
    <row r="685" spans="1:8" ht="13.5" x14ac:dyDescent="0.25">
      <c r="A685" s="1"/>
      <c r="B685" s="3">
        <v>45594</v>
      </c>
      <c r="C685" s="4">
        <v>18.760000000000002</v>
      </c>
      <c r="D685" s="4">
        <v>17.197299999999998</v>
      </c>
      <c r="E685" s="4">
        <v>250</v>
      </c>
      <c r="F685" s="4">
        <v>18.760000000000002</v>
      </c>
      <c r="G685" s="4">
        <v>4690</v>
      </c>
      <c r="H685" s="5">
        <f t="shared" si="10"/>
        <v>0</v>
      </c>
    </row>
    <row r="686" spans="1:8" ht="13.5" x14ac:dyDescent="0.25">
      <c r="A686" s="1"/>
      <c r="B686" s="3">
        <v>45595</v>
      </c>
      <c r="C686" s="4">
        <v>18.61</v>
      </c>
      <c r="D686" s="4">
        <v>17.059799999999999</v>
      </c>
      <c r="E686" s="4">
        <v>174</v>
      </c>
      <c r="F686" s="4">
        <v>18.385999999999999</v>
      </c>
      <c r="G686" s="4">
        <v>3199.1640000000002</v>
      </c>
      <c r="H686" s="5">
        <f t="shared" si="10"/>
        <v>-7.9954411448308338E-3</v>
      </c>
    </row>
    <row r="687" spans="1:8" ht="13.5" x14ac:dyDescent="0.25">
      <c r="A687" s="1"/>
      <c r="B687" s="3">
        <v>45596</v>
      </c>
      <c r="C687" s="4">
        <v>18.73</v>
      </c>
      <c r="D687" s="4">
        <v>17.169799999999999</v>
      </c>
      <c r="E687" s="4">
        <v>548</v>
      </c>
      <c r="F687" s="4">
        <v>18.542999999999999</v>
      </c>
      <c r="G687" s="4">
        <v>10161.564</v>
      </c>
      <c r="H687" s="5">
        <f t="shared" si="10"/>
        <v>6.4479067749914675E-3</v>
      </c>
    </row>
    <row r="688" spans="1:8" ht="13.5" x14ac:dyDescent="0.25">
      <c r="A688" s="1"/>
      <c r="B688" s="3">
        <v>45597</v>
      </c>
      <c r="C688" s="4">
        <v>19.25</v>
      </c>
      <c r="D688" s="4">
        <v>17.6465</v>
      </c>
      <c r="E688" s="4">
        <v>2787</v>
      </c>
      <c r="F688" s="4">
        <v>18.920000000000002</v>
      </c>
      <c r="G688" s="4">
        <v>52730.04</v>
      </c>
      <c r="H688" s="5">
        <f t="shared" si="10"/>
        <v>2.7763864459690913E-2</v>
      </c>
    </row>
    <row r="689" spans="1:8" ht="13.5" x14ac:dyDescent="0.25">
      <c r="A689" s="1"/>
      <c r="B689" s="3">
        <v>45600</v>
      </c>
      <c r="C689" s="4">
        <v>19.5</v>
      </c>
      <c r="D689" s="4">
        <v>17.875699999999998</v>
      </c>
      <c r="E689" s="4">
        <v>4463</v>
      </c>
      <c r="F689" s="4">
        <v>19.318000000000001</v>
      </c>
      <c r="G689" s="4">
        <v>86216.233999999997</v>
      </c>
      <c r="H689" s="5">
        <f t="shared" si="10"/>
        <v>1.2988411299691086E-2</v>
      </c>
    </row>
    <row r="690" spans="1:8" ht="13.5" x14ac:dyDescent="0.25">
      <c r="A690" s="1"/>
      <c r="B690" s="3">
        <v>45601</v>
      </c>
      <c r="C690" s="4">
        <v>19.600000000000001</v>
      </c>
      <c r="D690" s="4">
        <v>17.967300000000002</v>
      </c>
      <c r="E690" s="4">
        <v>1240</v>
      </c>
      <c r="F690" s="4">
        <v>19.577000000000002</v>
      </c>
      <c r="G690" s="4">
        <v>24275.48</v>
      </c>
      <c r="H690" s="5">
        <f t="shared" si="10"/>
        <v>5.1242748535723489E-3</v>
      </c>
    </row>
    <row r="691" spans="1:8" ht="13.5" x14ac:dyDescent="0.25">
      <c r="A691" s="1"/>
      <c r="B691" s="3">
        <v>45602</v>
      </c>
      <c r="C691" s="4">
        <v>19.55</v>
      </c>
      <c r="D691" s="4">
        <v>17.921500000000002</v>
      </c>
      <c r="E691" s="4">
        <v>255</v>
      </c>
      <c r="F691" s="4">
        <v>19.285</v>
      </c>
      <c r="G691" s="4">
        <v>4917.6750000000002</v>
      </c>
      <c r="H691" s="5">
        <f t="shared" si="10"/>
        <v>-2.549075264508292E-3</v>
      </c>
    </row>
    <row r="692" spans="1:8" ht="13.5" x14ac:dyDescent="0.25">
      <c r="A692" s="1"/>
      <c r="B692" s="3">
        <v>45603</v>
      </c>
      <c r="C692" s="4">
        <v>19.37</v>
      </c>
      <c r="D692" s="4">
        <v>17.756499999999999</v>
      </c>
      <c r="E692" s="4">
        <v>2949</v>
      </c>
      <c r="F692" s="4">
        <v>19.175000000000001</v>
      </c>
      <c r="G692" s="4">
        <v>56547.074999999997</v>
      </c>
      <c r="H692" s="5">
        <f t="shared" si="10"/>
        <v>-9.2068186256732236E-3</v>
      </c>
    </row>
    <row r="693" spans="1:8" ht="13.5" x14ac:dyDescent="0.25">
      <c r="A693" s="1"/>
      <c r="B693" s="3">
        <v>45604</v>
      </c>
      <c r="C693" s="4">
        <v>19</v>
      </c>
      <c r="D693" s="4">
        <v>17.417300000000001</v>
      </c>
      <c r="E693" s="4">
        <v>4833</v>
      </c>
      <c r="F693" s="4">
        <v>19.091000000000001</v>
      </c>
      <c r="G693" s="4">
        <v>92266.803</v>
      </c>
      <c r="H693" s="5">
        <f t="shared" si="10"/>
        <v>-1.9102863740038757E-2</v>
      </c>
    </row>
    <row r="694" spans="1:8" ht="13.5" x14ac:dyDescent="0.25">
      <c r="A694" s="1"/>
      <c r="B694" s="3">
        <v>45607</v>
      </c>
      <c r="C694" s="4">
        <v>19.3</v>
      </c>
      <c r="D694" s="4">
        <v>17.692299999999999</v>
      </c>
      <c r="E694" s="4">
        <v>282</v>
      </c>
      <c r="F694" s="4">
        <v>19.065999999999999</v>
      </c>
      <c r="G694" s="4">
        <v>5376.6120000000001</v>
      </c>
      <c r="H694" s="5">
        <f t="shared" si="10"/>
        <v>1.5788899542408901E-2</v>
      </c>
    </row>
    <row r="695" spans="1:8" ht="13.5" x14ac:dyDescent="0.25">
      <c r="A695" s="1"/>
      <c r="B695" s="3">
        <v>45608</v>
      </c>
      <c r="C695" s="4">
        <v>19</v>
      </c>
      <c r="D695" s="4">
        <v>17.417300000000001</v>
      </c>
      <c r="E695" s="4">
        <v>1868</v>
      </c>
      <c r="F695" s="4">
        <v>19.010999999999999</v>
      </c>
      <c r="G695" s="4">
        <v>35512.548000000003</v>
      </c>
      <c r="H695" s="5">
        <f t="shared" si="10"/>
        <v>-1.554348501890645E-2</v>
      </c>
    </row>
    <row r="696" spans="1:8" ht="13.5" x14ac:dyDescent="0.25">
      <c r="A696" s="1"/>
      <c r="B696" s="3">
        <v>45609</v>
      </c>
      <c r="C696" s="4">
        <v>19</v>
      </c>
      <c r="D696" s="4">
        <v>17.417300000000001</v>
      </c>
      <c r="E696" s="4">
        <v>1080</v>
      </c>
      <c r="F696" s="4">
        <v>18.965</v>
      </c>
      <c r="G696" s="4">
        <v>20482.2</v>
      </c>
      <c r="H696" s="5">
        <f t="shared" si="10"/>
        <v>0</v>
      </c>
    </row>
    <row r="697" spans="1:8" ht="13.5" x14ac:dyDescent="0.25">
      <c r="A697" s="1"/>
      <c r="B697" s="3">
        <v>45610</v>
      </c>
      <c r="C697" s="4">
        <v>19</v>
      </c>
      <c r="D697" s="4">
        <v>17.417300000000001</v>
      </c>
      <c r="E697" s="4">
        <v>325</v>
      </c>
      <c r="F697" s="4">
        <v>18.876999999999999</v>
      </c>
      <c r="G697" s="4">
        <v>6135.0249999999996</v>
      </c>
      <c r="H697" s="5">
        <f t="shared" si="10"/>
        <v>0</v>
      </c>
    </row>
    <row r="698" spans="1:8" ht="13.5" x14ac:dyDescent="0.25">
      <c r="A698" s="1"/>
      <c r="B698" s="3">
        <v>45611</v>
      </c>
      <c r="C698" s="4">
        <v>18.5</v>
      </c>
      <c r="D698" s="4">
        <v>16.9589</v>
      </c>
      <c r="E698" s="4">
        <v>8926</v>
      </c>
      <c r="F698" s="4">
        <v>18.736000000000001</v>
      </c>
      <c r="G698" s="4">
        <v>167237.53599999999</v>
      </c>
      <c r="H698" s="5">
        <f t="shared" si="10"/>
        <v>-2.631866018269198E-2</v>
      </c>
    </row>
    <row r="699" spans="1:8" ht="13.5" x14ac:dyDescent="0.25">
      <c r="A699" s="1"/>
      <c r="B699" s="3">
        <v>45614</v>
      </c>
      <c r="C699" s="4">
        <v>18.95</v>
      </c>
      <c r="D699" s="4">
        <v>17.371500000000001</v>
      </c>
      <c r="E699" s="4">
        <v>434</v>
      </c>
      <c r="F699" s="4">
        <v>18.745000000000001</v>
      </c>
      <c r="G699" s="4">
        <v>8135.33</v>
      </c>
      <c r="H699" s="5">
        <f t="shared" si="10"/>
        <v>2.4329408157368768E-2</v>
      </c>
    </row>
    <row r="700" spans="1:8" ht="13.5" x14ac:dyDescent="0.25">
      <c r="A700" s="1"/>
      <c r="B700" s="3">
        <v>45615</v>
      </c>
      <c r="C700" s="4">
        <v>18.920000000000002</v>
      </c>
      <c r="D700" s="4">
        <v>17.344000000000001</v>
      </c>
      <c r="E700" s="4">
        <v>628</v>
      </c>
      <c r="F700" s="4">
        <v>18.617999999999999</v>
      </c>
      <c r="G700" s="4">
        <v>11692.103999999999</v>
      </c>
      <c r="H700" s="5">
        <f t="shared" si="10"/>
        <v>-1.5830527012635556E-3</v>
      </c>
    </row>
    <row r="701" spans="1:8" ht="13.5" x14ac:dyDescent="0.25">
      <c r="A701" s="1"/>
      <c r="B701" s="3">
        <v>45616</v>
      </c>
      <c r="C701" s="4">
        <v>18.2</v>
      </c>
      <c r="D701" s="4">
        <v>16.683900000000001</v>
      </c>
      <c r="E701" s="4">
        <v>6063</v>
      </c>
      <c r="F701" s="4">
        <v>18.324000000000002</v>
      </c>
      <c r="G701" s="4">
        <v>111098.412</v>
      </c>
      <c r="H701" s="5">
        <f t="shared" si="10"/>
        <v>-3.8059271217712166E-2</v>
      </c>
    </row>
    <row r="702" spans="1:8" ht="13.5" x14ac:dyDescent="0.25">
      <c r="A702" s="1"/>
      <c r="B702" s="3">
        <v>45617</v>
      </c>
      <c r="C702" s="4">
        <v>18.77</v>
      </c>
      <c r="D702" s="4">
        <v>17.206499999999998</v>
      </c>
      <c r="E702" s="4">
        <v>5017</v>
      </c>
      <c r="F702" s="4">
        <v>18.286000000000001</v>
      </c>
      <c r="G702" s="4">
        <v>91740.861999999994</v>
      </c>
      <c r="H702" s="5">
        <f t="shared" si="10"/>
        <v>3.1323611385826879E-2</v>
      </c>
    </row>
    <row r="703" spans="1:8" ht="13.5" x14ac:dyDescent="0.25">
      <c r="A703" s="1"/>
      <c r="B703" s="3">
        <v>45618</v>
      </c>
      <c r="C703" s="4">
        <v>18.7</v>
      </c>
      <c r="D703" s="4">
        <v>17.142299999999999</v>
      </c>
      <c r="E703" s="4">
        <v>360</v>
      </c>
      <c r="F703" s="4">
        <v>18.564</v>
      </c>
      <c r="G703" s="4">
        <v>6683.04</v>
      </c>
      <c r="H703" s="5">
        <f t="shared" si="10"/>
        <v>-3.7311481126318306E-3</v>
      </c>
    </row>
    <row r="704" spans="1:8" ht="13.5" x14ac:dyDescent="0.25">
      <c r="A704" s="1"/>
      <c r="B704" s="3">
        <v>45621</v>
      </c>
      <c r="C704" s="4">
        <v>18.690000000000001</v>
      </c>
      <c r="D704" s="4">
        <v>17.133099999999999</v>
      </c>
      <c r="E704" s="4">
        <v>698</v>
      </c>
      <c r="F704" s="4">
        <v>18.413</v>
      </c>
      <c r="G704" s="4">
        <v>12852.273999999999</v>
      </c>
      <c r="H704" s="5">
        <f t="shared" si="10"/>
        <v>-5.366841089001987E-4</v>
      </c>
    </row>
    <row r="705" spans="1:8" ht="13.5" x14ac:dyDescent="0.25">
      <c r="A705" s="1"/>
      <c r="B705" s="3">
        <v>45622</v>
      </c>
      <c r="C705" s="4">
        <v>18.8</v>
      </c>
      <c r="D705" s="4">
        <v>17.234000000000002</v>
      </c>
      <c r="E705" s="4">
        <v>10</v>
      </c>
      <c r="F705" s="4">
        <v>18.8</v>
      </c>
      <c r="G705" s="4">
        <v>188</v>
      </c>
      <c r="H705" s="5">
        <f t="shared" si="10"/>
        <v>5.889185261278046E-3</v>
      </c>
    </row>
    <row r="706" spans="1:8" ht="13.5" x14ac:dyDescent="0.25">
      <c r="A706" s="1"/>
      <c r="B706" s="3">
        <v>45623</v>
      </c>
      <c r="C706" s="4">
        <v>18.5</v>
      </c>
      <c r="D706" s="4">
        <v>16.9589</v>
      </c>
      <c r="E706" s="4">
        <v>1816</v>
      </c>
      <c r="F706" s="4">
        <v>18.236000000000001</v>
      </c>
      <c r="G706" s="4">
        <v>33116.576000000001</v>
      </c>
      <c r="H706" s="5">
        <f t="shared" si="10"/>
        <v>-1.5962632006498889E-2</v>
      </c>
    </row>
    <row r="707" spans="1:8" ht="13.5" x14ac:dyDescent="0.25">
      <c r="A707" s="1"/>
      <c r="B707" s="3">
        <v>45624</v>
      </c>
      <c r="C707" s="4">
        <v>18.64</v>
      </c>
      <c r="D707" s="4">
        <v>17.087299999999999</v>
      </c>
      <c r="E707" s="4">
        <v>2471</v>
      </c>
      <c r="F707" s="4">
        <v>18.238</v>
      </c>
      <c r="G707" s="4">
        <v>45066.097999999998</v>
      </c>
      <c r="H707" s="5">
        <f t="shared" si="10"/>
        <v>7.5712457765538558E-3</v>
      </c>
    </row>
    <row r="708" spans="1:8" ht="13.5" x14ac:dyDescent="0.25">
      <c r="A708" s="1"/>
      <c r="B708" s="3">
        <v>45625</v>
      </c>
      <c r="C708" s="4">
        <v>18.93</v>
      </c>
      <c r="D708" s="4">
        <v>17.353100000000001</v>
      </c>
      <c r="E708" s="4">
        <v>11606</v>
      </c>
      <c r="F708" s="4">
        <v>18.815999999999999</v>
      </c>
      <c r="G708" s="4">
        <v>218378.49600000001</v>
      </c>
      <c r="H708" s="5">
        <f t="shared" si="10"/>
        <v>1.555541249934175E-2</v>
      </c>
    </row>
    <row r="709" spans="1:8" ht="13.5" x14ac:dyDescent="0.25">
      <c r="A709" s="1"/>
      <c r="B709" s="3">
        <v>45628</v>
      </c>
      <c r="C709" s="4">
        <v>19.29</v>
      </c>
      <c r="D709" s="4">
        <v>17.6831</v>
      </c>
      <c r="E709" s="4">
        <v>3579</v>
      </c>
      <c r="F709" s="4">
        <v>19.038</v>
      </c>
      <c r="G709" s="4">
        <v>68137.001999999993</v>
      </c>
      <c r="H709" s="5">
        <f t="shared" si="10"/>
        <v>1.901677510070237E-2</v>
      </c>
    </row>
    <row r="710" spans="1:8" ht="13.5" x14ac:dyDescent="0.25">
      <c r="A710" s="1"/>
      <c r="B710" s="3">
        <v>45629</v>
      </c>
      <c r="C710" s="4">
        <v>19.29</v>
      </c>
      <c r="D710" s="4">
        <v>17.6831</v>
      </c>
      <c r="E710" s="4">
        <v>842</v>
      </c>
      <c r="F710" s="4">
        <v>19.087</v>
      </c>
      <c r="G710" s="4">
        <v>16071.254000000001</v>
      </c>
      <c r="H710" s="5">
        <f t="shared" si="10"/>
        <v>0</v>
      </c>
    </row>
    <row r="711" spans="1:8" ht="13.5" x14ac:dyDescent="0.25">
      <c r="A711" s="1"/>
      <c r="B711" s="3">
        <v>45630</v>
      </c>
      <c r="C711" s="4">
        <v>19</v>
      </c>
      <c r="D711" s="4">
        <v>17.417300000000001</v>
      </c>
      <c r="E711" s="4">
        <v>3599</v>
      </c>
      <c r="F711" s="4">
        <v>18.98</v>
      </c>
      <c r="G711" s="4">
        <v>68309.02</v>
      </c>
      <c r="H711" s="5">
        <f t="shared" ref="H711:H774" si="11">(D711-D710)/D710</f>
        <v>-1.5031301072775628E-2</v>
      </c>
    </row>
    <row r="712" spans="1:8" ht="13.5" x14ac:dyDescent="0.25">
      <c r="A712" s="1"/>
      <c r="B712" s="3">
        <v>45631</v>
      </c>
      <c r="C712" s="4">
        <v>19.25</v>
      </c>
      <c r="D712" s="4">
        <v>17.6465</v>
      </c>
      <c r="E712" s="4">
        <v>255</v>
      </c>
      <c r="F712" s="4">
        <v>19.048999999999999</v>
      </c>
      <c r="G712" s="4">
        <v>4857.4949999999999</v>
      </c>
      <c r="H712" s="5">
        <f t="shared" si="11"/>
        <v>1.3159330091345888E-2</v>
      </c>
    </row>
    <row r="713" spans="1:8" ht="13.5" x14ac:dyDescent="0.25">
      <c r="A713" s="1"/>
      <c r="B713" s="3">
        <v>45632</v>
      </c>
      <c r="C713" s="4">
        <v>19.2</v>
      </c>
      <c r="D713" s="4">
        <v>17.6006</v>
      </c>
      <c r="E713" s="4">
        <v>4601</v>
      </c>
      <c r="F713" s="4">
        <v>19.056999999999999</v>
      </c>
      <c r="G713" s="4">
        <v>87681.256999999998</v>
      </c>
      <c r="H713" s="5">
        <f t="shared" si="11"/>
        <v>-2.6010823676082856E-3</v>
      </c>
    </row>
    <row r="714" spans="1:8" ht="13.5" x14ac:dyDescent="0.25">
      <c r="A714" s="1"/>
      <c r="B714" s="3">
        <v>45635</v>
      </c>
      <c r="C714" s="4">
        <v>19.2</v>
      </c>
      <c r="D714" s="4">
        <v>17.6006</v>
      </c>
      <c r="E714" s="4">
        <v>2771</v>
      </c>
      <c r="F714" s="4">
        <v>18.901</v>
      </c>
      <c r="G714" s="4">
        <v>52374.671000000002</v>
      </c>
      <c r="H714" s="5">
        <f t="shared" si="11"/>
        <v>0</v>
      </c>
    </row>
    <row r="715" spans="1:8" ht="13.5" x14ac:dyDescent="0.25">
      <c r="A715" s="1"/>
      <c r="B715" s="3">
        <v>45636</v>
      </c>
      <c r="C715" s="4">
        <v>19.149999999999999</v>
      </c>
      <c r="D715" s="4">
        <v>17.5548</v>
      </c>
      <c r="E715" s="4">
        <v>225</v>
      </c>
      <c r="F715" s="4">
        <v>19.006</v>
      </c>
      <c r="G715" s="4">
        <v>4276.3500000000004</v>
      </c>
      <c r="H715" s="5">
        <f t="shared" si="11"/>
        <v>-2.6021840164539753E-3</v>
      </c>
    </row>
    <row r="716" spans="1:8" ht="13.5" x14ac:dyDescent="0.25">
      <c r="A716" s="1"/>
      <c r="B716" s="3">
        <v>45637</v>
      </c>
      <c r="C716" s="4">
        <v>19.18</v>
      </c>
      <c r="D716" s="4">
        <v>17.5823</v>
      </c>
      <c r="E716" s="4">
        <v>2620</v>
      </c>
      <c r="F716" s="4">
        <v>18.992999999999999</v>
      </c>
      <c r="G716" s="4">
        <v>49761.66</v>
      </c>
      <c r="H716" s="5">
        <f t="shared" si="11"/>
        <v>1.5665231161847391E-3</v>
      </c>
    </row>
    <row r="717" spans="1:8" ht="13.5" x14ac:dyDescent="0.25">
      <c r="A717" s="1"/>
      <c r="B717" s="3">
        <v>45638</v>
      </c>
      <c r="C717" s="4">
        <v>19.579999999999998</v>
      </c>
      <c r="D717" s="4">
        <v>17.949000000000002</v>
      </c>
      <c r="E717" s="4">
        <v>3316</v>
      </c>
      <c r="F717" s="4">
        <v>19.355</v>
      </c>
      <c r="G717" s="4">
        <v>64181.18</v>
      </c>
      <c r="H717" s="5">
        <f t="shared" si="11"/>
        <v>2.0856201975850804E-2</v>
      </c>
    </row>
    <row r="718" spans="1:8" ht="13.5" x14ac:dyDescent="0.25">
      <c r="A718" s="1"/>
      <c r="B718" s="3">
        <v>45639</v>
      </c>
      <c r="C718" s="4">
        <v>20.53</v>
      </c>
      <c r="D718" s="4">
        <v>18.819900000000001</v>
      </c>
      <c r="E718" s="4">
        <v>6407</v>
      </c>
      <c r="F718" s="4">
        <v>20.192</v>
      </c>
      <c r="G718" s="4">
        <v>129370.144</v>
      </c>
      <c r="H718" s="5">
        <f t="shared" si="11"/>
        <v>4.8520808958716299E-2</v>
      </c>
    </row>
    <row r="719" spans="1:8" ht="13.5" x14ac:dyDescent="0.25">
      <c r="A719" s="1"/>
      <c r="B719" s="3">
        <v>45642</v>
      </c>
      <c r="C719" s="4">
        <v>20.77</v>
      </c>
      <c r="D719" s="4">
        <v>19.039899999999999</v>
      </c>
      <c r="E719" s="4">
        <v>5017</v>
      </c>
      <c r="F719" s="4">
        <v>20.632000000000001</v>
      </c>
      <c r="G719" s="4">
        <v>103510.74400000001</v>
      </c>
      <c r="H719" s="5">
        <f t="shared" si="11"/>
        <v>1.1689753930679699E-2</v>
      </c>
    </row>
    <row r="720" spans="1:8" ht="13.5" x14ac:dyDescent="0.25">
      <c r="A720" s="1"/>
      <c r="B720" s="3">
        <v>45644</v>
      </c>
      <c r="C720" s="4">
        <v>22</v>
      </c>
      <c r="D720" s="4">
        <v>20.167400000000001</v>
      </c>
      <c r="E720" s="4">
        <v>6059</v>
      </c>
      <c r="F720" s="4">
        <v>21.259</v>
      </c>
      <c r="G720" s="4">
        <v>128808.281</v>
      </c>
      <c r="H720" s="5">
        <f t="shared" si="11"/>
        <v>5.9217747992373976E-2</v>
      </c>
    </row>
    <row r="721" spans="1:8" ht="13.5" x14ac:dyDescent="0.25">
      <c r="A721" s="1"/>
      <c r="B721" s="3">
        <v>45645</v>
      </c>
      <c r="C721" s="4">
        <v>22</v>
      </c>
      <c r="D721" s="4">
        <v>20.167400000000001</v>
      </c>
      <c r="E721" s="4">
        <v>9515</v>
      </c>
      <c r="F721" s="4">
        <v>21.989000000000001</v>
      </c>
      <c r="G721" s="4">
        <v>209225.33499999999</v>
      </c>
      <c r="H721" s="5">
        <f t="shared" si="11"/>
        <v>0</v>
      </c>
    </row>
    <row r="722" spans="1:8" ht="13.5" x14ac:dyDescent="0.25">
      <c r="A722" s="1"/>
      <c r="B722" s="3">
        <v>45646</v>
      </c>
      <c r="C722" s="4">
        <v>21</v>
      </c>
      <c r="D722" s="4">
        <v>19.250699999999998</v>
      </c>
      <c r="E722" s="4">
        <v>4838</v>
      </c>
      <c r="F722" s="4">
        <v>21.228999999999999</v>
      </c>
      <c r="G722" s="4">
        <v>102705.902</v>
      </c>
      <c r="H722" s="5">
        <f t="shared" si="11"/>
        <v>-4.5454545454545567E-2</v>
      </c>
    </row>
    <row r="723" spans="1:8" ht="13.5" x14ac:dyDescent="0.25">
      <c r="A723" s="1"/>
      <c r="B723" s="3">
        <v>45649</v>
      </c>
      <c r="C723" s="4">
        <v>21</v>
      </c>
      <c r="D723" s="4">
        <v>19.250699999999998</v>
      </c>
      <c r="E723" s="4">
        <v>1224</v>
      </c>
      <c r="F723" s="4">
        <v>21.015999999999998</v>
      </c>
      <c r="G723" s="4">
        <v>25723.583999999999</v>
      </c>
      <c r="H723" s="5">
        <f t="shared" si="11"/>
        <v>0</v>
      </c>
    </row>
    <row r="724" spans="1:8" ht="13.5" x14ac:dyDescent="0.25">
      <c r="A724" s="1"/>
      <c r="B724" s="3">
        <v>45650</v>
      </c>
      <c r="C724" s="4">
        <v>21</v>
      </c>
      <c r="D724" s="4">
        <v>19.250699999999998</v>
      </c>
      <c r="E724" s="4">
        <v>15847</v>
      </c>
      <c r="F724" s="4">
        <v>21.016999999999999</v>
      </c>
      <c r="G724" s="4">
        <v>333056.39899999998</v>
      </c>
      <c r="H724" s="5">
        <f t="shared" si="11"/>
        <v>0</v>
      </c>
    </row>
    <row r="725" spans="1:8" ht="13.5" x14ac:dyDescent="0.25">
      <c r="A725" s="1"/>
      <c r="B725" s="3">
        <v>45651</v>
      </c>
      <c r="C725" s="4">
        <v>21</v>
      </c>
      <c r="D725" s="4">
        <v>19.250699999999998</v>
      </c>
      <c r="E725" s="4">
        <v>3080</v>
      </c>
      <c r="F725" s="4">
        <v>21.13</v>
      </c>
      <c r="G725" s="4">
        <v>65080.4</v>
      </c>
      <c r="H725" s="5">
        <f t="shared" si="11"/>
        <v>0</v>
      </c>
    </row>
    <row r="726" spans="1:8" ht="13.5" x14ac:dyDescent="0.25">
      <c r="A726" s="1"/>
      <c r="B726" s="3">
        <v>45652</v>
      </c>
      <c r="C726" s="4">
        <v>21</v>
      </c>
      <c r="D726" s="4">
        <v>19.250699999999998</v>
      </c>
      <c r="E726" s="4">
        <v>8233</v>
      </c>
      <c r="F726" s="4">
        <v>21.053999999999998</v>
      </c>
      <c r="G726" s="4">
        <v>173337.58199999999</v>
      </c>
      <c r="H726" s="5">
        <f t="shared" si="11"/>
        <v>0</v>
      </c>
    </row>
    <row r="727" spans="1:8" ht="13.5" x14ac:dyDescent="0.25">
      <c r="A727" s="1"/>
      <c r="B727" s="3">
        <v>45653</v>
      </c>
      <c r="C727" s="4">
        <v>21.25</v>
      </c>
      <c r="D727" s="4">
        <v>19.479900000000001</v>
      </c>
      <c r="E727" s="4">
        <v>4243</v>
      </c>
      <c r="F727" s="4">
        <v>21.004000000000001</v>
      </c>
      <c r="G727" s="4">
        <v>89119.971999999994</v>
      </c>
      <c r="H727" s="5">
        <f t="shared" si="11"/>
        <v>1.1906060558836942E-2</v>
      </c>
    </row>
    <row r="728" spans="1:8" ht="13.5" x14ac:dyDescent="0.25">
      <c r="A728" s="1"/>
      <c r="B728" s="3">
        <v>45656</v>
      </c>
      <c r="C728" s="4">
        <v>21</v>
      </c>
      <c r="D728" s="4">
        <v>19.250699999999998</v>
      </c>
      <c r="E728" s="4">
        <v>3011</v>
      </c>
      <c r="F728" s="4">
        <v>21.013000000000002</v>
      </c>
      <c r="G728" s="4">
        <v>63270.142999999996</v>
      </c>
      <c r="H728" s="5">
        <f t="shared" si="11"/>
        <v>-1.1765974157978341E-2</v>
      </c>
    </row>
    <row r="729" spans="1:8" ht="13.5" x14ac:dyDescent="0.25">
      <c r="A729" s="1"/>
      <c r="B729" s="3">
        <v>45657</v>
      </c>
      <c r="C729" s="4">
        <v>21</v>
      </c>
      <c r="D729" s="4">
        <v>19.250699999999998</v>
      </c>
      <c r="E729" s="4">
        <v>8216</v>
      </c>
      <c r="F729" s="4">
        <v>21.001000000000001</v>
      </c>
      <c r="G729" s="4">
        <v>172544.21599999999</v>
      </c>
      <c r="H729" s="5">
        <f t="shared" si="11"/>
        <v>0</v>
      </c>
    </row>
    <row r="730" spans="1:8" ht="13.5" x14ac:dyDescent="0.25">
      <c r="A730" s="1"/>
      <c r="B730" s="3">
        <v>45659</v>
      </c>
      <c r="C730" s="4">
        <v>21.2</v>
      </c>
      <c r="D730" s="4">
        <v>19.434000000000001</v>
      </c>
      <c r="E730" s="4">
        <v>4326</v>
      </c>
      <c r="F730" s="4">
        <v>21.047000000000001</v>
      </c>
      <c r="G730" s="4">
        <v>91049.322</v>
      </c>
      <c r="H730" s="5">
        <f t="shared" si="11"/>
        <v>9.5217316772897975E-3</v>
      </c>
    </row>
    <row r="731" spans="1:8" ht="13.5" x14ac:dyDescent="0.25">
      <c r="A731" s="1"/>
      <c r="B731" s="3">
        <v>45660</v>
      </c>
      <c r="C731" s="4">
        <v>21.79</v>
      </c>
      <c r="D731" s="4">
        <v>19.974900000000002</v>
      </c>
      <c r="E731" s="4">
        <v>7136</v>
      </c>
      <c r="F731" s="4">
        <v>21.248999999999999</v>
      </c>
      <c r="G731" s="4">
        <v>151632.864</v>
      </c>
      <c r="H731" s="5">
        <f t="shared" si="11"/>
        <v>2.7832664402593424E-2</v>
      </c>
    </row>
    <row r="732" spans="1:8" ht="13.5" x14ac:dyDescent="0.25">
      <c r="A732" s="1"/>
      <c r="B732" s="3">
        <v>45663</v>
      </c>
      <c r="C732" s="4">
        <v>21.69</v>
      </c>
      <c r="D732" s="4">
        <v>19.883199999999999</v>
      </c>
      <c r="E732" s="4">
        <v>5180</v>
      </c>
      <c r="F732" s="4">
        <v>21.192</v>
      </c>
      <c r="G732" s="4">
        <v>109774.56</v>
      </c>
      <c r="H732" s="5">
        <f t="shared" si="11"/>
        <v>-4.5907614055641323E-3</v>
      </c>
    </row>
    <row r="733" spans="1:8" ht="13.5" x14ac:dyDescent="0.25">
      <c r="A733" s="1"/>
      <c r="B733" s="3">
        <v>45664</v>
      </c>
      <c r="C733" s="4">
        <v>21.62</v>
      </c>
      <c r="D733" s="4">
        <v>19.819099999999999</v>
      </c>
      <c r="E733" s="4">
        <v>24</v>
      </c>
      <c r="F733" s="4">
        <v>21.632000000000001</v>
      </c>
      <c r="G733" s="4">
        <v>519.16800000000001</v>
      </c>
      <c r="H733" s="5">
        <f t="shared" si="11"/>
        <v>-3.2238271505592576E-3</v>
      </c>
    </row>
    <row r="734" spans="1:8" ht="13.5" x14ac:dyDescent="0.25">
      <c r="A734" s="1"/>
      <c r="B734" s="3">
        <v>45665</v>
      </c>
      <c r="C734" s="4">
        <v>21</v>
      </c>
      <c r="D734" s="4">
        <v>19.250699999999998</v>
      </c>
      <c r="E734" s="4">
        <v>2244</v>
      </c>
      <c r="F734" s="4">
        <v>21.045999999999999</v>
      </c>
      <c r="G734" s="4">
        <v>47227.224000000002</v>
      </c>
      <c r="H734" s="5">
        <f t="shared" si="11"/>
        <v>-2.8679405220216888E-2</v>
      </c>
    </row>
    <row r="735" spans="1:8" ht="13.5" x14ac:dyDescent="0.25">
      <c r="A735" s="1"/>
      <c r="B735" s="3">
        <v>45666</v>
      </c>
      <c r="C735" s="4">
        <v>21.1</v>
      </c>
      <c r="D735" s="4">
        <v>19.342400000000001</v>
      </c>
      <c r="E735" s="4">
        <v>3315</v>
      </c>
      <c r="F735" s="4">
        <v>20.974</v>
      </c>
      <c r="G735" s="4">
        <v>69528.81</v>
      </c>
      <c r="H735" s="5">
        <f t="shared" si="11"/>
        <v>4.7634631467948184E-3</v>
      </c>
    </row>
    <row r="736" spans="1:8" ht="13.5" x14ac:dyDescent="0.25">
      <c r="A736" s="1"/>
      <c r="B736" s="3">
        <v>45667</v>
      </c>
      <c r="C736" s="4">
        <v>21.08</v>
      </c>
      <c r="D736" s="4">
        <v>19.324000000000002</v>
      </c>
      <c r="E736" s="4">
        <v>3142</v>
      </c>
      <c r="F736" s="4">
        <v>20.945</v>
      </c>
      <c r="G736" s="4">
        <v>65809.19</v>
      </c>
      <c r="H736" s="5">
        <f t="shared" si="11"/>
        <v>-9.5127802134170266E-4</v>
      </c>
    </row>
    <row r="737" spans="1:8" ht="13.5" x14ac:dyDescent="0.25">
      <c r="A737" s="1"/>
      <c r="B737" s="3">
        <v>45670</v>
      </c>
      <c r="C737" s="4">
        <v>22.1</v>
      </c>
      <c r="D737" s="4">
        <v>20.2591</v>
      </c>
      <c r="E737" s="4">
        <v>8145</v>
      </c>
      <c r="F737" s="4">
        <v>21.631</v>
      </c>
      <c r="G737" s="4">
        <v>176184.495</v>
      </c>
      <c r="H737" s="5">
        <f t="shared" si="11"/>
        <v>4.8390602359759803E-2</v>
      </c>
    </row>
    <row r="738" spans="1:8" ht="13.5" x14ac:dyDescent="0.25">
      <c r="A738" s="1"/>
      <c r="B738" s="3">
        <v>45671</v>
      </c>
      <c r="C738" s="4">
        <v>22.66</v>
      </c>
      <c r="D738" s="4">
        <v>20.772400000000001</v>
      </c>
      <c r="E738" s="4">
        <v>5346</v>
      </c>
      <c r="F738" s="4">
        <v>22.311</v>
      </c>
      <c r="G738" s="4">
        <v>119274.606</v>
      </c>
      <c r="H738" s="5">
        <f t="shared" si="11"/>
        <v>2.5336762245114591E-2</v>
      </c>
    </row>
    <row r="739" spans="1:8" ht="13.5" x14ac:dyDescent="0.25">
      <c r="A739" s="1"/>
      <c r="B739" s="3">
        <v>45672</v>
      </c>
      <c r="C739" s="4">
        <v>22.55</v>
      </c>
      <c r="D739" s="4">
        <v>20.671600000000002</v>
      </c>
      <c r="E739" s="4">
        <v>7224</v>
      </c>
      <c r="F739" s="4">
        <v>22.373000000000001</v>
      </c>
      <c r="G739" s="4">
        <v>161622.552</v>
      </c>
      <c r="H739" s="5">
        <f t="shared" si="11"/>
        <v>-4.8525928636074574E-3</v>
      </c>
    </row>
    <row r="740" spans="1:8" ht="13.5" x14ac:dyDescent="0.25">
      <c r="A740" s="1"/>
      <c r="B740" s="3">
        <v>45673</v>
      </c>
      <c r="C740" s="4">
        <v>22.5</v>
      </c>
      <c r="D740" s="4">
        <v>20.625800000000002</v>
      </c>
      <c r="E740" s="4">
        <v>4656</v>
      </c>
      <c r="F740" s="4">
        <v>22.167000000000002</v>
      </c>
      <c r="G740" s="4">
        <v>103209.552</v>
      </c>
      <c r="H740" s="5">
        <f t="shared" si="11"/>
        <v>-2.2156001470616613E-3</v>
      </c>
    </row>
    <row r="741" spans="1:8" ht="13.5" x14ac:dyDescent="0.25">
      <c r="A741" s="1"/>
      <c r="B741" s="3">
        <v>45674</v>
      </c>
      <c r="C741" s="4">
        <v>23.48</v>
      </c>
      <c r="D741" s="4">
        <v>21.524100000000001</v>
      </c>
      <c r="E741" s="4">
        <v>8876</v>
      </c>
      <c r="F741" s="4">
        <v>22.555</v>
      </c>
      <c r="G741" s="4">
        <v>200198.18</v>
      </c>
      <c r="H741" s="5">
        <f t="shared" si="11"/>
        <v>4.3552250094541736E-2</v>
      </c>
    </row>
    <row r="742" spans="1:8" ht="13.5" x14ac:dyDescent="0.25">
      <c r="A742" s="1"/>
      <c r="B742" s="3">
        <v>45677</v>
      </c>
      <c r="C742" s="4">
        <v>23.5</v>
      </c>
      <c r="D742" s="4">
        <v>21.5425</v>
      </c>
      <c r="E742" s="4">
        <v>2199</v>
      </c>
      <c r="F742" s="4">
        <v>23.49</v>
      </c>
      <c r="G742" s="4">
        <v>51654.51</v>
      </c>
      <c r="H742" s="5">
        <f t="shared" si="11"/>
        <v>8.5485571986748568E-4</v>
      </c>
    </row>
    <row r="743" spans="1:8" ht="13.5" x14ac:dyDescent="0.25">
      <c r="A743" s="1"/>
      <c r="B743" s="3">
        <v>45678</v>
      </c>
      <c r="C743" s="4">
        <v>22.89</v>
      </c>
      <c r="D743" s="4">
        <v>20.9833</v>
      </c>
      <c r="E743" s="4">
        <v>15357</v>
      </c>
      <c r="F743" s="4">
        <v>22.667999999999999</v>
      </c>
      <c r="G743" s="4">
        <v>348112.47600000002</v>
      </c>
      <c r="H743" s="5">
        <f t="shared" si="11"/>
        <v>-2.5957990019728469E-2</v>
      </c>
    </row>
    <row r="744" spans="1:8" ht="13.5" x14ac:dyDescent="0.25">
      <c r="A744" s="1"/>
      <c r="B744" s="3">
        <v>45679</v>
      </c>
      <c r="C744" s="4">
        <v>22.6</v>
      </c>
      <c r="D744" s="4">
        <v>20.717400000000001</v>
      </c>
      <c r="E744" s="4">
        <v>3608</v>
      </c>
      <c r="F744" s="4">
        <v>22.547000000000001</v>
      </c>
      <c r="G744" s="4">
        <v>81349.576000000001</v>
      </c>
      <c r="H744" s="5">
        <f t="shared" si="11"/>
        <v>-1.2671982004737029E-2</v>
      </c>
    </row>
    <row r="745" spans="1:8" ht="13.5" x14ac:dyDescent="0.25">
      <c r="A745" s="1"/>
      <c r="B745" s="3">
        <v>45680</v>
      </c>
      <c r="C745" s="4">
        <v>22.86</v>
      </c>
      <c r="D745" s="4">
        <v>20.9558</v>
      </c>
      <c r="E745" s="4">
        <v>336</v>
      </c>
      <c r="F745" s="4">
        <v>22.692</v>
      </c>
      <c r="G745" s="4">
        <v>7624.5119999999997</v>
      </c>
      <c r="H745" s="5">
        <f t="shared" si="11"/>
        <v>1.1507235463909497E-2</v>
      </c>
    </row>
    <row r="746" spans="1:8" ht="13.5" x14ac:dyDescent="0.25">
      <c r="A746" s="1"/>
      <c r="B746" s="3">
        <v>45681</v>
      </c>
      <c r="C746" s="4">
        <v>22.6</v>
      </c>
      <c r="D746" s="4">
        <v>20.717400000000001</v>
      </c>
      <c r="E746" s="4">
        <v>9869</v>
      </c>
      <c r="F746" s="4">
        <v>22.076000000000001</v>
      </c>
      <c r="G746" s="4">
        <v>217868.04399999999</v>
      </c>
      <c r="H746" s="5">
        <f t="shared" si="11"/>
        <v>-1.1376325408717329E-2</v>
      </c>
    </row>
    <row r="747" spans="1:8" ht="13.5" x14ac:dyDescent="0.25">
      <c r="A747" s="1"/>
      <c r="B747" s="3">
        <v>45684</v>
      </c>
      <c r="C747" s="4">
        <v>22.59</v>
      </c>
      <c r="D747" s="4">
        <v>20.708300000000001</v>
      </c>
      <c r="E747" s="4">
        <v>1108</v>
      </c>
      <c r="F747" s="4">
        <v>22.558</v>
      </c>
      <c r="G747" s="4">
        <v>24994.263999999999</v>
      </c>
      <c r="H747" s="5">
        <f t="shared" si="11"/>
        <v>-4.3924430671802965E-4</v>
      </c>
    </row>
    <row r="748" spans="1:8" ht="13.5" x14ac:dyDescent="0.25">
      <c r="A748" s="1"/>
      <c r="B748" s="3">
        <v>45685</v>
      </c>
      <c r="C748" s="4">
        <v>22.53</v>
      </c>
      <c r="D748" s="4">
        <v>20.653300000000002</v>
      </c>
      <c r="E748" s="4">
        <v>672</v>
      </c>
      <c r="F748" s="4">
        <v>22.535</v>
      </c>
      <c r="G748" s="4">
        <v>15143.52</v>
      </c>
      <c r="H748" s="5">
        <f t="shared" si="11"/>
        <v>-2.6559398888368292E-3</v>
      </c>
    </row>
    <row r="749" spans="1:8" ht="13.5" x14ac:dyDescent="0.25">
      <c r="A749" s="1"/>
      <c r="B749" s="3">
        <v>45686</v>
      </c>
      <c r="C749" s="4">
        <v>21.8</v>
      </c>
      <c r="D749" s="4">
        <v>19.984100000000002</v>
      </c>
      <c r="E749" s="4">
        <v>10605</v>
      </c>
      <c r="F749" s="4">
        <v>21.442</v>
      </c>
      <c r="G749" s="4">
        <v>227392.41</v>
      </c>
      <c r="H749" s="5">
        <f t="shared" si="11"/>
        <v>-3.2401601681087279E-2</v>
      </c>
    </row>
    <row r="750" spans="1:8" ht="13.5" x14ac:dyDescent="0.25">
      <c r="A750" s="1"/>
      <c r="B750" s="3">
        <v>45687</v>
      </c>
      <c r="C750" s="4">
        <v>21.98</v>
      </c>
      <c r="D750" s="4">
        <v>20.149100000000001</v>
      </c>
      <c r="E750" s="4">
        <v>2303</v>
      </c>
      <c r="F750" s="4">
        <v>21.911999999999999</v>
      </c>
      <c r="G750" s="4">
        <v>50463.336000000003</v>
      </c>
      <c r="H750" s="5">
        <f t="shared" si="11"/>
        <v>8.2565639683547989E-3</v>
      </c>
    </row>
    <row r="751" spans="1:8" ht="13.5" x14ac:dyDescent="0.25">
      <c r="A751" s="1"/>
      <c r="B751" s="3">
        <v>45688</v>
      </c>
      <c r="C751" s="4">
        <v>22.19</v>
      </c>
      <c r="D751" s="4">
        <v>20.3416</v>
      </c>
      <c r="E751" s="4">
        <v>448</v>
      </c>
      <c r="F751" s="4">
        <v>22.178999999999998</v>
      </c>
      <c r="G751" s="4">
        <v>9936.1919999999991</v>
      </c>
      <c r="H751" s="5">
        <f t="shared" si="11"/>
        <v>9.5537765954806422E-3</v>
      </c>
    </row>
    <row r="752" spans="1:8" ht="13.5" x14ac:dyDescent="0.25">
      <c r="A752" s="1"/>
      <c r="B752" s="3">
        <v>45691</v>
      </c>
      <c r="C752" s="4">
        <v>21.4</v>
      </c>
      <c r="D752" s="4">
        <v>19.6174</v>
      </c>
      <c r="E752" s="4">
        <v>79</v>
      </c>
      <c r="F752" s="4">
        <v>22.009</v>
      </c>
      <c r="G752" s="4">
        <v>1738.711</v>
      </c>
      <c r="H752" s="5">
        <f t="shared" si="11"/>
        <v>-3.5601919219727052E-2</v>
      </c>
    </row>
    <row r="753" spans="1:8" ht="13.5" x14ac:dyDescent="0.25">
      <c r="A753" s="1"/>
      <c r="B753" s="3">
        <v>45692</v>
      </c>
      <c r="C753" s="4">
        <v>21.8</v>
      </c>
      <c r="D753" s="4">
        <v>19.984100000000002</v>
      </c>
      <c r="E753" s="4">
        <v>4462</v>
      </c>
      <c r="F753" s="4">
        <v>21.292999999999999</v>
      </c>
      <c r="G753" s="4">
        <v>95009.365999999995</v>
      </c>
      <c r="H753" s="5">
        <f t="shared" si="11"/>
        <v>1.8692589232008401E-2</v>
      </c>
    </row>
    <row r="754" spans="1:8" ht="13.5" x14ac:dyDescent="0.25">
      <c r="A754" s="1"/>
      <c r="B754" s="3">
        <v>45693</v>
      </c>
      <c r="C754" s="4">
        <v>21.83</v>
      </c>
      <c r="D754" s="4">
        <v>20.011600000000001</v>
      </c>
      <c r="E754" s="4">
        <v>5192</v>
      </c>
      <c r="F754" s="4">
        <v>21.780999999999999</v>
      </c>
      <c r="G754" s="4">
        <v>113086.952</v>
      </c>
      <c r="H754" s="5">
        <f t="shared" si="11"/>
        <v>1.3760939947257999E-3</v>
      </c>
    </row>
    <row r="755" spans="1:8" ht="13.5" x14ac:dyDescent="0.25">
      <c r="A755" s="1"/>
      <c r="B755" s="3">
        <v>45694</v>
      </c>
      <c r="C755" s="4">
        <v>22.19</v>
      </c>
      <c r="D755" s="4">
        <v>20.3416</v>
      </c>
      <c r="E755" s="4">
        <v>603</v>
      </c>
      <c r="F755" s="4">
        <v>22.201000000000001</v>
      </c>
      <c r="G755" s="4">
        <v>13387.203</v>
      </c>
      <c r="H755" s="5">
        <f t="shared" si="11"/>
        <v>1.6490435547382432E-2</v>
      </c>
    </row>
    <row r="756" spans="1:8" ht="13.5" x14ac:dyDescent="0.25">
      <c r="A756" s="1"/>
      <c r="B756" s="3">
        <v>45695</v>
      </c>
      <c r="C756" s="4">
        <v>21.51</v>
      </c>
      <c r="D756" s="4">
        <v>19.7182</v>
      </c>
      <c r="E756" s="4">
        <v>12821</v>
      </c>
      <c r="F756" s="4">
        <v>21.238</v>
      </c>
      <c r="G756" s="4">
        <v>272292.39799999999</v>
      </c>
      <c r="H756" s="5">
        <f t="shared" si="11"/>
        <v>-3.0646556809690497E-2</v>
      </c>
    </row>
    <row r="757" spans="1:8" ht="13.5" x14ac:dyDescent="0.25">
      <c r="A757" s="1"/>
      <c r="B757" s="3">
        <v>45698</v>
      </c>
      <c r="C757" s="4">
        <v>22.23</v>
      </c>
      <c r="D757" s="4">
        <v>20.3782</v>
      </c>
      <c r="E757" s="4">
        <v>2181</v>
      </c>
      <c r="F757" s="4">
        <v>22.221</v>
      </c>
      <c r="G757" s="4">
        <v>48464.000999999997</v>
      </c>
      <c r="H757" s="5">
        <f t="shared" si="11"/>
        <v>3.3471615056141032E-2</v>
      </c>
    </row>
    <row r="758" spans="1:8" ht="13.5" x14ac:dyDescent="0.25">
      <c r="A758" s="1"/>
      <c r="B758" s="3">
        <v>45699</v>
      </c>
      <c r="C758" s="4">
        <v>22.1</v>
      </c>
      <c r="D758" s="4">
        <v>20.2591</v>
      </c>
      <c r="E758" s="4">
        <v>302</v>
      </c>
      <c r="F758" s="4">
        <v>22.166</v>
      </c>
      <c r="G758" s="4">
        <v>6694.1319999999996</v>
      </c>
      <c r="H758" s="5">
        <f t="shared" si="11"/>
        <v>-5.8444808668086257E-3</v>
      </c>
    </row>
    <row r="759" spans="1:8" ht="13.5" x14ac:dyDescent="0.25">
      <c r="A759" s="1"/>
      <c r="B759" s="3">
        <v>45700</v>
      </c>
      <c r="C759" s="4">
        <v>21.89</v>
      </c>
      <c r="D759" s="4">
        <v>20.066600000000001</v>
      </c>
      <c r="E759" s="4">
        <v>12379</v>
      </c>
      <c r="F759" s="4">
        <v>21.297999999999998</v>
      </c>
      <c r="G759" s="4">
        <v>263647.94199999998</v>
      </c>
      <c r="H759" s="5">
        <f t="shared" si="11"/>
        <v>-9.5019028485963837E-3</v>
      </c>
    </row>
    <row r="760" spans="1:8" ht="13.5" x14ac:dyDescent="0.25">
      <c r="A760" s="1"/>
      <c r="B760" s="3">
        <v>45701</v>
      </c>
      <c r="C760" s="4">
        <v>21.83</v>
      </c>
      <c r="D760" s="4">
        <v>20.011600000000001</v>
      </c>
      <c r="E760" s="4">
        <v>13051</v>
      </c>
      <c r="F760" s="4">
        <v>21.32</v>
      </c>
      <c r="G760" s="4">
        <v>278247.32</v>
      </c>
      <c r="H760" s="5">
        <f t="shared" si="11"/>
        <v>-2.7408728932654118E-3</v>
      </c>
    </row>
    <row r="761" spans="1:8" ht="13.5" x14ac:dyDescent="0.25">
      <c r="A761" s="1"/>
      <c r="B761" s="3">
        <v>45702</v>
      </c>
      <c r="C761" s="4">
        <v>20.8</v>
      </c>
      <c r="D761" s="4">
        <v>19.067399999999999</v>
      </c>
      <c r="E761" s="4">
        <v>8330</v>
      </c>
      <c r="F761" s="4">
        <v>20.858000000000001</v>
      </c>
      <c r="G761" s="4">
        <v>173747.14</v>
      </c>
      <c r="H761" s="5">
        <f t="shared" si="11"/>
        <v>-4.7182634072238203E-2</v>
      </c>
    </row>
    <row r="762" spans="1:8" ht="13.5" x14ac:dyDescent="0.25">
      <c r="A762" s="1"/>
      <c r="B762" s="3">
        <v>45705</v>
      </c>
      <c r="C762" s="4">
        <v>21.59</v>
      </c>
      <c r="D762" s="4">
        <v>19.791599999999999</v>
      </c>
      <c r="E762" s="4">
        <v>7610</v>
      </c>
      <c r="F762" s="4">
        <v>21.337</v>
      </c>
      <c r="G762" s="4">
        <v>162374.57</v>
      </c>
      <c r="H762" s="5">
        <f t="shared" si="11"/>
        <v>3.7981056672645445E-2</v>
      </c>
    </row>
    <row r="763" spans="1:8" ht="13.5" x14ac:dyDescent="0.25">
      <c r="A763" s="1"/>
      <c r="B763" s="3">
        <v>45706</v>
      </c>
      <c r="C763" s="4">
        <v>22.55</v>
      </c>
      <c r="D763" s="4">
        <v>20.671600000000002</v>
      </c>
      <c r="E763" s="4">
        <v>10110</v>
      </c>
      <c r="F763" s="4">
        <v>21.811</v>
      </c>
      <c r="G763" s="4">
        <v>220509.21</v>
      </c>
      <c r="H763" s="5">
        <f t="shared" si="11"/>
        <v>4.4463307665878582E-2</v>
      </c>
    </row>
    <row r="764" spans="1:8" ht="13.5" x14ac:dyDescent="0.25">
      <c r="A764" s="1"/>
      <c r="B764" s="3">
        <v>45707</v>
      </c>
      <c r="C764" s="4">
        <v>22.1</v>
      </c>
      <c r="D764" s="4">
        <v>20.2591</v>
      </c>
      <c r="E764" s="4">
        <v>867</v>
      </c>
      <c r="F764" s="4">
        <v>22.405999999999999</v>
      </c>
      <c r="G764" s="4">
        <v>19426.002</v>
      </c>
      <c r="H764" s="5">
        <f t="shared" si="11"/>
        <v>-1.9954913988273836E-2</v>
      </c>
    </row>
    <row r="765" spans="1:8" ht="13.5" x14ac:dyDescent="0.25">
      <c r="A765" s="1"/>
      <c r="B765" s="3">
        <v>45708</v>
      </c>
      <c r="C765" s="4">
        <v>22.42</v>
      </c>
      <c r="D765" s="4">
        <v>20.552399999999999</v>
      </c>
      <c r="E765" s="4">
        <v>4089</v>
      </c>
      <c r="F765" s="4">
        <v>22.27</v>
      </c>
      <c r="G765" s="4">
        <v>91062.03</v>
      </c>
      <c r="H765" s="5">
        <f t="shared" si="11"/>
        <v>1.4477444703861404E-2</v>
      </c>
    </row>
    <row r="766" spans="1:8" ht="13.5" x14ac:dyDescent="0.25">
      <c r="A766" s="1"/>
      <c r="B766" s="3">
        <v>45709</v>
      </c>
      <c r="C766" s="4">
        <v>21.9</v>
      </c>
      <c r="D766" s="4">
        <v>20.075700000000001</v>
      </c>
      <c r="E766" s="4">
        <v>114</v>
      </c>
      <c r="F766" s="4">
        <v>21.914999999999999</v>
      </c>
      <c r="G766" s="4">
        <v>2498.31</v>
      </c>
      <c r="H766" s="5">
        <f t="shared" si="11"/>
        <v>-2.3194371460267291E-2</v>
      </c>
    </row>
    <row r="767" spans="1:8" ht="13.5" x14ac:dyDescent="0.25">
      <c r="A767" s="1"/>
      <c r="B767" s="3">
        <v>45712</v>
      </c>
      <c r="C767" s="4">
        <v>22.25</v>
      </c>
      <c r="D767" s="4">
        <v>20.396599999999999</v>
      </c>
      <c r="E767" s="4">
        <v>623</v>
      </c>
      <c r="F767" s="4">
        <v>22.202000000000002</v>
      </c>
      <c r="G767" s="4">
        <v>13831.846</v>
      </c>
      <c r="H767" s="5">
        <f t="shared" si="11"/>
        <v>1.5984498672524404E-2</v>
      </c>
    </row>
    <row r="768" spans="1:8" ht="13.5" x14ac:dyDescent="0.25">
      <c r="A768" s="1"/>
      <c r="B768" s="3">
        <v>45713</v>
      </c>
      <c r="C768" s="4">
        <v>22.71</v>
      </c>
      <c r="D768" s="4">
        <v>20.818300000000001</v>
      </c>
      <c r="E768" s="4">
        <v>3845</v>
      </c>
      <c r="F768" s="4">
        <v>22.6</v>
      </c>
      <c r="G768" s="4">
        <v>86897</v>
      </c>
      <c r="H768" s="5">
        <f t="shared" si="11"/>
        <v>2.0675014463194911E-2</v>
      </c>
    </row>
    <row r="769" spans="1:8" ht="13.5" x14ac:dyDescent="0.25">
      <c r="A769" s="1"/>
      <c r="B769" s="3">
        <v>45714</v>
      </c>
      <c r="C769" s="4">
        <v>22.68</v>
      </c>
      <c r="D769" s="4">
        <v>20.790800000000001</v>
      </c>
      <c r="E769" s="4">
        <v>23</v>
      </c>
      <c r="F769" s="4">
        <v>22.315000000000001</v>
      </c>
      <c r="G769" s="4">
        <v>513.245</v>
      </c>
      <c r="H769" s="5">
        <f t="shared" si="11"/>
        <v>-1.3209531998289897E-3</v>
      </c>
    </row>
    <row r="770" spans="1:8" ht="13.5" x14ac:dyDescent="0.25">
      <c r="A770" s="1"/>
      <c r="B770" s="3">
        <v>45715</v>
      </c>
      <c r="C770" s="4">
        <v>22.6</v>
      </c>
      <c r="D770" s="4">
        <v>20.717400000000001</v>
      </c>
      <c r="E770" s="4">
        <v>456</v>
      </c>
      <c r="F770" s="4">
        <v>22.603000000000002</v>
      </c>
      <c r="G770" s="4">
        <v>10306.968000000001</v>
      </c>
      <c r="H770" s="5">
        <f t="shared" si="11"/>
        <v>-3.5304076803201159E-3</v>
      </c>
    </row>
    <row r="771" spans="1:8" ht="13.5" x14ac:dyDescent="0.25">
      <c r="A771" s="1"/>
      <c r="B771" s="3">
        <v>45716</v>
      </c>
      <c r="C771" s="4">
        <v>22.59</v>
      </c>
      <c r="D771" s="4">
        <v>20.708300000000001</v>
      </c>
      <c r="E771" s="4">
        <v>3727</v>
      </c>
      <c r="F771" s="4">
        <v>22.396999999999998</v>
      </c>
      <c r="G771" s="4">
        <v>83473.619000000006</v>
      </c>
      <c r="H771" s="5">
        <f t="shared" si="11"/>
        <v>-4.3924430671802965E-4</v>
      </c>
    </row>
    <row r="772" spans="1:8" ht="13.5" x14ac:dyDescent="0.25">
      <c r="A772" s="1"/>
      <c r="B772" s="3">
        <v>45719</v>
      </c>
      <c r="C772" s="4">
        <v>22.94</v>
      </c>
      <c r="D772" s="4">
        <v>21.0291</v>
      </c>
      <c r="E772" s="4">
        <v>836</v>
      </c>
      <c r="F772" s="4">
        <v>22.876000000000001</v>
      </c>
      <c r="G772" s="4">
        <v>19124.335999999999</v>
      </c>
      <c r="H772" s="5">
        <f t="shared" si="11"/>
        <v>1.5491373024342819E-2</v>
      </c>
    </row>
    <row r="773" spans="1:8" ht="13.5" x14ac:dyDescent="0.25">
      <c r="A773" s="1"/>
      <c r="B773" s="3">
        <v>45720</v>
      </c>
      <c r="C773" s="4">
        <v>22.54</v>
      </c>
      <c r="D773" s="4">
        <v>20.662400000000002</v>
      </c>
      <c r="E773" s="4">
        <v>742</v>
      </c>
      <c r="F773" s="4">
        <v>22.579000000000001</v>
      </c>
      <c r="G773" s="4">
        <v>16753.617999999999</v>
      </c>
      <c r="H773" s="5">
        <f t="shared" si="11"/>
        <v>-1.7437741035041823E-2</v>
      </c>
    </row>
    <row r="774" spans="1:8" ht="13.5" x14ac:dyDescent="0.25">
      <c r="A774" s="1"/>
      <c r="B774" s="3">
        <v>45721</v>
      </c>
      <c r="C774" s="4">
        <v>22.87</v>
      </c>
      <c r="D774" s="4">
        <v>20.9649</v>
      </c>
      <c r="E774" s="4">
        <v>856</v>
      </c>
      <c r="F774" s="4">
        <v>22.056999999999999</v>
      </c>
      <c r="G774" s="4">
        <v>18880.792000000001</v>
      </c>
      <c r="H774" s="5">
        <f t="shared" si="11"/>
        <v>1.4640119250425817E-2</v>
      </c>
    </row>
    <row r="775" spans="1:8" ht="13.5" x14ac:dyDescent="0.25">
      <c r="A775" s="1"/>
      <c r="B775" s="3">
        <v>45722</v>
      </c>
      <c r="C775" s="4">
        <v>22.84</v>
      </c>
      <c r="D775" s="4">
        <v>20.9374</v>
      </c>
      <c r="E775" s="4">
        <v>801</v>
      </c>
      <c r="F775" s="4">
        <v>22.864000000000001</v>
      </c>
      <c r="G775" s="4">
        <v>18314.063999999998</v>
      </c>
      <c r="H775" s="5">
        <f t="shared" ref="H775:H838" si="12">(D775-D774)/D774</f>
        <v>-1.3117162495408926E-3</v>
      </c>
    </row>
    <row r="776" spans="1:8" ht="13.5" x14ac:dyDescent="0.25">
      <c r="A776" s="1"/>
      <c r="B776" s="3">
        <v>45723</v>
      </c>
      <c r="C776" s="4">
        <v>22.86</v>
      </c>
      <c r="D776" s="4">
        <v>20.9558</v>
      </c>
      <c r="E776" s="4">
        <v>1124</v>
      </c>
      <c r="F776" s="4">
        <v>22.672000000000001</v>
      </c>
      <c r="G776" s="4">
        <v>25483.328000000001</v>
      </c>
      <c r="H776" s="5">
        <f t="shared" si="12"/>
        <v>8.7881016745153414E-4</v>
      </c>
    </row>
    <row r="777" spans="1:8" ht="13.5" x14ac:dyDescent="0.25">
      <c r="A777" s="1"/>
      <c r="B777" s="3">
        <v>45726</v>
      </c>
      <c r="C777" s="4">
        <v>22.86</v>
      </c>
      <c r="D777" s="4">
        <v>20.9558</v>
      </c>
      <c r="E777" s="4">
        <v>0</v>
      </c>
      <c r="F777" s="4">
        <v>0</v>
      </c>
      <c r="G777" s="4">
        <v>0</v>
      </c>
      <c r="H777" s="5">
        <f t="shared" si="12"/>
        <v>0</v>
      </c>
    </row>
    <row r="778" spans="1:8" ht="13.5" x14ac:dyDescent="0.25">
      <c r="A778" s="1"/>
      <c r="B778" s="3">
        <v>45727</v>
      </c>
      <c r="C778" s="4">
        <v>22.49</v>
      </c>
      <c r="D778" s="4">
        <v>20.616599999999998</v>
      </c>
      <c r="E778" s="4">
        <v>710</v>
      </c>
      <c r="F778" s="4">
        <v>22.71</v>
      </c>
      <c r="G778" s="4">
        <v>16124.1</v>
      </c>
      <c r="H778" s="5">
        <f t="shared" si="12"/>
        <v>-1.6186449574819465E-2</v>
      </c>
    </row>
    <row r="779" spans="1:8" ht="13.5" x14ac:dyDescent="0.25">
      <c r="A779" s="1"/>
      <c r="B779" s="3">
        <v>45728</v>
      </c>
      <c r="C779" s="4">
        <v>22.78</v>
      </c>
      <c r="D779" s="4">
        <v>20.882400000000001</v>
      </c>
      <c r="E779" s="4">
        <v>1955</v>
      </c>
      <c r="F779" s="4">
        <v>22.390999999999998</v>
      </c>
      <c r="G779" s="4">
        <v>43774.404999999999</v>
      </c>
      <c r="H779" s="5">
        <f t="shared" si="12"/>
        <v>1.2892523500480306E-2</v>
      </c>
    </row>
    <row r="780" spans="1:8" ht="13.5" x14ac:dyDescent="0.25">
      <c r="A780" s="1"/>
      <c r="B780" s="3">
        <v>45729</v>
      </c>
      <c r="C780" s="4">
        <v>22.45</v>
      </c>
      <c r="D780" s="4">
        <v>20.579899999999999</v>
      </c>
      <c r="E780" s="4">
        <v>593</v>
      </c>
      <c r="F780" s="4">
        <v>22.526</v>
      </c>
      <c r="G780" s="4">
        <v>13357.918</v>
      </c>
      <c r="H780" s="5">
        <f t="shared" si="12"/>
        <v>-1.4485882848714802E-2</v>
      </c>
    </row>
    <row r="781" spans="1:8" ht="13.5" x14ac:dyDescent="0.25">
      <c r="A781" s="1"/>
      <c r="B781" s="3">
        <v>45730</v>
      </c>
      <c r="C781" s="4">
        <v>22.75</v>
      </c>
      <c r="D781" s="4">
        <v>20.854900000000001</v>
      </c>
      <c r="E781" s="4">
        <v>20</v>
      </c>
      <c r="F781" s="4">
        <v>22.75</v>
      </c>
      <c r="G781" s="4">
        <v>455</v>
      </c>
      <c r="H781" s="5">
        <f t="shared" si="12"/>
        <v>1.3362552782083594E-2</v>
      </c>
    </row>
    <row r="782" spans="1:8" ht="13.5" x14ac:dyDescent="0.25">
      <c r="A782" s="1"/>
      <c r="B782" s="3">
        <v>45733</v>
      </c>
      <c r="C782" s="4">
        <v>22.69</v>
      </c>
      <c r="D782" s="4">
        <v>20.799900000000001</v>
      </c>
      <c r="E782" s="4">
        <v>17</v>
      </c>
      <c r="F782" s="4">
        <v>22.69</v>
      </c>
      <c r="G782" s="4">
        <v>385.73</v>
      </c>
      <c r="H782" s="5">
        <f t="shared" si="12"/>
        <v>-2.6372698982013681E-3</v>
      </c>
    </row>
    <row r="783" spans="1:8" ht="13.5" x14ac:dyDescent="0.25">
      <c r="A783" s="1"/>
      <c r="B783" s="3">
        <v>45734</v>
      </c>
      <c r="C783" s="4">
        <v>22.74</v>
      </c>
      <c r="D783" s="4">
        <v>20.845800000000001</v>
      </c>
      <c r="E783" s="4">
        <v>140</v>
      </c>
      <c r="F783" s="4">
        <v>22.611999999999998</v>
      </c>
      <c r="G783" s="4">
        <v>3165.68</v>
      </c>
      <c r="H783" s="5">
        <f t="shared" si="12"/>
        <v>2.2067413785643009E-3</v>
      </c>
    </row>
    <row r="784" spans="1:8" ht="13.5" x14ac:dyDescent="0.25">
      <c r="A784" s="1"/>
      <c r="B784" s="3">
        <v>45735</v>
      </c>
      <c r="C784" s="4">
        <v>22.69</v>
      </c>
      <c r="D784" s="4">
        <v>20.799900000000001</v>
      </c>
      <c r="E784" s="4">
        <v>109</v>
      </c>
      <c r="F784" s="4">
        <v>22.698</v>
      </c>
      <c r="G784" s="4">
        <v>2474.0819999999999</v>
      </c>
      <c r="H784" s="5">
        <f t="shared" si="12"/>
        <v>-2.2018823935756656E-3</v>
      </c>
    </row>
    <row r="785" spans="1:8" ht="13.5" x14ac:dyDescent="0.25">
      <c r="A785" s="1"/>
      <c r="B785" s="3">
        <v>45737</v>
      </c>
      <c r="C785" s="4">
        <v>22.5</v>
      </c>
      <c r="D785" s="4">
        <v>20.625800000000002</v>
      </c>
      <c r="E785" s="4">
        <v>70</v>
      </c>
      <c r="F785" s="4">
        <v>22.568999999999999</v>
      </c>
      <c r="G785" s="4">
        <v>1579.83</v>
      </c>
      <c r="H785" s="5">
        <f t="shared" si="12"/>
        <v>-8.3702325491949118E-3</v>
      </c>
    </row>
    <row r="786" spans="1:8" ht="13.5" x14ac:dyDescent="0.25">
      <c r="A786" s="1"/>
      <c r="B786" s="3">
        <v>45740</v>
      </c>
      <c r="C786" s="4">
        <v>22.65</v>
      </c>
      <c r="D786" s="4">
        <v>20.763300000000001</v>
      </c>
      <c r="E786" s="4">
        <v>3</v>
      </c>
      <c r="F786" s="4">
        <v>22.65</v>
      </c>
      <c r="G786" s="4">
        <v>67.95</v>
      </c>
      <c r="H786" s="5">
        <f t="shared" si="12"/>
        <v>6.6664080908376538E-3</v>
      </c>
    </row>
    <row r="787" spans="1:8" ht="13.5" x14ac:dyDescent="0.25">
      <c r="A787" s="1"/>
      <c r="B787" s="3">
        <v>45741</v>
      </c>
      <c r="C787" s="4">
        <v>22.65</v>
      </c>
      <c r="D787" s="4">
        <v>20.763300000000001</v>
      </c>
      <c r="E787" s="4">
        <v>75</v>
      </c>
      <c r="F787" s="4">
        <v>22.547000000000001</v>
      </c>
      <c r="G787" s="4">
        <v>1691.0250000000001</v>
      </c>
      <c r="H787" s="5">
        <f t="shared" si="12"/>
        <v>0</v>
      </c>
    </row>
    <row r="788" spans="1:8" ht="13.5" x14ac:dyDescent="0.25">
      <c r="A788" s="1"/>
      <c r="B788" s="3">
        <v>45742</v>
      </c>
      <c r="C788" s="4">
        <v>22.65</v>
      </c>
      <c r="D788" s="4">
        <v>20.763300000000001</v>
      </c>
      <c r="E788" s="4">
        <v>0</v>
      </c>
      <c r="F788" s="4">
        <v>0</v>
      </c>
      <c r="G788" s="4">
        <v>0</v>
      </c>
      <c r="H788" s="5">
        <f t="shared" si="12"/>
        <v>0</v>
      </c>
    </row>
    <row r="789" spans="1:8" ht="13.5" x14ac:dyDescent="0.25">
      <c r="A789" s="1"/>
      <c r="B789" s="3">
        <v>45743</v>
      </c>
      <c r="C789" s="4">
        <v>22.5</v>
      </c>
      <c r="D789" s="4">
        <v>20.625800000000002</v>
      </c>
      <c r="E789" s="4">
        <v>500</v>
      </c>
      <c r="F789" s="4">
        <v>22.201000000000001</v>
      </c>
      <c r="G789" s="4">
        <v>11100.5</v>
      </c>
      <c r="H789" s="5">
        <f t="shared" si="12"/>
        <v>-6.6222613939017055E-3</v>
      </c>
    </row>
    <row r="790" spans="1:8" ht="13.5" x14ac:dyDescent="0.25">
      <c r="A790" s="1"/>
      <c r="B790" s="3">
        <v>45744</v>
      </c>
      <c r="C790" s="4">
        <v>22.48</v>
      </c>
      <c r="D790" s="4">
        <v>20.607399999999998</v>
      </c>
      <c r="E790" s="4">
        <v>927</v>
      </c>
      <c r="F790" s="4">
        <v>22.170999999999999</v>
      </c>
      <c r="G790" s="4">
        <v>20552.517</v>
      </c>
      <c r="H790" s="5">
        <f t="shared" si="12"/>
        <v>-8.9208660997407618E-4</v>
      </c>
    </row>
    <row r="791" spans="1:8" ht="13.5" x14ac:dyDescent="0.25">
      <c r="A791" s="1"/>
      <c r="B791" s="3">
        <v>45749</v>
      </c>
      <c r="C791" s="4">
        <v>22.7</v>
      </c>
      <c r="D791" s="4">
        <v>20.809100000000001</v>
      </c>
      <c r="E791" s="4">
        <v>5819</v>
      </c>
      <c r="F791" s="4">
        <v>22.608000000000001</v>
      </c>
      <c r="G791" s="4">
        <v>131555.95199999999</v>
      </c>
      <c r="H791" s="5">
        <f t="shared" si="12"/>
        <v>9.7877461494415823E-3</v>
      </c>
    </row>
    <row r="792" spans="1:8" ht="13.5" x14ac:dyDescent="0.25">
      <c r="A792" s="1"/>
      <c r="B792" s="3">
        <v>45750</v>
      </c>
      <c r="C792" s="4">
        <v>23.5</v>
      </c>
      <c r="D792" s="4">
        <v>21.5425</v>
      </c>
      <c r="E792" s="4">
        <v>402</v>
      </c>
      <c r="F792" s="4">
        <v>23.484000000000002</v>
      </c>
      <c r="G792" s="4">
        <v>9440.5679999999993</v>
      </c>
      <c r="H792" s="5">
        <f t="shared" si="12"/>
        <v>3.5244196048843997E-2</v>
      </c>
    </row>
    <row r="793" spans="1:8" ht="13.5" x14ac:dyDescent="0.25">
      <c r="A793" s="1"/>
      <c r="B793" s="3">
        <v>45751</v>
      </c>
      <c r="C793" s="4">
        <v>24</v>
      </c>
      <c r="D793" s="4">
        <v>22.000800000000002</v>
      </c>
      <c r="E793" s="4">
        <v>1114</v>
      </c>
      <c r="F793" s="4">
        <v>23.832999999999998</v>
      </c>
      <c r="G793" s="4">
        <v>26549.962</v>
      </c>
      <c r="H793" s="5">
        <f t="shared" si="12"/>
        <v>2.1274225368457758E-2</v>
      </c>
    </row>
    <row r="794" spans="1:8" ht="13.5" x14ac:dyDescent="0.25">
      <c r="A794" s="1"/>
      <c r="B794" s="3">
        <v>45754</v>
      </c>
      <c r="C794" s="4">
        <v>24</v>
      </c>
      <c r="D794" s="4">
        <v>22.000800000000002</v>
      </c>
      <c r="E794" s="4">
        <v>100</v>
      </c>
      <c r="F794" s="4">
        <v>24</v>
      </c>
      <c r="G794" s="4">
        <v>2400</v>
      </c>
      <c r="H794" s="5">
        <f t="shared" si="12"/>
        <v>0</v>
      </c>
    </row>
    <row r="795" spans="1:8" ht="13.5" x14ac:dyDescent="0.25">
      <c r="A795" s="1"/>
      <c r="B795" s="3">
        <v>45755</v>
      </c>
      <c r="C795" s="4">
        <v>23.79</v>
      </c>
      <c r="D795" s="4">
        <v>21.808299999999999</v>
      </c>
      <c r="E795" s="4">
        <v>106</v>
      </c>
      <c r="F795" s="4">
        <v>23.681999999999999</v>
      </c>
      <c r="G795" s="4">
        <v>2510.2919999999999</v>
      </c>
      <c r="H795" s="5">
        <f t="shared" si="12"/>
        <v>-8.7496818297517608E-3</v>
      </c>
    </row>
    <row r="796" spans="1:8" ht="13.5" x14ac:dyDescent="0.25">
      <c r="A796" s="1"/>
      <c r="B796" s="3">
        <v>45757</v>
      </c>
      <c r="C796" s="4">
        <v>23.3</v>
      </c>
      <c r="D796" s="4">
        <v>21.359100000000002</v>
      </c>
      <c r="E796" s="4">
        <v>284</v>
      </c>
      <c r="F796" s="4">
        <v>23.018999999999998</v>
      </c>
      <c r="G796" s="4">
        <v>6537.3959999999997</v>
      </c>
      <c r="H796" s="5">
        <f t="shared" si="12"/>
        <v>-2.0597662357909493E-2</v>
      </c>
    </row>
    <row r="797" spans="1:8" ht="13.5" x14ac:dyDescent="0.25">
      <c r="A797" s="1"/>
      <c r="B797" s="3">
        <v>45758</v>
      </c>
      <c r="C797" s="4">
        <v>22.85</v>
      </c>
      <c r="D797" s="4">
        <v>20.9466</v>
      </c>
      <c r="E797" s="4">
        <v>2188</v>
      </c>
      <c r="F797" s="4">
        <v>22.434000000000001</v>
      </c>
      <c r="G797" s="4">
        <v>49085.591999999997</v>
      </c>
      <c r="H797" s="5">
        <f t="shared" si="12"/>
        <v>-1.9312611486439101E-2</v>
      </c>
    </row>
    <row r="798" spans="1:8" ht="13.5" x14ac:dyDescent="0.25">
      <c r="A798" s="1"/>
      <c r="B798" s="3">
        <v>45761</v>
      </c>
      <c r="C798" s="4">
        <v>22</v>
      </c>
      <c r="D798" s="4">
        <v>20.167400000000001</v>
      </c>
      <c r="E798" s="4">
        <v>2429</v>
      </c>
      <c r="F798" s="4">
        <v>22.116</v>
      </c>
      <c r="G798" s="4">
        <v>53719.764000000003</v>
      </c>
      <c r="H798" s="5">
        <f t="shared" si="12"/>
        <v>-3.7199354549186957E-2</v>
      </c>
    </row>
    <row r="799" spans="1:8" ht="13.5" x14ac:dyDescent="0.25">
      <c r="A799" s="1"/>
      <c r="B799" s="3">
        <v>45762</v>
      </c>
      <c r="C799" s="4">
        <v>22.68</v>
      </c>
      <c r="D799" s="4">
        <v>20.790800000000001</v>
      </c>
      <c r="E799" s="4">
        <v>2390</v>
      </c>
      <c r="F799" s="4">
        <v>22.135000000000002</v>
      </c>
      <c r="G799" s="4">
        <v>52902.65</v>
      </c>
      <c r="H799" s="5">
        <f t="shared" si="12"/>
        <v>3.0911272647936777E-2</v>
      </c>
    </row>
    <row r="800" spans="1:8" ht="13.5" x14ac:dyDescent="0.25">
      <c r="A800" s="1"/>
      <c r="B800" s="3">
        <v>45763</v>
      </c>
      <c r="C800" s="4">
        <v>22.68</v>
      </c>
      <c r="D800" s="4">
        <v>20.790800000000001</v>
      </c>
      <c r="E800" s="4">
        <v>366</v>
      </c>
      <c r="F800" s="4">
        <v>22.460999999999999</v>
      </c>
      <c r="G800" s="4">
        <v>8220.7260000000006</v>
      </c>
      <c r="H800" s="5">
        <f t="shared" si="12"/>
        <v>0</v>
      </c>
    </row>
    <row r="801" spans="1:8" ht="13.5" x14ac:dyDescent="0.25">
      <c r="A801" s="1"/>
      <c r="B801" s="3">
        <v>45764</v>
      </c>
      <c r="C801" s="4">
        <v>22.59</v>
      </c>
      <c r="D801" s="4">
        <v>20.708300000000001</v>
      </c>
      <c r="E801" s="4">
        <v>233</v>
      </c>
      <c r="F801" s="4">
        <v>22.131</v>
      </c>
      <c r="G801" s="4">
        <v>5156.5230000000001</v>
      </c>
      <c r="H801" s="5">
        <f t="shared" si="12"/>
        <v>-3.9681012755641712E-3</v>
      </c>
    </row>
    <row r="802" spans="1:8" ht="13.5" x14ac:dyDescent="0.25">
      <c r="A802" s="1"/>
      <c r="B802" s="3">
        <v>45765</v>
      </c>
      <c r="C802" s="4">
        <v>22.44</v>
      </c>
      <c r="D802" s="4">
        <v>20.570699999999999</v>
      </c>
      <c r="E802" s="4">
        <v>266</v>
      </c>
      <c r="F802" s="4">
        <v>21.954000000000001</v>
      </c>
      <c r="G802" s="4">
        <v>5839.7640000000001</v>
      </c>
      <c r="H802" s="5">
        <f t="shared" si="12"/>
        <v>-6.6446787037083002E-3</v>
      </c>
    </row>
    <row r="803" spans="1:8" ht="13.5" x14ac:dyDescent="0.25">
      <c r="A803" s="1"/>
      <c r="B803" s="3">
        <v>45768</v>
      </c>
      <c r="C803" s="4">
        <v>22.44</v>
      </c>
      <c r="D803" s="4">
        <v>20.570699999999999</v>
      </c>
      <c r="E803" s="4">
        <v>0</v>
      </c>
      <c r="F803" s="4">
        <v>0</v>
      </c>
      <c r="G803" s="4">
        <v>0</v>
      </c>
      <c r="H803" s="5">
        <f t="shared" si="12"/>
        <v>0</v>
      </c>
    </row>
    <row r="804" spans="1:8" ht="13.5" x14ac:dyDescent="0.25">
      <c r="A804" s="1"/>
      <c r="B804" s="3">
        <v>45769</v>
      </c>
      <c r="C804" s="4">
        <v>23.78</v>
      </c>
      <c r="D804" s="4">
        <v>21.799099999999999</v>
      </c>
      <c r="E804" s="4">
        <v>2379</v>
      </c>
      <c r="F804" s="4">
        <v>23.456</v>
      </c>
      <c r="G804" s="4">
        <v>55801.824000000001</v>
      </c>
      <c r="H804" s="5">
        <f t="shared" si="12"/>
        <v>5.9716003830691262E-2</v>
      </c>
    </row>
    <row r="805" spans="1:8" ht="13.5" x14ac:dyDescent="0.25">
      <c r="A805" s="1"/>
      <c r="B805" s="3">
        <v>45770</v>
      </c>
      <c r="C805" s="4">
        <v>23.99</v>
      </c>
      <c r="D805" s="4">
        <v>21.991599999999998</v>
      </c>
      <c r="E805" s="4">
        <v>5336</v>
      </c>
      <c r="F805" s="4">
        <v>23.867000000000001</v>
      </c>
      <c r="G805" s="4">
        <v>127354.31200000001</v>
      </c>
      <c r="H805" s="5">
        <f t="shared" si="12"/>
        <v>8.8306397970557959E-3</v>
      </c>
    </row>
    <row r="806" spans="1:8" ht="13.5" x14ac:dyDescent="0.25">
      <c r="A806" s="1"/>
      <c r="B806" s="3">
        <v>45771</v>
      </c>
      <c r="C806" s="4">
        <v>23.96</v>
      </c>
      <c r="D806" s="4">
        <v>21.964099999999998</v>
      </c>
      <c r="E806" s="4">
        <v>236</v>
      </c>
      <c r="F806" s="4">
        <v>23.742999999999999</v>
      </c>
      <c r="G806" s="4">
        <v>5603.348</v>
      </c>
      <c r="H806" s="5">
        <f t="shared" si="12"/>
        <v>-1.2504774550282773E-3</v>
      </c>
    </row>
    <row r="807" spans="1:8" ht="13.5" x14ac:dyDescent="0.25">
      <c r="A807" s="1"/>
      <c r="B807" s="3">
        <v>45772</v>
      </c>
      <c r="C807" s="4">
        <v>23.89</v>
      </c>
      <c r="D807" s="4">
        <v>21.9</v>
      </c>
      <c r="E807" s="4">
        <v>1086</v>
      </c>
      <c r="F807" s="4">
        <v>23.713999999999999</v>
      </c>
      <c r="G807" s="4">
        <v>25753.403999999999</v>
      </c>
      <c r="H807" s="5">
        <f t="shared" si="12"/>
        <v>-2.9183986596309354E-3</v>
      </c>
    </row>
    <row r="808" spans="1:8" ht="13.5" x14ac:dyDescent="0.25">
      <c r="A808" s="1"/>
      <c r="B808" s="3">
        <v>45775</v>
      </c>
      <c r="C808" s="4">
        <v>24.4</v>
      </c>
      <c r="D808" s="4">
        <v>22.3675</v>
      </c>
      <c r="E808" s="4">
        <v>3331</v>
      </c>
      <c r="F808" s="4">
        <v>24.007000000000001</v>
      </c>
      <c r="G808" s="4">
        <v>79967.316999999995</v>
      </c>
      <c r="H808" s="5">
        <f t="shared" si="12"/>
        <v>2.1347031963470372E-2</v>
      </c>
    </row>
    <row r="809" spans="1:8" ht="13.5" x14ac:dyDescent="0.25">
      <c r="A809" s="1"/>
      <c r="B809" s="3">
        <v>45776</v>
      </c>
      <c r="C809" s="4">
        <v>24.27</v>
      </c>
      <c r="D809" s="4">
        <v>22.2483</v>
      </c>
      <c r="E809" s="4">
        <v>47</v>
      </c>
      <c r="F809" s="4">
        <v>23.702999999999999</v>
      </c>
      <c r="G809" s="4">
        <v>1114.0409999999999</v>
      </c>
      <c r="H809" s="5">
        <f t="shared" si="12"/>
        <v>-5.3291606124957775E-3</v>
      </c>
    </row>
    <row r="810" spans="1:8" ht="13.5" x14ac:dyDescent="0.25">
      <c r="A810" s="1"/>
      <c r="B810" s="3">
        <v>45777</v>
      </c>
      <c r="C810" s="4">
        <v>24.26</v>
      </c>
      <c r="D810" s="4">
        <v>22.239100000000001</v>
      </c>
      <c r="E810" s="4">
        <v>13</v>
      </c>
      <c r="F810" s="4">
        <v>24.158000000000001</v>
      </c>
      <c r="G810" s="4">
        <v>314.05399999999997</v>
      </c>
      <c r="H810" s="5">
        <f t="shared" si="12"/>
        <v>-4.1351474045207387E-4</v>
      </c>
    </row>
    <row r="811" spans="1:8" ht="13.5" x14ac:dyDescent="0.25">
      <c r="A811" s="1"/>
      <c r="B811" s="3">
        <v>45779</v>
      </c>
      <c r="C811" s="4">
        <v>23.82</v>
      </c>
      <c r="D811" s="4">
        <v>21.835799999999999</v>
      </c>
      <c r="E811" s="4">
        <v>450</v>
      </c>
      <c r="F811" s="4">
        <v>23.815999999999999</v>
      </c>
      <c r="G811" s="4">
        <v>10717.2</v>
      </c>
      <c r="H811" s="5">
        <f t="shared" si="12"/>
        <v>-1.8134726675090338E-2</v>
      </c>
    </row>
    <row r="812" spans="1:8" ht="13.5" x14ac:dyDescent="0.25">
      <c r="A812" s="1"/>
      <c r="B812" s="3">
        <v>45782</v>
      </c>
      <c r="C812" s="4">
        <v>23.9</v>
      </c>
      <c r="D812" s="4">
        <v>21.909099999999999</v>
      </c>
      <c r="E812" s="4">
        <v>5363</v>
      </c>
      <c r="F812" s="4">
        <v>23.891999999999999</v>
      </c>
      <c r="G812" s="4">
        <v>128132.796</v>
      </c>
      <c r="H812" s="5">
        <f t="shared" si="12"/>
        <v>3.3568726586614504E-3</v>
      </c>
    </row>
    <row r="813" spans="1:8" ht="13.5" x14ac:dyDescent="0.25">
      <c r="A813" s="1"/>
      <c r="B813" s="3">
        <v>45783</v>
      </c>
      <c r="C813" s="4">
        <v>24.39</v>
      </c>
      <c r="D813" s="4">
        <v>22.3583</v>
      </c>
      <c r="E813" s="4">
        <v>1181</v>
      </c>
      <c r="F813" s="4">
        <v>24.013999999999999</v>
      </c>
      <c r="G813" s="4">
        <v>28360.534</v>
      </c>
      <c r="H813" s="5">
        <f t="shared" si="12"/>
        <v>2.0502896056889656E-2</v>
      </c>
    </row>
    <row r="814" spans="1:8" ht="13.5" x14ac:dyDescent="0.25">
      <c r="A814" s="1"/>
      <c r="B814" s="3">
        <v>45784</v>
      </c>
      <c r="C814" s="4">
        <v>24.4</v>
      </c>
      <c r="D814" s="4">
        <v>22.3675</v>
      </c>
      <c r="E814" s="4">
        <v>960</v>
      </c>
      <c r="F814" s="4">
        <v>24.257999999999999</v>
      </c>
      <c r="G814" s="4">
        <v>23287.68</v>
      </c>
      <c r="H814" s="5">
        <f t="shared" si="12"/>
        <v>4.114803003806137E-4</v>
      </c>
    </row>
    <row r="815" spans="1:8" ht="13.5" x14ac:dyDescent="0.25">
      <c r="A815" s="1"/>
      <c r="B815" s="3">
        <v>45785</v>
      </c>
      <c r="C815" s="4">
        <v>24.38</v>
      </c>
      <c r="D815" s="4">
        <v>22.3491</v>
      </c>
      <c r="E815" s="4">
        <v>665</v>
      </c>
      <c r="F815" s="4">
        <v>23.928000000000001</v>
      </c>
      <c r="G815" s="4">
        <v>15912.12</v>
      </c>
      <c r="H815" s="5">
        <f t="shared" si="12"/>
        <v>-8.2262210796914053E-4</v>
      </c>
    </row>
    <row r="816" spans="1:8" ht="13.5" x14ac:dyDescent="0.25">
      <c r="A816" s="1"/>
      <c r="B816" s="3">
        <v>45786</v>
      </c>
      <c r="C816" s="4">
        <v>24.36</v>
      </c>
      <c r="D816" s="4">
        <v>22.3308</v>
      </c>
      <c r="E816" s="4">
        <v>153</v>
      </c>
      <c r="F816" s="4">
        <v>24.364999999999998</v>
      </c>
      <c r="G816" s="4">
        <v>3727.8449999999998</v>
      </c>
      <c r="H816" s="5">
        <f t="shared" si="12"/>
        <v>-8.1882491912425924E-4</v>
      </c>
    </row>
    <row r="817" spans="1:8" ht="13.5" x14ac:dyDescent="0.25">
      <c r="A817" s="1"/>
      <c r="B817" s="3">
        <v>45789</v>
      </c>
      <c r="C817" s="4">
        <v>24.38</v>
      </c>
      <c r="D817" s="4">
        <v>22.3491</v>
      </c>
      <c r="E817" s="4">
        <v>45</v>
      </c>
      <c r="F817" s="4">
        <v>24.364000000000001</v>
      </c>
      <c r="G817" s="4">
        <v>1096.3800000000001</v>
      </c>
      <c r="H817" s="5">
        <f t="shared" si="12"/>
        <v>8.1949594282336425E-4</v>
      </c>
    </row>
    <row r="818" spans="1:8" ht="13.5" x14ac:dyDescent="0.25">
      <c r="A818" s="1"/>
      <c r="B818" s="3">
        <v>45790</v>
      </c>
      <c r="C818" s="4">
        <v>24.38</v>
      </c>
      <c r="D818" s="4">
        <v>22.3491</v>
      </c>
      <c r="E818" s="4">
        <v>0</v>
      </c>
      <c r="F818" s="4">
        <v>0</v>
      </c>
      <c r="G818" s="4">
        <v>0</v>
      </c>
      <c r="H818" s="5">
        <f t="shared" si="12"/>
        <v>0</v>
      </c>
    </row>
    <row r="819" spans="1:8" ht="13.5" x14ac:dyDescent="0.25">
      <c r="A819" s="1"/>
      <c r="B819" s="3">
        <v>45791</v>
      </c>
      <c r="C819" s="4">
        <v>24.36</v>
      </c>
      <c r="D819" s="4">
        <v>22.3308</v>
      </c>
      <c r="E819" s="4">
        <v>253</v>
      </c>
      <c r="F819" s="4">
        <v>24.004000000000001</v>
      </c>
      <c r="G819" s="4">
        <v>6073.0119999999997</v>
      </c>
      <c r="H819" s="5">
        <f t="shared" si="12"/>
        <v>-8.1882491912425924E-4</v>
      </c>
    </row>
    <row r="820" spans="1:8" ht="13.5" x14ac:dyDescent="0.25">
      <c r="A820" s="1"/>
      <c r="B820" s="3">
        <v>45792</v>
      </c>
      <c r="C820" s="4">
        <v>24.36</v>
      </c>
      <c r="D820" s="4">
        <v>22.3308</v>
      </c>
      <c r="E820" s="4">
        <v>0</v>
      </c>
      <c r="F820" s="4">
        <v>0</v>
      </c>
      <c r="G820" s="4">
        <v>0</v>
      </c>
      <c r="H820" s="5">
        <f t="shared" si="12"/>
        <v>0</v>
      </c>
    </row>
    <row r="821" spans="1:8" ht="13.5" x14ac:dyDescent="0.25">
      <c r="A821" s="1"/>
      <c r="B821" s="3">
        <v>45793</v>
      </c>
      <c r="C821" s="4">
        <v>23.99</v>
      </c>
      <c r="D821" s="4">
        <v>21.991599999999998</v>
      </c>
      <c r="E821" s="4">
        <v>603</v>
      </c>
      <c r="F821" s="4">
        <v>23.318999999999999</v>
      </c>
      <c r="G821" s="4">
        <v>14061.357</v>
      </c>
      <c r="H821" s="5">
        <f t="shared" si="12"/>
        <v>-1.5189782721622231E-2</v>
      </c>
    </row>
    <row r="822" spans="1:8" ht="13.5" x14ac:dyDescent="0.25">
      <c r="A822" s="1"/>
      <c r="B822" s="3">
        <v>45796</v>
      </c>
      <c r="C822" s="4">
        <v>23.95</v>
      </c>
      <c r="D822" s="4">
        <v>21.954999999999998</v>
      </c>
      <c r="E822" s="4">
        <v>9</v>
      </c>
      <c r="F822" s="4">
        <v>23.616</v>
      </c>
      <c r="G822" s="4">
        <v>212.54400000000001</v>
      </c>
      <c r="H822" s="5">
        <f t="shared" si="12"/>
        <v>-1.664271812874005E-3</v>
      </c>
    </row>
    <row r="823" spans="1:8" ht="13.5" x14ac:dyDescent="0.25">
      <c r="A823" s="1"/>
      <c r="B823" s="3">
        <v>45797</v>
      </c>
      <c r="C823" s="4">
        <v>23.95</v>
      </c>
      <c r="D823" s="4">
        <v>21.954999999999998</v>
      </c>
      <c r="E823" s="4">
        <v>0</v>
      </c>
      <c r="F823" s="4">
        <v>0</v>
      </c>
      <c r="G823" s="4">
        <v>0</v>
      </c>
      <c r="H823" s="5">
        <f t="shared" si="12"/>
        <v>0</v>
      </c>
    </row>
    <row r="824" spans="1:8" ht="13.5" x14ac:dyDescent="0.25">
      <c r="A824" s="1"/>
      <c r="B824" s="3">
        <v>45798</v>
      </c>
      <c r="C824" s="4">
        <v>24.4</v>
      </c>
      <c r="D824" s="4">
        <v>22.3675</v>
      </c>
      <c r="E824" s="4">
        <v>0</v>
      </c>
      <c r="F824" s="4">
        <v>0</v>
      </c>
      <c r="G824" s="4">
        <v>0</v>
      </c>
      <c r="H824" s="5">
        <f t="shared" si="12"/>
        <v>1.8788430881348277E-2</v>
      </c>
    </row>
    <row r="825" spans="1:8" ht="13.5" x14ac:dyDescent="0.25">
      <c r="A825" s="1"/>
      <c r="B825" s="3">
        <v>45799</v>
      </c>
      <c r="C825" s="4">
        <v>24.4</v>
      </c>
      <c r="D825" s="4">
        <v>22.3675</v>
      </c>
      <c r="E825" s="4">
        <v>58039</v>
      </c>
      <c r="F825" s="4">
        <v>24.4</v>
      </c>
      <c r="G825" s="4">
        <v>1416151.6</v>
      </c>
      <c r="H825" s="5">
        <f t="shared" si="12"/>
        <v>0</v>
      </c>
    </row>
    <row r="826" spans="1:8" ht="13.5" x14ac:dyDescent="0.25">
      <c r="A826" s="1"/>
      <c r="B826" s="3">
        <v>45800</v>
      </c>
      <c r="C826" s="4">
        <v>24.4</v>
      </c>
      <c r="D826" s="4">
        <v>22.3675</v>
      </c>
      <c r="E826" s="4">
        <v>14726</v>
      </c>
      <c r="F826" s="4">
        <v>24.4</v>
      </c>
      <c r="G826" s="4">
        <v>359314.4</v>
      </c>
      <c r="H826" s="5">
        <f t="shared" si="12"/>
        <v>0</v>
      </c>
    </row>
    <row r="827" spans="1:8" ht="13.5" x14ac:dyDescent="0.25">
      <c r="A827" s="1"/>
      <c r="B827" s="3">
        <v>45803</v>
      </c>
      <c r="C827" s="4">
        <v>24.7</v>
      </c>
      <c r="D827" s="4">
        <v>22.642499999999998</v>
      </c>
      <c r="E827" s="4">
        <v>1640</v>
      </c>
      <c r="F827" s="4">
        <v>24.497</v>
      </c>
      <c r="G827" s="4">
        <v>40175.08</v>
      </c>
      <c r="H827" s="5">
        <f t="shared" si="12"/>
        <v>1.2294623896278018E-2</v>
      </c>
    </row>
    <row r="828" spans="1:8" ht="13.5" x14ac:dyDescent="0.25">
      <c r="A828" s="1"/>
      <c r="B828" s="3">
        <v>45804</v>
      </c>
      <c r="C828" s="4">
        <v>24.42</v>
      </c>
      <c r="D828" s="4">
        <v>22.3858</v>
      </c>
      <c r="E828" s="4">
        <v>25</v>
      </c>
      <c r="F828" s="4">
        <v>24.42</v>
      </c>
      <c r="G828" s="4">
        <v>610.5</v>
      </c>
      <c r="H828" s="5">
        <f t="shared" si="12"/>
        <v>-1.1337087335762332E-2</v>
      </c>
    </row>
    <row r="829" spans="1:8" ht="13.5" x14ac:dyDescent="0.25">
      <c r="A829" s="1"/>
      <c r="B829" s="3">
        <v>45805</v>
      </c>
      <c r="C829" s="4">
        <v>24.41</v>
      </c>
      <c r="D829" s="4">
        <v>22.3766</v>
      </c>
      <c r="E829" s="4">
        <v>140697</v>
      </c>
      <c r="F829" s="4">
        <v>24.405000000000001</v>
      </c>
      <c r="G829" s="4">
        <v>3433710.2850000001</v>
      </c>
      <c r="H829" s="5">
        <f t="shared" si="12"/>
        <v>-4.1097481439126031E-4</v>
      </c>
    </row>
    <row r="830" spans="1:8" ht="13.5" x14ac:dyDescent="0.25">
      <c r="A830" s="1"/>
      <c r="B830" s="3">
        <v>45806</v>
      </c>
      <c r="C830" s="4">
        <v>24.4</v>
      </c>
      <c r="D830" s="4">
        <v>22.3675</v>
      </c>
      <c r="E830" s="4">
        <v>4800</v>
      </c>
      <c r="F830" s="4">
        <v>24.413</v>
      </c>
      <c r="G830" s="4">
        <v>117182.39999999999</v>
      </c>
      <c r="H830" s="5">
        <f t="shared" si="12"/>
        <v>-4.0667482995629845E-4</v>
      </c>
    </row>
    <row r="831" spans="1:8" ht="13.5" x14ac:dyDescent="0.25">
      <c r="A831" s="1"/>
      <c r="B831" s="3">
        <v>45807</v>
      </c>
      <c r="C831" s="4">
        <v>24.4</v>
      </c>
      <c r="D831" s="4">
        <v>22.3675</v>
      </c>
      <c r="E831" s="4">
        <v>14820</v>
      </c>
      <c r="F831" s="4">
        <v>24.4</v>
      </c>
      <c r="G831" s="4">
        <v>361608</v>
      </c>
      <c r="H831" s="5">
        <f t="shared" si="12"/>
        <v>0</v>
      </c>
    </row>
    <row r="832" spans="1:8" ht="13.5" x14ac:dyDescent="0.25">
      <c r="A832" s="1"/>
      <c r="B832" s="3">
        <v>45810</v>
      </c>
      <c r="C832" s="4">
        <v>25.5</v>
      </c>
      <c r="D832" s="4">
        <v>23.375900000000001</v>
      </c>
      <c r="E832" s="4">
        <v>3867</v>
      </c>
      <c r="F832" s="4">
        <v>24.957999999999998</v>
      </c>
      <c r="G832" s="4">
        <v>96512.585999999996</v>
      </c>
      <c r="H832" s="5">
        <f t="shared" si="12"/>
        <v>4.5083268134570323E-2</v>
      </c>
    </row>
    <row r="833" spans="1:8" ht="13.5" x14ac:dyDescent="0.25">
      <c r="A833" s="1"/>
      <c r="B833" s="3">
        <v>45811</v>
      </c>
      <c r="C833" s="4">
        <v>25.34</v>
      </c>
      <c r="D833" s="4">
        <v>23.229199999999999</v>
      </c>
      <c r="E833" s="4">
        <v>487</v>
      </c>
      <c r="F833" s="4">
        <v>25.321999999999999</v>
      </c>
      <c r="G833" s="4">
        <v>12331.814</v>
      </c>
      <c r="H833" s="5">
        <f t="shared" si="12"/>
        <v>-6.2756941978705724E-3</v>
      </c>
    </row>
    <row r="834" spans="1:8" ht="13.5" x14ac:dyDescent="0.25">
      <c r="A834" s="1"/>
      <c r="B834" s="3">
        <v>45812</v>
      </c>
      <c r="C834" s="4">
        <v>24.4</v>
      </c>
      <c r="D834" s="4">
        <v>22.3675</v>
      </c>
      <c r="E834" s="4">
        <v>4258</v>
      </c>
      <c r="F834" s="4">
        <v>24.407</v>
      </c>
      <c r="G834" s="4">
        <v>103925.00599999999</v>
      </c>
      <c r="H834" s="5">
        <f t="shared" si="12"/>
        <v>-3.7095552149880286E-2</v>
      </c>
    </row>
    <row r="835" spans="1:8" ht="13.5" x14ac:dyDescent="0.25">
      <c r="A835" s="1"/>
      <c r="B835" s="3">
        <v>45813</v>
      </c>
      <c r="C835" s="4">
        <v>24.4</v>
      </c>
      <c r="D835" s="4">
        <v>22.3675</v>
      </c>
      <c r="E835" s="4">
        <v>0</v>
      </c>
      <c r="F835" s="4">
        <v>0</v>
      </c>
      <c r="G835" s="4">
        <v>0</v>
      </c>
      <c r="H835" s="5">
        <f t="shared" si="12"/>
        <v>0</v>
      </c>
    </row>
    <row r="836" spans="1:8" ht="13.5" x14ac:dyDescent="0.25">
      <c r="A836" s="1"/>
      <c r="B836" s="3">
        <v>45817</v>
      </c>
      <c r="C836" s="4">
        <v>24.4</v>
      </c>
      <c r="D836" s="4">
        <v>22.3675</v>
      </c>
      <c r="E836" s="4">
        <v>205</v>
      </c>
      <c r="F836" s="4">
        <v>24.4</v>
      </c>
      <c r="G836" s="4">
        <v>5002</v>
      </c>
      <c r="H836" s="5">
        <f t="shared" si="12"/>
        <v>0</v>
      </c>
    </row>
    <row r="837" spans="1:8" ht="13.5" x14ac:dyDescent="0.25">
      <c r="A837" s="1"/>
      <c r="B837" s="3">
        <v>45818</v>
      </c>
      <c r="C837" s="4">
        <v>24.4</v>
      </c>
      <c r="D837" s="4">
        <v>22.3675</v>
      </c>
      <c r="E837" s="4">
        <v>1236</v>
      </c>
      <c r="F837" s="4">
        <v>24.404</v>
      </c>
      <c r="G837" s="4">
        <v>30163.344000000001</v>
      </c>
      <c r="H837" s="5">
        <f t="shared" si="12"/>
        <v>0</v>
      </c>
    </row>
    <row r="838" spans="1:8" ht="13.5" x14ac:dyDescent="0.25">
      <c r="A838" s="1"/>
      <c r="B838" s="3">
        <v>45819</v>
      </c>
      <c r="C838" s="4">
        <v>24.41</v>
      </c>
      <c r="D838" s="4">
        <v>22.3766</v>
      </c>
      <c r="E838" s="4">
        <v>330</v>
      </c>
      <c r="F838" s="4">
        <v>24.402999999999999</v>
      </c>
      <c r="G838" s="4">
        <v>8052.99</v>
      </c>
      <c r="H838" s="5">
        <f t="shared" si="12"/>
        <v>4.0684028165866135E-4</v>
      </c>
    </row>
    <row r="839" spans="1:8" ht="13.5" x14ac:dyDescent="0.25">
      <c r="A839" s="1"/>
      <c r="B839" s="3">
        <v>45820</v>
      </c>
      <c r="C839" s="4">
        <v>24.4</v>
      </c>
      <c r="D839" s="4">
        <v>22.3675</v>
      </c>
      <c r="E839" s="4">
        <v>2149</v>
      </c>
      <c r="F839" s="4">
        <v>24.402000000000001</v>
      </c>
      <c r="G839" s="4">
        <v>52439.898000000001</v>
      </c>
      <c r="H839" s="5">
        <f t="shared" ref="H839:H902" si="13">(D839-D838)/D838</f>
        <v>-4.0667482995629845E-4</v>
      </c>
    </row>
    <row r="840" spans="1:8" ht="13.5" x14ac:dyDescent="0.25">
      <c r="A840" s="1"/>
      <c r="B840" s="3">
        <v>45821</v>
      </c>
      <c r="C840" s="4">
        <v>24.41</v>
      </c>
      <c r="D840" s="4">
        <v>22.3766</v>
      </c>
      <c r="E840" s="4">
        <v>15641</v>
      </c>
      <c r="F840" s="4">
        <v>24.402999999999999</v>
      </c>
      <c r="G840" s="4">
        <v>381687.32299999997</v>
      </c>
      <c r="H840" s="5">
        <f t="shared" si="13"/>
        <v>4.0684028165866135E-4</v>
      </c>
    </row>
    <row r="841" spans="1:8" ht="13.5" x14ac:dyDescent="0.25">
      <c r="A841" s="1"/>
      <c r="B841" s="3">
        <v>45824</v>
      </c>
      <c r="C841" s="4">
        <v>24.4</v>
      </c>
      <c r="D841" s="4">
        <v>22.3675</v>
      </c>
      <c r="E841" s="4">
        <v>2912</v>
      </c>
      <c r="F841" s="4">
        <v>24.4</v>
      </c>
      <c r="G841" s="4">
        <v>71052.800000000003</v>
      </c>
      <c r="H841" s="5">
        <f t="shared" si="13"/>
        <v>-4.0667482995629845E-4</v>
      </c>
    </row>
    <row r="842" spans="1:8" ht="13.5" x14ac:dyDescent="0.25">
      <c r="A842" s="1"/>
      <c r="B842" s="3">
        <v>45825</v>
      </c>
      <c r="C842" s="4">
        <v>24.4</v>
      </c>
      <c r="D842" s="4">
        <v>22.3675</v>
      </c>
      <c r="E842" s="4">
        <v>4911</v>
      </c>
      <c r="F842" s="4">
        <v>24.4</v>
      </c>
      <c r="G842" s="4">
        <v>119828.4</v>
      </c>
      <c r="H842" s="5">
        <f t="shared" si="13"/>
        <v>0</v>
      </c>
    </row>
    <row r="843" spans="1:8" ht="13.5" x14ac:dyDescent="0.25">
      <c r="A843" s="1"/>
      <c r="B843" s="3">
        <v>45826</v>
      </c>
      <c r="C843" s="4">
        <v>24.4</v>
      </c>
      <c r="D843" s="4">
        <v>22.3675</v>
      </c>
      <c r="E843" s="4">
        <v>91553</v>
      </c>
      <c r="F843" s="4">
        <v>24.402000000000001</v>
      </c>
      <c r="G843" s="4">
        <v>2234076.3059999999</v>
      </c>
      <c r="H843" s="5">
        <f t="shared" si="13"/>
        <v>0</v>
      </c>
    </row>
    <row r="844" spans="1:8" ht="13.5" x14ac:dyDescent="0.25">
      <c r="A844" s="1"/>
      <c r="B844" s="3">
        <v>45827</v>
      </c>
      <c r="C844" s="4">
        <v>24.45</v>
      </c>
      <c r="D844" s="4">
        <v>22.4133</v>
      </c>
      <c r="E844" s="4">
        <v>25441</v>
      </c>
      <c r="F844" s="4">
        <v>24.4</v>
      </c>
      <c r="G844" s="4">
        <v>620760.4</v>
      </c>
      <c r="H844" s="5">
        <f t="shared" si="13"/>
        <v>2.0476137252710335E-3</v>
      </c>
    </row>
    <row r="845" spans="1:8" ht="13.5" x14ac:dyDescent="0.25">
      <c r="A845" s="1"/>
      <c r="B845" s="3">
        <v>45828</v>
      </c>
      <c r="C845" s="4">
        <v>24.41</v>
      </c>
      <c r="D845" s="4">
        <v>22.3766</v>
      </c>
      <c r="E845" s="4">
        <v>24385</v>
      </c>
      <c r="F845" s="4">
        <v>24.408000000000001</v>
      </c>
      <c r="G845" s="4">
        <v>595189.07999999996</v>
      </c>
      <c r="H845" s="5">
        <f t="shared" si="13"/>
        <v>-1.6374206386386536E-3</v>
      </c>
    </row>
    <row r="846" spans="1:8" ht="13.5" x14ac:dyDescent="0.25">
      <c r="A846" s="1"/>
      <c r="B846" s="3">
        <v>45831</v>
      </c>
      <c r="C846" s="4">
        <v>24.5</v>
      </c>
      <c r="D846" s="4">
        <v>22.459099999999999</v>
      </c>
      <c r="E846" s="4">
        <v>121</v>
      </c>
      <c r="F846" s="4">
        <v>24.5</v>
      </c>
      <c r="G846" s="4">
        <v>2964.5</v>
      </c>
      <c r="H846" s="5">
        <f t="shared" si="13"/>
        <v>3.686887194658687E-3</v>
      </c>
    </row>
    <row r="847" spans="1:8" ht="13.5" x14ac:dyDescent="0.25">
      <c r="A847" s="1"/>
      <c r="B847" s="3">
        <v>45832</v>
      </c>
      <c r="C847" s="4">
        <v>24.2</v>
      </c>
      <c r="D847" s="4">
        <v>22.184100000000001</v>
      </c>
      <c r="E847" s="4">
        <v>1230</v>
      </c>
      <c r="F847" s="4">
        <v>24.247</v>
      </c>
      <c r="G847" s="4">
        <v>29823.81</v>
      </c>
      <c r="H847" s="5">
        <f t="shared" si="13"/>
        <v>-1.2244479965804444E-2</v>
      </c>
    </row>
    <row r="848" spans="1:8" ht="13.5" x14ac:dyDescent="0.25">
      <c r="A848" s="1"/>
      <c r="B848" s="3">
        <v>45833</v>
      </c>
      <c r="C848" s="4">
        <v>23.4</v>
      </c>
      <c r="D848" s="4">
        <v>23.4</v>
      </c>
      <c r="E848" s="4">
        <v>1840</v>
      </c>
      <c r="F848" s="4">
        <v>22.875</v>
      </c>
      <c r="G848" s="4">
        <v>42090</v>
      </c>
      <c r="H848" s="5">
        <f t="shared" si="13"/>
        <v>5.4809525741409286E-2</v>
      </c>
    </row>
    <row r="849" spans="1:8" ht="13.5" x14ac:dyDescent="0.25">
      <c r="A849" s="1"/>
      <c r="B849" s="3">
        <v>45835</v>
      </c>
      <c r="C849" s="4">
        <v>24.8</v>
      </c>
      <c r="D849" s="4">
        <v>24.8</v>
      </c>
      <c r="E849" s="4">
        <v>3397</v>
      </c>
      <c r="F849" s="4">
        <v>24.282</v>
      </c>
      <c r="G849" s="4">
        <v>82485.953999999998</v>
      </c>
      <c r="H849" s="5">
        <f t="shared" si="13"/>
        <v>5.9829059829059922E-2</v>
      </c>
    </row>
    <row r="850" spans="1:8" ht="13.5" x14ac:dyDescent="0.25">
      <c r="A850" s="1"/>
      <c r="B850" s="3">
        <v>45838</v>
      </c>
      <c r="C850" s="4">
        <v>25.3</v>
      </c>
      <c r="D850" s="4">
        <v>25.3</v>
      </c>
      <c r="E850" s="4">
        <v>724</v>
      </c>
      <c r="F850" s="4">
        <v>24.83</v>
      </c>
      <c r="G850" s="4">
        <v>17976.919999999998</v>
      </c>
      <c r="H850" s="5">
        <f t="shared" si="13"/>
        <v>2.0161290322580645E-2</v>
      </c>
    </row>
    <row r="851" spans="1:8" ht="13.5" x14ac:dyDescent="0.25">
      <c r="A851" s="1"/>
      <c r="B851" s="3">
        <v>45839</v>
      </c>
      <c r="C851" s="4">
        <v>25.76</v>
      </c>
      <c r="D851" s="4">
        <v>25.76</v>
      </c>
      <c r="E851" s="4">
        <v>1644</v>
      </c>
      <c r="F851" s="4">
        <v>25.478000000000002</v>
      </c>
      <c r="G851" s="4">
        <v>41885.832000000002</v>
      </c>
      <c r="H851" s="5">
        <f t="shared" si="13"/>
        <v>1.8181818181818216E-2</v>
      </c>
    </row>
    <row r="852" spans="1:8" ht="13.5" x14ac:dyDescent="0.25">
      <c r="A852" s="1"/>
      <c r="B852" s="3">
        <v>45840</v>
      </c>
      <c r="C852" s="4">
        <v>25.7</v>
      </c>
      <c r="D852" s="4">
        <v>25.7</v>
      </c>
      <c r="E852" s="4">
        <v>111</v>
      </c>
      <c r="F852" s="4">
        <v>25.65</v>
      </c>
      <c r="G852" s="4">
        <v>2847.15</v>
      </c>
      <c r="H852" s="5">
        <f t="shared" si="13"/>
        <v>-2.329192546583939E-3</v>
      </c>
    </row>
    <row r="853" spans="1:8" ht="13.5" x14ac:dyDescent="0.25">
      <c r="A853" s="1"/>
      <c r="B853" s="3">
        <v>45841</v>
      </c>
      <c r="C853" s="4">
        <v>25.69</v>
      </c>
      <c r="D853" s="4">
        <v>25.69</v>
      </c>
      <c r="E853" s="4">
        <v>277</v>
      </c>
      <c r="F853" s="4">
        <v>25.713000000000001</v>
      </c>
      <c r="G853" s="4">
        <v>7122.5010000000002</v>
      </c>
      <c r="H853" s="5">
        <f t="shared" si="13"/>
        <v>-3.8910505836568137E-4</v>
      </c>
    </row>
    <row r="854" spans="1:8" ht="13.5" x14ac:dyDescent="0.25">
      <c r="A854" s="1"/>
      <c r="B854" s="3">
        <v>45842</v>
      </c>
      <c r="C854" s="4">
        <v>25.69</v>
      </c>
      <c r="D854" s="4">
        <v>25.69</v>
      </c>
      <c r="E854" s="4">
        <v>0</v>
      </c>
      <c r="F854" s="4">
        <v>0</v>
      </c>
      <c r="G854" s="4">
        <v>0</v>
      </c>
      <c r="H854" s="5">
        <f t="shared" si="13"/>
        <v>0</v>
      </c>
    </row>
    <row r="855" spans="1:8" ht="13.5" x14ac:dyDescent="0.25">
      <c r="A855" s="1"/>
      <c r="B855" s="3">
        <v>45845</v>
      </c>
      <c r="C855" s="4">
        <v>25.69</v>
      </c>
      <c r="D855" s="4">
        <v>25.69</v>
      </c>
      <c r="E855" s="4">
        <v>0</v>
      </c>
      <c r="F855" s="4">
        <v>0</v>
      </c>
      <c r="G855" s="4">
        <v>0</v>
      </c>
      <c r="H855" s="5">
        <f t="shared" si="13"/>
        <v>0</v>
      </c>
    </row>
    <row r="856" spans="1:8" ht="13.5" x14ac:dyDescent="0.25">
      <c r="A856" s="1"/>
      <c r="B856" s="3">
        <v>45846</v>
      </c>
      <c r="C856" s="4">
        <v>25.35</v>
      </c>
      <c r="D856" s="4">
        <v>25.35</v>
      </c>
      <c r="E856" s="4">
        <v>6</v>
      </c>
      <c r="F856" s="4">
        <v>25.207999999999998</v>
      </c>
      <c r="G856" s="4">
        <v>151.24799999999999</v>
      </c>
      <c r="H856" s="5">
        <f t="shared" si="13"/>
        <v>-1.3234721681588161E-2</v>
      </c>
    </row>
    <row r="857" spans="1:8" ht="13.5" x14ac:dyDescent="0.25">
      <c r="A857" s="1"/>
      <c r="B857" s="3">
        <v>45847</v>
      </c>
      <c r="C857" s="4">
        <v>25.3</v>
      </c>
      <c r="D857" s="4">
        <v>25.3</v>
      </c>
      <c r="E857" s="4">
        <v>100</v>
      </c>
      <c r="F857" s="4">
        <v>25.3</v>
      </c>
      <c r="G857" s="4">
        <v>2530</v>
      </c>
      <c r="H857" s="5">
        <f t="shared" si="13"/>
        <v>-1.972386587771231E-3</v>
      </c>
    </row>
    <row r="858" spans="1:8" ht="13.5" x14ac:dyDescent="0.25">
      <c r="A858" s="1"/>
      <c r="B858" s="3">
        <v>45848</v>
      </c>
      <c r="C858" s="4">
        <v>25.2</v>
      </c>
      <c r="D858" s="4">
        <v>25.2</v>
      </c>
      <c r="E858" s="4">
        <v>12</v>
      </c>
      <c r="F858" s="4">
        <v>24.867000000000001</v>
      </c>
      <c r="G858" s="4">
        <v>298.404</v>
      </c>
      <c r="H858" s="5">
        <f t="shared" si="13"/>
        <v>-3.9525691699605304E-3</v>
      </c>
    </row>
    <row r="859" spans="1:8" ht="13.5" x14ac:dyDescent="0.25">
      <c r="A859" s="1"/>
      <c r="B859" s="3">
        <v>45849</v>
      </c>
      <c r="C859" s="4">
        <v>24.6</v>
      </c>
      <c r="D859" s="4">
        <v>24.6</v>
      </c>
      <c r="E859" s="4">
        <v>556</v>
      </c>
      <c r="F859" s="4">
        <v>24.82</v>
      </c>
      <c r="G859" s="4">
        <v>13799.92</v>
      </c>
      <c r="H859" s="5">
        <f t="shared" si="13"/>
        <v>-2.3809523809523725E-2</v>
      </c>
    </row>
    <row r="860" spans="1:8" ht="13.5" x14ac:dyDescent="0.25">
      <c r="A860" s="1"/>
      <c r="B860" s="3">
        <v>45852</v>
      </c>
      <c r="C860" s="4">
        <v>24.41</v>
      </c>
      <c r="D860" s="4">
        <v>24.41</v>
      </c>
      <c r="E860" s="4">
        <v>20</v>
      </c>
      <c r="F860" s="4">
        <v>24.41</v>
      </c>
      <c r="G860" s="4">
        <v>488.2</v>
      </c>
      <c r="H860" s="5">
        <f t="shared" si="13"/>
        <v>-7.7235772357724091E-3</v>
      </c>
    </row>
    <row r="861" spans="1:8" ht="13.5" x14ac:dyDescent="0.25">
      <c r="A861" s="1"/>
      <c r="B861" s="3">
        <v>45853</v>
      </c>
      <c r="C861" s="4">
        <v>24.6</v>
      </c>
      <c r="D861" s="4">
        <v>24.6</v>
      </c>
      <c r="E861" s="4">
        <v>167</v>
      </c>
      <c r="F861" s="4">
        <v>24.341000000000001</v>
      </c>
      <c r="G861" s="4">
        <v>4064.9470000000001</v>
      </c>
      <c r="H861" s="5">
        <f t="shared" si="13"/>
        <v>7.7836952068824775E-3</v>
      </c>
    </row>
    <row r="862" spans="1:8" ht="13.5" x14ac:dyDescent="0.25">
      <c r="A862" s="1"/>
      <c r="B862" s="3">
        <v>45854</v>
      </c>
      <c r="C862" s="4">
        <v>25.18</v>
      </c>
      <c r="D862" s="4">
        <v>25.18</v>
      </c>
      <c r="E862" s="4">
        <v>201</v>
      </c>
      <c r="F862" s="4">
        <v>24.734999999999999</v>
      </c>
      <c r="G862" s="4">
        <v>4971.7349999999997</v>
      </c>
      <c r="H862" s="5">
        <f t="shared" si="13"/>
        <v>2.3577235772357652E-2</v>
      </c>
    </row>
    <row r="863" spans="1:8" ht="13.5" x14ac:dyDescent="0.25">
      <c r="A863" s="1"/>
      <c r="B863" s="3">
        <v>45855</v>
      </c>
      <c r="C863" s="4">
        <v>25</v>
      </c>
      <c r="D863" s="4">
        <v>25</v>
      </c>
      <c r="E863" s="4">
        <v>228</v>
      </c>
      <c r="F863" s="4">
        <v>24.911999999999999</v>
      </c>
      <c r="G863" s="4">
        <v>5679.9359999999997</v>
      </c>
      <c r="H863" s="5">
        <f t="shared" si="13"/>
        <v>-7.148530579825247E-3</v>
      </c>
    </row>
    <row r="864" spans="1:8" ht="13.5" x14ac:dyDescent="0.25">
      <c r="A864" s="1"/>
      <c r="B864" s="3">
        <v>45856</v>
      </c>
      <c r="C864" s="4">
        <v>25.17</v>
      </c>
      <c r="D864" s="4">
        <v>25.17</v>
      </c>
      <c r="E864" s="4">
        <v>82</v>
      </c>
      <c r="F864" s="4">
        <v>25.004000000000001</v>
      </c>
      <c r="G864" s="4">
        <v>2050.328</v>
      </c>
      <c r="H864" s="5">
        <f t="shared" si="13"/>
        <v>6.8000000000000681E-3</v>
      </c>
    </row>
    <row r="865" spans="1:8" ht="13.5" x14ac:dyDescent="0.25">
      <c r="A865" s="1"/>
      <c r="B865" s="3">
        <v>45859</v>
      </c>
      <c r="C865" s="4">
        <v>25.1</v>
      </c>
      <c r="D865" s="4">
        <v>25.1</v>
      </c>
      <c r="E865" s="4">
        <v>145</v>
      </c>
      <c r="F865" s="4">
        <v>25.016999999999999</v>
      </c>
      <c r="G865" s="4">
        <v>3627.4650000000001</v>
      </c>
      <c r="H865" s="5">
        <f t="shared" si="13"/>
        <v>-2.7810885975367611E-3</v>
      </c>
    </row>
    <row r="866" spans="1:8" ht="13.5" x14ac:dyDescent="0.25">
      <c r="A866" s="1"/>
      <c r="B866" s="3">
        <v>45860</v>
      </c>
      <c r="C866" s="4">
        <v>25.05</v>
      </c>
      <c r="D866" s="4">
        <v>25.05</v>
      </c>
      <c r="E866" s="4">
        <v>305</v>
      </c>
      <c r="F866" s="4">
        <v>25.065000000000001</v>
      </c>
      <c r="G866" s="4">
        <v>7644.8249999999998</v>
      </c>
      <c r="H866" s="5">
        <f t="shared" si="13"/>
        <v>-1.9920318725099883E-3</v>
      </c>
    </row>
    <row r="867" spans="1:8" ht="13.5" x14ac:dyDescent="0.25">
      <c r="A867" s="1"/>
      <c r="B867" s="3">
        <v>45861</v>
      </c>
      <c r="C867" s="4">
        <v>25.67</v>
      </c>
      <c r="D867" s="4">
        <v>25.67</v>
      </c>
      <c r="E867" s="4">
        <v>2012</v>
      </c>
      <c r="F867" s="4">
        <v>25.283999999999999</v>
      </c>
      <c r="G867" s="4">
        <v>50871.408000000003</v>
      </c>
      <c r="H867" s="5">
        <f t="shared" si="13"/>
        <v>2.4750499001996048E-2</v>
      </c>
    </row>
    <row r="868" spans="1:8" ht="13.5" x14ac:dyDescent="0.25">
      <c r="A868" s="1"/>
      <c r="B868" s="3">
        <v>45862</v>
      </c>
      <c r="C868" s="4">
        <v>26.4</v>
      </c>
      <c r="D868" s="4">
        <v>26.4</v>
      </c>
      <c r="E868" s="4">
        <v>1753</v>
      </c>
      <c r="F868" s="4">
        <v>25.672999999999998</v>
      </c>
      <c r="G868" s="4">
        <v>45004.769</v>
      </c>
      <c r="H868" s="5">
        <f t="shared" si="13"/>
        <v>2.8437865212309964E-2</v>
      </c>
    </row>
    <row r="869" spans="1:8" ht="13.5" x14ac:dyDescent="0.25">
      <c r="A869" s="1"/>
      <c r="B869" s="3">
        <v>45866</v>
      </c>
      <c r="C869" s="4">
        <v>26.89</v>
      </c>
      <c r="D869" s="4">
        <v>26.89</v>
      </c>
      <c r="E869" s="4">
        <v>239</v>
      </c>
      <c r="F869" s="4">
        <v>26.888999999999999</v>
      </c>
      <c r="G869" s="4">
        <v>6426.4709999999995</v>
      </c>
      <c r="H869" s="5">
        <f t="shared" si="13"/>
        <v>1.8560606060606138E-2</v>
      </c>
    </row>
    <row r="870" spans="1:8" ht="13.5" x14ac:dyDescent="0.25">
      <c r="A870" s="1"/>
      <c r="B870" s="3">
        <v>45867</v>
      </c>
      <c r="C870" s="4">
        <v>27</v>
      </c>
      <c r="D870" s="4">
        <v>27</v>
      </c>
      <c r="E870" s="4">
        <v>360</v>
      </c>
      <c r="F870" s="4">
        <v>26.797000000000001</v>
      </c>
      <c r="G870" s="4">
        <v>9646.92</v>
      </c>
      <c r="H870" s="5">
        <f t="shared" si="13"/>
        <v>4.0907400520639433E-3</v>
      </c>
    </row>
    <row r="871" spans="1:8" ht="13.5" x14ac:dyDescent="0.25">
      <c r="A871" s="1"/>
      <c r="B871" s="3">
        <v>45868</v>
      </c>
      <c r="C871" s="4">
        <v>27.38</v>
      </c>
      <c r="D871" s="4">
        <v>27.38</v>
      </c>
      <c r="E871" s="4">
        <v>293</v>
      </c>
      <c r="F871" s="4">
        <v>27.108000000000001</v>
      </c>
      <c r="G871" s="4">
        <v>7942.6440000000002</v>
      </c>
      <c r="H871" s="5">
        <f t="shared" si="13"/>
        <v>1.4074074074074037E-2</v>
      </c>
    </row>
    <row r="872" spans="1:8" ht="13.5" x14ac:dyDescent="0.25">
      <c r="A872" s="1"/>
      <c r="B872" s="3">
        <v>45869</v>
      </c>
      <c r="C872" s="4">
        <v>27.4</v>
      </c>
      <c r="D872" s="4">
        <v>27.4</v>
      </c>
      <c r="E872" s="4">
        <v>10</v>
      </c>
      <c r="F872" s="4">
        <v>27.4</v>
      </c>
      <c r="G872" s="4">
        <v>274</v>
      </c>
      <c r="H872" s="5">
        <f t="shared" si="13"/>
        <v>7.3046018991963378E-4</v>
      </c>
    </row>
    <row r="873" spans="1:8" ht="13.5" x14ac:dyDescent="0.25">
      <c r="A873" s="1"/>
      <c r="B873" s="3">
        <v>45870</v>
      </c>
      <c r="C873" s="4">
        <v>29.04</v>
      </c>
      <c r="D873" s="4">
        <v>29.04</v>
      </c>
      <c r="E873" s="4">
        <v>3269</v>
      </c>
      <c r="F873" s="4">
        <v>28.414999999999999</v>
      </c>
      <c r="G873" s="4">
        <v>92888.634999999995</v>
      </c>
      <c r="H873" s="5">
        <f t="shared" si="13"/>
        <v>5.9854014598540173E-2</v>
      </c>
    </row>
    <row r="874" spans="1:8" ht="13.5" x14ac:dyDescent="0.25">
      <c r="A874" s="1"/>
      <c r="B874" s="3">
        <v>45873</v>
      </c>
      <c r="C874" s="4">
        <v>30</v>
      </c>
      <c r="D874" s="4">
        <v>30</v>
      </c>
      <c r="E874" s="4">
        <v>1374</v>
      </c>
      <c r="F874" s="4">
        <v>29.99</v>
      </c>
      <c r="G874" s="4">
        <v>41206.26</v>
      </c>
      <c r="H874" s="5">
        <f t="shared" si="13"/>
        <v>3.305785123966945E-2</v>
      </c>
    </row>
    <row r="875" spans="1:8" ht="13.5" x14ac:dyDescent="0.25">
      <c r="A875" s="1"/>
      <c r="B875" s="3">
        <v>45874</v>
      </c>
      <c r="C875" s="4">
        <v>30</v>
      </c>
      <c r="D875" s="4">
        <v>30</v>
      </c>
      <c r="E875" s="4">
        <v>0</v>
      </c>
      <c r="F875" s="4">
        <v>0</v>
      </c>
      <c r="G875" s="4">
        <v>0</v>
      </c>
      <c r="H875" s="5">
        <f t="shared" si="13"/>
        <v>0</v>
      </c>
    </row>
    <row r="876" spans="1:8" ht="13.5" x14ac:dyDescent="0.25">
      <c r="A876" s="1"/>
      <c r="B876" s="3">
        <v>45875</v>
      </c>
      <c r="C876" s="4">
        <v>31</v>
      </c>
      <c r="D876" s="4">
        <v>31</v>
      </c>
      <c r="E876" s="4">
        <v>20</v>
      </c>
      <c r="F876" s="4">
        <v>31</v>
      </c>
      <c r="G876" s="4">
        <v>620</v>
      </c>
      <c r="H876" s="5">
        <f t="shared" si="13"/>
        <v>3.3333333333333333E-2</v>
      </c>
    </row>
    <row r="877" spans="1:8" ht="13.5" x14ac:dyDescent="0.25">
      <c r="A877" s="1"/>
      <c r="B877" s="3">
        <v>45876</v>
      </c>
      <c r="C877" s="4">
        <v>31.48</v>
      </c>
      <c r="D877" s="4">
        <v>31.48</v>
      </c>
      <c r="E877" s="4">
        <v>10</v>
      </c>
      <c r="F877" s="4">
        <v>31.48</v>
      </c>
      <c r="G877" s="4">
        <v>314.8</v>
      </c>
      <c r="H877" s="5">
        <f t="shared" si="13"/>
        <v>1.5483870967741949E-2</v>
      </c>
    </row>
    <row r="878" spans="1:8" ht="13.5" x14ac:dyDescent="0.25">
      <c r="A878" s="1"/>
      <c r="B878" s="3">
        <v>45877</v>
      </c>
      <c r="C878" s="4">
        <v>31.98</v>
      </c>
      <c r="D878" s="4">
        <v>31.98</v>
      </c>
      <c r="E878" s="4">
        <v>514</v>
      </c>
      <c r="F878" s="4">
        <v>31.501999999999999</v>
      </c>
      <c r="G878" s="4">
        <v>16192.028</v>
      </c>
      <c r="H878" s="5">
        <f t="shared" si="13"/>
        <v>1.588310038119441E-2</v>
      </c>
    </row>
    <row r="879" spans="1:8" ht="13.5" x14ac:dyDescent="0.25">
      <c r="A879" s="1"/>
      <c r="B879" s="3">
        <v>45880</v>
      </c>
      <c r="C879" s="4">
        <v>33</v>
      </c>
      <c r="D879" s="4">
        <v>33</v>
      </c>
      <c r="E879" s="4">
        <v>1178</v>
      </c>
      <c r="F879" s="4">
        <v>32.235999999999997</v>
      </c>
      <c r="G879" s="4">
        <v>37974.008000000002</v>
      </c>
      <c r="H879" s="5">
        <f t="shared" si="13"/>
        <v>3.1894934333958708E-2</v>
      </c>
    </row>
    <row r="880" spans="1:8" ht="13.5" x14ac:dyDescent="0.25">
      <c r="A880" s="1"/>
      <c r="B880" s="3">
        <v>45881</v>
      </c>
      <c r="C880" s="4">
        <v>33.5</v>
      </c>
      <c r="D880" s="4">
        <v>33.5</v>
      </c>
      <c r="E880" s="4">
        <v>126</v>
      </c>
      <c r="F880" s="4">
        <v>33.087000000000003</v>
      </c>
      <c r="G880" s="4">
        <v>4168.9620000000004</v>
      </c>
      <c r="H880" s="5">
        <f t="shared" si="13"/>
        <v>1.5151515151515152E-2</v>
      </c>
    </row>
    <row r="881" spans="1:8" ht="13.5" x14ac:dyDescent="0.25">
      <c r="A881" s="1"/>
      <c r="B881" s="3">
        <v>45883</v>
      </c>
      <c r="C881" s="4">
        <v>33</v>
      </c>
      <c r="D881" s="4">
        <v>33</v>
      </c>
      <c r="E881" s="4">
        <v>1170</v>
      </c>
      <c r="F881" s="4">
        <v>33.284999999999997</v>
      </c>
      <c r="G881" s="4">
        <v>38943.449999999997</v>
      </c>
      <c r="H881" s="5">
        <f t="shared" si="13"/>
        <v>-1.4925373134328358E-2</v>
      </c>
    </row>
    <row r="882" spans="1:8" ht="13.5" x14ac:dyDescent="0.25">
      <c r="A882" s="1"/>
      <c r="B882" s="3">
        <v>45884</v>
      </c>
      <c r="C882" s="4">
        <v>33</v>
      </c>
      <c r="D882" s="4">
        <v>33</v>
      </c>
      <c r="E882" s="4">
        <v>150</v>
      </c>
      <c r="F882" s="4">
        <v>32.402000000000001</v>
      </c>
      <c r="G882" s="4">
        <v>4860.3</v>
      </c>
      <c r="H882" s="5">
        <f t="shared" si="13"/>
        <v>0</v>
      </c>
    </row>
    <row r="883" spans="1:8" ht="13.5" x14ac:dyDescent="0.25">
      <c r="A883" s="1"/>
      <c r="B883" s="3">
        <v>45887</v>
      </c>
      <c r="C883" s="4">
        <v>32</v>
      </c>
      <c r="D883" s="4">
        <v>32</v>
      </c>
      <c r="E883" s="4">
        <v>216</v>
      </c>
      <c r="F883" s="4">
        <v>31.763999999999999</v>
      </c>
      <c r="G883" s="4">
        <v>6861.0240000000003</v>
      </c>
      <c r="H883" s="5">
        <f t="shared" si="13"/>
        <v>-3.0303030303030304E-2</v>
      </c>
    </row>
    <row r="884" spans="1:8" ht="13.5" x14ac:dyDescent="0.25">
      <c r="A884" s="1"/>
      <c r="B884" s="3">
        <v>45888</v>
      </c>
      <c r="C884" s="4">
        <v>31.8</v>
      </c>
      <c r="D884" s="4">
        <v>31.8</v>
      </c>
      <c r="E884" s="4">
        <v>1394</v>
      </c>
      <c r="F884" s="4">
        <v>31.17</v>
      </c>
      <c r="G884" s="4">
        <v>43450.98</v>
      </c>
      <c r="H884" s="5">
        <f t="shared" si="13"/>
        <v>-6.2499999999999778E-3</v>
      </c>
    </row>
    <row r="885" spans="1:8" ht="13.5" x14ac:dyDescent="0.25">
      <c r="A885" s="1"/>
      <c r="B885" s="3">
        <v>45889</v>
      </c>
      <c r="C885" s="4">
        <v>31.6</v>
      </c>
      <c r="D885" s="4">
        <v>31.6</v>
      </c>
      <c r="E885" s="4">
        <v>206</v>
      </c>
      <c r="F885" s="4">
        <v>31.245999999999999</v>
      </c>
      <c r="G885" s="4">
        <v>6436.6760000000004</v>
      </c>
      <c r="H885" s="5">
        <f t="shared" si="13"/>
        <v>-6.2893081761006067E-3</v>
      </c>
    </row>
    <row r="886" spans="1:8" ht="13.5" x14ac:dyDescent="0.25">
      <c r="A886" s="1"/>
      <c r="B886" s="3">
        <v>45890</v>
      </c>
      <c r="C886" s="4">
        <v>31.3</v>
      </c>
      <c r="D886" s="4">
        <v>31.3</v>
      </c>
      <c r="E886" s="4">
        <v>342</v>
      </c>
      <c r="F886" s="4">
        <v>30.844999999999999</v>
      </c>
      <c r="G886" s="4">
        <v>10548.99</v>
      </c>
      <c r="H886" s="5">
        <f t="shared" si="13"/>
        <v>-9.4936708860759722E-3</v>
      </c>
    </row>
    <row r="887" spans="1:8" ht="13.5" x14ac:dyDescent="0.25">
      <c r="A887" s="1"/>
      <c r="B887" s="3">
        <v>45891</v>
      </c>
      <c r="C887" s="4">
        <v>31.29</v>
      </c>
      <c r="D887" s="4">
        <v>31.29</v>
      </c>
      <c r="E887" s="4">
        <v>30</v>
      </c>
      <c r="F887" s="4">
        <v>31.29</v>
      </c>
      <c r="G887" s="4">
        <v>938.7</v>
      </c>
      <c r="H887" s="5">
        <f t="shared" si="13"/>
        <v>-3.1948881789142374E-4</v>
      </c>
    </row>
    <row r="888" spans="1:8" ht="13.5" x14ac:dyDescent="0.25">
      <c r="A888" s="1"/>
      <c r="B888" s="3">
        <v>45894</v>
      </c>
      <c r="C888" s="4">
        <v>31.29</v>
      </c>
      <c r="D888" s="4">
        <v>31.29</v>
      </c>
      <c r="E888" s="4">
        <v>0</v>
      </c>
      <c r="F888" s="4">
        <v>0</v>
      </c>
      <c r="G888" s="4">
        <v>0</v>
      </c>
      <c r="H888" s="5">
        <f t="shared" si="13"/>
        <v>0</v>
      </c>
    </row>
    <row r="889" spans="1:8" ht="13.5" x14ac:dyDescent="0.25">
      <c r="A889" s="1"/>
      <c r="B889" s="3">
        <v>45895</v>
      </c>
      <c r="C889" s="4">
        <v>30.89</v>
      </c>
      <c r="D889" s="4">
        <v>30.89</v>
      </c>
      <c r="E889" s="4">
        <v>16</v>
      </c>
      <c r="F889" s="4">
        <v>30.786999999999999</v>
      </c>
      <c r="G889" s="4">
        <v>492.59199999999998</v>
      </c>
      <c r="H889" s="5">
        <f t="shared" si="13"/>
        <v>-1.2783636944710726E-2</v>
      </c>
    </row>
    <row r="890" spans="1:8" ht="13.5" x14ac:dyDescent="0.25">
      <c r="A890" s="1"/>
      <c r="B890" s="3">
        <v>45896</v>
      </c>
      <c r="C890" s="4">
        <v>30.9</v>
      </c>
      <c r="D890" s="4">
        <v>30.9</v>
      </c>
      <c r="E890" s="4">
        <v>192</v>
      </c>
      <c r="F890" s="4">
        <v>30.356999999999999</v>
      </c>
      <c r="G890" s="4">
        <v>5828.5439999999999</v>
      </c>
      <c r="H890" s="5">
        <f t="shared" si="13"/>
        <v>3.2372936225309197E-4</v>
      </c>
    </row>
    <row r="891" spans="1:8" ht="13.5" x14ac:dyDescent="0.25">
      <c r="A891" s="1"/>
      <c r="B891" s="3">
        <v>45897</v>
      </c>
      <c r="C891" s="4">
        <v>30.8</v>
      </c>
      <c r="D891" s="4">
        <v>30.8</v>
      </c>
      <c r="E891" s="4">
        <v>3116</v>
      </c>
      <c r="F891" s="4">
        <v>30.082999999999998</v>
      </c>
      <c r="G891" s="4">
        <v>93738.627999999997</v>
      </c>
      <c r="H891" s="5">
        <f t="shared" si="13"/>
        <v>-3.2362459546924878E-3</v>
      </c>
    </row>
    <row r="892" spans="1:8" ht="13.5" x14ac:dyDescent="0.25">
      <c r="A892" s="1"/>
      <c r="B892" s="3">
        <v>45898</v>
      </c>
      <c r="C892" s="4">
        <v>31.8</v>
      </c>
      <c r="D892" s="4">
        <v>31.8</v>
      </c>
      <c r="E892" s="4">
        <v>1495</v>
      </c>
      <c r="F892" s="4">
        <v>31.079000000000001</v>
      </c>
      <c r="G892" s="4">
        <v>46463.105000000003</v>
      </c>
      <c r="H892" s="5">
        <f t="shared" si="13"/>
        <v>3.2467532467532464E-2</v>
      </c>
    </row>
    <row r="893" spans="1:8" ht="13.5" x14ac:dyDescent="0.25">
      <c r="A893" s="1"/>
      <c r="B893" s="3">
        <v>45901</v>
      </c>
      <c r="C893" s="4">
        <v>32.49</v>
      </c>
      <c r="D893" s="4">
        <v>32.49</v>
      </c>
      <c r="E893" s="4">
        <v>1040</v>
      </c>
      <c r="F893" s="4">
        <v>31.975999999999999</v>
      </c>
      <c r="G893" s="4">
        <v>33255.040000000001</v>
      </c>
      <c r="H893" s="5">
        <f t="shared" si="13"/>
        <v>2.169811320754721E-2</v>
      </c>
    </row>
    <row r="894" spans="1:8" ht="13.5" x14ac:dyDescent="0.25">
      <c r="A894" s="1"/>
      <c r="B894" s="3">
        <v>45902</v>
      </c>
      <c r="C894" s="4">
        <v>33.35</v>
      </c>
      <c r="D894" s="4">
        <v>33.35</v>
      </c>
      <c r="E894" s="4">
        <v>2713</v>
      </c>
      <c r="F894" s="4">
        <v>33.023000000000003</v>
      </c>
      <c r="G894" s="4">
        <v>89591.399000000005</v>
      </c>
      <c r="H894" s="5">
        <f t="shared" si="13"/>
        <v>2.646968297937825E-2</v>
      </c>
    </row>
    <row r="895" spans="1:8" ht="13.5" x14ac:dyDescent="0.25">
      <c r="A895" s="1"/>
      <c r="B895" s="3">
        <v>45903</v>
      </c>
      <c r="C895" s="4">
        <v>34.5</v>
      </c>
      <c r="D895" s="4">
        <v>34.5</v>
      </c>
      <c r="E895" s="4">
        <v>630</v>
      </c>
      <c r="F895" s="4">
        <v>33.451999999999998</v>
      </c>
      <c r="G895" s="4">
        <v>21074.76</v>
      </c>
      <c r="H895" s="5">
        <f t="shared" si="13"/>
        <v>3.4482758620689613E-2</v>
      </c>
    </row>
    <row r="896" spans="1:8" ht="13.5" x14ac:dyDescent="0.25">
      <c r="A896" s="1"/>
      <c r="B896" s="3">
        <v>45905</v>
      </c>
      <c r="C896" s="4">
        <v>34.49</v>
      </c>
      <c r="D896" s="4">
        <v>34.49</v>
      </c>
      <c r="E896" s="4">
        <v>47</v>
      </c>
      <c r="F896" s="4">
        <v>34.479999999999997</v>
      </c>
      <c r="G896" s="4">
        <v>1620.56</v>
      </c>
      <c r="H896" s="5">
        <f t="shared" si="13"/>
        <v>-2.8985507246371043E-4</v>
      </c>
    </row>
    <row r="897" spans="1:8" ht="13.5" x14ac:dyDescent="0.25">
      <c r="A897" s="1"/>
      <c r="B897" s="3">
        <v>45908</v>
      </c>
      <c r="C897" s="4">
        <v>34.49</v>
      </c>
      <c r="D897" s="4">
        <v>34.49</v>
      </c>
      <c r="E897" s="4">
        <v>0</v>
      </c>
      <c r="F897" s="4">
        <v>0</v>
      </c>
      <c r="G897" s="4">
        <v>0</v>
      </c>
      <c r="H897" s="5">
        <f t="shared" si="13"/>
        <v>0</v>
      </c>
    </row>
    <row r="898" spans="1:8" ht="13.5" x14ac:dyDescent="0.25">
      <c r="A898" s="1"/>
      <c r="B898" s="3">
        <v>45909</v>
      </c>
      <c r="C898" s="4">
        <v>33.770000000000003</v>
      </c>
      <c r="D898" s="4">
        <v>33.770000000000003</v>
      </c>
      <c r="E898" s="4">
        <v>53</v>
      </c>
      <c r="F898" s="4">
        <v>33.770000000000003</v>
      </c>
      <c r="G898" s="4">
        <v>1789.81</v>
      </c>
      <c r="H898" s="5">
        <f t="shared" si="13"/>
        <v>-2.0875616120614636E-2</v>
      </c>
    </row>
    <row r="899" spans="1:8" ht="13.5" x14ac:dyDescent="0.25">
      <c r="A899" s="1"/>
      <c r="B899" s="3">
        <v>45910</v>
      </c>
      <c r="C899" s="4">
        <v>33.770000000000003</v>
      </c>
      <c r="D899" s="4">
        <v>33.770000000000003</v>
      </c>
      <c r="E899" s="4">
        <v>1078</v>
      </c>
      <c r="F899" s="4">
        <v>32.771999999999998</v>
      </c>
      <c r="G899" s="4">
        <v>35328.216</v>
      </c>
      <c r="H899" s="5">
        <f t="shared" si="13"/>
        <v>0</v>
      </c>
    </row>
    <row r="900" spans="1:8" ht="13.5" x14ac:dyDescent="0.25">
      <c r="A900" s="1"/>
      <c r="B900" s="3">
        <v>45911</v>
      </c>
      <c r="C900" s="4">
        <v>35</v>
      </c>
      <c r="D900" s="4">
        <v>35</v>
      </c>
      <c r="E900" s="4">
        <v>2970</v>
      </c>
      <c r="F900" s="4">
        <v>33.814</v>
      </c>
      <c r="G900" s="4">
        <v>100427.58</v>
      </c>
      <c r="H900" s="5">
        <f t="shared" si="13"/>
        <v>3.6422860527094959E-2</v>
      </c>
    </row>
    <row r="901" spans="1:8" ht="13.5" x14ac:dyDescent="0.25">
      <c r="A901" s="1"/>
      <c r="B901" s="3">
        <v>45912</v>
      </c>
      <c r="C901" s="4">
        <v>34.6</v>
      </c>
      <c r="D901" s="4">
        <v>34.6</v>
      </c>
      <c r="E901" s="4">
        <v>177</v>
      </c>
      <c r="F901" s="4">
        <v>34.01</v>
      </c>
      <c r="G901" s="4">
        <v>6019.77</v>
      </c>
      <c r="H901" s="5">
        <f t="shared" si="13"/>
        <v>-1.1428571428571389E-2</v>
      </c>
    </row>
    <row r="902" spans="1:8" ht="13.5" x14ac:dyDescent="0.25">
      <c r="A902" s="1"/>
      <c r="B902" s="3">
        <v>45915</v>
      </c>
      <c r="C902" s="4">
        <v>34.79</v>
      </c>
      <c r="D902" s="4">
        <v>34.79</v>
      </c>
      <c r="E902" s="4">
        <v>1101</v>
      </c>
      <c r="F902" s="4">
        <v>33.082000000000001</v>
      </c>
      <c r="G902" s="4">
        <v>36423.281999999999</v>
      </c>
      <c r="H902" s="5">
        <f t="shared" si="13"/>
        <v>5.4913294797687201E-3</v>
      </c>
    </row>
    <row r="903" spans="1:8" ht="13.5" x14ac:dyDescent="0.25">
      <c r="A903" s="1"/>
      <c r="B903" s="3">
        <v>45916</v>
      </c>
      <c r="C903" s="4">
        <v>35.4</v>
      </c>
      <c r="D903" s="4">
        <v>35.4</v>
      </c>
      <c r="E903" s="4">
        <v>8463</v>
      </c>
      <c r="F903" s="4">
        <v>35.011000000000003</v>
      </c>
      <c r="G903" s="4">
        <v>296298.09299999999</v>
      </c>
      <c r="H903" s="5">
        <f t="shared" ref="H903:H934" si="14">(D903-D902)/D902</f>
        <v>1.7533774073009468E-2</v>
      </c>
    </row>
    <row r="904" spans="1:8" ht="13.5" x14ac:dyDescent="0.25">
      <c r="A904" s="1"/>
      <c r="B904" s="3">
        <v>45917</v>
      </c>
      <c r="C904" s="4">
        <v>33.28</v>
      </c>
      <c r="D904" s="4">
        <v>33.28</v>
      </c>
      <c r="E904" s="4">
        <v>86</v>
      </c>
      <c r="F904" s="4">
        <v>35.283000000000001</v>
      </c>
      <c r="G904" s="4">
        <v>3034.3380000000002</v>
      </c>
      <c r="H904" s="5">
        <f t="shared" si="14"/>
        <v>-5.9887005649717447E-2</v>
      </c>
    </row>
    <row r="905" spans="1:8" ht="13.5" x14ac:dyDescent="0.25">
      <c r="A905" s="1"/>
      <c r="B905" s="3">
        <v>45918</v>
      </c>
      <c r="C905" s="4">
        <v>34.979999999999997</v>
      </c>
      <c r="D905" s="4">
        <v>34.979999999999997</v>
      </c>
      <c r="E905" s="4">
        <v>229</v>
      </c>
      <c r="F905" s="4">
        <v>34.307000000000002</v>
      </c>
      <c r="G905" s="4">
        <v>7856.3029999999999</v>
      </c>
      <c r="H905" s="5">
        <f t="shared" si="14"/>
        <v>5.1081730769230636E-2</v>
      </c>
    </row>
    <row r="906" spans="1:8" ht="13.5" x14ac:dyDescent="0.25">
      <c r="A906" s="1"/>
      <c r="B906" s="3">
        <v>45919</v>
      </c>
      <c r="C906" s="4">
        <v>33.5</v>
      </c>
      <c r="D906" s="4">
        <v>33.5</v>
      </c>
      <c r="E906" s="4">
        <v>810</v>
      </c>
      <c r="F906" s="4">
        <v>33.673000000000002</v>
      </c>
      <c r="G906" s="4">
        <v>27275.13</v>
      </c>
      <c r="H906" s="5">
        <f t="shared" si="14"/>
        <v>-4.2309891366495052E-2</v>
      </c>
    </row>
    <row r="907" spans="1:8" ht="13.5" x14ac:dyDescent="0.25">
      <c r="A907" s="1"/>
      <c r="B907" s="3">
        <v>45922</v>
      </c>
      <c r="C907" s="4">
        <v>35.49</v>
      </c>
      <c r="D907" s="4">
        <v>35.49</v>
      </c>
      <c r="E907" s="4">
        <v>37</v>
      </c>
      <c r="F907" s="4">
        <v>34.875</v>
      </c>
      <c r="G907" s="4">
        <v>1290.375</v>
      </c>
      <c r="H907" s="5">
        <f t="shared" si="14"/>
        <v>5.9402985074626928E-2</v>
      </c>
    </row>
    <row r="908" spans="1:8" ht="13.5" x14ac:dyDescent="0.25">
      <c r="A908" s="1"/>
      <c r="B908" s="3">
        <v>45923</v>
      </c>
      <c r="C908" s="4">
        <v>35.19</v>
      </c>
      <c r="D908" s="4">
        <v>35.19</v>
      </c>
      <c r="E908" s="4">
        <v>16</v>
      </c>
      <c r="F908" s="4">
        <v>35.19</v>
      </c>
      <c r="G908" s="4">
        <v>563.04</v>
      </c>
      <c r="H908" s="5">
        <f t="shared" si="14"/>
        <v>-8.4530853761624197E-3</v>
      </c>
    </row>
    <row r="909" spans="1:8" ht="13.5" x14ac:dyDescent="0.25">
      <c r="A909" s="1"/>
      <c r="B909" s="3">
        <v>45924</v>
      </c>
      <c r="C909" s="4">
        <v>35.200000000000003</v>
      </c>
      <c r="D909" s="4">
        <v>35.200000000000003</v>
      </c>
      <c r="E909" s="4">
        <v>130</v>
      </c>
      <c r="F909" s="4">
        <v>35.014000000000003</v>
      </c>
      <c r="G909" s="4">
        <v>4551.82</v>
      </c>
      <c r="H909" s="5">
        <f t="shared" si="14"/>
        <v>2.8417163967050629E-4</v>
      </c>
    </row>
    <row r="910" spans="1:8" ht="13.5" x14ac:dyDescent="0.25">
      <c r="A910" s="1"/>
      <c r="B910" s="3">
        <v>45925</v>
      </c>
      <c r="C910" s="4">
        <v>34.5</v>
      </c>
      <c r="D910" s="4">
        <v>34.5</v>
      </c>
      <c r="E910" s="4">
        <v>3</v>
      </c>
      <c r="F910" s="4">
        <v>34.5</v>
      </c>
      <c r="G910" s="4">
        <v>103.5</v>
      </c>
      <c r="H910" s="5">
        <f t="shared" si="14"/>
        <v>-1.9886363636363716E-2</v>
      </c>
    </row>
    <row r="911" spans="1:8" ht="13.5" x14ac:dyDescent="0.25">
      <c r="A911" s="1"/>
      <c r="B911" s="3">
        <v>45926</v>
      </c>
      <c r="C911" s="4">
        <v>34.49</v>
      </c>
      <c r="D911" s="4">
        <v>34.49</v>
      </c>
      <c r="E911" s="4">
        <v>1970</v>
      </c>
      <c r="F911" s="4">
        <v>34.423000000000002</v>
      </c>
      <c r="G911" s="4">
        <v>67813.31</v>
      </c>
      <c r="H911" s="5">
        <f t="shared" si="14"/>
        <v>-2.8985507246371043E-4</v>
      </c>
    </row>
    <row r="912" spans="1:8" ht="13.5" x14ac:dyDescent="0.25">
      <c r="A912" s="1"/>
      <c r="B912" s="3">
        <v>45929</v>
      </c>
      <c r="C912" s="4">
        <v>34.799999999999997</v>
      </c>
      <c r="D912" s="4">
        <v>34.799999999999997</v>
      </c>
      <c r="E912" s="4">
        <v>130</v>
      </c>
      <c r="F912" s="4">
        <v>34.505000000000003</v>
      </c>
      <c r="G912" s="4">
        <v>4485.6499999999996</v>
      </c>
      <c r="H912" s="5">
        <f t="shared" si="14"/>
        <v>8.9881124963756207E-3</v>
      </c>
    </row>
    <row r="913" spans="1:8" ht="13.5" x14ac:dyDescent="0.25">
      <c r="A913" s="1"/>
      <c r="B913" s="3">
        <v>45930</v>
      </c>
      <c r="C913" s="4">
        <v>34.799999999999997</v>
      </c>
      <c r="D913" s="4">
        <v>34.799999999999997</v>
      </c>
      <c r="E913" s="4">
        <v>0</v>
      </c>
      <c r="F913" s="4">
        <v>0</v>
      </c>
      <c r="G913" s="4">
        <v>0</v>
      </c>
      <c r="H913" s="5">
        <f t="shared" si="14"/>
        <v>0</v>
      </c>
    </row>
    <row r="914" spans="1:8" ht="13.5" x14ac:dyDescent="0.25">
      <c r="A914" s="1"/>
      <c r="B914" s="3">
        <v>45931</v>
      </c>
      <c r="C914" s="4">
        <v>34.200000000000003</v>
      </c>
      <c r="D914" s="4">
        <v>34.200000000000003</v>
      </c>
      <c r="E914" s="4">
        <v>193</v>
      </c>
      <c r="F914" s="4">
        <v>34.030999999999999</v>
      </c>
      <c r="G914" s="4">
        <v>6567.9830000000002</v>
      </c>
      <c r="H914" s="5">
        <f t="shared" si="14"/>
        <v>-1.7241379310344664E-2</v>
      </c>
    </row>
    <row r="915" spans="1:8" ht="13.5" x14ac:dyDescent="0.25">
      <c r="A915" s="1"/>
      <c r="B915" s="3">
        <v>45932</v>
      </c>
      <c r="C915" s="4">
        <v>34.200000000000003</v>
      </c>
      <c r="D915" s="4">
        <v>34.200000000000003</v>
      </c>
      <c r="E915" s="4">
        <v>0</v>
      </c>
      <c r="F915" s="4">
        <v>0</v>
      </c>
      <c r="G915" s="4">
        <v>0</v>
      </c>
      <c r="H915" s="5">
        <f t="shared" si="14"/>
        <v>0</v>
      </c>
    </row>
    <row r="916" spans="1:8" ht="13.5" x14ac:dyDescent="0.25">
      <c r="A916" s="1"/>
      <c r="B916" s="3">
        <v>45933</v>
      </c>
      <c r="C916" s="4">
        <v>34</v>
      </c>
      <c r="D916" s="4">
        <v>34</v>
      </c>
      <c r="E916" s="4">
        <v>42</v>
      </c>
      <c r="F916" s="4">
        <v>33.631</v>
      </c>
      <c r="G916" s="4">
        <v>1412.502</v>
      </c>
      <c r="H916" s="5">
        <f t="shared" si="14"/>
        <v>-5.8479532163743519E-3</v>
      </c>
    </row>
    <row r="917" spans="1:8" ht="13.5" x14ac:dyDescent="0.25">
      <c r="A917" s="1"/>
      <c r="B917" s="3">
        <v>45936</v>
      </c>
      <c r="C917" s="4">
        <v>33.4</v>
      </c>
      <c r="D917" s="4">
        <v>33.4</v>
      </c>
      <c r="E917" s="4">
        <v>869</v>
      </c>
      <c r="F917" s="4">
        <v>33.813000000000002</v>
      </c>
      <c r="G917" s="4">
        <v>29383.496999999999</v>
      </c>
      <c r="H917" s="5">
        <f t="shared" si="14"/>
        <v>-1.7647058823529453E-2</v>
      </c>
    </row>
    <row r="918" spans="1:8" ht="13.5" x14ac:dyDescent="0.25">
      <c r="A918" s="1"/>
      <c r="B918" s="3">
        <v>45937</v>
      </c>
      <c r="C918" s="4">
        <v>33.5</v>
      </c>
      <c r="D918" s="4">
        <v>33.5</v>
      </c>
      <c r="E918" s="4">
        <v>2</v>
      </c>
      <c r="F918" s="4">
        <v>33.5</v>
      </c>
      <c r="G918" s="4">
        <v>67</v>
      </c>
      <c r="H918" s="5">
        <f t="shared" si="14"/>
        <v>2.9940119760479469E-3</v>
      </c>
    </row>
    <row r="919" spans="1:8" ht="13.5" x14ac:dyDescent="0.25">
      <c r="A919" s="1"/>
      <c r="B919" s="3">
        <v>45938</v>
      </c>
      <c r="C919" s="4">
        <v>33.5</v>
      </c>
      <c r="D919" s="4">
        <v>33.5</v>
      </c>
      <c r="E919" s="4">
        <v>0</v>
      </c>
      <c r="F919" s="4">
        <v>0</v>
      </c>
      <c r="G919" s="4">
        <v>0</v>
      </c>
      <c r="H919" s="5">
        <f t="shared" si="14"/>
        <v>0</v>
      </c>
    </row>
    <row r="920" spans="1:8" ht="13.5" x14ac:dyDescent="0.25">
      <c r="A920" s="1"/>
      <c r="B920" s="3">
        <v>45939</v>
      </c>
      <c r="C920" s="4">
        <v>33.5</v>
      </c>
      <c r="D920" s="4">
        <v>33.5</v>
      </c>
      <c r="E920" s="4">
        <v>0</v>
      </c>
      <c r="F920" s="4">
        <v>0</v>
      </c>
      <c r="G920" s="4">
        <v>0</v>
      </c>
      <c r="H920" s="5">
        <f t="shared" si="14"/>
        <v>0</v>
      </c>
    </row>
    <row r="921" spans="1:8" ht="13.5" x14ac:dyDescent="0.25">
      <c r="A921" s="1"/>
      <c r="B921" s="3">
        <v>45940</v>
      </c>
      <c r="C921" s="4">
        <v>33.5</v>
      </c>
      <c r="D921" s="4">
        <v>33.5</v>
      </c>
      <c r="E921" s="4">
        <v>310</v>
      </c>
      <c r="F921" s="4">
        <v>33.067999999999998</v>
      </c>
      <c r="G921" s="4">
        <v>10251.08</v>
      </c>
      <c r="H921" s="5">
        <f t="shared" si="14"/>
        <v>0</v>
      </c>
    </row>
    <row r="922" spans="1:8" ht="13.5" x14ac:dyDescent="0.25">
      <c r="A922" s="1"/>
      <c r="B922" s="3">
        <v>45943</v>
      </c>
      <c r="C922" s="4">
        <v>31.49</v>
      </c>
      <c r="D922" s="4">
        <v>31.49</v>
      </c>
      <c r="E922" s="4">
        <v>710</v>
      </c>
      <c r="F922" s="4">
        <v>32.216000000000001</v>
      </c>
      <c r="G922" s="4">
        <v>22873.360000000001</v>
      </c>
      <c r="H922" s="5">
        <f t="shared" si="14"/>
        <v>-6.0000000000000046E-2</v>
      </c>
    </row>
    <row r="923" spans="1:8" ht="13.5" x14ac:dyDescent="0.25">
      <c r="A923" s="1"/>
      <c r="B923" s="3">
        <v>45944</v>
      </c>
      <c r="C923" s="4">
        <v>32.340000000000003</v>
      </c>
      <c r="D923" s="4">
        <v>32.340000000000003</v>
      </c>
      <c r="E923" s="4">
        <v>1041</v>
      </c>
      <c r="F923" s="4">
        <v>32.052999999999997</v>
      </c>
      <c r="G923" s="4">
        <v>33367.173000000003</v>
      </c>
      <c r="H923" s="5">
        <f t="shared" si="14"/>
        <v>2.6992696093998254E-2</v>
      </c>
    </row>
    <row r="924" spans="1:8" ht="13.5" x14ac:dyDescent="0.25">
      <c r="A924" s="1"/>
      <c r="B924" s="3">
        <v>45946</v>
      </c>
      <c r="C924" s="4">
        <v>33.33</v>
      </c>
      <c r="D924" s="4">
        <v>33.33</v>
      </c>
      <c r="E924" s="4">
        <v>642</v>
      </c>
      <c r="F924" s="4">
        <v>32.417000000000002</v>
      </c>
      <c r="G924" s="4">
        <v>20811.714</v>
      </c>
      <c r="H924" s="5">
        <f t="shared" si="14"/>
        <v>3.0612244897959023E-2</v>
      </c>
    </row>
    <row r="925" spans="1:8" ht="13.5" x14ac:dyDescent="0.25">
      <c r="A925" s="1"/>
      <c r="B925" s="3">
        <v>45947</v>
      </c>
      <c r="C925" s="4">
        <v>33.5</v>
      </c>
      <c r="D925" s="4">
        <v>33.5</v>
      </c>
      <c r="E925" s="4">
        <v>921</v>
      </c>
      <c r="F925" s="4">
        <v>32.444000000000003</v>
      </c>
      <c r="G925" s="4">
        <v>29880.923999999999</v>
      </c>
      <c r="H925" s="5">
        <f t="shared" si="14"/>
        <v>5.1005100510051523E-3</v>
      </c>
    </row>
    <row r="926" spans="1:8" ht="13.5" x14ac:dyDescent="0.25">
      <c r="A926" s="1"/>
      <c r="B926" s="3">
        <v>45950</v>
      </c>
      <c r="C926" s="4">
        <v>35.200000000000003</v>
      </c>
      <c r="D926" s="4">
        <v>35.200000000000003</v>
      </c>
      <c r="E926" s="4">
        <v>3837</v>
      </c>
      <c r="F926" s="4">
        <v>33.624000000000002</v>
      </c>
      <c r="G926" s="4">
        <v>129015.288</v>
      </c>
      <c r="H926" s="5">
        <f t="shared" si="14"/>
        <v>5.0746268656716505E-2</v>
      </c>
    </row>
    <row r="927" spans="1:8" ht="13.5" x14ac:dyDescent="0.25">
      <c r="A927" s="1"/>
      <c r="B927" s="3">
        <v>45951</v>
      </c>
      <c r="C927" s="4">
        <v>35</v>
      </c>
      <c r="D927" s="4">
        <v>35</v>
      </c>
      <c r="E927" s="4">
        <v>1998</v>
      </c>
      <c r="F927" s="4">
        <v>34.765999999999998</v>
      </c>
      <c r="G927" s="4">
        <v>69462.467999999993</v>
      </c>
      <c r="H927" s="5">
        <f t="shared" si="14"/>
        <v>-5.6818181818182618E-3</v>
      </c>
    </row>
    <row r="928" spans="1:8" ht="13.5" x14ac:dyDescent="0.25">
      <c r="A928" s="1"/>
      <c r="B928" s="3">
        <v>45952</v>
      </c>
      <c r="C928" s="4">
        <v>35.5</v>
      </c>
      <c r="D928" s="4">
        <v>35.5</v>
      </c>
      <c r="E928" s="4">
        <v>1454</v>
      </c>
      <c r="F928" s="4">
        <v>34.804000000000002</v>
      </c>
      <c r="G928" s="4">
        <v>50605.016000000003</v>
      </c>
      <c r="H928" s="5">
        <f t="shared" si="14"/>
        <v>1.4285714285714285E-2</v>
      </c>
    </row>
    <row r="929" spans="1:11" ht="13.5" x14ac:dyDescent="0.25">
      <c r="A929" s="1"/>
      <c r="B929" s="3">
        <v>45953</v>
      </c>
      <c r="C929" s="4">
        <v>35.9</v>
      </c>
      <c r="D929" s="4">
        <v>35.9</v>
      </c>
      <c r="E929" s="4">
        <v>386</v>
      </c>
      <c r="F929" s="4">
        <v>35.689</v>
      </c>
      <c r="G929" s="4">
        <v>13775.954</v>
      </c>
      <c r="H929" s="5">
        <f t="shared" si="14"/>
        <v>1.1267605633802778E-2</v>
      </c>
    </row>
    <row r="930" spans="1:11" ht="13.5" x14ac:dyDescent="0.25">
      <c r="A930" s="1"/>
      <c r="B930" s="3">
        <v>45954</v>
      </c>
      <c r="C930" s="4">
        <v>35.99</v>
      </c>
      <c r="D930" s="4">
        <v>35.99</v>
      </c>
      <c r="E930" s="4">
        <v>5</v>
      </c>
      <c r="F930" s="4">
        <v>35.99</v>
      </c>
      <c r="G930" s="4">
        <v>179.95</v>
      </c>
      <c r="H930" s="5">
        <f t="shared" si="14"/>
        <v>2.5069637883009307E-3</v>
      </c>
    </row>
    <row r="931" spans="1:11" ht="13.5" x14ac:dyDescent="0.25">
      <c r="A931" s="1"/>
      <c r="B931" s="3">
        <v>45957</v>
      </c>
      <c r="C931" s="4">
        <v>36</v>
      </c>
      <c r="D931" s="4">
        <v>36</v>
      </c>
      <c r="E931" s="4">
        <v>1982</v>
      </c>
      <c r="F931" s="4">
        <v>35.167000000000002</v>
      </c>
      <c r="G931" s="4">
        <v>69700.994000000006</v>
      </c>
      <c r="H931" s="5">
        <f t="shared" si="14"/>
        <v>2.7785495971097553E-4</v>
      </c>
    </row>
    <row r="932" spans="1:11" ht="13.5" x14ac:dyDescent="0.25">
      <c r="A932" s="1"/>
      <c r="B932" s="3">
        <v>45958</v>
      </c>
      <c r="C932" s="4">
        <v>35</v>
      </c>
      <c r="D932" s="4">
        <v>35</v>
      </c>
      <c r="E932" s="4">
        <v>14528</v>
      </c>
      <c r="F932" s="4">
        <v>35.368000000000002</v>
      </c>
      <c r="G932" s="4">
        <v>513826.304</v>
      </c>
      <c r="H932" s="5">
        <f t="shared" si="14"/>
        <v>-2.7777777777777776E-2</v>
      </c>
    </row>
    <row r="933" spans="1:11" ht="13.5" x14ac:dyDescent="0.25">
      <c r="A933" s="1"/>
      <c r="B933" s="3">
        <v>45959</v>
      </c>
      <c r="C933" s="4">
        <v>35</v>
      </c>
      <c r="D933" s="4">
        <v>35</v>
      </c>
      <c r="E933" s="4">
        <v>1079</v>
      </c>
      <c r="F933" s="4">
        <v>33.860999999999997</v>
      </c>
      <c r="G933" s="4">
        <v>36536.019</v>
      </c>
      <c r="H933" s="5">
        <f t="shared" si="14"/>
        <v>0</v>
      </c>
      <c r="I933" s="7" t="s">
        <v>13</v>
      </c>
      <c r="J933" s="7" t="s">
        <v>14</v>
      </c>
      <c r="K933" s="7" t="s">
        <v>15</v>
      </c>
    </row>
    <row r="934" spans="1:11" ht="13.5" x14ac:dyDescent="0.25">
      <c r="A934" s="1"/>
      <c r="B934" s="3">
        <v>45960</v>
      </c>
      <c r="C934" s="4">
        <v>34.700000000000003</v>
      </c>
      <c r="D934" s="4">
        <v>34.700000000000003</v>
      </c>
      <c r="E934" s="4">
        <v>102</v>
      </c>
      <c r="F934" s="4">
        <v>35.393000000000001</v>
      </c>
      <c r="G934" s="4">
        <v>3610.0859999999998</v>
      </c>
      <c r="H934" s="5">
        <f t="shared" si="14"/>
        <v>-8.5714285714284903E-3</v>
      </c>
      <c r="I934" s="8">
        <v>2000000</v>
      </c>
      <c r="J934" s="9">
        <f>I934*D934</f>
        <v>69400000</v>
      </c>
      <c r="K934" s="10">
        <f>SUM(E730:E934)/205</f>
        <v>3604.0243902439024</v>
      </c>
    </row>
  </sheetData>
  <mergeCells count="1">
    <mergeCell ref="B2:G2"/>
  </mergeCells>
  <phoneticPr fontId="0" type="noConversion"/>
  <conditionalFormatting sqref="H6:H934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D5CC1A-A549-4EA6-9F93-37F272F23DF8}">
  <ds:schemaRefs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825c0b43-6af9-4148-8ec1-c95941059438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A231704-F4A4-4EEB-BA93-F22AC9CD5B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6DC665-5E99-4392-95E9-865C594C54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2025-11-04T19:51:20Z</dcterms:created>
  <dcterms:modified xsi:type="dcterms:W3CDTF">2025-11-05T05:45:20Z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