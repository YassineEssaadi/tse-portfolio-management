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6DAC97A3-DD42-44BB-8902-B89EA560C0AB}" xr6:coauthVersionLast="47" xr6:coauthVersionMax="47" xr10:uidLastSave="{00000000-0000-0000-0000-000000000000}"/>
  <bookViews>
    <workbookView xWindow="28680" yWindow="-120" windowWidth="24240" windowHeight="13020" xr2:uid="{125CD601-DEA6-4886-A08C-E6DE8C2CD42F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1" i="1"/>
  <c r="K10" i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<sst xmlns="http://schemas.openxmlformats.org/spreadsheetml/2006/main" count="16" uniqueCount="16">
  <si>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SOTRAPIL,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</si>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</sst>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4E0B-E283-414E-B74E-E78C81579EE9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9</v>
      </c>
      <c r="D5" s="4">
        <v>3.8940999999999999</v>
      </c>
      <c r="E5" s="4">
        <v>1335</v>
      </c>
      <c r="F5" s="4"/>
      <c r="G5" s="4"/>
      <c r="H5" s="1"/>
    </row>
    <row r="6" spans="1:11" ht="13.5" x14ac:dyDescent="0.25">
      <c r="A6" s="1"/>
      <c r="B6" s="3">
        <v>42311</v>
      </c>
      <c r="C6" s="4">
        <v>9</v>
      </c>
      <c r="D6" s="4">
        <v>3.8940999999999999</v>
      </c>
      <c r="E6" s="4">
        <v>685</v>
      </c>
      <c r="F6" s="4"/>
      <c r="G6" s="4"/>
      <c r="H6" s="5">
        <f>(D6-D5)/D5</f>
        <v>0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9.27</v>
      </c>
      <c r="D7" s="4">
        <v>4.0109000000000004</v>
      </c>
      <c r="E7" s="4">
        <v>5684</v>
      </c>
      <c r="F7" s="4"/>
      <c r="G7" s="4"/>
      <c r="H7" s="5">
        <f t="shared" ref="H7:H70" si="0">(D7-D6)/D6</f>
        <v>2.9994093628823212E-2</v>
      </c>
    </row>
    <row r="8" spans="1:11" ht="13.5" x14ac:dyDescent="0.25">
      <c r="A8" s="1"/>
      <c r="B8" s="3">
        <v>42313</v>
      </c>
      <c r="C8" s="4">
        <v>9.5</v>
      </c>
      <c r="D8" s="4">
        <v>4.1104000000000003</v>
      </c>
      <c r="E8" s="4">
        <v>12665</v>
      </c>
      <c r="F8" s="4"/>
      <c r="G8" s="4"/>
      <c r="H8" s="5">
        <f t="shared" si="0"/>
        <v>2.4807399835448381E-2</v>
      </c>
      <c r="J8" t="s">
        <v>9</v>
      </c>
      <c r="K8" s="6">
        <f>AVERAGE(H6:H2511)</f>
        <v>7.9311044672910507E-4</v>
      </c>
    </row>
    <row r="9" spans="1:11" ht="13.5" x14ac:dyDescent="0.25">
      <c r="A9" s="1"/>
      <c r="B9" s="3">
        <v>42314</v>
      </c>
      <c r="C9" s="4">
        <v>9.3699999999999992</v>
      </c>
      <c r="D9" s="4">
        <v>4.0541999999999998</v>
      </c>
      <c r="E9" s="4">
        <v>1310</v>
      </c>
      <c r="F9" s="4"/>
      <c r="G9" s="4"/>
      <c r="H9" s="5">
        <f t="shared" si="0"/>
        <v>-1.367263526664083E-2</v>
      </c>
      <c r="J9" t="s">
        <v>10</v>
      </c>
      <c r="K9" s="6">
        <f>K8*K6</f>
        <v>0.19986383257573448</v>
      </c>
    </row>
    <row r="10" spans="1:11" ht="13.5" x14ac:dyDescent="0.25">
      <c r="A10" s="1"/>
      <c r="B10" s="3">
        <v>42317</v>
      </c>
      <c r="C10" s="4">
        <v>9.33</v>
      </c>
      <c r="D10" s="4">
        <v>4.0369000000000002</v>
      </c>
      <c r="E10" s="4">
        <v>74</v>
      </c>
      <c r="F10" s="4"/>
      <c r="G10" s="4"/>
      <c r="H10" s="5">
        <f t="shared" si="0"/>
        <v>-4.2671797148635116E-3</v>
      </c>
      <c r="J10" t="s">
        <v>11</v>
      </c>
      <c r="K10" s="6">
        <f>STDEV(H6:H2511)</f>
        <v>1.3797276090948914E-2</v>
      </c>
    </row>
    <row r="11" spans="1:11" ht="13.5" x14ac:dyDescent="0.25">
      <c r="A11" s="1"/>
      <c r="B11" s="3">
        <v>42318</v>
      </c>
      <c r="C11" s="4">
        <v>9.33</v>
      </c>
      <c r="D11" s="4">
        <v>4.0369000000000002</v>
      </c>
      <c r="E11" s="4">
        <v>0</v>
      </c>
      <c r="F11" s="4"/>
      <c r="G11" s="4"/>
      <c r="H11" s="5">
        <f t="shared" si="0"/>
        <v>0</v>
      </c>
      <c r="J11" t="s">
        <v>12</v>
      </c>
      <c r="K11" s="6">
        <f>K10*SQRT(K6)</f>
        <v>0.21902496784048933</v>
      </c>
    </row>
    <row r="12" spans="1:11" ht="13.5" x14ac:dyDescent="0.25">
      <c r="A12" s="1"/>
      <c r="B12" s="3">
        <v>42319</v>
      </c>
      <c r="C12" s="4">
        <v>9.0399999999999991</v>
      </c>
      <c r="D12" s="4">
        <v>3.9114</v>
      </c>
      <c r="E12" s="4">
        <v>1794</v>
      </c>
      <c r="F12" s="4"/>
      <c r="G12" s="4"/>
      <c r="H12" s="5">
        <f t="shared" si="0"/>
        <v>-3.1088211251207649E-2</v>
      </c>
    </row>
    <row r="13" spans="1:11" ht="13.5" x14ac:dyDescent="0.25">
      <c r="A13" s="1"/>
      <c r="B13" s="3">
        <v>42320</v>
      </c>
      <c r="C13" s="4">
        <v>8.9</v>
      </c>
      <c r="D13" s="4">
        <v>3.8508</v>
      </c>
      <c r="E13" s="4">
        <v>40</v>
      </c>
      <c r="F13" s="4"/>
      <c r="G13" s="4"/>
      <c r="H13" s="5">
        <f t="shared" si="0"/>
        <v>-1.5493173799662521E-2</v>
      </c>
    </row>
    <row r="14" spans="1:11" ht="13.5" x14ac:dyDescent="0.25">
      <c r="A14" s="1"/>
      <c r="B14" s="3">
        <v>42321</v>
      </c>
      <c r="C14" s="4">
        <v>8.99</v>
      </c>
      <c r="D14" s="4">
        <v>3.8898000000000001</v>
      </c>
      <c r="E14" s="4">
        <v>747</v>
      </c>
      <c r="F14" s="4"/>
      <c r="G14" s="4"/>
      <c r="H14" s="5">
        <f t="shared" si="0"/>
        <v>1.0127765659083864E-2</v>
      </c>
    </row>
    <row r="15" spans="1:11" ht="13.5" x14ac:dyDescent="0.25">
      <c r="A15" s="1"/>
      <c r="B15" s="3">
        <v>42324</v>
      </c>
      <c r="C15" s="4">
        <v>8.98</v>
      </c>
      <c r="D15" s="4">
        <v>3.8854000000000002</v>
      </c>
      <c r="E15" s="4">
        <v>104</v>
      </c>
      <c r="F15" s="4"/>
      <c r="G15" s="4"/>
      <c r="H15" s="5">
        <f t="shared" si="0"/>
        <v>-1.1311635559668773E-3</v>
      </c>
    </row>
    <row r="16" spans="1:11" ht="13.5" x14ac:dyDescent="0.25">
      <c r="A16" s="1"/>
      <c r="B16" s="3">
        <v>42325</v>
      </c>
      <c r="C16" s="4">
        <v>9.06</v>
      </c>
      <c r="D16" s="4">
        <v>3.9201000000000001</v>
      </c>
      <c r="E16" s="4">
        <v>15055</v>
      </c>
      <c r="F16" s="4"/>
      <c r="G16" s="4"/>
      <c r="H16" s="5">
        <f t="shared" si="0"/>
        <v>8.9308694085550918E-3</v>
      </c>
    </row>
    <row r="17" spans="1:8" ht="13.5" x14ac:dyDescent="0.25">
      <c r="A17" s="1"/>
      <c r="B17" s="3">
        <v>42326</v>
      </c>
      <c r="C17" s="4">
        <v>9.1</v>
      </c>
      <c r="D17" s="4">
        <v>3.9373999999999998</v>
      </c>
      <c r="E17" s="4">
        <v>1025</v>
      </c>
      <c r="F17" s="4"/>
      <c r="G17" s="4"/>
      <c r="H17" s="5">
        <f t="shared" si="0"/>
        <v>4.4131527256956833E-3</v>
      </c>
    </row>
    <row r="18" spans="1:8" ht="13.5" x14ac:dyDescent="0.25">
      <c r="A18" s="1"/>
      <c r="B18" s="3">
        <v>42327</v>
      </c>
      <c r="C18" s="4">
        <v>9.1</v>
      </c>
      <c r="D18" s="4">
        <v>3.9373999999999998</v>
      </c>
      <c r="E18" s="4">
        <v>2765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8.9</v>
      </c>
      <c r="D19" s="4">
        <v>3.8508</v>
      </c>
      <c r="E19" s="4">
        <v>6047</v>
      </c>
      <c r="F19" s="4"/>
      <c r="G19" s="4"/>
      <c r="H19" s="5">
        <f t="shared" si="0"/>
        <v>-2.1994209376746024E-2</v>
      </c>
    </row>
    <row r="20" spans="1:8" ht="13.5" x14ac:dyDescent="0.25">
      <c r="A20" s="1"/>
      <c r="B20" s="3">
        <v>42331</v>
      </c>
      <c r="C20" s="4">
        <v>9</v>
      </c>
      <c r="D20" s="4">
        <v>3.8940999999999999</v>
      </c>
      <c r="E20" s="4">
        <v>131</v>
      </c>
      <c r="F20" s="4"/>
      <c r="G20" s="4"/>
      <c r="H20" s="5">
        <f t="shared" si="0"/>
        <v>1.1244416744572529E-2</v>
      </c>
    </row>
    <row r="21" spans="1:8" ht="13.5" x14ac:dyDescent="0.25">
      <c r="A21" s="1"/>
      <c r="B21" s="3">
        <v>42332</v>
      </c>
      <c r="C21" s="4">
        <v>8.98</v>
      </c>
      <c r="D21" s="4">
        <v>3.8854000000000002</v>
      </c>
      <c r="E21" s="4">
        <v>4545</v>
      </c>
      <c r="F21" s="4"/>
      <c r="G21" s="4"/>
      <c r="H21" s="5">
        <f t="shared" si="0"/>
        <v>-2.2341490973523301E-3</v>
      </c>
    </row>
    <row r="22" spans="1:8" ht="13.5" x14ac:dyDescent="0.25">
      <c r="A22" s="1"/>
      <c r="B22" s="3">
        <v>42333</v>
      </c>
      <c r="C22" s="4">
        <v>8.8000000000000007</v>
      </c>
      <c r="D22" s="4">
        <v>3.8075999999999999</v>
      </c>
      <c r="E22" s="4">
        <v>924</v>
      </c>
      <c r="F22" s="4"/>
      <c r="G22" s="4"/>
      <c r="H22" s="5">
        <f t="shared" si="0"/>
        <v>-2.0023678385751868E-2</v>
      </c>
    </row>
    <row r="23" spans="1:8" ht="13.5" x14ac:dyDescent="0.25">
      <c r="A23" s="1"/>
      <c r="B23" s="3">
        <v>42334</v>
      </c>
      <c r="C23" s="4">
        <v>8.9</v>
      </c>
      <c r="D23" s="4">
        <v>3.8508</v>
      </c>
      <c r="E23" s="4">
        <v>7</v>
      </c>
      <c r="F23" s="4"/>
      <c r="G23" s="4"/>
      <c r="H23" s="5">
        <f t="shared" si="0"/>
        <v>1.1345729593444723E-2</v>
      </c>
    </row>
    <row r="24" spans="1:8" ht="13.5" x14ac:dyDescent="0.25">
      <c r="A24" s="1"/>
      <c r="B24" s="3">
        <v>42335</v>
      </c>
      <c r="C24" s="4">
        <v>8.9</v>
      </c>
      <c r="D24" s="4">
        <v>3.8508</v>
      </c>
      <c r="E24" s="4">
        <v>4700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8.9</v>
      </c>
      <c r="D25" s="4">
        <v>3.8508</v>
      </c>
      <c r="E25" s="4">
        <v>0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8.91</v>
      </c>
      <c r="D26" s="4">
        <v>3.8552</v>
      </c>
      <c r="E26" s="4">
        <v>3404</v>
      </c>
      <c r="F26" s="4"/>
      <c r="G26" s="4"/>
      <c r="H26" s="5">
        <f t="shared" si="0"/>
        <v>1.1426197153838059E-3</v>
      </c>
    </row>
    <row r="27" spans="1:8" ht="13.5" x14ac:dyDescent="0.25">
      <c r="A27" s="1"/>
      <c r="B27" s="3">
        <v>42340</v>
      </c>
      <c r="C27" s="4">
        <v>8.9</v>
      </c>
      <c r="D27" s="4">
        <v>3.8508</v>
      </c>
      <c r="E27" s="4">
        <v>273</v>
      </c>
      <c r="F27" s="4"/>
      <c r="G27" s="4"/>
      <c r="H27" s="5">
        <f t="shared" si="0"/>
        <v>-1.1413156256484642E-3</v>
      </c>
    </row>
    <row r="28" spans="1:8" ht="13.5" x14ac:dyDescent="0.25">
      <c r="A28" s="1"/>
      <c r="B28" s="3">
        <v>42341</v>
      </c>
      <c r="C28" s="4">
        <v>9</v>
      </c>
      <c r="D28" s="4">
        <v>3.8940999999999999</v>
      </c>
      <c r="E28" s="4">
        <v>13509</v>
      </c>
      <c r="F28" s="4"/>
      <c r="G28" s="4"/>
      <c r="H28" s="5">
        <f t="shared" si="0"/>
        <v>1.1244416744572529E-2</v>
      </c>
    </row>
    <row r="29" spans="1:8" ht="13.5" x14ac:dyDescent="0.25">
      <c r="A29" s="1"/>
      <c r="B29" s="3">
        <v>42342</v>
      </c>
      <c r="C29" s="4">
        <v>9.17</v>
      </c>
      <c r="D29" s="4">
        <v>3.9676</v>
      </c>
      <c r="E29" s="4">
        <v>4662</v>
      </c>
      <c r="F29" s="4"/>
      <c r="G29" s="4"/>
      <c r="H29" s="5">
        <f t="shared" si="0"/>
        <v>1.8874707891425521E-2</v>
      </c>
    </row>
    <row r="30" spans="1:8" ht="13.5" x14ac:dyDescent="0.25">
      <c r="A30" s="1"/>
      <c r="B30" s="3">
        <v>42345</v>
      </c>
      <c r="C30" s="4">
        <v>9.17</v>
      </c>
      <c r="D30" s="4">
        <v>3.9676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8.9</v>
      </c>
      <c r="D31" s="4">
        <v>3.8508</v>
      </c>
      <c r="E31" s="4">
        <v>982</v>
      </c>
      <c r="F31" s="4"/>
      <c r="G31" s="4"/>
      <c r="H31" s="5">
        <f t="shared" si="0"/>
        <v>-2.9438451456800085E-2</v>
      </c>
    </row>
    <row r="32" spans="1:8" ht="13.5" x14ac:dyDescent="0.25">
      <c r="A32" s="1"/>
      <c r="B32" s="3">
        <v>42347</v>
      </c>
      <c r="C32" s="4">
        <v>8.9</v>
      </c>
      <c r="D32" s="4">
        <v>3.8508</v>
      </c>
      <c r="E32" s="4">
        <v>2854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8.9</v>
      </c>
      <c r="D33" s="4">
        <v>3.8508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9.15</v>
      </c>
      <c r="D34" s="4">
        <v>3.9590000000000001</v>
      </c>
      <c r="E34" s="4">
        <v>1</v>
      </c>
      <c r="F34" s="4"/>
      <c r="G34" s="4"/>
      <c r="H34" s="5">
        <f t="shared" si="0"/>
        <v>2.8098057546483868E-2</v>
      </c>
    </row>
    <row r="35" spans="1:8" ht="13.5" x14ac:dyDescent="0.25">
      <c r="A35" s="1"/>
      <c r="B35" s="3">
        <v>42352</v>
      </c>
      <c r="C35" s="4">
        <v>9</v>
      </c>
      <c r="D35" s="4">
        <v>3.8940999999999999</v>
      </c>
      <c r="E35" s="4">
        <v>2581</v>
      </c>
      <c r="F35" s="4"/>
      <c r="G35" s="4"/>
      <c r="H35" s="5">
        <f t="shared" si="0"/>
        <v>-1.6393028542561298E-2</v>
      </c>
    </row>
    <row r="36" spans="1:8" ht="13.5" x14ac:dyDescent="0.25">
      <c r="A36" s="1"/>
      <c r="B36" s="3">
        <v>42353</v>
      </c>
      <c r="C36" s="4">
        <v>9.09</v>
      </c>
      <c r="D36" s="4">
        <v>3.9329999999999998</v>
      </c>
      <c r="E36" s="4">
        <v>25497</v>
      </c>
      <c r="F36" s="4"/>
      <c r="G36" s="4"/>
      <c r="H36" s="5">
        <f t="shared" si="0"/>
        <v>9.9894712513802775E-3</v>
      </c>
    </row>
    <row r="37" spans="1:8" ht="13.5" x14ac:dyDescent="0.25">
      <c r="A37" s="1"/>
      <c r="B37" s="3">
        <v>42354</v>
      </c>
      <c r="C37" s="4">
        <v>9.09</v>
      </c>
      <c r="D37" s="4">
        <v>3.9329999999999998</v>
      </c>
      <c r="E37" s="4">
        <v>104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9.0500000000000007</v>
      </c>
      <c r="D38" s="4">
        <v>3.9157000000000002</v>
      </c>
      <c r="E38" s="4">
        <v>300</v>
      </c>
      <c r="F38" s="4"/>
      <c r="G38" s="4"/>
      <c r="H38" s="5">
        <f t="shared" si="0"/>
        <v>-4.3986778540553396E-3</v>
      </c>
    </row>
    <row r="39" spans="1:8" ht="13.5" x14ac:dyDescent="0.25">
      <c r="A39" s="1"/>
      <c r="B39" s="3">
        <v>42356</v>
      </c>
      <c r="C39" s="4">
        <v>9.0399999999999991</v>
      </c>
      <c r="D39" s="4">
        <v>3.9114</v>
      </c>
      <c r="E39" s="4">
        <v>123</v>
      </c>
      <c r="F39" s="4"/>
      <c r="G39" s="4"/>
      <c r="H39" s="5">
        <f t="shared" si="0"/>
        <v>-1.0981433715555821E-3</v>
      </c>
    </row>
    <row r="40" spans="1:8" ht="13.5" x14ac:dyDescent="0.25">
      <c r="A40" s="1"/>
      <c r="B40" s="3">
        <v>42359</v>
      </c>
      <c r="C40" s="4">
        <v>8.8000000000000007</v>
      </c>
      <c r="D40" s="4">
        <v>3.8075999999999999</v>
      </c>
      <c r="E40" s="4">
        <v>2838</v>
      </c>
      <c r="F40" s="4"/>
      <c r="G40" s="4"/>
      <c r="H40" s="5">
        <f t="shared" si="0"/>
        <v>-2.6537812547936829E-2</v>
      </c>
    </row>
    <row r="41" spans="1:8" ht="13.5" x14ac:dyDescent="0.25">
      <c r="A41" s="1"/>
      <c r="B41" s="3">
        <v>42360</v>
      </c>
      <c r="C41" s="4">
        <v>9.0500000000000007</v>
      </c>
      <c r="D41" s="4">
        <v>3.9157000000000002</v>
      </c>
      <c r="E41" s="4">
        <v>186</v>
      </c>
      <c r="F41" s="4"/>
      <c r="G41" s="4"/>
      <c r="H41" s="5">
        <f t="shared" si="0"/>
        <v>2.8390587246559594E-2</v>
      </c>
    </row>
    <row r="42" spans="1:8" ht="13.5" x14ac:dyDescent="0.25">
      <c r="A42" s="1"/>
      <c r="B42" s="3">
        <v>42361</v>
      </c>
      <c r="C42" s="4">
        <v>8.99</v>
      </c>
      <c r="D42" s="4">
        <v>3.8898000000000001</v>
      </c>
      <c r="E42" s="4">
        <v>75</v>
      </c>
      <c r="F42" s="4"/>
      <c r="G42" s="4"/>
      <c r="H42" s="5">
        <f t="shared" si="0"/>
        <v>-6.6143984472763571E-3</v>
      </c>
    </row>
    <row r="43" spans="1:8" ht="13.5" x14ac:dyDescent="0.25">
      <c r="A43" s="1"/>
      <c r="B43" s="3">
        <v>42363</v>
      </c>
      <c r="C43" s="4">
        <v>8.99</v>
      </c>
      <c r="D43" s="4">
        <v>3.8898000000000001</v>
      </c>
      <c r="E43" s="4">
        <v>0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8.8000000000000007</v>
      </c>
      <c r="D44" s="4">
        <v>3.8075999999999999</v>
      </c>
      <c r="E44" s="4">
        <v>1095</v>
      </c>
      <c r="F44" s="4"/>
      <c r="G44" s="4"/>
      <c r="H44" s="5">
        <f t="shared" si="0"/>
        <v>-2.1132191886472383E-2</v>
      </c>
    </row>
    <row r="45" spans="1:8" ht="13.5" x14ac:dyDescent="0.25">
      <c r="A45" s="1"/>
      <c r="B45" s="3">
        <v>42367</v>
      </c>
      <c r="C45" s="4">
        <v>9</v>
      </c>
      <c r="D45" s="4">
        <v>3.8940999999999999</v>
      </c>
      <c r="E45" s="4">
        <v>3000</v>
      </c>
      <c r="F45" s="4"/>
      <c r="G45" s="4"/>
      <c r="H45" s="5">
        <f t="shared" si="0"/>
        <v>2.2717722449837174E-2</v>
      </c>
    </row>
    <row r="46" spans="1:8" ht="13.5" x14ac:dyDescent="0.25">
      <c r="A46" s="1"/>
      <c r="B46" s="3">
        <v>42368</v>
      </c>
      <c r="C46" s="4">
        <v>9</v>
      </c>
      <c r="D46" s="4">
        <v>3.8940999999999999</v>
      </c>
      <c r="E46" s="4">
        <v>359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9</v>
      </c>
      <c r="D47" s="4">
        <v>3.8940999999999999</v>
      </c>
      <c r="E47" s="4">
        <v>2350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9.19</v>
      </c>
      <c r="D48" s="4">
        <v>3.9763000000000002</v>
      </c>
      <c r="E48" s="4">
        <v>400</v>
      </c>
      <c r="F48" s="4"/>
      <c r="G48" s="4"/>
      <c r="H48" s="5">
        <f t="shared" si="0"/>
        <v>2.1108856988777965E-2</v>
      </c>
    </row>
    <row r="49" spans="1:8" ht="13.5" x14ac:dyDescent="0.25">
      <c r="A49" s="1"/>
      <c r="B49" s="3">
        <v>42374</v>
      </c>
      <c r="C49" s="4">
        <v>9.16</v>
      </c>
      <c r="D49" s="4">
        <v>3.9632999999999998</v>
      </c>
      <c r="E49" s="4">
        <v>420</v>
      </c>
      <c r="F49" s="4"/>
      <c r="G49" s="4"/>
      <c r="H49" s="5">
        <f t="shared" si="0"/>
        <v>-3.2693710233132169E-3</v>
      </c>
    </row>
    <row r="50" spans="1:8" ht="13.5" x14ac:dyDescent="0.25">
      <c r="A50" s="1"/>
      <c r="B50" s="3">
        <v>42375</v>
      </c>
      <c r="C50" s="4">
        <v>9.09</v>
      </c>
      <c r="D50" s="4">
        <v>3.9329999999999998</v>
      </c>
      <c r="E50" s="4">
        <v>158</v>
      </c>
      <c r="F50" s="4"/>
      <c r="G50" s="4"/>
      <c r="H50" s="5">
        <f t="shared" si="0"/>
        <v>-7.645144198016803E-3</v>
      </c>
    </row>
    <row r="51" spans="1:8" ht="13.5" x14ac:dyDescent="0.25">
      <c r="A51" s="1"/>
      <c r="B51" s="3">
        <v>42376</v>
      </c>
      <c r="C51" s="4">
        <v>9.09</v>
      </c>
      <c r="D51" s="4">
        <v>3.9329999999999998</v>
      </c>
      <c r="E51" s="4">
        <v>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9</v>
      </c>
      <c r="D52" s="4">
        <v>3.8940999999999999</v>
      </c>
      <c r="E52" s="4">
        <v>205</v>
      </c>
      <c r="F52" s="4"/>
      <c r="G52" s="4"/>
      <c r="H52" s="5">
        <f t="shared" si="0"/>
        <v>-9.8906687007373345E-3</v>
      </c>
    </row>
    <row r="53" spans="1:8" ht="13.5" x14ac:dyDescent="0.25">
      <c r="A53" s="1"/>
      <c r="B53" s="3">
        <v>42380</v>
      </c>
      <c r="C53" s="4">
        <v>9.16</v>
      </c>
      <c r="D53" s="4">
        <v>3.9632999999999998</v>
      </c>
      <c r="E53" s="4">
        <v>415</v>
      </c>
      <c r="F53" s="4"/>
      <c r="G53" s="4"/>
      <c r="H53" s="5">
        <f t="shared" si="0"/>
        <v>1.7770473280090376E-2</v>
      </c>
    </row>
    <row r="54" spans="1:8" ht="13.5" x14ac:dyDescent="0.25">
      <c r="A54" s="1"/>
      <c r="B54" s="3">
        <v>42381</v>
      </c>
      <c r="C54" s="4">
        <v>9.27</v>
      </c>
      <c r="D54" s="4">
        <v>4.0109000000000004</v>
      </c>
      <c r="E54" s="4">
        <v>1924</v>
      </c>
      <c r="F54" s="4"/>
      <c r="G54" s="4"/>
      <c r="H54" s="5">
        <f t="shared" si="0"/>
        <v>1.201019352559749E-2</v>
      </c>
    </row>
    <row r="55" spans="1:8" ht="13.5" x14ac:dyDescent="0.25">
      <c r="A55" s="1"/>
      <c r="B55" s="3">
        <v>42382</v>
      </c>
      <c r="C55" s="4">
        <v>9.48</v>
      </c>
      <c r="D55" s="4">
        <v>4.1017999999999999</v>
      </c>
      <c r="E55" s="4">
        <v>1910</v>
      </c>
      <c r="F55" s="4"/>
      <c r="G55" s="4"/>
      <c r="H55" s="5">
        <f t="shared" si="0"/>
        <v>2.2663242663741187E-2</v>
      </c>
    </row>
    <row r="56" spans="1:8" ht="13.5" x14ac:dyDescent="0.25">
      <c r="A56" s="1"/>
      <c r="B56" s="3">
        <v>42384</v>
      </c>
      <c r="C56" s="4">
        <v>9.4700000000000006</v>
      </c>
      <c r="D56" s="4">
        <v>4.0974000000000004</v>
      </c>
      <c r="E56" s="4">
        <v>1014</v>
      </c>
      <c r="F56" s="4"/>
      <c r="G56" s="4"/>
      <c r="H56" s="5">
        <f t="shared" si="0"/>
        <v>-1.072699790335832E-3</v>
      </c>
    </row>
    <row r="57" spans="1:8" ht="13.5" x14ac:dyDescent="0.25">
      <c r="A57" s="1"/>
      <c r="B57" s="3">
        <v>42387</v>
      </c>
      <c r="C57" s="4">
        <v>9.48</v>
      </c>
      <c r="D57" s="4">
        <v>4.1017999999999999</v>
      </c>
      <c r="E57" s="4">
        <v>30</v>
      </c>
      <c r="F57" s="4"/>
      <c r="G57" s="4"/>
      <c r="H57" s="5">
        <f t="shared" si="0"/>
        <v>1.0738517108409029E-3</v>
      </c>
    </row>
    <row r="58" spans="1:8" ht="13.5" x14ac:dyDescent="0.25">
      <c r="A58" s="1"/>
      <c r="B58" s="3">
        <v>42388</v>
      </c>
      <c r="C58" s="4">
        <v>9.48</v>
      </c>
      <c r="D58" s="4">
        <v>4.1017999999999999</v>
      </c>
      <c r="E58" s="4">
        <v>0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9.43</v>
      </c>
      <c r="D59" s="4">
        <v>4.0800999999999998</v>
      </c>
      <c r="E59" s="4">
        <v>258</v>
      </c>
      <c r="F59" s="4"/>
      <c r="G59" s="4"/>
      <c r="H59" s="5">
        <f t="shared" si="0"/>
        <v>-5.2903603296114033E-3</v>
      </c>
    </row>
    <row r="60" spans="1:8" ht="13.5" x14ac:dyDescent="0.25">
      <c r="A60" s="1"/>
      <c r="B60" s="3">
        <v>42390</v>
      </c>
      <c r="C60" s="4">
        <v>9.4700000000000006</v>
      </c>
      <c r="D60" s="4">
        <v>4.0974000000000004</v>
      </c>
      <c r="E60" s="4">
        <v>3</v>
      </c>
      <c r="F60" s="4"/>
      <c r="G60" s="4"/>
      <c r="H60" s="5">
        <f t="shared" si="0"/>
        <v>4.2400921546041853E-3</v>
      </c>
    </row>
    <row r="61" spans="1:8" ht="13.5" x14ac:dyDescent="0.25">
      <c r="A61" s="1"/>
      <c r="B61" s="3">
        <v>42391</v>
      </c>
      <c r="C61" s="4">
        <v>9.4700000000000006</v>
      </c>
      <c r="D61" s="4">
        <v>4.0974000000000004</v>
      </c>
      <c r="E61" s="4">
        <v>5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9.44</v>
      </c>
      <c r="D62" s="4">
        <v>4.0845000000000002</v>
      </c>
      <c r="E62" s="4">
        <v>21</v>
      </c>
      <c r="F62" s="4"/>
      <c r="G62" s="4"/>
      <c r="H62" s="5">
        <f t="shared" si="0"/>
        <v>-3.148337970420299E-3</v>
      </c>
    </row>
    <row r="63" spans="1:8" ht="13.5" x14ac:dyDescent="0.25">
      <c r="A63" s="1"/>
      <c r="B63" s="3">
        <v>42395</v>
      </c>
      <c r="C63" s="4">
        <v>9.3000000000000007</v>
      </c>
      <c r="D63" s="4">
        <v>4.0239000000000003</v>
      </c>
      <c r="E63" s="4">
        <v>71</v>
      </c>
      <c r="F63" s="4"/>
      <c r="G63" s="4"/>
      <c r="H63" s="5">
        <f t="shared" si="0"/>
        <v>-1.4836577304443625E-2</v>
      </c>
    </row>
    <row r="64" spans="1:8" ht="13.5" x14ac:dyDescent="0.25">
      <c r="A64" s="1"/>
      <c r="B64" s="3">
        <v>42396</v>
      </c>
      <c r="C64" s="4">
        <v>9.3000000000000007</v>
      </c>
      <c r="D64" s="4">
        <v>4.0239000000000003</v>
      </c>
      <c r="E64" s="4">
        <v>50</v>
      </c>
      <c r="F64" s="4"/>
      <c r="G64" s="4"/>
      <c r="H64" s="5">
        <f t="shared" si="0"/>
        <v>0</v>
      </c>
    </row>
    <row r="65" spans="1:8" ht="13.5" x14ac:dyDescent="0.25">
      <c r="A65" s="1"/>
      <c r="B65" s="3">
        <v>42397</v>
      </c>
      <c r="C65" s="4">
        <v>9.2899999999999991</v>
      </c>
      <c r="D65" s="4">
        <v>4.0195999999999996</v>
      </c>
      <c r="E65" s="4">
        <v>100</v>
      </c>
      <c r="F65" s="4"/>
      <c r="G65" s="4"/>
      <c r="H65" s="5">
        <f t="shared" si="0"/>
        <v>-1.0686150252244429E-3</v>
      </c>
    </row>
    <row r="66" spans="1:8" ht="13.5" x14ac:dyDescent="0.25">
      <c r="A66" s="1"/>
      <c r="B66" s="3">
        <v>42398</v>
      </c>
      <c r="C66" s="4">
        <v>9.67</v>
      </c>
      <c r="D66" s="4">
        <v>4.1840000000000002</v>
      </c>
      <c r="E66" s="4">
        <v>1288</v>
      </c>
      <c r="F66" s="4"/>
      <c r="G66" s="4"/>
      <c r="H66" s="5">
        <f t="shared" si="0"/>
        <v>4.0899591999204038E-2</v>
      </c>
    </row>
    <row r="67" spans="1:8" ht="13.5" x14ac:dyDescent="0.25">
      <c r="A67" s="1"/>
      <c r="B67" s="3">
        <v>42401</v>
      </c>
      <c r="C67" s="4">
        <v>9.51</v>
      </c>
      <c r="D67" s="4">
        <v>4.1147999999999998</v>
      </c>
      <c r="E67" s="4">
        <v>1933</v>
      </c>
      <c r="F67" s="4"/>
      <c r="G67" s="4"/>
      <c r="H67" s="5">
        <f t="shared" si="0"/>
        <v>-1.6539196940726666E-2</v>
      </c>
    </row>
    <row r="68" spans="1:8" ht="13.5" x14ac:dyDescent="0.25">
      <c r="A68" s="1"/>
      <c r="B68" s="3">
        <v>42402</v>
      </c>
      <c r="C68" s="4">
        <v>9.5</v>
      </c>
      <c r="D68" s="4">
        <v>4.1104000000000003</v>
      </c>
      <c r="E68" s="4">
        <v>492</v>
      </c>
      <c r="F68" s="4"/>
      <c r="G68" s="4"/>
      <c r="H68" s="5">
        <f t="shared" si="0"/>
        <v>-1.0693107805967521E-3</v>
      </c>
    </row>
    <row r="69" spans="1:8" ht="13.5" x14ac:dyDescent="0.25">
      <c r="A69" s="1"/>
      <c r="B69" s="3">
        <v>42403</v>
      </c>
      <c r="C69" s="4">
        <v>9.5</v>
      </c>
      <c r="D69" s="4">
        <v>4.1104000000000003</v>
      </c>
      <c r="E69" s="4">
        <v>162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9.5</v>
      </c>
      <c r="D70" s="4">
        <v>4.1104000000000003</v>
      </c>
      <c r="E70" s="4">
        <v>1548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9.3000000000000007</v>
      </c>
      <c r="D71" s="4">
        <v>4.0239000000000003</v>
      </c>
      <c r="E71" s="4">
        <v>12607</v>
      </c>
      <c r="F71" s="4"/>
      <c r="G71" s="4"/>
      <c r="H71" s="5">
        <f t="shared" ref="H71:H134" si="1">(D71-D70)/D70</f>
        <v>-2.1044180615025304E-2</v>
      </c>
    </row>
    <row r="72" spans="1:8" ht="13.5" x14ac:dyDescent="0.25">
      <c r="A72" s="1"/>
      <c r="B72" s="3">
        <v>42408</v>
      </c>
      <c r="C72" s="4">
        <v>9.5500000000000007</v>
      </c>
      <c r="D72" s="4">
        <v>4.1321000000000003</v>
      </c>
      <c r="E72" s="4">
        <v>12480</v>
      </c>
      <c r="F72" s="4"/>
      <c r="G72" s="4"/>
      <c r="H72" s="5">
        <f t="shared" si="1"/>
        <v>2.6889336216108766E-2</v>
      </c>
    </row>
    <row r="73" spans="1:8" ht="13.5" x14ac:dyDescent="0.25">
      <c r="A73" s="1"/>
      <c r="B73" s="3">
        <v>42409</v>
      </c>
      <c r="C73" s="4">
        <v>9.59</v>
      </c>
      <c r="D73" s="4">
        <v>4.1494</v>
      </c>
      <c r="E73" s="4">
        <v>3275</v>
      </c>
      <c r="F73" s="4"/>
      <c r="G73" s="4"/>
      <c r="H73" s="5">
        <f t="shared" si="1"/>
        <v>4.1867331381137069E-3</v>
      </c>
    </row>
    <row r="74" spans="1:8" ht="13.5" x14ac:dyDescent="0.25">
      <c r="A74" s="1"/>
      <c r="B74" s="3">
        <v>42410</v>
      </c>
      <c r="C74" s="4">
        <v>9.5</v>
      </c>
      <c r="D74" s="4">
        <v>4.1104000000000003</v>
      </c>
      <c r="E74" s="4">
        <v>9494</v>
      </c>
      <c r="F74" s="4"/>
      <c r="G74" s="4"/>
      <c r="H74" s="5">
        <f t="shared" si="1"/>
        <v>-9.3989492456740022E-3</v>
      </c>
    </row>
    <row r="75" spans="1:8" ht="13.5" x14ac:dyDescent="0.25">
      <c r="A75" s="1"/>
      <c r="B75" s="3">
        <v>42411</v>
      </c>
      <c r="C75" s="4">
        <v>9.5</v>
      </c>
      <c r="D75" s="4">
        <v>4.1104000000000003</v>
      </c>
      <c r="E75" s="4">
        <v>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9.25</v>
      </c>
      <c r="D76" s="4">
        <v>4.0023</v>
      </c>
      <c r="E76" s="4">
        <v>1795</v>
      </c>
      <c r="F76" s="4"/>
      <c r="G76" s="4"/>
      <c r="H76" s="5">
        <f t="shared" si="1"/>
        <v>-2.6299143635655969E-2</v>
      </c>
    </row>
    <row r="77" spans="1:8" ht="13.5" x14ac:dyDescent="0.25">
      <c r="A77" s="1"/>
      <c r="B77" s="3">
        <v>42415</v>
      </c>
      <c r="C77" s="4">
        <v>9.3000000000000007</v>
      </c>
      <c r="D77" s="4">
        <v>4.0239000000000003</v>
      </c>
      <c r="E77" s="4">
        <v>1498</v>
      </c>
      <c r="F77" s="4"/>
      <c r="G77" s="4"/>
      <c r="H77" s="5">
        <f t="shared" si="1"/>
        <v>5.3968967843490709E-3</v>
      </c>
    </row>
    <row r="78" spans="1:8" ht="13.5" x14ac:dyDescent="0.25">
      <c r="A78" s="1"/>
      <c r="B78" s="3">
        <v>42416</v>
      </c>
      <c r="C78" s="4">
        <v>9.3000000000000007</v>
      </c>
      <c r="D78" s="4">
        <v>4.0239000000000003</v>
      </c>
      <c r="E78" s="4">
        <v>650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9.31</v>
      </c>
      <c r="D79" s="4">
        <v>4.0282</v>
      </c>
      <c r="E79" s="4">
        <v>1288</v>
      </c>
      <c r="F79" s="4"/>
      <c r="G79" s="4"/>
      <c r="H79" s="5">
        <f t="shared" si="1"/>
        <v>1.0686150252242224E-3</v>
      </c>
    </row>
    <row r="80" spans="1:8" ht="13.5" x14ac:dyDescent="0.25">
      <c r="A80" s="1"/>
      <c r="B80" s="3">
        <v>42418</v>
      </c>
      <c r="C80" s="4">
        <v>9.3000000000000007</v>
      </c>
      <c r="D80" s="4">
        <v>4.0239000000000003</v>
      </c>
      <c r="E80" s="4">
        <v>1272</v>
      </c>
      <c r="F80" s="4"/>
      <c r="G80" s="4"/>
      <c r="H80" s="5">
        <f t="shared" si="1"/>
        <v>-1.0674743061416386E-3</v>
      </c>
    </row>
    <row r="81" spans="1:8" ht="13.5" x14ac:dyDescent="0.25">
      <c r="A81" s="1"/>
      <c r="B81" s="3">
        <v>42419</v>
      </c>
      <c r="C81" s="4">
        <v>9.3000000000000007</v>
      </c>
      <c r="D81" s="4">
        <v>4.0239000000000003</v>
      </c>
      <c r="E81" s="4">
        <v>4565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9.1999999999999993</v>
      </c>
      <c r="D82" s="4">
        <v>3.9805999999999999</v>
      </c>
      <c r="E82" s="4">
        <v>507</v>
      </c>
      <c r="F82" s="4"/>
      <c r="G82" s="4"/>
      <c r="H82" s="5">
        <f t="shared" si="1"/>
        <v>-1.0760704788886487E-2</v>
      </c>
    </row>
    <row r="83" spans="1:8" ht="13.5" x14ac:dyDescent="0.25">
      <c r="A83" s="1"/>
      <c r="B83" s="3">
        <v>42423</v>
      </c>
      <c r="C83" s="4">
        <v>9.31</v>
      </c>
      <c r="D83" s="4">
        <v>4.0282</v>
      </c>
      <c r="E83" s="4">
        <v>1693</v>
      </c>
      <c r="F83" s="4"/>
      <c r="G83" s="4"/>
      <c r="H83" s="5">
        <f t="shared" si="1"/>
        <v>1.1957996281967564E-2</v>
      </c>
    </row>
    <row r="84" spans="1:8" ht="13.5" x14ac:dyDescent="0.25">
      <c r="A84" s="1"/>
      <c r="B84" s="3">
        <v>42424</v>
      </c>
      <c r="C84" s="4">
        <v>9.4499999999999993</v>
      </c>
      <c r="D84" s="4">
        <v>4.0888</v>
      </c>
      <c r="E84" s="4">
        <v>8550</v>
      </c>
      <c r="F84" s="4"/>
      <c r="G84" s="4"/>
      <c r="H84" s="5">
        <f t="shared" si="1"/>
        <v>1.5043940221438852E-2</v>
      </c>
    </row>
    <row r="85" spans="1:8" ht="13.5" x14ac:dyDescent="0.25">
      <c r="A85" s="1"/>
      <c r="B85" s="3">
        <v>42425</v>
      </c>
      <c r="C85" s="4">
        <v>9.6</v>
      </c>
      <c r="D85" s="4">
        <v>4.1536999999999997</v>
      </c>
      <c r="E85" s="4">
        <v>2</v>
      </c>
      <c r="F85" s="4"/>
      <c r="G85" s="4"/>
      <c r="H85" s="5">
        <f t="shared" si="1"/>
        <v>1.5872627665818758E-2</v>
      </c>
    </row>
    <row r="86" spans="1:8" ht="13.5" x14ac:dyDescent="0.25">
      <c r="A86" s="1"/>
      <c r="B86" s="3">
        <v>42426</v>
      </c>
      <c r="C86" s="4">
        <v>9.6</v>
      </c>
      <c r="D86" s="4">
        <v>4.1536999999999997</v>
      </c>
      <c r="E86" s="4">
        <v>0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9.3800000000000008</v>
      </c>
      <c r="D87" s="4">
        <v>4.0585000000000004</v>
      </c>
      <c r="E87" s="4">
        <v>417</v>
      </c>
      <c r="F87" s="4"/>
      <c r="G87" s="4"/>
      <c r="H87" s="5">
        <f t="shared" si="1"/>
        <v>-2.2919324939210655E-2</v>
      </c>
    </row>
    <row r="88" spans="1:8" ht="13.5" x14ac:dyDescent="0.25">
      <c r="A88" s="1"/>
      <c r="B88" s="3">
        <v>42430</v>
      </c>
      <c r="C88" s="4">
        <v>9.65</v>
      </c>
      <c r="D88" s="4">
        <v>4.1753</v>
      </c>
      <c r="E88" s="4">
        <v>6532</v>
      </c>
      <c r="F88" s="4"/>
      <c r="G88" s="4"/>
      <c r="H88" s="5">
        <f t="shared" si="1"/>
        <v>2.8779105580879528E-2</v>
      </c>
    </row>
    <row r="89" spans="1:8" ht="13.5" x14ac:dyDescent="0.25">
      <c r="A89" s="1"/>
      <c r="B89" s="3">
        <v>42431</v>
      </c>
      <c r="C89" s="4">
        <v>9.6999999999999993</v>
      </c>
      <c r="D89" s="4">
        <v>4.1970000000000001</v>
      </c>
      <c r="E89" s="4">
        <v>681</v>
      </c>
      <c r="F89" s="4"/>
      <c r="G89" s="4"/>
      <c r="H89" s="5">
        <f t="shared" si="1"/>
        <v>5.1972313366704312E-3</v>
      </c>
    </row>
    <row r="90" spans="1:8" ht="13.5" x14ac:dyDescent="0.25">
      <c r="A90" s="1"/>
      <c r="B90" s="3">
        <v>42432</v>
      </c>
      <c r="C90" s="4">
        <v>9.8699999999999992</v>
      </c>
      <c r="D90" s="4">
        <v>4.2705000000000002</v>
      </c>
      <c r="E90" s="4">
        <v>778</v>
      </c>
      <c r="F90" s="4"/>
      <c r="G90" s="4"/>
      <c r="H90" s="5">
        <f t="shared" si="1"/>
        <v>1.7512508934953566E-2</v>
      </c>
    </row>
    <row r="91" spans="1:8" ht="13.5" x14ac:dyDescent="0.25">
      <c r="A91" s="1"/>
      <c r="B91" s="3">
        <v>42433</v>
      </c>
      <c r="C91" s="4">
        <v>9.7899999999999991</v>
      </c>
      <c r="D91" s="4">
        <v>4.2359</v>
      </c>
      <c r="E91" s="4">
        <v>233</v>
      </c>
      <c r="F91" s="4"/>
      <c r="G91" s="4"/>
      <c r="H91" s="5">
        <f t="shared" si="1"/>
        <v>-8.1020957733286929E-3</v>
      </c>
    </row>
    <row r="92" spans="1:8" ht="13.5" x14ac:dyDescent="0.25">
      <c r="A92" s="1"/>
      <c r="B92" s="3">
        <v>42436</v>
      </c>
      <c r="C92" s="4">
        <v>9.75</v>
      </c>
      <c r="D92" s="4">
        <v>4.2186000000000003</v>
      </c>
      <c r="E92" s="4">
        <v>835</v>
      </c>
      <c r="F92" s="4"/>
      <c r="G92" s="4"/>
      <c r="H92" s="5">
        <f t="shared" si="1"/>
        <v>-4.0841379635967916E-3</v>
      </c>
    </row>
    <row r="93" spans="1:8" ht="13.5" x14ac:dyDescent="0.25">
      <c r="A93" s="1"/>
      <c r="B93" s="3">
        <v>42437</v>
      </c>
      <c r="C93" s="4">
        <v>9.4600000000000009</v>
      </c>
      <c r="D93" s="4">
        <v>4.0930999999999997</v>
      </c>
      <c r="E93" s="4">
        <v>547</v>
      </c>
      <c r="F93" s="4"/>
      <c r="G93" s="4"/>
      <c r="H93" s="5">
        <f t="shared" si="1"/>
        <v>-2.9749205897691318E-2</v>
      </c>
    </row>
    <row r="94" spans="1:8" ht="13.5" x14ac:dyDescent="0.25">
      <c r="A94" s="1"/>
      <c r="B94" s="3">
        <v>42438</v>
      </c>
      <c r="C94" s="4">
        <v>9.4600000000000009</v>
      </c>
      <c r="D94" s="4">
        <v>4.0930999999999997</v>
      </c>
      <c r="E94" s="4">
        <v>1779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9.3000000000000007</v>
      </c>
      <c r="D95" s="4">
        <v>4.0239000000000003</v>
      </c>
      <c r="E95" s="4">
        <v>100</v>
      </c>
      <c r="F95" s="4"/>
      <c r="G95" s="4"/>
      <c r="H95" s="5">
        <f t="shared" si="1"/>
        <v>-1.690650118492084E-2</v>
      </c>
    </row>
    <row r="96" spans="1:8" ht="13.5" x14ac:dyDescent="0.25">
      <c r="A96" s="1"/>
      <c r="B96" s="3">
        <v>42440</v>
      </c>
      <c r="C96" s="4">
        <v>9.4600000000000009</v>
      </c>
      <c r="D96" s="4">
        <v>4.0930999999999997</v>
      </c>
      <c r="E96" s="4">
        <v>6930</v>
      </c>
      <c r="F96" s="4"/>
      <c r="G96" s="4"/>
      <c r="H96" s="5">
        <f t="shared" si="1"/>
        <v>1.7197246452446503E-2</v>
      </c>
    </row>
    <row r="97" spans="1:8" ht="13.5" x14ac:dyDescent="0.25">
      <c r="A97" s="1"/>
      <c r="B97" s="3">
        <v>42443</v>
      </c>
      <c r="C97" s="4">
        <v>9.74</v>
      </c>
      <c r="D97" s="4">
        <v>4.2142999999999997</v>
      </c>
      <c r="E97" s="4">
        <v>6479</v>
      </c>
      <c r="F97" s="4"/>
      <c r="G97" s="4"/>
      <c r="H97" s="5">
        <f t="shared" si="1"/>
        <v>2.9610808433705501E-2</v>
      </c>
    </row>
    <row r="98" spans="1:8" ht="13.5" x14ac:dyDescent="0.25">
      <c r="A98" s="1"/>
      <c r="B98" s="3">
        <v>42444</v>
      </c>
      <c r="C98" s="4">
        <v>9.9600000000000009</v>
      </c>
      <c r="D98" s="4">
        <v>4.3094999999999999</v>
      </c>
      <c r="E98" s="4">
        <v>25369</v>
      </c>
      <c r="F98" s="4"/>
      <c r="G98" s="4"/>
      <c r="H98" s="5">
        <f t="shared" si="1"/>
        <v>2.2589753933037558E-2</v>
      </c>
    </row>
    <row r="99" spans="1:8" ht="13.5" x14ac:dyDescent="0.25">
      <c r="A99" s="1"/>
      <c r="B99" s="3">
        <v>42445</v>
      </c>
      <c r="C99" s="4">
        <v>10</v>
      </c>
      <c r="D99" s="4">
        <v>4.3268000000000004</v>
      </c>
      <c r="E99" s="4">
        <v>502</v>
      </c>
      <c r="F99" s="4"/>
      <c r="G99" s="4"/>
      <c r="H99" s="5">
        <f t="shared" si="1"/>
        <v>4.0143868198168091E-3</v>
      </c>
    </row>
    <row r="100" spans="1:8" ht="13.5" x14ac:dyDescent="0.25">
      <c r="A100" s="1"/>
      <c r="B100" s="3">
        <v>42446</v>
      </c>
      <c r="C100" s="4">
        <v>10.199999999999999</v>
      </c>
      <c r="D100" s="4">
        <v>4.4132999999999996</v>
      </c>
      <c r="E100" s="4">
        <v>332</v>
      </c>
      <c r="F100" s="4"/>
      <c r="G100" s="4"/>
      <c r="H100" s="5">
        <f t="shared" si="1"/>
        <v>1.9991679763335289E-2</v>
      </c>
    </row>
    <row r="101" spans="1:8" ht="13.5" x14ac:dyDescent="0.25">
      <c r="A101" s="1"/>
      <c r="B101" s="3">
        <v>42447</v>
      </c>
      <c r="C101" s="4">
        <v>10.199999999999999</v>
      </c>
      <c r="D101" s="4">
        <v>4.4132999999999996</v>
      </c>
      <c r="E101" s="4">
        <v>151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10</v>
      </c>
      <c r="D102" s="4">
        <v>4.3268000000000004</v>
      </c>
      <c r="E102" s="4">
        <v>100</v>
      </c>
      <c r="F102" s="4"/>
      <c r="G102" s="4"/>
      <c r="H102" s="5">
        <f t="shared" si="1"/>
        <v>-1.9599845920286213E-2</v>
      </c>
    </row>
    <row r="103" spans="1:8" ht="13.5" x14ac:dyDescent="0.25">
      <c r="A103" s="1"/>
      <c r="B103" s="3">
        <v>42451</v>
      </c>
      <c r="C103" s="4">
        <v>10.199999999999999</v>
      </c>
      <c r="D103" s="4">
        <v>4.4132999999999996</v>
      </c>
      <c r="E103" s="4">
        <v>144</v>
      </c>
      <c r="F103" s="4"/>
      <c r="G103" s="4"/>
      <c r="H103" s="5">
        <f t="shared" si="1"/>
        <v>1.9991679763335289E-2</v>
      </c>
    </row>
    <row r="104" spans="1:8" ht="13.5" x14ac:dyDescent="0.25">
      <c r="A104" s="1"/>
      <c r="B104" s="3">
        <v>42452</v>
      </c>
      <c r="C104" s="4">
        <v>10.199999999999999</v>
      </c>
      <c r="D104" s="4">
        <v>4.4132999999999996</v>
      </c>
      <c r="E104" s="4">
        <v>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9.9</v>
      </c>
      <c r="D105" s="4">
        <v>4.2835000000000001</v>
      </c>
      <c r="E105" s="4">
        <v>201</v>
      </c>
      <c r="F105" s="4"/>
      <c r="G105" s="4"/>
      <c r="H105" s="5">
        <f t="shared" si="1"/>
        <v>-2.9411098271134861E-2</v>
      </c>
    </row>
    <row r="106" spans="1:8" ht="13.5" x14ac:dyDescent="0.25">
      <c r="A106" s="1"/>
      <c r="B106" s="3">
        <v>42454</v>
      </c>
      <c r="C106" s="4">
        <v>9.8000000000000007</v>
      </c>
      <c r="D106" s="4">
        <v>4.2401999999999997</v>
      </c>
      <c r="E106" s="4">
        <v>113</v>
      </c>
      <c r="F106" s="4"/>
      <c r="G106" s="4"/>
      <c r="H106" s="5">
        <f t="shared" si="1"/>
        <v>-1.0108556087311857E-2</v>
      </c>
    </row>
    <row r="107" spans="1:8" ht="13.5" x14ac:dyDescent="0.25">
      <c r="A107" s="1"/>
      <c r="B107" s="3">
        <v>42457</v>
      </c>
      <c r="C107" s="4">
        <v>9.8000000000000007</v>
      </c>
      <c r="D107" s="4">
        <v>4.2401999999999997</v>
      </c>
      <c r="E107" s="4">
        <v>14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9.99</v>
      </c>
      <c r="D108" s="4">
        <v>4.3224</v>
      </c>
      <c r="E108" s="4">
        <v>7</v>
      </c>
      <c r="F108" s="4"/>
      <c r="G108" s="4"/>
      <c r="H108" s="5">
        <f t="shared" si="1"/>
        <v>1.9385878024621547E-2</v>
      </c>
    </row>
    <row r="109" spans="1:8" ht="13.5" x14ac:dyDescent="0.25">
      <c r="A109" s="1"/>
      <c r="B109" s="3">
        <v>42459</v>
      </c>
      <c r="C109" s="4">
        <v>9.8000000000000007</v>
      </c>
      <c r="D109" s="4">
        <v>4.2401999999999997</v>
      </c>
      <c r="E109" s="4">
        <v>15125</v>
      </c>
      <c r="F109" s="4"/>
      <c r="G109" s="4"/>
      <c r="H109" s="5">
        <f t="shared" si="1"/>
        <v>-1.90172126596336E-2</v>
      </c>
    </row>
    <row r="110" spans="1:8" ht="13.5" x14ac:dyDescent="0.25">
      <c r="A110" s="1"/>
      <c r="B110" s="3">
        <v>42460</v>
      </c>
      <c r="C110" s="4">
        <v>9.9</v>
      </c>
      <c r="D110" s="4">
        <v>4.2835000000000001</v>
      </c>
      <c r="E110" s="4">
        <v>3</v>
      </c>
      <c r="F110" s="4"/>
      <c r="G110" s="4"/>
      <c r="H110" s="5">
        <f t="shared" si="1"/>
        <v>1.0211782463091445E-2</v>
      </c>
    </row>
    <row r="111" spans="1:8" ht="13.5" x14ac:dyDescent="0.25">
      <c r="A111" s="1"/>
      <c r="B111" s="3">
        <v>42461</v>
      </c>
      <c r="C111" s="4">
        <v>9.85</v>
      </c>
      <c r="D111" s="4">
        <v>4.2618999999999998</v>
      </c>
      <c r="E111" s="4">
        <v>16</v>
      </c>
      <c r="F111" s="4"/>
      <c r="G111" s="4"/>
      <c r="H111" s="5">
        <f t="shared" si="1"/>
        <v>-5.0426053460955493E-3</v>
      </c>
    </row>
    <row r="112" spans="1:8" ht="13.5" x14ac:dyDescent="0.25">
      <c r="A112" s="1"/>
      <c r="B112" s="3">
        <v>42464</v>
      </c>
      <c r="C112" s="4">
        <v>9.85</v>
      </c>
      <c r="D112" s="4">
        <v>4.2618999999999998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9.85</v>
      </c>
      <c r="D113" s="4">
        <v>4.2618999999999998</v>
      </c>
      <c r="E113" s="4">
        <v>0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9.6</v>
      </c>
      <c r="D114" s="4">
        <v>4.1536999999999997</v>
      </c>
      <c r="E114" s="4">
        <v>250</v>
      </c>
      <c r="F114" s="4"/>
      <c r="G114" s="4"/>
      <c r="H114" s="5">
        <f t="shared" si="1"/>
        <v>-2.538773786339428E-2</v>
      </c>
    </row>
    <row r="115" spans="1:8" ht="13.5" x14ac:dyDescent="0.25">
      <c r="A115" s="1"/>
      <c r="B115" s="3">
        <v>42467</v>
      </c>
      <c r="C115" s="4">
        <v>9.61</v>
      </c>
      <c r="D115" s="4">
        <v>4.1580000000000004</v>
      </c>
      <c r="E115" s="4">
        <v>1151</v>
      </c>
      <c r="F115" s="4"/>
      <c r="G115" s="4"/>
      <c r="H115" s="5">
        <f t="shared" si="1"/>
        <v>1.0352216096493818E-3</v>
      </c>
    </row>
    <row r="116" spans="1:8" ht="13.5" x14ac:dyDescent="0.25">
      <c r="A116" s="1"/>
      <c r="B116" s="3">
        <v>42468</v>
      </c>
      <c r="C116" s="4">
        <v>9.61</v>
      </c>
      <c r="D116" s="4">
        <v>4.1580000000000004</v>
      </c>
      <c r="E116" s="4">
        <v>357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9.84</v>
      </c>
      <c r="D117" s="4">
        <v>4.2575000000000003</v>
      </c>
      <c r="E117" s="4">
        <v>145</v>
      </c>
      <c r="F117" s="4"/>
      <c r="G117" s="4"/>
      <c r="H117" s="5">
        <f t="shared" si="1"/>
        <v>2.3929773929773909E-2</v>
      </c>
    </row>
    <row r="118" spans="1:8" ht="13.5" x14ac:dyDescent="0.25">
      <c r="A118" s="1"/>
      <c r="B118" s="3">
        <v>42472</v>
      </c>
      <c r="C118" s="4">
        <v>9.84</v>
      </c>
      <c r="D118" s="4">
        <v>4.2575000000000003</v>
      </c>
      <c r="E118" s="4">
        <v>0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9.84</v>
      </c>
      <c r="D119" s="4">
        <v>4.2575000000000003</v>
      </c>
      <c r="E119" s="4">
        <v>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9.83</v>
      </c>
      <c r="D120" s="4">
        <v>4.2531999999999996</v>
      </c>
      <c r="E120" s="4">
        <v>18309</v>
      </c>
      <c r="F120" s="4"/>
      <c r="G120" s="4"/>
      <c r="H120" s="5">
        <f t="shared" si="1"/>
        <v>-1.0099823840283349E-3</v>
      </c>
    </row>
    <row r="121" spans="1:8" ht="13.5" x14ac:dyDescent="0.25">
      <c r="A121" s="1"/>
      <c r="B121" s="3">
        <v>42475</v>
      </c>
      <c r="C121" s="4">
        <v>9.6</v>
      </c>
      <c r="D121" s="4">
        <v>4.1536999999999997</v>
      </c>
      <c r="E121" s="4">
        <v>1405</v>
      </c>
      <c r="F121" s="4"/>
      <c r="G121" s="4"/>
      <c r="H121" s="5">
        <f t="shared" si="1"/>
        <v>-2.339415028684283E-2</v>
      </c>
    </row>
    <row r="122" spans="1:8" ht="13.5" x14ac:dyDescent="0.25">
      <c r="A122" s="1"/>
      <c r="B122" s="3">
        <v>42478</v>
      </c>
      <c r="C122" s="4">
        <v>9.56</v>
      </c>
      <c r="D122" s="4">
        <v>4.1364000000000001</v>
      </c>
      <c r="E122" s="4">
        <v>3797</v>
      </c>
      <c r="F122" s="4"/>
      <c r="G122" s="4"/>
      <c r="H122" s="5">
        <f t="shared" si="1"/>
        <v>-4.164961359751463E-3</v>
      </c>
    </row>
    <row r="123" spans="1:8" ht="13.5" x14ac:dyDescent="0.25">
      <c r="A123" s="1"/>
      <c r="B123" s="3">
        <v>42479</v>
      </c>
      <c r="C123" s="4">
        <v>9.56</v>
      </c>
      <c r="D123" s="4">
        <v>4.1364000000000001</v>
      </c>
      <c r="E123" s="4">
        <v>0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9.2799999999999994</v>
      </c>
      <c r="D124" s="4">
        <v>4.0152000000000001</v>
      </c>
      <c r="E124" s="4">
        <v>2605</v>
      </c>
      <c r="F124" s="4"/>
      <c r="G124" s="4"/>
      <c r="H124" s="5">
        <f t="shared" si="1"/>
        <v>-2.9300841311285169E-2</v>
      </c>
    </row>
    <row r="125" spans="1:8" ht="13.5" x14ac:dyDescent="0.25">
      <c r="A125" s="1"/>
      <c r="B125" s="3">
        <v>42481</v>
      </c>
      <c r="C125" s="4">
        <v>9.3000000000000007</v>
      </c>
      <c r="D125" s="4">
        <v>4.0239000000000003</v>
      </c>
      <c r="E125" s="4">
        <v>641</v>
      </c>
      <c r="F125" s="4"/>
      <c r="G125" s="4"/>
      <c r="H125" s="5">
        <f t="shared" si="1"/>
        <v>2.1667662881052381E-3</v>
      </c>
    </row>
    <row r="126" spans="1:8" ht="13.5" x14ac:dyDescent="0.25">
      <c r="A126" s="1"/>
      <c r="B126" s="3">
        <v>42482</v>
      </c>
      <c r="C126" s="4">
        <v>9.44</v>
      </c>
      <c r="D126" s="4">
        <v>4.0845000000000002</v>
      </c>
      <c r="E126" s="4">
        <v>50</v>
      </c>
      <c r="F126" s="4"/>
      <c r="G126" s="4"/>
      <c r="H126" s="5">
        <f t="shared" si="1"/>
        <v>1.5060016401998057E-2</v>
      </c>
    </row>
    <row r="127" spans="1:8" ht="13.5" x14ac:dyDescent="0.25">
      <c r="A127" s="1"/>
      <c r="B127" s="3">
        <v>42485</v>
      </c>
      <c r="C127" s="4">
        <v>9.35</v>
      </c>
      <c r="D127" s="4">
        <v>4.0454999999999997</v>
      </c>
      <c r="E127" s="4">
        <v>311</v>
      </c>
      <c r="F127" s="4"/>
      <c r="G127" s="4"/>
      <c r="H127" s="5">
        <f t="shared" si="1"/>
        <v>-9.5482923246420822E-3</v>
      </c>
    </row>
    <row r="128" spans="1:8" ht="13.5" x14ac:dyDescent="0.25">
      <c r="A128" s="1"/>
      <c r="B128" s="3">
        <v>42486</v>
      </c>
      <c r="C128" s="4">
        <v>9.34</v>
      </c>
      <c r="D128" s="4">
        <v>4.0411999999999999</v>
      </c>
      <c r="E128" s="4">
        <v>794</v>
      </c>
      <c r="F128" s="4"/>
      <c r="G128" s="4"/>
      <c r="H128" s="5">
        <f t="shared" si="1"/>
        <v>-1.0629094055122355E-3</v>
      </c>
    </row>
    <row r="129" spans="1:8" ht="13.5" x14ac:dyDescent="0.25">
      <c r="A129" s="1"/>
      <c r="B129" s="3">
        <v>42487</v>
      </c>
      <c r="C129" s="4">
        <v>9.06</v>
      </c>
      <c r="D129" s="4">
        <v>3.9201000000000001</v>
      </c>
      <c r="E129" s="4">
        <v>4161</v>
      </c>
      <c r="F129" s="4"/>
      <c r="G129" s="4"/>
      <c r="H129" s="5">
        <f t="shared" si="1"/>
        <v>-2.996634662971389E-2</v>
      </c>
    </row>
    <row r="130" spans="1:8" ht="13.5" x14ac:dyDescent="0.25">
      <c r="A130" s="1"/>
      <c r="B130" s="3">
        <v>42488</v>
      </c>
      <c r="C130" s="4">
        <v>9.32</v>
      </c>
      <c r="D130" s="4">
        <v>4.0324999999999998</v>
      </c>
      <c r="E130" s="4">
        <v>1547</v>
      </c>
      <c r="F130" s="4"/>
      <c r="G130" s="4"/>
      <c r="H130" s="5">
        <f t="shared" si="1"/>
        <v>2.8672737940358566E-2</v>
      </c>
    </row>
    <row r="131" spans="1:8" ht="13.5" x14ac:dyDescent="0.25">
      <c r="A131" s="1"/>
      <c r="B131" s="3">
        <v>42489</v>
      </c>
      <c r="C131" s="4">
        <v>9.1199999999999992</v>
      </c>
      <c r="D131" s="4">
        <v>3.9460000000000002</v>
      </c>
      <c r="E131" s="4">
        <v>262</v>
      </c>
      <c r="F131" s="4"/>
      <c r="G131" s="4"/>
      <c r="H131" s="5">
        <f t="shared" si="1"/>
        <v>-2.1450712957222465E-2</v>
      </c>
    </row>
    <row r="132" spans="1:8" ht="13.5" x14ac:dyDescent="0.25">
      <c r="A132" s="1"/>
      <c r="B132" s="3">
        <v>42492</v>
      </c>
      <c r="C132" s="4">
        <v>9.5399999999999991</v>
      </c>
      <c r="D132" s="4">
        <v>4.1276999999999999</v>
      </c>
      <c r="E132" s="4">
        <v>223</v>
      </c>
      <c r="F132" s="4"/>
      <c r="G132" s="4"/>
      <c r="H132" s="5">
        <f t="shared" si="1"/>
        <v>4.6046629498225987E-2</v>
      </c>
    </row>
    <row r="133" spans="1:8" ht="13.5" x14ac:dyDescent="0.25">
      <c r="A133" s="1"/>
      <c r="B133" s="3">
        <v>42493</v>
      </c>
      <c r="C133" s="4">
        <v>9.5</v>
      </c>
      <c r="D133" s="4">
        <v>4.1104000000000003</v>
      </c>
      <c r="E133" s="4">
        <v>210</v>
      </c>
      <c r="F133" s="4"/>
      <c r="G133" s="4"/>
      <c r="H133" s="5">
        <f t="shared" si="1"/>
        <v>-4.191196065605458E-3</v>
      </c>
    </row>
    <row r="134" spans="1:8" ht="13.5" x14ac:dyDescent="0.25">
      <c r="A134" s="1"/>
      <c r="B134" s="3">
        <v>42494</v>
      </c>
      <c r="C134" s="4">
        <v>9.25</v>
      </c>
      <c r="D134" s="4">
        <v>4.0023</v>
      </c>
      <c r="E134" s="4">
        <v>280</v>
      </c>
      <c r="F134" s="4"/>
      <c r="G134" s="4"/>
      <c r="H134" s="5">
        <f t="shared" si="1"/>
        <v>-2.6299143635655969E-2</v>
      </c>
    </row>
    <row r="135" spans="1:8" ht="13.5" x14ac:dyDescent="0.25">
      <c r="A135" s="1"/>
      <c r="B135" s="3">
        <v>42495</v>
      </c>
      <c r="C135" s="4">
        <v>9.23</v>
      </c>
      <c r="D135" s="4">
        <v>3.9935999999999998</v>
      </c>
      <c r="E135" s="4">
        <v>819</v>
      </c>
      <c r="F135" s="4"/>
      <c r="G135" s="4"/>
      <c r="H135" s="5">
        <f t="shared" ref="H135:H198" si="2">(D135-D134)/D134</f>
        <v>-2.1737500936961627E-3</v>
      </c>
    </row>
    <row r="136" spans="1:8" ht="13.5" x14ac:dyDescent="0.25">
      <c r="A136" s="1"/>
      <c r="B136" s="3">
        <v>42496</v>
      </c>
      <c r="C136" s="4">
        <v>9.49</v>
      </c>
      <c r="D136" s="4">
        <v>4.1060999999999996</v>
      </c>
      <c r="E136" s="4">
        <v>142</v>
      </c>
      <c r="F136" s="4"/>
      <c r="G136" s="4"/>
      <c r="H136" s="5">
        <f t="shared" si="2"/>
        <v>2.8170072115384571E-2</v>
      </c>
    </row>
    <row r="137" spans="1:8" ht="13.5" x14ac:dyDescent="0.25">
      <c r="A137" s="1"/>
      <c r="B137" s="3">
        <v>42499</v>
      </c>
      <c r="C137" s="4">
        <v>9.5</v>
      </c>
      <c r="D137" s="4">
        <v>4.1104000000000003</v>
      </c>
      <c r="E137" s="4">
        <v>100</v>
      </c>
      <c r="F137" s="4"/>
      <c r="G137" s="4"/>
      <c r="H137" s="5">
        <f t="shared" si="2"/>
        <v>1.0472224251724597E-3</v>
      </c>
    </row>
    <row r="138" spans="1:8" ht="13.5" x14ac:dyDescent="0.25">
      <c r="A138" s="1"/>
      <c r="B138" s="3">
        <v>42500</v>
      </c>
      <c r="C138" s="4">
        <v>9.2200000000000006</v>
      </c>
      <c r="D138" s="4">
        <v>3.9893000000000001</v>
      </c>
      <c r="E138" s="4">
        <v>4317</v>
      </c>
      <c r="F138" s="4"/>
      <c r="G138" s="4"/>
      <c r="H138" s="5">
        <f t="shared" si="2"/>
        <v>-2.9461852861035472E-2</v>
      </c>
    </row>
    <row r="139" spans="1:8" ht="13.5" x14ac:dyDescent="0.25">
      <c r="A139" s="1"/>
      <c r="B139" s="3">
        <v>42501</v>
      </c>
      <c r="C139" s="4">
        <v>9.44</v>
      </c>
      <c r="D139" s="4">
        <v>4.0845000000000002</v>
      </c>
      <c r="E139" s="4">
        <v>3534</v>
      </c>
      <c r="F139" s="4"/>
      <c r="G139" s="4"/>
      <c r="H139" s="5">
        <f t="shared" si="2"/>
        <v>2.3863835760659809E-2</v>
      </c>
    </row>
    <row r="140" spans="1:8" ht="13.5" x14ac:dyDescent="0.25">
      <c r="A140" s="1"/>
      <c r="B140" s="3">
        <v>42502</v>
      </c>
      <c r="C140" s="4">
        <v>9.4499999999999993</v>
      </c>
      <c r="D140" s="4">
        <v>4.0888</v>
      </c>
      <c r="E140" s="4">
        <v>2978</v>
      </c>
      <c r="F140" s="4"/>
      <c r="G140" s="4"/>
      <c r="H140" s="5">
        <f t="shared" si="2"/>
        <v>1.0527604357937932E-3</v>
      </c>
    </row>
    <row r="141" spans="1:8" ht="13.5" x14ac:dyDescent="0.25">
      <c r="A141" s="1"/>
      <c r="B141" s="3">
        <v>42503</v>
      </c>
      <c r="C141" s="4">
        <v>9.4499999999999993</v>
      </c>
      <c r="D141" s="4">
        <v>4.0888</v>
      </c>
      <c r="E141" s="4">
        <v>4328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9.1999999999999993</v>
      </c>
      <c r="D142" s="4">
        <v>3.9805999999999999</v>
      </c>
      <c r="E142" s="4">
        <v>1257</v>
      </c>
      <c r="F142" s="4"/>
      <c r="G142" s="4"/>
      <c r="H142" s="5">
        <f t="shared" si="2"/>
        <v>-2.6462531794169457E-2</v>
      </c>
    </row>
    <row r="143" spans="1:8" ht="13.5" x14ac:dyDescent="0.25">
      <c r="A143" s="1"/>
      <c r="B143" s="3">
        <v>42507</v>
      </c>
      <c r="C143" s="4">
        <v>9.43</v>
      </c>
      <c r="D143" s="4">
        <v>4.0800999999999998</v>
      </c>
      <c r="E143" s="4">
        <v>27</v>
      </c>
      <c r="F143" s="4"/>
      <c r="G143" s="4"/>
      <c r="H143" s="5">
        <f t="shared" si="2"/>
        <v>2.4996231723860705E-2</v>
      </c>
    </row>
    <row r="144" spans="1:8" ht="13.5" x14ac:dyDescent="0.25">
      <c r="A144" s="1"/>
      <c r="B144" s="3">
        <v>42508</v>
      </c>
      <c r="C144" s="4">
        <v>9.15</v>
      </c>
      <c r="D144" s="4">
        <v>3.9590000000000001</v>
      </c>
      <c r="E144" s="4">
        <v>2274</v>
      </c>
      <c r="F144" s="4"/>
      <c r="G144" s="4"/>
      <c r="H144" s="5">
        <f t="shared" si="2"/>
        <v>-2.968064508222832E-2</v>
      </c>
    </row>
    <row r="145" spans="1:8" ht="13.5" x14ac:dyDescent="0.25">
      <c r="A145" s="1"/>
      <c r="B145" s="3">
        <v>42509</v>
      </c>
      <c r="C145" s="4">
        <v>9.4</v>
      </c>
      <c r="D145" s="4">
        <v>4.0671999999999997</v>
      </c>
      <c r="E145" s="4">
        <v>1</v>
      </c>
      <c r="F145" s="4"/>
      <c r="G145" s="4"/>
      <c r="H145" s="5">
        <f t="shared" si="2"/>
        <v>2.7330133872189855E-2</v>
      </c>
    </row>
    <row r="146" spans="1:8" ht="13.5" x14ac:dyDescent="0.25">
      <c r="A146" s="1"/>
      <c r="B146" s="3">
        <v>42510</v>
      </c>
      <c r="C146" s="4">
        <v>9.39</v>
      </c>
      <c r="D146" s="4">
        <v>4.0628000000000002</v>
      </c>
      <c r="E146" s="4">
        <v>1039</v>
      </c>
      <c r="F146" s="4"/>
      <c r="G146" s="4"/>
      <c r="H146" s="5">
        <f t="shared" si="2"/>
        <v>-1.0818253343822569E-3</v>
      </c>
    </row>
    <row r="147" spans="1:8" ht="13.5" x14ac:dyDescent="0.25">
      <c r="A147" s="1"/>
      <c r="B147" s="3">
        <v>42513</v>
      </c>
      <c r="C147" s="4">
        <v>9.48</v>
      </c>
      <c r="D147" s="4">
        <v>4.1017999999999999</v>
      </c>
      <c r="E147" s="4">
        <v>172</v>
      </c>
      <c r="F147" s="4"/>
      <c r="G147" s="4"/>
      <c r="H147" s="5">
        <f t="shared" si="2"/>
        <v>9.5992911292703802E-3</v>
      </c>
    </row>
    <row r="148" spans="1:8" ht="13.5" x14ac:dyDescent="0.25">
      <c r="A148" s="1"/>
      <c r="B148" s="3">
        <v>42514</v>
      </c>
      <c r="C148" s="4">
        <v>9.3000000000000007</v>
      </c>
      <c r="D148" s="4">
        <v>4.0239000000000003</v>
      </c>
      <c r="E148" s="4">
        <v>3657</v>
      </c>
      <c r="F148" s="4"/>
      <c r="G148" s="4"/>
      <c r="H148" s="5">
        <f t="shared" si="2"/>
        <v>-1.8991662197084119E-2</v>
      </c>
    </row>
    <row r="149" spans="1:8" ht="13.5" x14ac:dyDescent="0.25">
      <c r="A149" s="1"/>
      <c r="B149" s="3">
        <v>42515</v>
      </c>
      <c r="C149" s="4">
        <v>9.49</v>
      </c>
      <c r="D149" s="4">
        <v>4.1060999999999996</v>
      </c>
      <c r="E149" s="4">
        <v>1459</v>
      </c>
      <c r="F149" s="4"/>
      <c r="G149" s="4"/>
      <c r="H149" s="5">
        <f t="shared" si="2"/>
        <v>2.0427943040333851E-2</v>
      </c>
    </row>
    <row r="150" spans="1:8" ht="13.5" x14ac:dyDescent="0.25">
      <c r="A150" s="1"/>
      <c r="B150" s="3">
        <v>42516</v>
      </c>
      <c r="C150" s="4">
        <v>9.4</v>
      </c>
      <c r="D150" s="4">
        <v>4.0671999999999997</v>
      </c>
      <c r="E150" s="4">
        <v>5401</v>
      </c>
      <c r="F150" s="4"/>
      <c r="G150" s="4"/>
      <c r="H150" s="5">
        <f t="shared" si="2"/>
        <v>-9.473709846326183E-3</v>
      </c>
    </row>
    <row r="151" spans="1:8" ht="13.5" x14ac:dyDescent="0.25">
      <c r="A151" s="1"/>
      <c r="B151" s="3">
        <v>42517</v>
      </c>
      <c r="C151" s="4">
        <v>9.6</v>
      </c>
      <c r="D151" s="4">
        <v>4.1536999999999997</v>
      </c>
      <c r="E151" s="4">
        <v>5043</v>
      </c>
      <c r="F151" s="4"/>
      <c r="G151" s="4"/>
      <c r="H151" s="5">
        <f t="shared" si="2"/>
        <v>2.1267702596380809E-2</v>
      </c>
    </row>
    <row r="152" spans="1:8" ht="13.5" x14ac:dyDescent="0.25">
      <c r="A152" s="1"/>
      <c r="B152" s="3">
        <v>42520</v>
      </c>
      <c r="C152" s="4">
        <v>9.6</v>
      </c>
      <c r="D152" s="4">
        <v>4.1536999999999997</v>
      </c>
      <c r="E152" s="4">
        <v>688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9.6</v>
      </c>
      <c r="D153" s="4">
        <v>4.1536999999999997</v>
      </c>
      <c r="E153" s="4">
        <v>49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9.3699999999999992</v>
      </c>
      <c r="D154" s="4">
        <v>4.0541999999999998</v>
      </c>
      <c r="E154" s="4">
        <v>749</v>
      </c>
      <c r="F154" s="4"/>
      <c r="G154" s="4"/>
      <c r="H154" s="5">
        <f t="shared" si="2"/>
        <v>-2.3954546548860034E-2</v>
      </c>
    </row>
    <row r="155" spans="1:8" ht="13.5" x14ac:dyDescent="0.25">
      <c r="A155" s="1"/>
      <c r="B155" s="3">
        <v>42523</v>
      </c>
      <c r="C155" s="4">
        <v>9.64</v>
      </c>
      <c r="D155" s="4">
        <v>4.1710000000000003</v>
      </c>
      <c r="E155" s="4">
        <v>4</v>
      </c>
      <c r="F155" s="4"/>
      <c r="G155" s="4"/>
      <c r="H155" s="5">
        <f t="shared" si="2"/>
        <v>2.880962952000406E-2</v>
      </c>
    </row>
    <row r="156" spans="1:8" ht="13.5" x14ac:dyDescent="0.25">
      <c r="A156" s="1"/>
      <c r="B156" s="3">
        <v>42524</v>
      </c>
      <c r="C156" s="4">
        <v>9.64</v>
      </c>
      <c r="D156" s="4">
        <v>4.1710000000000003</v>
      </c>
      <c r="E156" s="4">
        <v>222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9.42</v>
      </c>
      <c r="D157" s="4">
        <v>4.0758000000000001</v>
      </c>
      <c r="E157" s="4">
        <v>26</v>
      </c>
      <c r="F157" s="4"/>
      <c r="G157" s="4"/>
      <c r="H157" s="5">
        <f t="shared" si="2"/>
        <v>-2.2824262766722649E-2</v>
      </c>
    </row>
    <row r="158" spans="1:8" ht="13.5" x14ac:dyDescent="0.25">
      <c r="A158" s="1"/>
      <c r="B158" s="3">
        <v>42528</v>
      </c>
      <c r="C158" s="4">
        <v>9.64</v>
      </c>
      <c r="D158" s="4">
        <v>4.1710000000000003</v>
      </c>
      <c r="E158" s="4">
        <v>723</v>
      </c>
      <c r="F158" s="4"/>
      <c r="G158" s="4"/>
      <c r="H158" s="5">
        <f t="shared" si="2"/>
        <v>2.3357377692722944E-2</v>
      </c>
    </row>
    <row r="159" spans="1:8" ht="13.5" x14ac:dyDescent="0.25">
      <c r="A159" s="1"/>
      <c r="B159" s="3">
        <v>42529</v>
      </c>
      <c r="C159" s="4">
        <v>9.64</v>
      </c>
      <c r="D159" s="4">
        <v>4.1710000000000003</v>
      </c>
      <c r="E159" s="4">
        <v>300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9.36</v>
      </c>
      <c r="D160" s="4">
        <v>4.0499000000000001</v>
      </c>
      <c r="E160" s="4">
        <v>104</v>
      </c>
      <c r="F160" s="4"/>
      <c r="G160" s="4"/>
      <c r="H160" s="5">
        <f t="shared" si="2"/>
        <v>-2.9033804842963366E-2</v>
      </c>
    </row>
    <row r="161" spans="1:8" ht="13.5" x14ac:dyDescent="0.25">
      <c r="A161" s="1"/>
      <c r="B161" s="3">
        <v>42531</v>
      </c>
      <c r="C161" s="4">
        <v>9.11</v>
      </c>
      <c r="D161" s="4">
        <v>3.9417</v>
      </c>
      <c r="E161" s="4">
        <v>45</v>
      </c>
      <c r="F161" s="4"/>
      <c r="G161" s="4"/>
      <c r="H161" s="5">
        <f t="shared" si="2"/>
        <v>-2.6716709054544575E-2</v>
      </c>
    </row>
    <row r="162" spans="1:8" ht="13.5" x14ac:dyDescent="0.25">
      <c r="A162" s="1"/>
      <c r="B162" s="3">
        <v>42534</v>
      </c>
      <c r="C162" s="4">
        <v>9.3800000000000008</v>
      </c>
      <c r="D162" s="4">
        <v>4.0585000000000004</v>
      </c>
      <c r="E162" s="4">
        <v>49</v>
      </c>
      <c r="F162" s="4"/>
      <c r="G162" s="4"/>
      <c r="H162" s="5">
        <f t="shared" si="2"/>
        <v>2.9631884719791071E-2</v>
      </c>
    </row>
    <row r="163" spans="1:8" ht="13.5" x14ac:dyDescent="0.25">
      <c r="A163" s="1"/>
      <c r="B163" s="3">
        <v>42535</v>
      </c>
      <c r="C163" s="4">
        <v>9.26</v>
      </c>
      <c r="D163" s="4">
        <v>4.0065999999999997</v>
      </c>
      <c r="E163" s="4">
        <v>307</v>
      </c>
      <c r="F163" s="4"/>
      <c r="G163" s="4"/>
      <c r="H163" s="5">
        <f t="shared" si="2"/>
        <v>-1.2787975853147891E-2</v>
      </c>
    </row>
    <row r="164" spans="1:8" ht="13.5" x14ac:dyDescent="0.25">
      <c r="A164" s="1"/>
      <c r="B164" s="3">
        <v>42536</v>
      </c>
      <c r="C164" s="4">
        <v>9.5299999999999994</v>
      </c>
      <c r="D164" s="4">
        <v>4.1234000000000002</v>
      </c>
      <c r="E164" s="4">
        <v>263</v>
      </c>
      <c r="F164" s="4"/>
      <c r="G164" s="4"/>
      <c r="H164" s="5">
        <f t="shared" si="2"/>
        <v>2.915189936604614E-2</v>
      </c>
    </row>
    <row r="165" spans="1:8" ht="13.5" x14ac:dyDescent="0.25">
      <c r="A165" s="1"/>
      <c r="B165" s="3">
        <v>42537</v>
      </c>
      <c r="C165" s="4">
        <v>9.5299999999999994</v>
      </c>
      <c r="D165" s="4">
        <v>4.1234000000000002</v>
      </c>
      <c r="E165" s="4">
        <v>117</v>
      </c>
      <c r="F165" s="4"/>
      <c r="G165" s="4"/>
      <c r="H165" s="5">
        <f t="shared" si="2"/>
        <v>0</v>
      </c>
    </row>
    <row r="166" spans="1:8" ht="13.5" x14ac:dyDescent="0.25">
      <c r="A166" s="1"/>
      <c r="B166" s="3">
        <v>42538</v>
      </c>
      <c r="C166" s="4">
        <v>9.5500000000000007</v>
      </c>
      <c r="D166" s="4">
        <v>4.1321000000000003</v>
      </c>
      <c r="E166" s="4">
        <v>3685</v>
      </c>
      <c r="F166" s="4"/>
      <c r="G166" s="4"/>
      <c r="H166" s="5">
        <f t="shared" si="2"/>
        <v>2.1099092981520474E-3</v>
      </c>
    </row>
    <row r="167" spans="1:8" ht="13.5" x14ac:dyDescent="0.25">
      <c r="A167" s="1"/>
      <c r="B167" s="3">
        <v>42541</v>
      </c>
      <c r="C167" s="4">
        <v>9.5500000000000007</v>
      </c>
      <c r="D167" s="4">
        <v>4.1321000000000003</v>
      </c>
      <c r="E167" s="4">
        <v>1301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9.5500000000000007</v>
      </c>
      <c r="D168" s="4">
        <v>4.1321000000000003</v>
      </c>
      <c r="E168" s="4">
        <v>2740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9.5</v>
      </c>
      <c r="D169" s="4">
        <v>4.1104000000000003</v>
      </c>
      <c r="E169" s="4">
        <v>411</v>
      </c>
      <c r="F169" s="4"/>
      <c r="G169" s="4"/>
      <c r="H169" s="5">
        <f t="shared" si="2"/>
        <v>-5.2515669998306072E-3</v>
      </c>
    </row>
    <row r="170" spans="1:8" ht="13.5" x14ac:dyDescent="0.25">
      <c r="A170" s="1"/>
      <c r="B170" s="3">
        <v>42544</v>
      </c>
      <c r="C170" s="4">
        <v>9.5</v>
      </c>
      <c r="D170" s="4">
        <v>4.1104000000000003</v>
      </c>
      <c r="E170" s="4">
        <v>1316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9.5</v>
      </c>
      <c r="D171" s="4">
        <v>4.1104000000000003</v>
      </c>
      <c r="E171" s="4">
        <v>100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9.5</v>
      </c>
      <c r="D172" s="4">
        <v>4.1104000000000003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9.32</v>
      </c>
      <c r="D173" s="4">
        <v>4.0324999999999998</v>
      </c>
      <c r="E173" s="4">
        <v>222</v>
      </c>
      <c r="F173" s="4"/>
      <c r="G173" s="4"/>
      <c r="H173" s="5">
        <f t="shared" si="2"/>
        <v>-1.8951926819774357E-2</v>
      </c>
    </row>
    <row r="174" spans="1:8" ht="13.5" x14ac:dyDescent="0.25">
      <c r="A174" s="1"/>
      <c r="B174" s="3">
        <v>42550</v>
      </c>
      <c r="C174" s="4">
        <v>9.32</v>
      </c>
      <c r="D174" s="4">
        <v>4.0324999999999998</v>
      </c>
      <c r="E174" s="4">
        <v>85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9.32</v>
      </c>
      <c r="D175" s="4">
        <v>4.0324999999999998</v>
      </c>
      <c r="E175" s="4">
        <v>417</v>
      </c>
      <c r="F175" s="4"/>
      <c r="G175" s="4"/>
      <c r="H175" s="5">
        <f t="shared" si="2"/>
        <v>0</v>
      </c>
    </row>
    <row r="176" spans="1:8" ht="13.5" x14ac:dyDescent="0.25">
      <c r="A176" s="1"/>
      <c r="B176" s="3">
        <v>42552</v>
      </c>
      <c r="C176" s="4">
        <v>8.5</v>
      </c>
      <c r="D176" s="4">
        <v>3.9308999999999998</v>
      </c>
      <c r="E176" s="4">
        <v>0</v>
      </c>
      <c r="F176" s="4"/>
      <c r="G176" s="4"/>
      <c r="H176" s="5">
        <f t="shared" si="2"/>
        <v>-2.5195288282703017E-2</v>
      </c>
    </row>
    <row r="177" spans="1:8" ht="13.5" x14ac:dyDescent="0.25">
      <c r="A177" s="1"/>
      <c r="B177" s="3">
        <v>42555</v>
      </c>
      <c r="C177" s="4">
        <v>8.25</v>
      </c>
      <c r="D177" s="4">
        <v>3.9079000000000002</v>
      </c>
      <c r="E177" s="4">
        <v>495</v>
      </c>
      <c r="F177" s="4"/>
      <c r="G177" s="4"/>
      <c r="H177" s="5">
        <f t="shared" si="2"/>
        <v>-5.8510773614184252E-3</v>
      </c>
    </row>
    <row r="178" spans="1:8" ht="13.5" x14ac:dyDescent="0.25">
      <c r="A178" s="1"/>
      <c r="B178" s="3">
        <v>42559</v>
      </c>
      <c r="C178" s="4">
        <v>8.49</v>
      </c>
      <c r="D178" s="4">
        <v>4.0216000000000003</v>
      </c>
      <c r="E178" s="4">
        <v>471</v>
      </c>
      <c r="F178" s="4"/>
      <c r="G178" s="4"/>
      <c r="H178" s="5">
        <f t="shared" si="2"/>
        <v>2.9094910309885137E-2</v>
      </c>
    </row>
    <row r="179" spans="1:8" ht="13.5" x14ac:dyDescent="0.25">
      <c r="A179" s="1"/>
      <c r="B179" s="3">
        <v>42562</v>
      </c>
      <c r="C179" s="4">
        <v>8.48</v>
      </c>
      <c r="D179" s="4">
        <v>4.0168999999999997</v>
      </c>
      <c r="E179" s="4">
        <v>26</v>
      </c>
      <c r="F179" s="4"/>
      <c r="G179" s="4"/>
      <c r="H179" s="5">
        <f t="shared" si="2"/>
        <v>-1.1686890789736901E-3</v>
      </c>
    </row>
    <row r="180" spans="1:8" ht="13.5" x14ac:dyDescent="0.25">
      <c r="A180" s="1"/>
      <c r="B180" s="3">
        <v>42563</v>
      </c>
      <c r="C180" s="4">
        <v>8.68</v>
      </c>
      <c r="D180" s="4">
        <v>4.1116000000000001</v>
      </c>
      <c r="E180" s="4">
        <v>320</v>
      </c>
      <c r="F180" s="4"/>
      <c r="G180" s="4"/>
      <c r="H180" s="5">
        <f t="shared" si="2"/>
        <v>2.357539396051693E-2</v>
      </c>
    </row>
    <row r="181" spans="1:8" ht="13.5" x14ac:dyDescent="0.25">
      <c r="A181" s="1"/>
      <c r="B181" s="3">
        <v>42564</v>
      </c>
      <c r="C181" s="4">
        <v>8.6300000000000008</v>
      </c>
      <c r="D181" s="4">
        <v>4.0879000000000003</v>
      </c>
      <c r="E181" s="4">
        <v>1739</v>
      </c>
      <c r="F181" s="4"/>
      <c r="G181" s="4"/>
      <c r="H181" s="5">
        <f t="shared" si="2"/>
        <v>-5.7641793948827293E-3</v>
      </c>
    </row>
    <row r="182" spans="1:8" ht="13.5" x14ac:dyDescent="0.25">
      <c r="A182" s="1"/>
      <c r="B182" s="3">
        <v>42565</v>
      </c>
      <c r="C182" s="4">
        <v>8.6300000000000008</v>
      </c>
      <c r="D182" s="4">
        <v>4.0879000000000003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8.4</v>
      </c>
      <c r="D183" s="4">
        <v>3.9790000000000001</v>
      </c>
      <c r="E183" s="4">
        <v>450</v>
      </c>
      <c r="F183" s="4"/>
      <c r="G183" s="4"/>
      <c r="H183" s="5">
        <f t="shared" si="2"/>
        <v>-2.6639594902027986E-2</v>
      </c>
    </row>
    <row r="184" spans="1:8" ht="13.5" x14ac:dyDescent="0.25">
      <c r="A184" s="1"/>
      <c r="B184" s="3">
        <v>42569</v>
      </c>
      <c r="C184" s="4">
        <v>8.23</v>
      </c>
      <c r="D184" s="4">
        <v>3.8984000000000001</v>
      </c>
      <c r="E184" s="4">
        <v>397</v>
      </c>
      <c r="F184" s="4"/>
      <c r="G184" s="4"/>
      <c r="H184" s="5">
        <f t="shared" si="2"/>
        <v>-2.025634581553154E-2</v>
      </c>
    </row>
    <row r="185" spans="1:8" ht="13.5" x14ac:dyDescent="0.25">
      <c r="A185" s="1"/>
      <c r="B185" s="3">
        <v>42570</v>
      </c>
      <c r="C185" s="4">
        <v>8.23</v>
      </c>
      <c r="D185" s="4">
        <v>3.8984000000000001</v>
      </c>
      <c r="E185" s="4">
        <v>230</v>
      </c>
      <c r="F185" s="4"/>
      <c r="G185" s="4"/>
      <c r="H185" s="5">
        <f t="shared" si="2"/>
        <v>0</v>
      </c>
    </row>
    <row r="186" spans="1:8" ht="13.5" x14ac:dyDescent="0.25">
      <c r="A186" s="1"/>
      <c r="B186" s="3">
        <v>42571</v>
      </c>
      <c r="C186" s="4">
        <v>8.23</v>
      </c>
      <c r="D186" s="4">
        <v>3.8984000000000001</v>
      </c>
      <c r="E186" s="4">
        <v>0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8.23</v>
      </c>
      <c r="D187" s="4">
        <v>3.8984000000000001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8.4</v>
      </c>
      <c r="D188" s="4">
        <v>3.9790000000000001</v>
      </c>
      <c r="E188" s="4">
        <v>10</v>
      </c>
      <c r="F188" s="4"/>
      <c r="G188" s="4"/>
      <c r="H188" s="5">
        <f t="shared" si="2"/>
        <v>2.0675148778986251E-2</v>
      </c>
    </row>
    <row r="189" spans="1:8" ht="13.5" x14ac:dyDescent="0.25">
      <c r="A189" s="1"/>
      <c r="B189" s="3">
        <v>42577</v>
      </c>
      <c r="C189" s="4">
        <v>8.15</v>
      </c>
      <c r="D189" s="4">
        <v>3.8605</v>
      </c>
      <c r="E189" s="4">
        <v>315</v>
      </c>
      <c r="F189" s="4"/>
      <c r="G189" s="4"/>
      <c r="H189" s="5">
        <f t="shared" si="2"/>
        <v>-2.9781352098517226E-2</v>
      </c>
    </row>
    <row r="190" spans="1:8" ht="13.5" x14ac:dyDescent="0.25">
      <c r="A190" s="1"/>
      <c r="B190" s="3">
        <v>42578</v>
      </c>
      <c r="C190" s="4">
        <v>8.25</v>
      </c>
      <c r="D190" s="4">
        <v>3.9079000000000002</v>
      </c>
      <c r="E190" s="4">
        <v>45</v>
      </c>
      <c r="F190" s="4"/>
      <c r="G190" s="4"/>
      <c r="H190" s="5">
        <f t="shared" si="2"/>
        <v>1.2278202305400884E-2</v>
      </c>
    </row>
    <row r="191" spans="1:8" ht="13.5" x14ac:dyDescent="0.25">
      <c r="A191" s="1"/>
      <c r="B191" s="3">
        <v>42579</v>
      </c>
      <c r="C191" s="4">
        <v>8.1</v>
      </c>
      <c r="D191" s="4">
        <v>3.8369</v>
      </c>
      <c r="E191" s="4">
        <v>93</v>
      </c>
      <c r="F191" s="4"/>
      <c r="G191" s="4"/>
      <c r="H191" s="5">
        <f t="shared" si="2"/>
        <v>-1.8168325699224691E-2</v>
      </c>
    </row>
    <row r="192" spans="1:8" ht="13.5" x14ac:dyDescent="0.25">
      <c r="A192" s="1"/>
      <c r="B192" s="3">
        <v>42580</v>
      </c>
      <c r="C192" s="4">
        <v>8.1</v>
      </c>
      <c r="D192" s="4">
        <v>3.8369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8.1</v>
      </c>
      <c r="D193" s="4">
        <v>3.8369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8.4600000000000009</v>
      </c>
      <c r="D194" s="4">
        <v>4.0073999999999996</v>
      </c>
      <c r="E194" s="4">
        <v>50</v>
      </c>
      <c r="F194" s="4"/>
      <c r="G194" s="4"/>
      <c r="H194" s="5">
        <f t="shared" si="2"/>
        <v>4.4436915218014454E-2</v>
      </c>
    </row>
    <row r="195" spans="1:8" ht="13.5" x14ac:dyDescent="0.25">
      <c r="A195" s="1"/>
      <c r="B195" s="3">
        <v>42585</v>
      </c>
      <c r="C195" s="4">
        <v>8.2100000000000009</v>
      </c>
      <c r="D195" s="4">
        <v>3.8889999999999998</v>
      </c>
      <c r="E195" s="4">
        <v>61</v>
      </c>
      <c r="F195" s="4"/>
      <c r="G195" s="4"/>
      <c r="H195" s="5">
        <f t="shared" si="2"/>
        <v>-2.9545341118929942E-2</v>
      </c>
    </row>
    <row r="196" spans="1:8" ht="13.5" x14ac:dyDescent="0.25">
      <c r="A196" s="1"/>
      <c r="B196" s="3">
        <v>42586</v>
      </c>
      <c r="C196" s="4">
        <v>8.0299999999999994</v>
      </c>
      <c r="D196" s="4">
        <v>3.8037000000000001</v>
      </c>
      <c r="E196" s="4">
        <v>74</v>
      </c>
      <c r="F196" s="4"/>
      <c r="G196" s="4"/>
      <c r="H196" s="5">
        <f t="shared" si="2"/>
        <v>-2.1933659038313118E-2</v>
      </c>
    </row>
    <row r="197" spans="1:8" ht="13.5" x14ac:dyDescent="0.25">
      <c r="A197" s="1"/>
      <c r="B197" s="3">
        <v>42587</v>
      </c>
      <c r="C197" s="4">
        <v>8.0299999999999994</v>
      </c>
      <c r="D197" s="4">
        <v>3.8037000000000001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8.0299999999999994</v>
      </c>
      <c r="D198" s="4">
        <v>3.8037000000000001</v>
      </c>
      <c r="E198" s="4">
        <v>6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8.06</v>
      </c>
      <c r="D199" s="4">
        <v>3.8178999999999998</v>
      </c>
      <c r="E199" s="4">
        <v>1015</v>
      </c>
      <c r="F199" s="4"/>
      <c r="G199" s="4"/>
      <c r="H199" s="5">
        <f t="shared" ref="H199:H262" si="3">(D199-D198)/D198</f>
        <v>3.7332071404158501E-3</v>
      </c>
    </row>
    <row r="200" spans="1:8" ht="13.5" x14ac:dyDescent="0.25">
      <c r="A200" s="1"/>
      <c r="B200" s="3">
        <v>42592</v>
      </c>
      <c r="C200" s="4">
        <v>8.06</v>
      </c>
      <c r="D200" s="4">
        <v>3.8178999999999998</v>
      </c>
      <c r="E200" s="4">
        <v>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8.06</v>
      </c>
      <c r="D201" s="4">
        <v>3.8178999999999998</v>
      </c>
      <c r="E201" s="4">
        <v>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8.07</v>
      </c>
      <c r="D202" s="4">
        <v>3.8226</v>
      </c>
      <c r="E202" s="4">
        <v>3</v>
      </c>
      <c r="F202" s="4"/>
      <c r="G202" s="4"/>
      <c r="H202" s="5">
        <f t="shared" si="3"/>
        <v>1.2310432436680239E-3</v>
      </c>
    </row>
    <row r="203" spans="1:8" ht="13.5" x14ac:dyDescent="0.25">
      <c r="A203" s="1"/>
      <c r="B203" s="3">
        <v>42597</v>
      </c>
      <c r="C203" s="4">
        <v>8.07</v>
      </c>
      <c r="D203" s="4">
        <v>3.8226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8.07</v>
      </c>
      <c r="D204" s="4">
        <v>3.8226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8.31</v>
      </c>
      <c r="D205" s="4">
        <v>3.9363000000000001</v>
      </c>
      <c r="E205" s="4">
        <v>570</v>
      </c>
      <c r="F205" s="4"/>
      <c r="G205" s="4"/>
      <c r="H205" s="5">
        <f t="shared" si="3"/>
        <v>2.9744153194161078E-2</v>
      </c>
    </row>
    <row r="206" spans="1:8" ht="13.5" x14ac:dyDescent="0.25">
      <c r="A206" s="1"/>
      <c r="B206" s="3">
        <v>42600</v>
      </c>
      <c r="C206" s="4">
        <v>8.1300000000000008</v>
      </c>
      <c r="D206" s="4">
        <v>3.8511000000000002</v>
      </c>
      <c r="E206" s="4">
        <v>155</v>
      </c>
      <c r="F206" s="4"/>
      <c r="G206" s="4"/>
      <c r="H206" s="5">
        <f t="shared" si="3"/>
        <v>-2.1644691715570444E-2</v>
      </c>
    </row>
    <row r="207" spans="1:8" ht="13.5" x14ac:dyDescent="0.25">
      <c r="A207" s="1"/>
      <c r="B207" s="3">
        <v>42601</v>
      </c>
      <c r="C207" s="4">
        <v>8.14</v>
      </c>
      <c r="D207" s="4">
        <v>3.8557999999999999</v>
      </c>
      <c r="E207" s="4">
        <v>127</v>
      </c>
      <c r="F207" s="4"/>
      <c r="G207" s="4"/>
      <c r="H207" s="5">
        <f t="shared" si="3"/>
        <v>1.220430526343046E-3</v>
      </c>
    </row>
    <row r="208" spans="1:8" ht="13.5" x14ac:dyDescent="0.25">
      <c r="A208" s="1"/>
      <c r="B208" s="3">
        <v>42604</v>
      </c>
      <c r="C208" s="4">
        <v>8.1999999999999993</v>
      </c>
      <c r="D208" s="4">
        <v>3.8841999999999999</v>
      </c>
      <c r="E208" s="4">
        <v>2</v>
      </c>
      <c r="F208" s="4"/>
      <c r="G208" s="4"/>
      <c r="H208" s="5">
        <f t="shared" si="3"/>
        <v>7.3655272576378392E-3</v>
      </c>
    </row>
    <row r="209" spans="1:8" ht="13.5" x14ac:dyDescent="0.25">
      <c r="A209" s="1"/>
      <c r="B209" s="3">
        <v>42605</v>
      </c>
      <c r="C209" s="4">
        <v>8.1999999999999993</v>
      </c>
      <c r="D209" s="4">
        <v>3.8841999999999999</v>
      </c>
      <c r="E209" s="4">
        <v>1442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8.1</v>
      </c>
      <c r="D210" s="4">
        <v>3.8369</v>
      </c>
      <c r="E210" s="4">
        <v>7790</v>
      </c>
      <c r="F210" s="4"/>
      <c r="G210" s="4"/>
      <c r="H210" s="5">
        <f t="shared" si="3"/>
        <v>-1.2177539776530534E-2</v>
      </c>
    </row>
    <row r="211" spans="1:8" ht="13.5" x14ac:dyDescent="0.25">
      <c r="A211" s="1"/>
      <c r="B211" s="3">
        <v>42607</v>
      </c>
      <c r="C211" s="4">
        <v>8.0500000000000007</v>
      </c>
      <c r="D211" s="4">
        <v>3.8132000000000001</v>
      </c>
      <c r="E211" s="4">
        <v>112</v>
      </c>
      <c r="F211" s="4"/>
      <c r="G211" s="4"/>
      <c r="H211" s="5">
        <f t="shared" si="3"/>
        <v>-6.1768615288383417E-3</v>
      </c>
    </row>
    <row r="212" spans="1:8" ht="13.5" x14ac:dyDescent="0.25">
      <c r="A212" s="1"/>
      <c r="B212" s="3">
        <v>42608</v>
      </c>
      <c r="C212" s="4">
        <v>8.0500000000000007</v>
      </c>
      <c r="D212" s="4">
        <v>3.8132000000000001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8.0500000000000007</v>
      </c>
      <c r="D213" s="4">
        <v>3.8132000000000001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8.07</v>
      </c>
      <c r="D214" s="4">
        <v>3.8226</v>
      </c>
      <c r="E214" s="4">
        <v>4290</v>
      </c>
      <c r="F214" s="4"/>
      <c r="G214" s="4"/>
      <c r="H214" s="5">
        <f t="shared" si="3"/>
        <v>2.465121158082412E-3</v>
      </c>
    </row>
    <row r="215" spans="1:8" ht="13.5" x14ac:dyDescent="0.25">
      <c r="A215" s="1"/>
      <c r="B215" s="3">
        <v>42613</v>
      </c>
      <c r="C215" s="4">
        <v>8.1</v>
      </c>
      <c r="D215" s="4">
        <v>3.8369</v>
      </c>
      <c r="E215" s="4">
        <v>2231</v>
      </c>
      <c r="F215" s="4"/>
      <c r="G215" s="4"/>
      <c r="H215" s="5">
        <f t="shared" si="3"/>
        <v>3.7409093287291318E-3</v>
      </c>
    </row>
    <row r="216" spans="1:8" ht="13.5" x14ac:dyDescent="0.25">
      <c r="A216" s="1"/>
      <c r="B216" s="3">
        <v>42614</v>
      </c>
      <c r="C216" s="4">
        <v>7.88</v>
      </c>
      <c r="D216" s="4">
        <v>3.7326000000000001</v>
      </c>
      <c r="E216" s="4">
        <v>239</v>
      </c>
      <c r="F216" s="4"/>
      <c r="G216" s="4"/>
      <c r="H216" s="5">
        <f t="shared" si="3"/>
        <v>-2.7183403268263399E-2</v>
      </c>
    </row>
    <row r="217" spans="1:8" ht="13.5" x14ac:dyDescent="0.25">
      <c r="A217" s="1"/>
      <c r="B217" s="3">
        <v>42615</v>
      </c>
      <c r="C217" s="4">
        <v>7.7</v>
      </c>
      <c r="D217" s="4">
        <v>3.6474000000000002</v>
      </c>
      <c r="E217" s="4">
        <v>4630</v>
      </c>
      <c r="F217" s="4"/>
      <c r="G217" s="4"/>
      <c r="H217" s="5">
        <f t="shared" si="3"/>
        <v>-2.2825912232759989E-2</v>
      </c>
    </row>
    <row r="218" spans="1:8" ht="13.5" x14ac:dyDescent="0.25">
      <c r="A218" s="1"/>
      <c r="B218" s="3">
        <v>42618</v>
      </c>
      <c r="C218" s="4">
        <v>7.7</v>
      </c>
      <c r="D218" s="4">
        <v>3.6474000000000002</v>
      </c>
      <c r="E218" s="4">
        <v>331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7.7</v>
      </c>
      <c r="D219" s="4">
        <v>3.6474000000000002</v>
      </c>
      <c r="E219" s="4">
        <v>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7.7</v>
      </c>
      <c r="D220" s="4">
        <v>3.6474000000000002</v>
      </c>
      <c r="E220" s="4">
        <v>0</v>
      </c>
      <c r="F220" s="4"/>
      <c r="G220" s="4"/>
      <c r="H220" s="5">
        <f t="shared" si="3"/>
        <v>0</v>
      </c>
    </row>
    <row r="221" spans="1:8" ht="13.5" x14ac:dyDescent="0.25">
      <c r="A221" s="1"/>
      <c r="B221" s="3">
        <v>42621</v>
      </c>
      <c r="C221" s="4">
        <v>7.93</v>
      </c>
      <c r="D221" s="4">
        <v>3.7563</v>
      </c>
      <c r="E221" s="4">
        <v>2</v>
      </c>
      <c r="F221" s="4"/>
      <c r="G221" s="4"/>
      <c r="H221" s="5">
        <f t="shared" si="3"/>
        <v>2.9856884355979538E-2</v>
      </c>
    </row>
    <row r="222" spans="1:8" ht="13.5" x14ac:dyDescent="0.25">
      <c r="A222" s="1"/>
      <c r="B222" s="3">
        <v>42622</v>
      </c>
      <c r="C222" s="4">
        <v>8.1</v>
      </c>
      <c r="D222" s="4">
        <v>3.8369</v>
      </c>
      <c r="E222" s="4">
        <v>1</v>
      </c>
      <c r="F222" s="4"/>
      <c r="G222" s="4"/>
      <c r="H222" s="5">
        <f t="shared" si="3"/>
        <v>2.1457285094374785E-2</v>
      </c>
    </row>
    <row r="223" spans="1:8" ht="13.5" x14ac:dyDescent="0.25">
      <c r="A223" s="1"/>
      <c r="B223" s="3">
        <v>42627</v>
      </c>
      <c r="C223" s="4">
        <v>8.1</v>
      </c>
      <c r="D223" s="4">
        <v>3.8369</v>
      </c>
      <c r="E223" s="4">
        <v>1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7.9</v>
      </c>
      <c r="D224" s="4">
        <v>3.7421000000000002</v>
      </c>
      <c r="E224" s="4">
        <v>7636</v>
      </c>
      <c r="F224" s="4"/>
      <c r="G224" s="4"/>
      <c r="H224" s="5">
        <f t="shared" si="3"/>
        <v>-2.4707446115353481E-2</v>
      </c>
    </row>
    <row r="225" spans="1:8" ht="13.5" x14ac:dyDescent="0.25">
      <c r="A225" s="1"/>
      <c r="B225" s="3">
        <v>42629</v>
      </c>
      <c r="C225" s="4">
        <v>7.7</v>
      </c>
      <c r="D225" s="4">
        <v>3.6474000000000002</v>
      </c>
      <c r="E225" s="4">
        <v>6645</v>
      </c>
      <c r="F225" s="4"/>
      <c r="G225" s="4"/>
      <c r="H225" s="5">
        <f t="shared" si="3"/>
        <v>-2.5306646000908581E-2</v>
      </c>
    </row>
    <row r="226" spans="1:8" ht="13.5" x14ac:dyDescent="0.25">
      <c r="A226" s="1"/>
      <c r="B226" s="3">
        <v>42632</v>
      </c>
      <c r="C226" s="4">
        <v>7.7</v>
      </c>
      <c r="D226" s="4">
        <v>3.6474000000000002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7.7</v>
      </c>
      <c r="D227" s="4">
        <v>3.6474000000000002</v>
      </c>
      <c r="E227" s="4">
        <v>81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7.47</v>
      </c>
      <c r="D228" s="4">
        <v>3.5384000000000002</v>
      </c>
      <c r="E228" s="4">
        <v>2328</v>
      </c>
      <c r="F228" s="4"/>
      <c r="G228" s="4"/>
      <c r="H228" s="5">
        <f t="shared" si="3"/>
        <v>-2.9884301146021818E-2</v>
      </c>
    </row>
    <row r="229" spans="1:8" ht="13.5" x14ac:dyDescent="0.25">
      <c r="A229" s="1"/>
      <c r="B229" s="3">
        <v>42635</v>
      </c>
      <c r="C229" s="4">
        <v>7.7</v>
      </c>
      <c r="D229" s="4">
        <v>3.6474000000000002</v>
      </c>
      <c r="E229" s="4">
        <v>245</v>
      </c>
      <c r="F229" s="4"/>
      <c r="G229" s="4"/>
      <c r="H229" s="5">
        <f t="shared" si="3"/>
        <v>3.0804883563192397E-2</v>
      </c>
    </row>
    <row r="230" spans="1:8" ht="13.5" x14ac:dyDescent="0.25">
      <c r="A230" s="1"/>
      <c r="B230" s="3">
        <v>42636</v>
      </c>
      <c r="C230" s="4">
        <v>7.7</v>
      </c>
      <c r="D230" s="4">
        <v>3.6474000000000002</v>
      </c>
      <c r="E230" s="4">
        <v>10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7.55</v>
      </c>
      <c r="D231" s="4">
        <v>3.5762999999999998</v>
      </c>
      <c r="E231" s="4">
        <v>28</v>
      </c>
      <c r="F231" s="4"/>
      <c r="G231" s="4"/>
      <c r="H231" s="5">
        <f t="shared" si="3"/>
        <v>-1.9493337720019845E-2</v>
      </c>
    </row>
    <row r="232" spans="1:8" ht="13.5" x14ac:dyDescent="0.25">
      <c r="A232" s="1"/>
      <c r="B232" s="3">
        <v>42640</v>
      </c>
      <c r="C232" s="4">
        <v>7.55</v>
      </c>
      <c r="D232" s="4">
        <v>3.5762999999999998</v>
      </c>
      <c r="E232" s="4">
        <v>118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7.57</v>
      </c>
      <c r="D233" s="4">
        <v>3.5857999999999999</v>
      </c>
      <c r="E233" s="4">
        <v>554</v>
      </c>
      <c r="F233" s="4"/>
      <c r="G233" s="4"/>
      <c r="H233" s="5">
        <f t="shared" si="3"/>
        <v>2.6563767021782468E-3</v>
      </c>
    </row>
    <row r="234" spans="1:8" ht="13.5" x14ac:dyDescent="0.25">
      <c r="A234" s="1"/>
      <c r="B234" s="3">
        <v>42642</v>
      </c>
      <c r="C234" s="4">
        <v>7.5</v>
      </c>
      <c r="D234" s="4">
        <v>3.5526</v>
      </c>
      <c r="E234" s="4">
        <v>2180</v>
      </c>
      <c r="F234" s="4"/>
      <c r="G234" s="4"/>
      <c r="H234" s="5">
        <f t="shared" si="3"/>
        <v>-9.2587428188967303E-3</v>
      </c>
    </row>
    <row r="235" spans="1:8" ht="13.5" x14ac:dyDescent="0.25">
      <c r="A235" s="1"/>
      <c r="B235" s="3">
        <v>42643</v>
      </c>
      <c r="C235" s="4">
        <v>7.6</v>
      </c>
      <c r="D235" s="4">
        <v>3.6</v>
      </c>
      <c r="E235" s="4">
        <v>119</v>
      </c>
      <c r="F235" s="4"/>
      <c r="G235" s="4"/>
      <c r="H235" s="5">
        <f t="shared" si="3"/>
        <v>1.3342340820807326E-2</v>
      </c>
    </row>
    <row r="236" spans="1:8" ht="13.5" x14ac:dyDescent="0.25">
      <c r="A236" s="1"/>
      <c r="B236" s="3">
        <v>42647</v>
      </c>
      <c r="C236" s="4">
        <v>7.8</v>
      </c>
      <c r="D236" s="4">
        <v>3.6947000000000001</v>
      </c>
      <c r="E236" s="4">
        <v>233</v>
      </c>
      <c r="F236" s="4"/>
      <c r="G236" s="4"/>
      <c r="H236" s="5">
        <f t="shared" si="3"/>
        <v>2.6305555555555558E-2</v>
      </c>
    </row>
    <row r="237" spans="1:8" ht="13.5" x14ac:dyDescent="0.25">
      <c r="A237" s="1"/>
      <c r="B237" s="3">
        <v>42648</v>
      </c>
      <c r="C237" s="4">
        <v>7.8</v>
      </c>
      <c r="D237" s="4">
        <v>3.6947000000000001</v>
      </c>
      <c r="E237" s="4">
        <v>232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42649</v>
      </c>
      <c r="C238" s="4">
        <v>7.81</v>
      </c>
      <c r="D238" s="4">
        <v>3.6995</v>
      </c>
      <c r="E238" s="4">
        <v>271</v>
      </c>
      <c r="F238" s="4"/>
      <c r="G238" s="4"/>
      <c r="H238" s="5">
        <f t="shared" si="3"/>
        <v>1.2991582537147577E-3</v>
      </c>
    </row>
    <row r="239" spans="1:8" ht="13.5" x14ac:dyDescent="0.25">
      <c r="A239" s="1"/>
      <c r="B239" s="3">
        <v>42650</v>
      </c>
      <c r="C239" s="4">
        <v>7.65</v>
      </c>
      <c r="D239" s="4">
        <v>3.6236999999999999</v>
      </c>
      <c r="E239" s="4">
        <v>316</v>
      </c>
      <c r="F239" s="4"/>
      <c r="G239" s="4"/>
      <c r="H239" s="5">
        <f t="shared" si="3"/>
        <v>-2.0489255304770939E-2</v>
      </c>
    </row>
    <row r="240" spans="1:8" ht="13.5" x14ac:dyDescent="0.25">
      <c r="A240" s="1"/>
      <c r="B240" s="3">
        <v>42653</v>
      </c>
      <c r="C240" s="4">
        <v>7.65</v>
      </c>
      <c r="D240" s="4">
        <v>3.6236999999999999</v>
      </c>
      <c r="E240" s="4">
        <v>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7.79</v>
      </c>
      <c r="D241" s="4">
        <v>3.69</v>
      </c>
      <c r="E241" s="4">
        <v>785</v>
      </c>
      <c r="F241" s="4"/>
      <c r="G241" s="4"/>
      <c r="H241" s="5">
        <f t="shared" si="3"/>
        <v>1.8296216574219728E-2</v>
      </c>
    </row>
    <row r="242" spans="1:8" ht="13.5" x14ac:dyDescent="0.25">
      <c r="A242" s="1"/>
      <c r="B242" s="3">
        <v>42655</v>
      </c>
      <c r="C242" s="4">
        <v>7.8</v>
      </c>
      <c r="D242" s="4">
        <v>3.6947000000000001</v>
      </c>
      <c r="E242" s="4">
        <v>224</v>
      </c>
      <c r="F242" s="4"/>
      <c r="G242" s="4"/>
      <c r="H242" s="5">
        <f t="shared" si="3"/>
        <v>1.2737127371274116E-3</v>
      </c>
    </row>
    <row r="243" spans="1:8" ht="13.5" x14ac:dyDescent="0.25">
      <c r="A243" s="1"/>
      <c r="B243" s="3">
        <v>42656</v>
      </c>
      <c r="C243" s="4">
        <v>7.8</v>
      </c>
      <c r="D243" s="4">
        <v>3.6947000000000001</v>
      </c>
      <c r="E243" s="4">
        <v>1749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7.71</v>
      </c>
      <c r="D244" s="4">
        <v>3.6520999999999999</v>
      </c>
      <c r="E244" s="4">
        <v>500</v>
      </c>
      <c r="F244" s="4"/>
      <c r="G244" s="4"/>
      <c r="H244" s="5">
        <f t="shared" si="3"/>
        <v>-1.153002950171873E-2</v>
      </c>
    </row>
    <row r="245" spans="1:8" ht="13.5" x14ac:dyDescent="0.25">
      <c r="A245" s="1"/>
      <c r="B245" s="3">
        <v>42660</v>
      </c>
      <c r="C245" s="4">
        <v>7.71</v>
      </c>
      <c r="D245" s="4">
        <v>3.6520999999999999</v>
      </c>
      <c r="E245" s="4">
        <v>2051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7.89</v>
      </c>
      <c r="D246" s="4">
        <v>3.7374000000000001</v>
      </c>
      <c r="E246" s="4">
        <v>19</v>
      </c>
      <c r="F246" s="4"/>
      <c r="G246" s="4"/>
      <c r="H246" s="5">
        <f t="shared" si="3"/>
        <v>2.3356425070507423E-2</v>
      </c>
    </row>
    <row r="247" spans="1:8" ht="13.5" x14ac:dyDescent="0.25">
      <c r="A247" s="1"/>
      <c r="B247" s="3">
        <v>42662</v>
      </c>
      <c r="C247" s="4">
        <v>7.75</v>
      </c>
      <c r="D247" s="4">
        <v>3.6711</v>
      </c>
      <c r="E247" s="4">
        <v>276</v>
      </c>
      <c r="F247" s="4"/>
      <c r="G247" s="4"/>
      <c r="H247" s="5">
        <f t="shared" si="3"/>
        <v>-1.773960507304544E-2</v>
      </c>
    </row>
    <row r="248" spans="1:8" ht="13.5" x14ac:dyDescent="0.25">
      <c r="A248" s="1"/>
      <c r="B248" s="3">
        <v>42663</v>
      </c>
      <c r="C248" s="4">
        <v>7.77</v>
      </c>
      <c r="D248" s="4">
        <v>3.6804999999999999</v>
      </c>
      <c r="E248" s="4">
        <v>3101</v>
      </c>
      <c r="F248" s="4"/>
      <c r="G248" s="4"/>
      <c r="H248" s="5">
        <f t="shared" si="3"/>
        <v>2.5605404374710178E-3</v>
      </c>
    </row>
    <row r="249" spans="1:8" ht="13.5" x14ac:dyDescent="0.25">
      <c r="A249" s="1"/>
      <c r="B249" s="3">
        <v>42664</v>
      </c>
      <c r="C249" s="4">
        <v>7.77</v>
      </c>
      <c r="D249" s="4">
        <v>3.6804999999999999</v>
      </c>
      <c r="E249" s="4">
        <v>507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8</v>
      </c>
      <c r="D250" s="4">
        <v>3.7894999999999999</v>
      </c>
      <c r="E250" s="4">
        <v>114</v>
      </c>
      <c r="F250" s="4"/>
      <c r="G250" s="4"/>
      <c r="H250" s="5">
        <f t="shared" si="3"/>
        <v>2.9615541366662137E-2</v>
      </c>
    </row>
    <row r="251" spans="1:8" ht="13.5" x14ac:dyDescent="0.25">
      <c r="A251" s="1"/>
      <c r="B251" s="3">
        <v>42668</v>
      </c>
      <c r="C251" s="4">
        <v>8.15</v>
      </c>
      <c r="D251" s="4">
        <v>3.8605</v>
      </c>
      <c r="E251" s="4">
        <v>5</v>
      </c>
      <c r="F251" s="4"/>
      <c r="G251" s="4"/>
      <c r="H251" s="5">
        <f t="shared" si="3"/>
        <v>1.873598100013199E-2</v>
      </c>
    </row>
    <row r="252" spans="1:8" ht="13.5" x14ac:dyDescent="0.25">
      <c r="A252" s="1"/>
      <c r="B252" s="3">
        <v>42669</v>
      </c>
      <c r="C252" s="4">
        <v>8.15</v>
      </c>
      <c r="D252" s="4">
        <v>3.8605</v>
      </c>
      <c r="E252" s="4">
        <v>200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8.3000000000000007</v>
      </c>
      <c r="D253" s="4">
        <v>3.9316</v>
      </c>
      <c r="E253" s="4">
        <v>12579</v>
      </c>
      <c r="F253" s="4"/>
      <c r="G253" s="4"/>
      <c r="H253" s="5">
        <f t="shared" si="3"/>
        <v>1.8417303458101268E-2</v>
      </c>
    </row>
    <row r="254" spans="1:8" ht="13.5" x14ac:dyDescent="0.25">
      <c r="A254" s="1"/>
      <c r="B254" s="3">
        <v>42671</v>
      </c>
      <c r="C254" s="4">
        <v>8.1</v>
      </c>
      <c r="D254" s="4">
        <v>3.8369</v>
      </c>
      <c r="E254" s="4">
        <v>1904</v>
      </c>
      <c r="F254" s="4"/>
      <c r="G254" s="4"/>
      <c r="H254" s="5">
        <f t="shared" si="3"/>
        <v>-2.4086885746261066E-2</v>
      </c>
    </row>
    <row r="255" spans="1:8" ht="13.5" x14ac:dyDescent="0.25">
      <c r="A255" s="1"/>
      <c r="B255" s="3">
        <v>42674</v>
      </c>
      <c r="C255" s="4">
        <v>8.3000000000000007</v>
      </c>
      <c r="D255" s="4">
        <v>3.9316</v>
      </c>
      <c r="E255" s="4">
        <v>2198</v>
      </c>
      <c r="F255" s="4"/>
      <c r="G255" s="4"/>
      <c r="H255" s="5">
        <f t="shared" si="3"/>
        <v>2.4681383408480806E-2</v>
      </c>
    </row>
    <row r="256" spans="1:8" ht="13.5" x14ac:dyDescent="0.25">
      <c r="A256" s="1"/>
      <c r="B256" s="3">
        <v>42675</v>
      </c>
      <c r="C256" s="4">
        <v>8.59</v>
      </c>
      <c r="D256" s="4">
        <v>4.069</v>
      </c>
      <c r="E256" s="4">
        <v>484</v>
      </c>
      <c r="F256" s="4"/>
      <c r="G256" s="4"/>
      <c r="H256" s="5">
        <f t="shared" si="3"/>
        <v>3.4947604028894082E-2</v>
      </c>
    </row>
    <row r="257" spans="1:8" ht="13.5" x14ac:dyDescent="0.25">
      <c r="A257" s="1"/>
      <c r="B257" s="3">
        <v>42676</v>
      </c>
      <c r="C257" s="4">
        <v>8.8000000000000007</v>
      </c>
      <c r="D257" s="4">
        <v>4.1684000000000001</v>
      </c>
      <c r="E257" s="4">
        <v>7468</v>
      </c>
      <c r="F257" s="4"/>
      <c r="G257" s="4"/>
      <c r="H257" s="5">
        <f t="shared" si="3"/>
        <v>2.4428606537232774E-2</v>
      </c>
    </row>
    <row r="258" spans="1:8" ht="13.5" x14ac:dyDescent="0.25">
      <c r="A258" s="1"/>
      <c r="B258" s="3">
        <v>42677</v>
      </c>
      <c r="C258" s="4">
        <v>8.9</v>
      </c>
      <c r="D258" s="4">
        <v>4.2157999999999998</v>
      </c>
      <c r="E258" s="4">
        <v>11444</v>
      </c>
      <c r="F258" s="4"/>
      <c r="G258" s="4"/>
      <c r="H258" s="5">
        <f t="shared" si="3"/>
        <v>1.1371269551866342E-2</v>
      </c>
    </row>
    <row r="259" spans="1:8" ht="13.5" x14ac:dyDescent="0.25">
      <c r="A259" s="1"/>
      <c r="B259" s="3">
        <v>42678</v>
      </c>
      <c r="C259" s="4">
        <v>9</v>
      </c>
      <c r="D259" s="4">
        <v>4.2632000000000003</v>
      </c>
      <c r="E259" s="4">
        <v>1</v>
      </c>
      <c r="F259" s="4"/>
      <c r="G259" s="4"/>
      <c r="H259" s="5">
        <f t="shared" si="3"/>
        <v>1.1243417619431794E-2</v>
      </c>
    </row>
    <row r="260" spans="1:8" ht="13.5" x14ac:dyDescent="0.25">
      <c r="A260" s="1"/>
      <c r="B260" s="3">
        <v>42681</v>
      </c>
      <c r="C260" s="4">
        <v>9.27</v>
      </c>
      <c r="D260" s="4">
        <v>4.3910999999999998</v>
      </c>
      <c r="E260" s="4">
        <v>8766</v>
      </c>
      <c r="F260" s="4"/>
      <c r="G260" s="4"/>
      <c r="H260" s="5">
        <f t="shared" si="3"/>
        <v>3.0000938262338021E-2</v>
      </c>
    </row>
    <row r="261" spans="1:8" ht="13.5" x14ac:dyDescent="0.25">
      <c r="A261" s="1"/>
      <c r="B261" s="3">
        <v>42682</v>
      </c>
      <c r="C261" s="4">
        <v>9.27</v>
      </c>
      <c r="D261" s="4">
        <v>4.3910999999999998</v>
      </c>
      <c r="E261" s="4">
        <v>0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9.31</v>
      </c>
      <c r="D262" s="4">
        <v>4.41</v>
      </c>
      <c r="E262" s="4">
        <v>29905</v>
      </c>
      <c r="F262" s="4"/>
      <c r="G262" s="4"/>
      <c r="H262" s="5">
        <f t="shared" si="3"/>
        <v>4.3041606886657924E-3</v>
      </c>
    </row>
    <row r="263" spans="1:8" ht="13.5" x14ac:dyDescent="0.25">
      <c r="A263" s="1"/>
      <c r="B263" s="3">
        <v>42684</v>
      </c>
      <c r="C263" s="4">
        <v>9.31</v>
      </c>
      <c r="D263" s="4">
        <v>4.41</v>
      </c>
      <c r="E263" s="4">
        <v>301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9.3000000000000007</v>
      </c>
      <c r="D264" s="4">
        <v>4.4053000000000004</v>
      </c>
      <c r="E264" s="4">
        <v>50</v>
      </c>
      <c r="F264" s="4"/>
      <c r="G264" s="4"/>
      <c r="H264" s="5">
        <f t="shared" si="4"/>
        <v>-1.0657596371881416E-3</v>
      </c>
    </row>
    <row r="265" spans="1:8" ht="13.5" x14ac:dyDescent="0.25">
      <c r="A265" s="1"/>
      <c r="B265" s="3">
        <v>42688</v>
      </c>
      <c r="C265" s="4">
        <v>9.3000000000000007</v>
      </c>
      <c r="D265" s="4">
        <v>4.4053000000000004</v>
      </c>
      <c r="E265" s="4">
        <v>100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9.3000000000000007</v>
      </c>
      <c r="D266" s="4">
        <v>4.4053000000000004</v>
      </c>
      <c r="E266" s="4">
        <v>3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9.3000000000000007</v>
      </c>
      <c r="D267" s="4">
        <v>4.4053000000000004</v>
      </c>
      <c r="E267" s="4">
        <v>101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9.24</v>
      </c>
      <c r="D268" s="4">
        <v>4.3769</v>
      </c>
      <c r="E268" s="4">
        <v>5490</v>
      </c>
      <c r="F268" s="4"/>
      <c r="G268" s="4"/>
      <c r="H268" s="5">
        <f t="shared" si="4"/>
        <v>-6.4467800149820495E-3</v>
      </c>
    </row>
    <row r="269" spans="1:8" ht="13.5" x14ac:dyDescent="0.25">
      <c r="A269" s="1"/>
      <c r="B269" s="3">
        <v>42692</v>
      </c>
      <c r="C269" s="4">
        <v>9.3800000000000008</v>
      </c>
      <c r="D269" s="4">
        <v>4.4432</v>
      </c>
      <c r="E269" s="4">
        <v>6209</v>
      </c>
      <c r="F269" s="4"/>
      <c r="G269" s="4"/>
      <c r="H269" s="5">
        <f t="shared" si="4"/>
        <v>1.5147707281409222E-2</v>
      </c>
    </row>
    <row r="270" spans="1:8" ht="13.5" x14ac:dyDescent="0.25">
      <c r="A270" s="1"/>
      <c r="B270" s="3">
        <v>42695</v>
      </c>
      <c r="C270" s="4">
        <v>9.3800000000000008</v>
      </c>
      <c r="D270" s="4">
        <v>4.4432</v>
      </c>
      <c r="E270" s="4">
        <v>73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9.17</v>
      </c>
      <c r="D271" s="4">
        <v>4.3437000000000001</v>
      </c>
      <c r="E271" s="4">
        <v>11262</v>
      </c>
      <c r="F271" s="4"/>
      <c r="G271" s="4"/>
      <c r="H271" s="5">
        <f t="shared" si="4"/>
        <v>-2.2393770255671571E-2</v>
      </c>
    </row>
    <row r="272" spans="1:8" ht="13.5" x14ac:dyDescent="0.25">
      <c r="A272" s="1"/>
      <c r="B272" s="3">
        <v>42697</v>
      </c>
      <c r="C272" s="4">
        <v>9.14</v>
      </c>
      <c r="D272" s="4">
        <v>4.3295000000000003</v>
      </c>
      <c r="E272" s="4">
        <v>5239</v>
      </c>
      <c r="F272" s="4"/>
      <c r="G272" s="4"/>
      <c r="H272" s="5">
        <f t="shared" si="4"/>
        <v>-3.2691023781568174E-3</v>
      </c>
    </row>
    <row r="273" spans="1:8" ht="13.5" x14ac:dyDescent="0.25">
      <c r="A273" s="1"/>
      <c r="B273" s="3">
        <v>42698</v>
      </c>
      <c r="C273" s="4">
        <v>9.14</v>
      </c>
      <c r="D273" s="4">
        <v>4.3295000000000003</v>
      </c>
      <c r="E273" s="4">
        <v>0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9.1300000000000008</v>
      </c>
      <c r="D274" s="4">
        <v>4.3247</v>
      </c>
      <c r="E274" s="4">
        <v>2763</v>
      </c>
      <c r="F274" s="4"/>
      <c r="G274" s="4"/>
      <c r="H274" s="5">
        <f t="shared" si="4"/>
        <v>-1.108673056935064E-3</v>
      </c>
    </row>
    <row r="275" spans="1:8" ht="13.5" x14ac:dyDescent="0.25">
      <c r="A275" s="1"/>
      <c r="B275" s="3">
        <v>42702</v>
      </c>
      <c r="C275" s="4">
        <v>8.9</v>
      </c>
      <c r="D275" s="4">
        <v>4.2157999999999998</v>
      </c>
      <c r="E275" s="4">
        <v>714</v>
      </c>
      <c r="F275" s="4"/>
      <c r="G275" s="4"/>
      <c r="H275" s="5">
        <f t="shared" si="4"/>
        <v>-2.5180937406062899E-2</v>
      </c>
    </row>
    <row r="276" spans="1:8" ht="13.5" x14ac:dyDescent="0.25">
      <c r="A276" s="1"/>
      <c r="B276" s="3">
        <v>42703</v>
      </c>
      <c r="C276" s="4">
        <v>9.15</v>
      </c>
      <c r="D276" s="4">
        <v>4.3342000000000001</v>
      </c>
      <c r="E276" s="4">
        <v>12847</v>
      </c>
      <c r="F276" s="4"/>
      <c r="G276" s="4"/>
      <c r="H276" s="5">
        <f t="shared" si="4"/>
        <v>2.808482375824287E-2</v>
      </c>
    </row>
    <row r="277" spans="1:8" ht="13.5" x14ac:dyDescent="0.25">
      <c r="A277" s="1"/>
      <c r="B277" s="3">
        <v>42704</v>
      </c>
      <c r="C277" s="4">
        <v>8.92</v>
      </c>
      <c r="D277" s="4">
        <v>4.2252999999999998</v>
      </c>
      <c r="E277" s="4">
        <v>100</v>
      </c>
      <c r="F277" s="4"/>
      <c r="G277" s="4"/>
      <c r="H277" s="5">
        <f t="shared" si="4"/>
        <v>-2.5125744081952891E-2</v>
      </c>
    </row>
    <row r="278" spans="1:8" ht="13.5" x14ac:dyDescent="0.25">
      <c r="A278" s="1"/>
      <c r="B278" s="3">
        <v>42705</v>
      </c>
      <c r="C278" s="4">
        <v>9</v>
      </c>
      <c r="D278" s="4">
        <v>4.2632000000000003</v>
      </c>
      <c r="E278" s="4">
        <v>980</v>
      </c>
      <c r="F278" s="4"/>
      <c r="G278" s="4"/>
      <c r="H278" s="5">
        <f t="shared" si="4"/>
        <v>8.969777293920074E-3</v>
      </c>
    </row>
    <row r="279" spans="1:8" ht="13.5" x14ac:dyDescent="0.25">
      <c r="A279" s="1"/>
      <c r="B279" s="3">
        <v>42706</v>
      </c>
      <c r="C279" s="4">
        <v>9</v>
      </c>
      <c r="D279" s="4">
        <v>4.2632000000000003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8.85</v>
      </c>
      <c r="D280" s="4">
        <v>4.1920999999999999</v>
      </c>
      <c r="E280" s="4">
        <v>4309</v>
      </c>
      <c r="F280" s="4"/>
      <c r="G280" s="4"/>
      <c r="H280" s="5">
        <f t="shared" si="4"/>
        <v>-1.6677613060611836E-2</v>
      </c>
    </row>
    <row r="281" spans="1:8" ht="13.5" x14ac:dyDescent="0.25">
      <c r="A281" s="1"/>
      <c r="B281" s="3">
        <v>42710</v>
      </c>
      <c r="C281" s="4">
        <v>8.85</v>
      </c>
      <c r="D281" s="4">
        <v>4.1920999999999999</v>
      </c>
      <c r="E281" s="4">
        <v>0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8.85</v>
      </c>
      <c r="D282" s="4">
        <v>4.1920999999999999</v>
      </c>
      <c r="E282" s="4">
        <v>1076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8.82</v>
      </c>
      <c r="D283" s="4">
        <v>4.1779000000000002</v>
      </c>
      <c r="E283" s="4">
        <v>42</v>
      </c>
      <c r="F283" s="4"/>
      <c r="G283" s="4"/>
      <c r="H283" s="5">
        <f t="shared" si="4"/>
        <v>-3.3873237756732351E-3</v>
      </c>
    </row>
    <row r="284" spans="1:8" ht="13.5" x14ac:dyDescent="0.25">
      <c r="A284" s="1"/>
      <c r="B284" s="3">
        <v>42713</v>
      </c>
      <c r="C284" s="4">
        <v>8.83</v>
      </c>
      <c r="D284" s="4">
        <v>4.1825999999999999</v>
      </c>
      <c r="E284" s="4">
        <v>487</v>
      </c>
      <c r="F284" s="4"/>
      <c r="G284" s="4"/>
      <c r="H284" s="5">
        <f t="shared" si="4"/>
        <v>1.1249670887287164E-3</v>
      </c>
    </row>
    <row r="285" spans="1:8" ht="13.5" x14ac:dyDescent="0.25">
      <c r="A285" s="1"/>
      <c r="B285" s="3">
        <v>42717</v>
      </c>
      <c r="C285" s="4">
        <v>8.85</v>
      </c>
      <c r="D285" s="4">
        <v>4.1920999999999999</v>
      </c>
      <c r="E285" s="4">
        <v>1342</v>
      </c>
      <c r="F285" s="4"/>
      <c r="G285" s="4"/>
      <c r="H285" s="5">
        <f t="shared" si="4"/>
        <v>2.2713144933773403E-3</v>
      </c>
    </row>
    <row r="286" spans="1:8" ht="13.5" x14ac:dyDescent="0.25">
      <c r="A286" s="1"/>
      <c r="B286" s="3">
        <v>42718</v>
      </c>
      <c r="C286" s="4">
        <v>8.99</v>
      </c>
      <c r="D286" s="4">
        <v>4.2584</v>
      </c>
      <c r="E286" s="4">
        <v>1792</v>
      </c>
      <c r="F286" s="4"/>
      <c r="G286" s="4"/>
      <c r="H286" s="5">
        <f t="shared" si="4"/>
        <v>1.5815462417404173E-2</v>
      </c>
    </row>
    <row r="287" spans="1:8" ht="13.5" x14ac:dyDescent="0.25">
      <c r="A287" s="1"/>
      <c r="B287" s="3">
        <v>42719</v>
      </c>
      <c r="C287" s="4">
        <v>8.85</v>
      </c>
      <c r="D287" s="4">
        <v>4.1920999999999999</v>
      </c>
      <c r="E287" s="4">
        <v>3104</v>
      </c>
      <c r="F287" s="4"/>
      <c r="G287" s="4"/>
      <c r="H287" s="5">
        <f t="shared" si="4"/>
        <v>-1.55692278790156E-2</v>
      </c>
    </row>
    <row r="288" spans="1:8" ht="13.5" x14ac:dyDescent="0.25">
      <c r="A288" s="1"/>
      <c r="B288" s="3">
        <v>42720</v>
      </c>
      <c r="C288" s="4">
        <v>9</v>
      </c>
      <c r="D288" s="4">
        <v>4.2632000000000003</v>
      </c>
      <c r="E288" s="4">
        <v>593</v>
      </c>
      <c r="F288" s="4"/>
      <c r="G288" s="4"/>
      <c r="H288" s="5">
        <f t="shared" si="4"/>
        <v>1.6960473271152975E-2</v>
      </c>
    </row>
    <row r="289" spans="1:8" ht="13.5" x14ac:dyDescent="0.25">
      <c r="A289" s="1"/>
      <c r="B289" s="3">
        <v>42723</v>
      </c>
      <c r="C289" s="4">
        <v>8.82</v>
      </c>
      <c r="D289" s="4">
        <v>4.1779000000000002</v>
      </c>
      <c r="E289" s="4">
        <v>166</v>
      </c>
      <c r="F289" s="4"/>
      <c r="G289" s="4"/>
      <c r="H289" s="5">
        <f t="shared" si="4"/>
        <v>-2.0008444361043383E-2</v>
      </c>
    </row>
    <row r="290" spans="1:8" ht="13.5" x14ac:dyDescent="0.25">
      <c r="A290" s="1"/>
      <c r="B290" s="3">
        <v>42724</v>
      </c>
      <c r="C290" s="4">
        <v>8.82</v>
      </c>
      <c r="D290" s="4">
        <v>4.1779000000000002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8.98</v>
      </c>
      <c r="D291" s="4">
        <v>4.2537000000000003</v>
      </c>
      <c r="E291" s="4">
        <v>3761</v>
      </c>
      <c r="F291" s="4"/>
      <c r="G291" s="4"/>
      <c r="H291" s="5">
        <f t="shared" si="4"/>
        <v>1.8143086239498334E-2</v>
      </c>
    </row>
    <row r="292" spans="1:8" ht="13.5" x14ac:dyDescent="0.25">
      <c r="A292" s="1"/>
      <c r="B292" s="3">
        <v>42726</v>
      </c>
      <c r="C292" s="4">
        <v>8.8000000000000007</v>
      </c>
      <c r="D292" s="4">
        <v>4.1684000000000001</v>
      </c>
      <c r="E292" s="4">
        <v>9190</v>
      </c>
      <c r="F292" s="4"/>
      <c r="G292" s="4"/>
      <c r="H292" s="5">
        <f t="shared" si="4"/>
        <v>-2.0053130216047241E-2</v>
      </c>
    </row>
    <row r="293" spans="1:8" ht="13.5" x14ac:dyDescent="0.25">
      <c r="A293" s="1"/>
      <c r="B293" s="3">
        <v>42727</v>
      </c>
      <c r="C293" s="4">
        <v>8.75</v>
      </c>
      <c r="D293" s="4">
        <v>4.1447000000000003</v>
      </c>
      <c r="E293" s="4">
        <v>3019</v>
      </c>
      <c r="F293" s="4"/>
      <c r="G293" s="4"/>
      <c r="H293" s="5">
        <f t="shared" si="4"/>
        <v>-5.6856347759331712E-3</v>
      </c>
    </row>
    <row r="294" spans="1:8" ht="13.5" x14ac:dyDescent="0.25">
      <c r="A294" s="1"/>
      <c r="B294" s="3">
        <v>42730</v>
      </c>
      <c r="C294" s="4">
        <v>8.89</v>
      </c>
      <c r="D294" s="4">
        <v>4.2111000000000001</v>
      </c>
      <c r="E294" s="4">
        <v>489</v>
      </c>
      <c r="F294" s="4"/>
      <c r="G294" s="4"/>
      <c r="H294" s="5">
        <f t="shared" si="4"/>
        <v>1.6020459864405093E-2</v>
      </c>
    </row>
    <row r="295" spans="1:8" ht="13.5" x14ac:dyDescent="0.25">
      <c r="A295" s="1"/>
      <c r="B295" s="3">
        <v>42731</v>
      </c>
      <c r="C295" s="4">
        <v>8.99</v>
      </c>
      <c r="D295" s="4">
        <v>4.2584</v>
      </c>
      <c r="E295" s="4">
        <v>4832</v>
      </c>
      <c r="F295" s="4"/>
      <c r="G295" s="4"/>
      <c r="H295" s="5">
        <f t="shared" si="4"/>
        <v>1.1232219610078103E-2</v>
      </c>
    </row>
    <row r="296" spans="1:8" ht="13.5" x14ac:dyDescent="0.25">
      <c r="A296" s="1"/>
      <c r="B296" s="3">
        <v>42732</v>
      </c>
      <c r="C296" s="4">
        <v>8.76</v>
      </c>
      <c r="D296" s="4">
        <v>4.1494999999999997</v>
      </c>
      <c r="E296" s="4">
        <v>1237</v>
      </c>
      <c r="F296" s="4"/>
      <c r="G296" s="4"/>
      <c r="H296" s="5">
        <f t="shared" si="4"/>
        <v>-2.5572985158745121E-2</v>
      </c>
    </row>
    <row r="297" spans="1:8" ht="13.5" x14ac:dyDescent="0.25">
      <c r="A297" s="1"/>
      <c r="B297" s="3">
        <v>42733</v>
      </c>
      <c r="C297" s="4">
        <v>8.76</v>
      </c>
      <c r="D297" s="4">
        <v>4.1494999999999997</v>
      </c>
      <c r="E297" s="4">
        <v>0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8.84</v>
      </c>
      <c r="D298" s="4">
        <v>4.1874000000000002</v>
      </c>
      <c r="E298" s="4">
        <v>4587</v>
      </c>
      <c r="F298" s="4"/>
      <c r="G298" s="4"/>
      <c r="H298" s="5">
        <f t="shared" si="4"/>
        <v>9.1336305578986598E-3</v>
      </c>
    </row>
    <row r="299" spans="1:8" ht="13.5" x14ac:dyDescent="0.25">
      <c r="A299" s="1"/>
      <c r="B299" s="3">
        <v>42737</v>
      </c>
      <c r="C299" s="4">
        <v>8.77</v>
      </c>
      <c r="D299" s="4">
        <v>4.1542000000000003</v>
      </c>
      <c r="E299" s="4">
        <v>100</v>
      </c>
      <c r="F299" s="4"/>
      <c r="G299" s="4"/>
      <c r="H299" s="5">
        <f t="shared" si="4"/>
        <v>-7.9285475474040919E-3</v>
      </c>
    </row>
    <row r="300" spans="1:8" ht="13.5" x14ac:dyDescent="0.25">
      <c r="A300" s="1"/>
      <c r="B300" s="3">
        <v>42738</v>
      </c>
      <c r="C300" s="4">
        <v>8.92</v>
      </c>
      <c r="D300" s="4">
        <v>4.2252999999999998</v>
      </c>
      <c r="E300" s="4">
        <v>1757</v>
      </c>
      <c r="F300" s="4"/>
      <c r="G300" s="4"/>
      <c r="H300" s="5">
        <f t="shared" si="4"/>
        <v>1.7115208704443573E-2</v>
      </c>
    </row>
    <row r="301" spans="1:8" ht="13.5" x14ac:dyDescent="0.25">
      <c r="A301" s="1"/>
      <c r="B301" s="3">
        <v>42739</v>
      </c>
      <c r="C301" s="4">
        <v>8.8800000000000008</v>
      </c>
      <c r="D301" s="4">
        <v>4.2062999999999997</v>
      </c>
      <c r="E301" s="4">
        <v>3516</v>
      </c>
      <c r="F301" s="4"/>
      <c r="G301" s="4"/>
      <c r="H301" s="5">
        <f t="shared" si="4"/>
        <v>-4.4967221262395872E-3</v>
      </c>
    </row>
    <row r="302" spans="1:8" ht="13.5" x14ac:dyDescent="0.25">
      <c r="A302" s="1"/>
      <c r="B302" s="3">
        <v>42740</v>
      </c>
      <c r="C302" s="4">
        <v>8.74</v>
      </c>
      <c r="D302" s="4">
        <v>4.1399999999999997</v>
      </c>
      <c r="E302" s="4">
        <v>1514</v>
      </c>
      <c r="F302" s="4"/>
      <c r="G302" s="4"/>
      <c r="H302" s="5">
        <f t="shared" si="4"/>
        <v>-1.5762071178945875E-2</v>
      </c>
    </row>
    <row r="303" spans="1:8" ht="13.5" x14ac:dyDescent="0.25">
      <c r="A303" s="1"/>
      <c r="B303" s="3">
        <v>42741</v>
      </c>
      <c r="C303" s="4">
        <v>8.73</v>
      </c>
      <c r="D303" s="4">
        <v>4.1353</v>
      </c>
      <c r="E303" s="4">
        <v>8396</v>
      </c>
      <c r="F303" s="4"/>
      <c r="G303" s="4"/>
      <c r="H303" s="5">
        <f t="shared" si="4"/>
        <v>-1.1352657004830204E-3</v>
      </c>
    </row>
    <row r="304" spans="1:8" ht="13.5" x14ac:dyDescent="0.25">
      <c r="A304" s="1"/>
      <c r="B304" s="3">
        <v>42744</v>
      </c>
      <c r="C304" s="4">
        <v>8.6999999999999993</v>
      </c>
      <c r="D304" s="4">
        <v>4.1211000000000002</v>
      </c>
      <c r="E304" s="4">
        <v>9891</v>
      </c>
      <c r="F304" s="4"/>
      <c r="G304" s="4"/>
      <c r="H304" s="5">
        <f t="shared" si="4"/>
        <v>-3.4338500229728845E-3</v>
      </c>
    </row>
    <row r="305" spans="1:8" ht="13.5" x14ac:dyDescent="0.25">
      <c r="A305" s="1"/>
      <c r="B305" s="3">
        <v>42745</v>
      </c>
      <c r="C305" s="4">
        <v>8.6999999999999993</v>
      </c>
      <c r="D305" s="4">
        <v>4.1211000000000002</v>
      </c>
      <c r="E305" s="4">
        <v>3341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8.6999999999999993</v>
      </c>
      <c r="D306" s="4">
        <v>4.1211000000000002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8.6</v>
      </c>
      <c r="D307" s="4">
        <v>4.0736999999999997</v>
      </c>
      <c r="E307" s="4">
        <v>585</v>
      </c>
      <c r="F307" s="4"/>
      <c r="G307" s="4"/>
      <c r="H307" s="5">
        <f t="shared" si="4"/>
        <v>-1.1501783504404298E-2</v>
      </c>
    </row>
    <row r="308" spans="1:8" ht="13.5" x14ac:dyDescent="0.25">
      <c r="A308" s="1"/>
      <c r="B308" s="3">
        <v>42748</v>
      </c>
      <c r="C308" s="4">
        <v>8.75</v>
      </c>
      <c r="D308" s="4">
        <v>4.1447000000000003</v>
      </c>
      <c r="E308" s="4">
        <v>10</v>
      </c>
      <c r="F308" s="4"/>
      <c r="G308" s="4"/>
      <c r="H308" s="5">
        <f t="shared" si="4"/>
        <v>1.7428873014704232E-2</v>
      </c>
    </row>
    <row r="309" spans="1:8" ht="13.5" x14ac:dyDescent="0.25">
      <c r="A309" s="1"/>
      <c r="B309" s="3">
        <v>42751</v>
      </c>
      <c r="C309" s="4">
        <v>8.75</v>
      </c>
      <c r="D309" s="4">
        <v>4.1447000000000003</v>
      </c>
      <c r="E309" s="4">
        <v>200</v>
      </c>
      <c r="F309" s="4"/>
      <c r="G309" s="4"/>
      <c r="H309" s="5">
        <f t="shared" si="4"/>
        <v>0</v>
      </c>
    </row>
    <row r="310" spans="1:8" ht="13.5" x14ac:dyDescent="0.25">
      <c r="A310" s="1"/>
      <c r="B310" s="3">
        <v>42752</v>
      </c>
      <c r="C310" s="4">
        <v>8.75</v>
      </c>
      <c r="D310" s="4">
        <v>4.1447000000000003</v>
      </c>
      <c r="E310" s="4">
        <v>621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8.75</v>
      </c>
      <c r="D311" s="4">
        <v>4.1447000000000003</v>
      </c>
      <c r="E311" s="4">
        <v>559</v>
      </c>
      <c r="F311" s="4"/>
      <c r="G311" s="4"/>
      <c r="H311" s="5">
        <f t="shared" si="4"/>
        <v>0</v>
      </c>
    </row>
    <row r="312" spans="1:8" ht="13.5" x14ac:dyDescent="0.25">
      <c r="A312" s="1"/>
      <c r="B312" s="3">
        <v>42754</v>
      </c>
      <c r="C312" s="4">
        <v>8.5</v>
      </c>
      <c r="D312" s="4">
        <v>4.0263</v>
      </c>
      <c r="E312" s="4">
        <v>9714</v>
      </c>
      <c r="F312" s="4"/>
      <c r="G312" s="4"/>
      <c r="H312" s="5">
        <f t="shared" si="4"/>
        <v>-2.8566603131710444E-2</v>
      </c>
    </row>
    <row r="313" spans="1:8" ht="13.5" x14ac:dyDescent="0.25">
      <c r="A313" s="1"/>
      <c r="B313" s="3">
        <v>42755</v>
      </c>
      <c r="C313" s="4">
        <v>8.74</v>
      </c>
      <c r="D313" s="4">
        <v>4.1399999999999997</v>
      </c>
      <c r="E313" s="4">
        <v>620</v>
      </c>
      <c r="F313" s="4"/>
      <c r="G313" s="4"/>
      <c r="H313" s="5">
        <f t="shared" si="4"/>
        <v>2.8239326428731015E-2</v>
      </c>
    </row>
    <row r="314" spans="1:8" ht="13.5" x14ac:dyDescent="0.25">
      <c r="A314" s="1"/>
      <c r="B314" s="3">
        <v>42758</v>
      </c>
      <c r="C314" s="4">
        <v>8.6999999999999993</v>
      </c>
      <c r="D314" s="4">
        <v>4.1211000000000002</v>
      </c>
      <c r="E314" s="4">
        <v>2099</v>
      </c>
      <c r="F314" s="4"/>
      <c r="G314" s="4"/>
      <c r="H314" s="5">
        <f t="shared" si="4"/>
        <v>-4.5652173913042207E-3</v>
      </c>
    </row>
    <row r="315" spans="1:8" ht="13.5" x14ac:dyDescent="0.25">
      <c r="A315" s="1"/>
      <c r="B315" s="3">
        <v>42759</v>
      </c>
      <c r="C315" s="4">
        <v>8.7200000000000006</v>
      </c>
      <c r="D315" s="4">
        <v>4.1304999999999996</v>
      </c>
      <c r="E315" s="4">
        <v>3450</v>
      </c>
      <c r="F315" s="4"/>
      <c r="G315" s="4"/>
      <c r="H315" s="5">
        <f t="shared" si="4"/>
        <v>2.2809444080462518E-3</v>
      </c>
    </row>
    <row r="316" spans="1:8" ht="13.5" x14ac:dyDescent="0.25">
      <c r="A316" s="1"/>
      <c r="B316" s="3">
        <v>42760</v>
      </c>
      <c r="C316" s="4">
        <v>8.6999999999999993</v>
      </c>
      <c r="D316" s="4">
        <v>4.1211000000000002</v>
      </c>
      <c r="E316" s="4">
        <v>318</v>
      </c>
      <c r="F316" s="4"/>
      <c r="G316" s="4"/>
      <c r="H316" s="5">
        <f t="shared" si="4"/>
        <v>-2.2757535407334243E-3</v>
      </c>
    </row>
    <row r="317" spans="1:8" ht="13.5" x14ac:dyDescent="0.25">
      <c r="A317" s="1"/>
      <c r="B317" s="3">
        <v>42761</v>
      </c>
      <c r="C317" s="4">
        <v>8.6999999999999993</v>
      </c>
      <c r="D317" s="4">
        <v>4.1211000000000002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8.5500000000000007</v>
      </c>
      <c r="D318" s="4">
        <v>4.05</v>
      </c>
      <c r="E318" s="4">
        <v>242</v>
      </c>
      <c r="F318" s="4"/>
      <c r="G318" s="4"/>
      <c r="H318" s="5">
        <f t="shared" si="4"/>
        <v>-1.7252675256606339E-2</v>
      </c>
    </row>
    <row r="319" spans="1:8" ht="13.5" x14ac:dyDescent="0.25">
      <c r="A319" s="1"/>
      <c r="B319" s="3">
        <v>42765</v>
      </c>
      <c r="C319" s="4">
        <v>8.5500000000000007</v>
      </c>
      <c r="D319" s="4">
        <v>4.05</v>
      </c>
      <c r="E319" s="4">
        <v>0</v>
      </c>
      <c r="F319" s="4"/>
      <c r="G319" s="4"/>
      <c r="H319" s="5">
        <f t="shared" si="4"/>
        <v>0</v>
      </c>
    </row>
    <row r="320" spans="1:8" ht="13.5" x14ac:dyDescent="0.25">
      <c r="A320" s="1"/>
      <c r="B320" s="3">
        <v>42766</v>
      </c>
      <c r="C320" s="4">
        <v>8.4499999999999993</v>
      </c>
      <c r="D320" s="4">
        <v>4.0026000000000002</v>
      </c>
      <c r="E320" s="4">
        <v>8821</v>
      </c>
      <c r="F320" s="4"/>
      <c r="G320" s="4"/>
      <c r="H320" s="5">
        <f t="shared" si="4"/>
        <v>-1.1703703703703621E-2</v>
      </c>
    </row>
    <row r="321" spans="1:8" ht="13.5" x14ac:dyDescent="0.25">
      <c r="A321" s="1"/>
      <c r="B321" s="3">
        <v>42767</v>
      </c>
      <c r="C321" s="4">
        <v>8.36</v>
      </c>
      <c r="D321" s="4">
        <v>3.96</v>
      </c>
      <c r="E321" s="4">
        <v>1158</v>
      </c>
      <c r="F321" s="4"/>
      <c r="G321" s="4"/>
      <c r="H321" s="5">
        <f t="shared" si="4"/>
        <v>-1.0643081996702192E-2</v>
      </c>
    </row>
    <row r="322" spans="1:8" ht="13.5" x14ac:dyDescent="0.25">
      <c r="A322" s="1"/>
      <c r="B322" s="3">
        <v>42768</v>
      </c>
      <c r="C322" s="4">
        <v>8.3699999999999992</v>
      </c>
      <c r="D322" s="4">
        <v>3.9647000000000001</v>
      </c>
      <c r="E322" s="4">
        <v>700</v>
      </c>
      <c r="F322" s="4"/>
      <c r="G322" s="4"/>
      <c r="H322" s="5">
        <f t="shared" si="4"/>
        <v>1.1868686868687244E-3</v>
      </c>
    </row>
    <row r="323" spans="1:8" ht="13.5" x14ac:dyDescent="0.25">
      <c r="A323" s="1"/>
      <c r="B323" s="3">
        <v>42769</v>
      </c>
      <c r="C323" s="4">
        <v>8.4</v>
      </c>
      <c r="D323" s="4">
        <v>3.9790000000000001</v>
      </c>
      <c r="E323" s="4">
        <v>1942</v>
      </c>
      <c r="F323" s="4"/>
      <c r="G323" s="4"/>
      <c r="H323" s="5">
        <f t="shared" si="4"/>
        <v>3.6068302771962517E-3</v>
      </c>
    </row>
    <row r="324" spans="1:8" ht="13.5" x14ac:dyDescent="0.25">
      <c r="A324" s="1"/>
      <c r="B324" s="3">
        <v>42772</v>
      </c>
      <c r="C324" s="4">
        <v>8.65</v>
      </c>
      <c r="D324" s="4">
        <v>4.0974000000000004</v>
      </c>
      <c r="E324" s="4">
        <v>100</v>
      </c>
      <c r="F324" s="4"/>
      <c r="G324" s="4"/>
      <c r="H324" s="5">
        <f t="shared" si="4"/>
        <v>2.9756220155818115E-2</v>
      </c>
    </row>
    <row r="325" spans="1:8" ht="13.5" x14ac:dyDescent="0.25">
      <c r="A325" s="1"/>
      <c r="B325" s="3">
        <v>42773</v>
      </c>
      <c r="C325" s="4">
        <v>8.4</v>
      </c>
      <c r="D325" s="4">
        <v>3.9790000000000001</v>
      </c>
      <c r="E325" s="4">
        <v>573</v>
      </c>
      <c r="F325" s="4"/>
      <c r="G325" s="4"/>
      <c r="H325" s="5">
        <f t="shared" si="4"/>
        <v>-2.8896373309903908E-2</v>
      </c>
    </row>
    <row r="326" spans="1:8" ht="13.5" x14ac:dyDescent="0.25">
      <c r="A326" s="1"/>
      <c r="B326" s="3">
        <v>42774</v>
      </c>
      <c r="C326" s="4">
        <v>8.6</v>
      </c>
      <c r="D326" s="4">
        <v>4.0736999999999997</v>
      </c>
      <c r="E326" s="4">
        <v>238</v>
      </c>
      <c r="F326" s="4"/>
      <c r="G326" s="4"/>
      <c r="H326" s="5">
        <f t="shared" si="4"/>
        <v>2.379994973611449E-2</v>
      </c>
    </row>
    <row r="327" spans="1:8" ht="13.5" x14ac:dyDescent="0.25">
      <c r="A327" s="1"/>
      <c r="B327" s="3">
        <v>42775</v>
      </c>
      <c r="C327" s="4">
        <v>8.4</v>
      </c>
      <c r="D327" s="4">
        <v>3.9790000000000001</v>
      </c>
      <c r="E327" s="4">
        <v>1671</v>
      </c>
      <c r="F327" s="4"/>
      <c r="G327" s="4"/>
      <c r="H327" s="5">
        <f t="shared" ref="H327:H390" si="5">(D327-D326)/D326</f>
        <v>-2.3246679922429136E-2</v>
      </c>
    </row>
    <row r="328" spans="1:8" ht="13.5" x14ac:dyDescent="0.25">
      <c r="A328" s="1"/>
      <c r="B328" s="3">
        <v>42776</v>
      </c>
      <c r="C328" s="4">
        <v>8.3800000000000008</v>
      </c>
      <c r="D328" s="4">
        <v>3.9695</v>
      </c>
      <c r="E328" s="4">
        <v>320</v>
      </c>
      <c r="F328" s="4"/>
      <c r="G328" s="4"/>
      <c r="H328" s="5">
        <f t="shared" si="5"/>
        <v>-2.3875345564212274E-3</v>
      </c>
    </row>
    <row r="329" spans="1:8" ht="13.5" x14ac:dyDescent="0.25">
      <c r="A329" s="1"/>
      <c r="B329" s="3">
        <v>42779</v>
      </c>
      <c r="C329" s="4">
        <v>8.5</v>
      </c>
      <c r="D329" s="4">
        <v>4.0263</v>
      </c>
      <c r="E329" s="4">
        <v>189</v>
      </c>
      <c r="F329" s="4"/>
      <c r="G329" s="4"/>
      <c r="H329" s="5">
        <f t="shared" si="5"/>
        <v>1.4309106940420698E-2</v>
      </c>
    </row>
    <row r="330" spans="1:8" ht="13.5" x14ac:dyDescent="0.25">
      <c r="A330" s="1"/>
      <c r="B330" s="3">
        <v>42780</v>
      </c>
      <c r="C330" s="4">
        <v>8.5</v>
      </c>
      <c r="D330" s="4">
        <v>4.0263</v>
      </c>
      <c r="E330" s="4">
        <v>189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8.26</v>
      </c>
      <c r="D331" s="4">
        <v>3.9125999999999999</v>
      </c>
      <c r="E331" s="4">
        <v>915</v>
      </c>
      <c r="F331" s="4"/>
      <c r="G331" s="4"/>
      <c r="H331" s="5">
        <f t="shared" si="5"/>
        <v>-2.8239326428731126E-2</v>
      </c>
    </row>
    <row r="332" spans="1:8" ht="13.5" x14ac:dyDescent="0.25">
      <c r="A332" s="1"/>
      <c r="B332" s="3">
        <v>42782</v>
      </c>
      <c r="C332" s="4">
        <v>8.26</v>
      </c>
      <c r="D332" s="4">
        <v>3.9125999999999999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8.2100000000000009</v>
      </c>
      <c r="D333" s="4">
        <v>3.8889999999999998</v>
      </c>
      <c r="E333" s="4">
        <v>200</v>
      </c>
      <c r="F333" s="4"/>
      <c r="G333" s="4"/>
      <c r="H333" s="5">
        <f t="shared" si="5"/>
        <v>-6.0317947145121058E-3</v>
      </c>
    </row>
    <row r="334" spans="1:8" ht="13.5" x14ac:dyDescent="0.25">
      <c r="A334" s="1"/>
      <c r="B334" s="3">
        <v>42786</v>
      </c>
      <c r="C334" s="4">
        <v>8</v>
      </c>
      <c r="D334" s="4">
        <v>3.7894999999999999</v>
      </c>
      <c r="E334" s="4">
        <v>2825</v>
      </c>
      <c r="F334" s="4"/>
      <c r="G334" s="4"/>
      <c r="H334" s="5">
        <f t="shared" si="5"/>
        <v>-2.5584983286191805E-2</v>
      </c>
    </row>
    <row r="335" spans="1:8" ht="13.5" x14ac:dyDescent="0.25">
      <c r="A335" s="1"/>
      <c r="B335" s="3">
        <v>42787</v>
      </c>
      <c r="C335" s="4">
        <v>8.1999999999999993</v>
      </c>
      <c r="D335" s="4">
        <v>3.8841999999999999</v>
      </c>
      <c r="E335" s="4">
        <v>126</v>
      </c>
      <c r="F335" s="4"/>
      <c r="G335" s="4"/>
      <c r="H335" s="5">
        <f t="shared" si="5"/>
        <v>2.4990104235387257E-2</v>
      </c>
    </row>
    <row r="336" spans="1:8" ht="13.5" x14ac:dyDescent="0.25">
      <c r="A336" s="1"/>
      <c r="B336" s="3">
        <v>42788</v>
      </c>
      <c r="C336" s="4">
        <v>8.3000000000000007</v>
      </c>
      <c r="D336" s="4">
        <v>3.9316</v>
      </c>
      <c r="E336" s="4">
        <v>400</v>
      </c>
      <c r="F336" s="4"/>
      <c r="G336" s="4"/>
      <c r="H336" s="5">
        <f t="shared" si="5"/>
        <v>1.2203285103753698E-2</v>
      </c>
    </row>
    <row r="337" spans="1:8" ht="13.5" x14ac:dyDescent="0.25">
      <c r="A337" s="1"/>
      <c r="B337" s="3">
        <v>42789</v>
      </c>
      <c r="C337" s="4">
        <v>8.15</v>
      </c>
      <c r="D337" s="4">
        <v>3.8605</v>
      </c>
      <c r="E337" s="4">
        <v>1000</v>
      </c>
      <c r="F337" s="4"/>
      <c r="G337" s="4"/>
      <c r="H337" s="5">
        <f t="shared" si="5"/>
        <v>-1.8084240512768322E-2</v>
      </c>
    </row>
    <row r="338" spans="1:8" ht="13.5" x14ac:dyDescent="0.25">
      <c r="A338" s="1"/>
      <c r="B338" s="3">
        <v>42790</v>
      </c>
      <c r="C338" s="4">
        <v>8.15</v>
      </c>
      <c r="D338" s="4">
        <v>3.8605</v>
      </c>
      <c r="E338" s="4">
        <v>428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8.14</v>
      </c>
      <c r="D339" s="4">
        <v>3.8557999999999999</v>
      </c>
      <c r="E339" s="4">
        <v>2284</v>
      </c>
      <c r="F339" s="4"/>
      <c r="G339" s="4"/>
      <c r="H339" s="5">
        <f t="shared" si="5"/>
        <v>-1.2174588783836675E-3</v>
      </c>
    </row>
    <row r="340" spans="1:8" ht="13.5" x14ac:dyDescent="0.25">
      <c r="A340" s="1"/>
      <c r="B340" s="3">
        <v>42794</v>
      </c>
      <c r="C340" s="4">
        <v>8.1</v>
      </c>
      <c r="D340" s="4">
        <v>3.8369</v>
      </c>
      <c r="E340" s="4">
        <v>1340</v>
      </c>
      <c r="F340" s="4"/>
      <c r="G340" s="4"/>
      <c r="H340" s="5">
        <f t="shared" si="5"/>
        <v>-4.9017065200476989E-3</v>
      </c>
    </row>
    <row r="341" spans="1:8" ht="13.5" x14ac:dyDescent="0.25">
      <c r="A341" s="1"/>
      <c r="B341" s="3">
        <v>42795</v>
      </c>
      <c r="C341" s="4">
        <v>8.1</v>
      </c>
      <c r="D341" s="4">
        <v>3.8369</v>
      </c>
      <c r="E341" s="4">
        <v>3378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8.0500000000000007</v>
      </c>
      <c r="D342" s="4">
        <v>3.8132000000000001</v>
      </c>
      <c r="E342" s="4">
        <v>22</v>
      </c>
      <c r="F342" s="4"/>
      <c r="G342" s="4"/>
      <c r="H342" s="5">
        <f t="shared" si="5"/>
        <v>-6.1768615288383417E-3</v>
      </c>
    </row>
    <row r="343" spans="1:8" ht="13.5" x14ac:dyDescent="0.25">
      <c r="A343" s="1"/>
      <c r="B343" s="3">
        <v>42797</v>
      </c>
      <c r="C343" s="4">
        <v>8.0500000000000007</v>
      </c>
      <c r="D343" s="4">
        <v>3.8132000000000001</v>
      </c>
      <c r="E343" s="4">
        <v>1131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8.1999999999999993</v>
      </c>
      <c r="D344" s="4">
        <v>3.8841999999999999</v>
      </c>
      <c r="E344" s="4">
        <v>10</v>
      </c>
      <c r="F344" s="4"/>
      <c r="G344" s="4"/>
      <c r="H344" s="5">
        <f t="shared" si="5"/>
        <v>1.8619532151473755E-2</v>
      </c>
    </row>
    <row r="345" spans="1:8" ht="13.5" x14ac:dyDescent="0.25">
      <c r="A345" s="1"/>
      <c r="B345" s="3">
        <v>42801</v>
      </c>
      <c r="C345" s="4">
        <v>8</v>
      </c>
      <c r="D345" s="4">
        <v>3.7894999999999999</v>
      </c>
      <c r="E345" s="4">
        <v>4177</v>
      </c>
      <c r="F345" s="4"/>
      <c r="G345" s="4"/>
      <c r="H345" s="5">
        <f t="shared" si="5"/>
        <v>-2.438082488028423E-2</v>
      </c>
    </row>
    <row r="346" spans="1:8" ht="13.5" x14ac:dyDescent="0.25">
      <c r="A346" s="1"/>
      <c r="B346" s="3">
        <v>42802</v>
      </c>
      <c r="C346" s="4">
        <v>8.1999999999999993</v>
      </c>
      <c r="D346" s="4">
        <v>3.8841999999999999</v>
      </c>
      <c r="E346" s="4">
        <v>197</v>
      </c>
      <c r="F346" s="4"/>
      <c r="G346" s="4"/>
      <c r="H346" s="5">
        <f t="shared" si="5"/>
        <v>2.4990104235387257E-2</v>
      </c>
    </row>
    <row r="347" spans="1:8" ht="13.5" x14ac:dyDescent="0.25">
      <c r="A347" s="1"/>
      <c r="B347" s="3">
        <v>42803</v>
      </c>
      <c r="C347" s="4">
        <v>8.1999999999999993</v>
      </c>
      <c r="D347" s="4">
        <v>3.8841999999999999</v>
      </c>
      <c r="E347" s="4">
        <v>0</v>
      </c>
      <c r="F347" s="4"/>
      <c r="G347" s="4"/>
      <c r="H347" s="5">
        <f t="shared" si="5"/>
        <v>0</v>
      </c>
    </row>
    <row r="348" spans="1:8" ht="13.5" x14ac:dyDescent="0.25">
      <c r="A348" s="1"/>
      <c r="B348" s="3">
        <v>42804</v>
      </c>
      <c r="C348" s="4">
        <v>8.1999999999999993</v>
      </c>
      <c r="D348" s="4">
        <v>3.8841999999999999</v>
      </c>
      <c r="E348" s="4">
        <v>67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8.1999999999999993</v>
      </c>
      <c r="D349" s="4">
        <v>3.8841999999999999</v>
      </c>
      <c r="E349" s="4">
        <v>116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8.19</v>
      </c>
      <c r="D350" s="4">
        <v>3.8795000000000002</v>
      </c>
      <c r="E350" s="4">
        <v>100</v>
      </c>
      <c r="F350" s="4"/>
      <c r="G350" s="4"/>
      <c r="H350" s="5">
        <f t="shared" si="5"/>
        <v>-1.2100303794860471E-3</v>
      </c>
    </row>
    <row r="351" spans="1:8" ht="13.5" x14ac:dyDescent="0.25">
      <c r="A351" s="1"/>
      <c r="B351" s="3">
        <v>42809</v>
      </c>
      <c r="C351" s="4">
        <v>8</v>
      </c>
      <c r="D351" s="4">
        <v>3.7894999999999999</v>
      </c>
      <c r="E351" s="4">
        <v>352</v>
      </c>
      <c r="F351" s="4"/>
      <c r="G351" s="4"/>
      <c r="H351" s="5">
        <f t="shared" si="5"/>
        <v>-2.3198865833226008E-2</v>
      </c>
    </row>
    <row r="352" spans="1:8" ht="13.5" x14ac:dyDescent="0.25">
      <c r="A352" s="1"/>
      <c r="B352" s="3">
        <v>42810</v>
      </c>
      <c r="C352" s="4">
        <v>8</v>
      </c>
      <c r="D352" s="4">
        <v>3.7894999999999999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8</v>
      </c>
      <c r="D353" s="4">
        <v>3.7894999999999999</v>
      </c>
      <c r="E353" s="4">
        <v>65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8</v>
      </c>
      <c r="D354" s="4">
        <v>3.7894999999999999</v>
      </c>
      <c r="E354" s="4">
        <v>0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8</v>
      </c>
      <c r="D355" s="4">
        <v>3.7894999999999999</v>
      </c>
      <c r="E355" s="4">
        <v>70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7.83</v>
      </c>
      <c r="D356" s="4">
        <v>3.7090000000000001</v>
      </c>
      <c r="E356" s="4">
        <v>20393</v>
      </c>
      <c r="F356" s="4"/>
      <c r="G356" s="4"/>
      <c r="H356" s="5">
        <f t="shared" si="5"/>
        <v>-2.1242908035360813E-2</v>
      </c>
    </row>
    <row r="357" spans="1:8" ht="13.5" x14ac:dyDescent="0.25">
      <c r="A357" s="1"/>
      <c r="B357" s="3">
        <v>42818</v>
      </c>
      <c r="C357" s="4">
        <v>7.85</v>
      </c>
      <c r="D357" s="4">
        <v>3.7183999999999999</v>
      </c>
      <c r="E357" s="4">
        <v>2730</v>
      </c>
      <c r="F357" s="4"/>
      <c r="G357" s="4"/>
      <c r="H357" s="5">
        <f t="shared" si="5"/>
        <v>2.5343758425451206E-3</v>
      </c>
    </row>
    <row r="358" spans="1:8" ht="13.5" x14ac:dyDescent="0.25">
      <c r="A358" s="1"/>
      <c r="B358" s="3">
        <v>42821</v>
      </c>
      <c r="C358" s="4">
        <v>7.79</v>
      </c>
      <c r="D358" s="4">
        <v>3.69</v>
      </c>
      <c r="E358" s="4">
        <v>5954</v>
      </c>
      <c r="F358" s="4"/>
      <c r="G358" s="4"/>
      <c r="H358" s="5">
        <f t="shared" si="5"/>
        <v>-7.6376936316695301E-3</v>
      </c>
    </row>
    <row r="359" spans="1:8" ht="13.5" x14ac:dyDescent="0.25">
      <c r="A359" s="1"/>
      <c r="B359" s="3">
        <v>42822</v>
      </c>
      <c r="C359" s="4">
        <v>8.02</v>
      </c>
      <c r="D359" s="4">
        <v>3.7989999999999999</v>
      </c>
      <c r="E359" s="4">
        <v>325</v>
      </c>
      <c r="F359" s="4"/>
      <c r="G359" s="4"/>
      <c r="H359" s="5">
        <f t="shared" si="5"/>
        <v>2.9539295392953926E-2</v>
      </c>
    </row>
    <row r="360" spans="1:8" ht="13.5" x14ac:dyDescent="0.25">
      <c r="A360" s="1"/>
      <c r="B360" s="3">
        <v>42823</v>
      </c>
      <c r="C360" s="4">
        <v>7.8</v>
      </c>
      <c r="D360" s="4">
        <v>3.6947000000000001</v>
      </c>
      <c r="E360" s="4">
        <v>4326</v>
      </c>
      <c r="F360" s="4"/>
      <c r="G360" s="4"/>
      <c r="H360" s="5">
        <f t="shared" si="5"/>
        <v>-2.7454593314029965E-2</v>
      </c>
    </row>
    <row r="361" spans="1:8" ht="13.5" x14ac:dyDescent="0.25">
      <c r="A361" s="1"/>
      <c r="B361" s="3">
        <v>42824</v>
      </c>
      <c r="C361" s="4">
        <v>7.62</v>
      </c>
      <c r="D361" s="4">
        <v>3.6095000000000002</v>
      </c>
      <c r="E361" s="4">
        <v>3677</v>
      </c>
      <c r="F361" s="4"/>
      <c r="G361" s="4"/>
      <c r="H361" s="5">
        <f t="shared" si="5"/>
        <v>-2.3060059003437341E-2</v>
      </c>
    </row>
    <row r="362" spans="1:8" ht="13.5" x14ac:dyDescent="0.25">
      <c r="A362" s="1"/>
      <c r="B362" s="3">
        <v>42825</v>
      </c>
      <c r="C362" s="4">
        <v>7.82</v>
      </c>
      <c r="D362" s="4">
        <v>3.7042000000000002</v>
      </c>
      <c r="E362" s="4">
        <v>786</v>
      </c>
      <c r="F362" s="4"/>
      <c r="G362" s="4"/>
      <c r="H362" s="5">
        <f t="shared" si="5"/>
        <v>2.6236320820058182E-2</v>
      </c>
    </row>
    <row r="363" spans="1:8" ht="13.5" x14ac:dyDescent="0.25">
      <c r="A363" s="1"/>
      <c r="B363" s="3">
        <v>42828</v>
      </c>
      <c r="C363" s="4">
        <v>7.6</v>
      </c>
      <c r="D363" s="4">
        <v>3.6</v>
      </c>
      <c r="E363" s="4">
        <v>119</v>
      </c>
      <c r="F363" s="4"/>
      <c r="G363" s="4"/>
      <c r="H363" s="5">
        <f t="shared" si="5"/>
        <v>-2.8130230549106437E-2</v>
      </c>
    </row>
    <row r="364" spans="1:8" ht="13.5" x14ac:dyDescent="0.25">
      <c r="A364" s="1"/>
      <c r="B364" s="3">
        <v>42829</v>
      </c>
      <c r="C364" s="4">
        <v>7.82</v>
      </c>
      <c r="D364" s="4">
        <v>3.7042000000000002</v>
      </c>
      <c r="E364" s="4">
        <v>1628</v>
      </c>
      <c r="F364" s="4"/>
      <c r="G364" s="4"/>
      <c r="H364" s="5">
        <f t="shared" si="5"/>
        <v>2.8944444444444464E-2</v>
      </c>
    </row>
    <row r="365" spans="1:8" ht="13.5" x14ac:dyDescent="0.25">
      <c r="A365" s="1"/>
      <c r="B365" s="3">
        <v>42830</v>
      </c>
      <c r="C365" s="4">
        <v>8.0500000000000007</v>
      </c>
      <c r="D365" s="4">
        <v>3.8132000000000001</v>
      </c>
      <c r="E365" s="4">
        <v>1944</v>
      </c>
      <c r="F365" s="4"/>
      <c r="G365" s="4"/>
      <c r="H365" s="5">
        <f t="shared" si="5"/>
        <v>2.9426056908374274E-2</v>
      </c>
    </row>
    <row r="366" spans="1:8" ht="13.5" x14ac:dyDescent="0.25">
      <c r="A366" s="1"/>
      <c r="B366" s="3">
        <v>42831</v>
      </c>
      <c r="C366" s="4">
        <v>8.15</v>
      </c>
      <c r="D366" s="4">
        <v>3.8605</v>
      </c>
      <c r="E366" s="4">
        <v>680</v>
      </c>
      <c r="F366" s="4"/>
      <c r="G366" s="4"/>
      <c r="H366" s="5">
        <f t="shared" si="5"/>
        <v>1.2404279869925495E-2</v>
      </c>
    </row>
    <row r="367" spans="1:8" ht="13.5" x14ac:dyDescent="0.25">
      <c r="A367" s="1"/>
      <c r="B367" s="3">
        <v>42832</v>
      </c>
      <c r="C367" s="4">
        <v>8.15</v>
      </c>
      <c r="D367" s="4">
        <v>3.8605</v>
      </c>
      <c r="E367" s="4">
        <v>3967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8.16</v>
      </c>
      <c r="D368" s="4">
        <v>3.8653</v>
      </c>
      <c r="E368" s="4">
        <v>41</v>
      </c>
      <c r="F368" s="4"/>
      <c r="G368" s="4"/>
      <c r="H368" s="5">
        <f t="shared" si="5"/>
        <v>1.2433622587747482E-3</v>
      </c>
    </row>
    <row r="369" spans="1:8" ht="13.5" x14ac:dyDescent="0.25">
      <c r="A369" s="1"/>
      <c r="B369" s="3">
        <v>42836</v>
      </c>
      <c r="C369" s="4">
        <v>8.16</v>
      </c>
      <c r="D369" s="4">
        <v>3.8653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8.16</v>
      </c>
      <c r="D370" s="4">
        <v>3.8653</v>
      </c>
      <c r="E370" s="4">
        <v>1044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8.1</v>
      </c>
      <c r="D371" s="4">
        <v>3.8369</v>
      </c>
      <c r="E371" s="4">
        <v>334</v>
      </c>
      <c r="F371" s="4"/>
      <c r="G371" s="4"/>
      <c r="H371" s="5">
        <f t="shared" si="5"/>
        <v>-7.3474245207357722E-3</v>
      </c>
    </row>
    <row r="372" spans="1:8" ht="13.5" x14ac:dyDescent="0.25">
      <c r="A372" s="1"/>
      <c r="B372" s="3">
        <v>42839</v>
      </c>
      <c r="C372" s="4">
        <v>8.1999999999999993</v>
      </c>
      <c r="D372" s="4">
        <v>3.8841999999999999</v>
      </c>
      <c r="E372" s="4">
        <v>1039</v>
      </c>
      <c r="F372" s="4"/>
      <c r="G372" s="4"/>
      <c r="H372" s="5">
        <f t="shared" si="5"/>
        <v>1.2327660350804008E-2</v>
      </c>
    </row>
    <row r="373" spans="1:8" ht="13.5" x14ac:dyDescent="0.25">
      <c r="A373" s="1"/>
      <c r="B373" s="3">
        <v>42842</v>
      </c>
      <c r="C373" s="4">
        <v>8.1999999999999993</v>
      </c>
      <c r="D373" s="4">
        <v>3.8841999999999999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8.1999999999999993</v>
      </c>
      <c r="D374" s="4">
        <v>3.8841999999999999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8.34</v>
      </c>
      <c r="D375" s="4">
        <v>3.9504999999999999</v>
      </c>
      <c r="E375" s="4">
        <v>120</v>
      </c>
      <c r="F375" s="4"/>
      <c r="G375" s="4"/>
      <c r="H375" s="5">
        <f t="shared" si="5"/>
        <v>1.706915194892128E-2</v>
      </c>
    </row>
    <row r="376" spans="1:8" ht="13.5" x14ac:dyDescent="0.25">
      <c r="A376" s="1"/>
      <c r="B376" s="3">
        <v>42845</v>
      </c>
      <c r="C376" s="4">
        <v>8.34</v>
      </c>
      <c r="D376" s="4">
        <v>3.9504999999999999</v>
      </c>
      <c r="E376" s="4">
        <v>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8.34</v>
      </c>
      <c r="D377" s="4">
        <v>3.9504999999999999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8.34</v>
      </c>
      <c r="D378" s="4">
        <v>3.9504999999999999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8.09</v>
      </c>
      <c r="D379" s="4">
        <v>3.8321000000000001</v>
      </c>
      <c r="E379" s="4">
        <v>3247</v>
      </c>
      <c r="F379" s="4"/>
      <c r="G379" s="4"/>
      <c r="H379" s="5">
        <f t="shared" si="5"/>
        <v>-2.9970889760789734E-2</v>
      </c>
    </row>
    <row r="380" spans="1:8" ht="13.5" x14ac:dyDescent="0.25">
      <c r="A380" s="1"/>
      <c r="B380" s="3">
        <v>42851</v>
      </c>
      <c r="C380" s="4">
        <v>8.33</v>
      </c>
      <c r="D380" s="4">
        <v>3.9458000000000002</v>
      </c>
      <c r="E380" s="4">
        <v>268</v>
      </c>
      <c r="F380" s="4"/>
      <c r="G380" s="4"/>
      <c r="H380" s="5">
        <f t="shared" si="5"/>
        <v>2.9670415698964048E-2</v>
      </c>
    </row>
    <row r="381" spans="1:8" ht="13.5" x14ac:dyDescent="0.25">
      <c r="A381" s="1"/>
      <c r="B381" s="3">
        <v>42852</v>
      </c>
      <c r="C381" s="4">
        <v>8.4700000000000006</v>
      </c>
      <c r="D381" s="4">
        <v>4.0121000000000002</v>
      </c>
      <c r="E381" s="4">
        <v>232</v>
      </c>
      <c r="F381" s="4"/>
      <c r="G381" s="4"/>
      <c r="H381" s="5">
        <f t="shared" si="5"/>
        <v>1.6802676263368652E-2</v>
      </c>
    </row>
    <row r="382" spans="1:8" ht="13.5" x14ac:dyDescent="0.25">
      <c r="A382" s="1"/>
      <c r="B382" s="3">
        <v>42853</v>
      </c>
      <c r="C382" s="4">
        <v>8.5399999999999991</v>
      </c>
      <c r="D382" s="4">
        <v>4.0453000000000001</v>
      </c>
      <c r="E382" s="4">
        <v>644</v>
      </c>
      <c r="F382" s="4"/>
      <c r="G382" s="4"/>
      <c r="H382" s="5">
        <f t="shared" si="5"/>
        <v>8.2749682211310516E-3</v>
      </c>
    </row>
    <row r="383" spans="1:8" ht="13.5" x14ac:dyDescent="0.25">
      <c r="A383" s="1"/>
      <c r="B383" s="3">
        <v>42857</v>
      </c>
      <c r="C383" s="4">
        <v>8.5399999999999991</v>
      </c>
      <c r="D383" s="4">
        <v>4.0453000000000001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8.2899999999999991</v>
      </c>
      <c r="D384" s="4">
        <v>3.9268999999999998</v>
      </c>
      <c r="E384" s="4">
        <v>1525</v>
      </c>
      <c r="F384" s="4"/>
      <c r="G384" s="4"/>
      <c r="H384" s="5">
        <f t="shared" si="5"/>
        <v>-2.9268533854102361E-2</v>
      </c>
    </row>
    <row r="385" spans="1:8" ht="13.5" x14ac:dyDescent="0.25">
      <c r="A385" s="1"/>
      <c r="B385" s="3">
        <v>42859</v>
      </c>
      <c r="C385" s="4">
        <v>8.25</v>
      </c>
      <c r="D385" s="4">
        <v>3.9079000000000002</v>
      </c>
      <c r="E385" s="4">
        <v>504</v>
      </c>
      <c r="F385" s="4"/>
      <c r="G385" s="4"/>
      <c r="H385" s="5">
        <f t="shared" si="5"/>
        <v>-4.8384221650665119E-3</v>
      </c>
    </row>
    <row r="386" spans="1:8" ht="13.5" x14ac:dyDescent="0.25">
      <c r="A386" s="1"/>
      <c r="B386" s="3">
        <v>42860</v>
      </c>
      <c r="C386" s="4">
        <v>8.74</v>
      </c>
      <c r="D386" s="4">
        <v>4.1399999999999997</v>
      </c>
      <c r="E386" s="4">
        <v>3691</v>
      </c>
      <c r="F386" s="4"/>
      <c r="G386" s="4"/>
      <c r="H386" s="5">
        <f t="shared" si="5"/>
        <v>5.9392512602676507E-2</v>
      </c>
    </row>
    <row r="387" spans="1:8" ht="13.5" x14ac:dyDescent="0.25">
      <c r="A387" s="1"/>
      <c r="B387" s="3">
        <v>42863</v>
      </c>
      <c r="C387" s="4">
        <v>8.74</v>
      </c>
      <c r="D387" s="4">
        <v>4.1399999999999997</v>
      </c>
      <c r="E387" s="4">
        <v>845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8.9</v>
      </c>
      <c r="D388" s="4">
        <v>4.2157999999999998</v>
      </c>
      <c r="E388" s="4">
        <v>7617</v>
      </c>
      <c r="F388" s="4"/>
      <c r="G388" s="4"/>
      <c r="H388" s="5">
        <f t="shared" si="5"/>
        <v>1.8309178743961374E-2</v>
      </c>
    </row>
    <row r="389" spans="1:8" ht="13.5" x14ac:dyDescent="0.25">
      <c r="A389" s="1"/>
      <c r="B389" s="3">
        <v>42865</v>
      </c>
      <c r="C389" s="4">
        <v>9.16</v>
      </c>
      <c r="D389" s="4">
        <v>4.3390000000000004</v>
      </c>
      <c r="E389" s="4">
        <v>4307</v>
      </c>
      <c r="F389" s="4"/>
      <c r="G389" s="4"/>
      <c r="H389" s="5">
        <f t="shared" si="5"/>
        <v>2.9223397694387934E-2</v>
      </c>
    </row>
    <row r="390" spans="1:8" ht="13.5" x14ac:dyDescent="0.25">
      <c r="A390" s="1"/>
      <c r="B390" s="3">
        <v>42866</v>
      </c>
      <c r="C390" s="4">
        <v>9.16</v>
      </c>
      <c r="D390" s="4">
        <v>4.3390000000000004</v>
      </c>
      <c r="E390" s="4">
        <v>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9.27</v>
      </c>
      <c r="D391" s="4">
        <v>4.3910999999999998</v>
      </c>
      <c r="E391" s="4">
        <v>5260</v>
      </c>
      <c r="F391" s="4"/>
      <c r="G391" s="4"/>
      <c r="H391" s="5">
        <f t="shared" ref="H391:H454" si="6">(D391-D390)/D390</f>
        <v>1.2007374971191372E-2</v>
      </c>
    </row>
    <row r="392" spans="1:8" ht="13.5" x14ac:dyDescent="0.25">
      <c r="A392" s="1"/>
      <c r="B392" s="3">
        <v>42870</v>
      </c>
      <c r="C392" s="4">
        <v>9.27</v>
      </c>
      <c r="D392" s="4">
        <v>4.3910999999999998</v>
      </c>
      <c r="E392" s="4">
        <v>1918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9.27</v>
      </c>
      <c r="D393" s="4">
        <v>4.3910999999999998</v>
      </c>
      <c r="E393" s="4">
        <v>31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9.11</v>
      </c>
      <c r="D394" s="4">
        <v>4.3152999999999997</v>
      </c>
      <c r="E394" s="4">
        <v>263</v>
      </c>
      <c r="F394" s="4"/>
      <c r="G394" s="4"/>
      <c r="H394" s="5">
        <f t="shared" si="6"/>
        <v>-1.7262189428616997E-2</v>
      </c>
    </row>
    <row r="395" spans="1:8" ht="13.5" x14ac:dyDescent="0.25">
      <c r="A395" s="1"/>
      <c r="B395" s="3">
        <v>42873</v>
      </c>
      <c r="C395" s="4">
        <v>9.1199999999999992</v>
      </c>
      <c r="D395" s="4">
        <v>4.32</v>
      </c>
      <c r="E395" s="4">
        <v>6134</v>
      </c>
      <c r="F395" s="4"/>
      <c r="G395" s="4"/>
      <c r="H395" s="5">
        <f t="shared" si="6"/>
        <v>1.0891479155564138E-3</v>
      </c>
    </row>
    <row r="396" spans="1:8" ht="13.5" x14ac:dyDescent="0.25">
      <c r="A396" s="1"/>
      <c r="B396" s="3">
        <v>42874</v>
      </c>
      <c r="C396" s="4">
        <v>9.15</v>
      </c>
      <c r="D396" s="4">
        <v>4.3342000000000001</v>
      </c>
      <c r="E396" s="4">
        <v>8</v>
      </c>
      <c r="F396" s="4"/>
      <c r="G396" s="4"/>
      <c r="H396" s="5">
        <f t="shared" si="6"/>
        <v>3.2870370370369833E-3</v>
      </c>
    </row>
    <row r="397" spans="1:8" ht="13.5" x14ac:dyDescent="0.25">
      <c r="A397" s="1"/>
      <c r="B397" s="3">
        <v>42877</v>
      </c>
      <c r="C397" s="4">
        <v>9.15</v>
      </c>
      <c r="D397" s="4">
        <v>4.3342000000000001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9.15</v>
      </c>
      <c r="D398" s="4">
        <v>4.3342000000000001</v>
      </c>
      <c r="E398" s="4">
        <v>17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9.1</v>
      </c>
      <c r="D399" s="4">
        <v>4.3105000000000002</v>
      </c>
      <c r="E399" s="4">
        <v>535</v>
      </c>
      <c r="F399" s="4"/>
      <c r="G399" s="4"/>
      <c r="H399" s="5">
        <f t="shared" si="6"/>
        <v>-5.4681371418023698E-3</v>
      </c>
    </row>
    <row r="400" spans="1:8" ht="13.5" x14ac:dyDescent="0.25">
      <c r="A400" s="1"/>
      <c r="B400" s="3">
        <v>42880</v>
      </c>
      <c r="C400" s="4">
        <v>9.02</v>
      </c>
      <c r="D400" s="4">
        <v>4.2725999999999997</v>
      </c>
      <c r="E400" s="4">
        <v>5982</v>
      </c>
      <c r="F400" s="4"/>
      <c r="G400" s="4"/>
      <c r="H400" s="5">
        <f t="shared" si="6"/>
        <v>-8.7924834705951707E-3</v>
      </c>
    </row>
    <row r="401" spans="1:8" ht="13.5" x14ac:dyDescent="0.25">
      <c r="A401" s="1"/>
      <c r="B401" s="3">
        <v>42881</v>
      </c>
      <c r="C401" s="4">
        <v>9.23</v>
      </c>
      <c r="D401" s="4">
        <v>4.3720999999999997</v>
      </c>
      <c r="E401" s="4">
        <v>1011</v>
      </c>
      <c r="F401" s="4"/>
      <c r="G401" s="4"/>
      <c r="H401" s="5">
        <f t="shared" si="6"/>
        <v>2.32879277255067E-2</v>
      </c>
    </row>
    <row r="402" spans="1:8" ht="13.5" x14ac:dyDescent="0.25">
      <c r="A402" s="1"/>
      <c r="B402" s="3">
        <v>42884</v>
      </c>
      <c r="C402" s="4">
        <v>9.1999999999999993</v>
      </c>
      <c r="D402" s="4">
        <v>4.3578999999999999</v>
      </c>
      <c r="E402" s="4">
        <v>11</v>
      </c>
      <c r="F402" s="4"/>
      <c r="G402" s="4"/>
      <c r="H402" s="5">
        <f t="shared" si="6"/>
        <v>-3.2478671576587383E-3</v>
      </c>
    </row>
    <row r="403" spans="1:8" ht="13.5" x14ac:dyDescent="0.25">
      <c r="A403" s="1"/>
      <c r="B403" s="3">
        <v>42885</v>
      </c>
      <c r="C403" s="4">
        <v>9.18</v>
      </c>
      <c r="D403" s="4">
        <v>4.3483999999999998</v>
      </c>
      <c r="E403" s="4">
        <v>19</v>
      </c>
      <c r="F403" s="4"/>
      <c r="G403" s="4"/>
      <c r="H403" s="5">
        <f t="shared" si="6"/>
        <v>-2.1799490580325532E-3</v>
      </c>
    </row>
    <row r="404" spans="1:8" ht="13.5" x14ac:dyDescent="0.25">
      <c r="A404" s="1"/>
      <c r="B404" s="3">
        <v>42886</v>
      </c>
      <c r="C404" s="4">
        <v>9.1</v>
      </c>
      <c r="D404" s="4">
        <v>4.3105000000000002</v>
      </c>
      <c r="E404" s="4">
        <v>562</v>
      </c>
      <c r="F404" s="4"/>
      <c r="G404" s="4"/>
      <c r="H404" s="5">
        <f t="shared" si="6"/>
        <v>-8.7158495078648712E-3</v>
      </c>
    </row>
    <row r="405" spans="1:8" ht="13.5" x14ac:dyDescent="0.25">
      <c r="A405" s="1"/>
      <c r="B405" s="3">
        <v>42887</v>
      </c>
      <c r="C405" s="4">
        <v>9.1</v>
      </c>
      <c r="D405" s="4">
        <v>4.3105000000000002</v>
      </c>
      <c r="E405" s="4">
        <v>1171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9.09</v>
      </c>
      <c r="D406" s="4">
        <v>4.3057999999999996</v>
      </c>
      <c r="E406" s="4">
        <v>332</v>
      </c>
      <c r="F406" s="4"/>
      <c r="G406" s="4"/>
      <c r="H406" s="5">
        <f t="shared" si="6"/>
        <v>-1.090360747013245E-3</v>
      </c>
    </row>
    <row r="407" spans="1:8" ht="13.5" x14ac:dyDescent="0.25">
      <c r="A407" s="1"/>
      <c r="B407" s="3">
        <v>42891</v>
      </c>
      <c r="C407" s="4">
        <v>9.06</v>
      </c>
      <c r="D407" s="4">
        <v>4.2915999999999999</v>
      </c>
      <c r="E407" s="4">
        <v>2352</v>
      </c>
      <c r="F407" s="4"/>
      <c r="G407" s="4"/>
      <c r="H407" s="5">
        <f t="shared" si="6"/>
        <v>-3.2978772818058827E-3</v>
      </c>
    </row>
    <row r="408" spans="1:8" ht="13.5" x14ac:dyDescent="0.25">
      <c r="A408" s="1"/>
      <c r="B408" s="3">
        <v>42892</v>
      </c>
      <c r="C408" s="4">
        <v>9.1</v>
      </c>
      <c r="D408" s="4">
        <v>4.3105000000000002</v>
      </c>
      <c r="E408" s="4">
        <v>611</v>
      </c>
      <c r="F408" s="4"/>
      <c r="G408" s="4"/>
      <c r="H408" s="5">
        <f t="shared" si="6"/>
        <v>4.4039519060491104E-3</v>
      </c>
    </row>
    <row r="409" spans="1:8" ht="13.5" x14ac:dyDescent="0.25">
      <c r="A409" s="1"/>
      <c r="B409" s="3">
        <v>42893</v>
      </c>
      <c r="C409" s="4">
        <v>9.1</v>
      </c>
      <c r="D409" s="4">
        <v>4.3105000000000002</v>
      </c>
      <c r="E409" s="4">
        <v>3722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9.1</v>
      </c>
      <c r="D410" s="4">
        <v>4.3105000000000002</v>
      </c>
      <c r="E410" s="4">
        <v>2657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9.1</v>
      </c>
      <c r="D411" s="4">
        <v>4.3105000000000002</v>
      </c>
      <c r="E411" s="4">
        <v>56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9.1</v>
      </c>
      <c r="D412" s="4">
        <v>4.3105000000000002</v>
      </c>
      <c r="E412" s="4">
        <v>400</v>
      </c>
      <c r="F412" s="4"/>
      <c r="G412" s="4"/>
      <c r="H412" s="5">
        <f t="shared" si="6"/>
        <v>0</v>
      </c>
    </row>
    <row r="413" spans="1:8" ht="13.5" x14ac:dyDescent="0.25">
      <c r="A413" s="1"/>
      <c r="B413" s="3">
        <v>42899</v>
      </c>
      <c r="C413" s="4">
        <v>9.1</v>
      </c>
      <c r="D413" s="4">
        <v>4.3105000000000002</v>
      </c>
      <c r="E413" s="4">
        <v>1089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9.06</v>
      </c>
      <c r="D414" s="4">
        <v>4.2915999999999999</v>
      </c>
      <c r="E414" s="4">
        <v>370</v>
      </c>
      <c r="F414" s="4"/>
      <c r="G414" s="4"/>
      <c r="H414" s="5">
        <f t="shared" si="6"/>
        <v>-4.3846421528825801E-3</v>
      </c>
    </row>
    <row r="415" spans="1:8" ht="13.5" x14ac:dyDescent="0.25">
      <c r="A415" s="1"/>
      <c r="B415" s="3">
        <v>42901</v>
      </c>
      <c r="C415" s="4">
        <v>9.06</v>
      </c>
      <c r="D415" s="4">
        <v>4.2915999999999999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9.09</v>
      </c>
      <c r="D416" s="4">
        <v>4.3057999999999996</v>
      </c>
      <c r="E416" s="4">
        <v>213</v>
      </c>
      <c r="F416" s="4"/>
      <c r="G416" s="4"/>
      <c r="H416" s="5">
        <f t="shared" si="6"/>
        <v>3.3087892627457751E-3</v>
      </c>
    </row>
    <row r="417" spans="1:8" ht="13.5" x14ac:dyDescent="0.25">
      <c r="A417" s="1"/>
      <c r="B417" s="3">
        <v>42905</v>
      </c>
      <c r="C417" s="4">
        <v>9.06</v>
      </c>
      <c r="D417" s="4">
        <v>4.2915999999999999</v>
      </c>
      <c r="E417" s="4">
        <v>932</v>
      </c>
      <c r="F417" s="4"/>
      <c r="G417" s="4"/>
      <c r="H417" s="5">
        <f t="shared" si="6"/>
        <v>-3.2978772818058827E-3</v>
      </c>
    </row>
    <row r="418" spans="1:8" ht="13.5" x14ac:dyDescent="0.25">
      <c r="A418" s="1"/>
      <c r="B418" s="3">
        <v>42906</v>
      </c>
      <c r="C418" s="4">
        <v>9.01</v>
      </c>
      <c r="D418" s="4">
        <v>4.2679</v>
      </c>
      <c r="E418" s="4">
        <v>2461</v>
      </c>
      <c r="F418" s="4"/>
      <c r="G418" s="4"/>
      <c r="H418" s="5">
        <f t="shared" si="6"/>
        <v>-5.5224158821884223E-3</v>
      </c>
    </row>
    <row r="419" spans="1:8" ht="13.5" x14ac:dyDescent="0.25">
      <c r="A419" s="1"/>
      <c r="B419" s="3">
        <v>42907</v>
      </c>
      <c r="C419" s="4">
        <v>9.0299999999999994</v>
      </c>
      <c r="D419" s="4">
        <v>4.2774000000000001</v>
      </c>
      <c r="E419" s="4">
        <v>631</v>
      </c>
      <c r="F419" s="4"/>
      <c r="G419" s="4"/>
      <c r="H419" s="5">
        <f t="shared" si="6"/>
        <v>2.2259190702687654E-3</v>
      </c>
    </row>
    <row r="420" spans="1:8" ht="13.5" x14ac:dyDescent="0.25">
      <c r="A420" s="1"/>
      <c r="B420" s="3">
        <v>42908</v>
      </c>
      <c r="C420" s="4">
        <v>8.9</v>
      </c>
      <c r="D420" s="4">
        <v>4.2157999999999998</v>
      </c>
      <c r="E420" s="4">
        <v>5941</v>
      </c>
      <c r="F420" s="4"/>
      <c r="G420" s="4"/>
      <c r="H420" s="5">
        <f t="shared" si="6"/>
        <v>-1.4401271800626624E-2</v>
      </c>
    </row>
    <row r="421" spans="1:8" ht="13.5" x14ac:dyDescent="0.25">
      <c r="A421" s="1"/>
      <c r="B421" s="3">
        <v>42909</v>
      </c>
      <c r="C421" s="4">
        <v>9</v>
      </c>
      <c r="D421" s="4">
        <v>4.2632000000000003</v>
      </c>
      <c r="E421" s="4">
        <v>200</v>
      </c>
      <c r="F421" s="4"/>
      <c r="G421" s="4"/>
      <c r="H421" s="5">
        <f t="shared" si="6"/>
        <v>1.1243417619431794E-2</v>
      </c>
    </row>
    <row r="422" spans="1:8" ht="13.5" x14ac:dyDescent="0.25">
      <c r="A422" s="1"/>
      <c r="B422" s="3">
        <v>42914</v>
      </c>
      <c r="C422" s="4">
        <v>8.9499999999999993</v>
      </c>
      <c r="D422" s="4">
        <v>4.2394999999999996</v>
      </c>
      <c r="E422" s="4">
        <v>472</v>
      </c>
      <c r="F422" s="4"/>
      <c r="G422" s="4"/>
      <c r="H422" s="5">
        <f t="shared" si="6"/>
        <v>-5.559204353537418E-3</v>
      </c>
    </row>
    <row r="423" spans="1:8" ht="13.5" x14ac:dyDescent="0.25">
      <c r="A423" s="1"/>
      <c r="B423" s="3">
        <v>42915</v>
      </c>
      <c r="C423" s="4">
        <v>9.1</v>
      </c>
      <c r="D423" s="4">
        <v>4.3105000000000002</v>
      </c>
      <c r="E423" s="4">
        <v>5299</v>
      </c>
      <c r="F423" s="4"/>
      <c r="G423" s="4"/>
      <c r="H423" s="5">
        <f t="shared" si="6"/>
        <v>1.6747257931359977E-2</v>
      </c>
    </row>
    <row r="424" spans="1:8" ht="13.5" x14ac:dyDescent="0.25">
      <c r="A424" s="1"/>
      <c r="B424" s="3">
        <v>42916</v>
      </c>
      <c r="C424" s="4">
        <v>8.11</v>
      </c>
      <c r="D424" s="4">
        <v>4.1428000000000003</v>
      </c>
      <c r="E424" s="4">
        <v>7</v>
      </c>
      <c r="F424" s="4"/>
      <c r="G424" s="4"/>
      <c r="H424" s="5">
        <f t="shared" si="6"/>
        <v>-3.8904999420020868E-2</v>
      </c>
    </row>
    <row r="425" spans="1:8" ht="13.5" x14ac:dyDescent="0.25">
      <c r="A425" s="1"/>
      <c r="B425" s="3">
        <v>42919</v>
      </c>
      <c r="C425" s="4">
        <v>8.1300000000000008</v>
      </c>
      <c r="D425" s="4">
        <v>4.2226999999999997</v>
      </c>
      <c r="E425" s="4">
        <v>1004</v>
      </c>
      <c r="F425" s="4"/>
      <c r="G425" s="4"/>
      <c r="H425" s="5">
        <f t="shared" si="6"/>
        <v>1.9286472916867678E-2</v>
      </c>
    </row>
    <row r="426" spans="1:8" ht="13.5" x14ac:dyDescent="0.25">
      <c r="A426" s="1"/>
      <c r="B426" s="3">
        <v>42920</v>
      </c>
      <c r="C426" s="4">
        <v>8.1300000000000008</v>
      </c>
      <c r="D426" s="4">
        <v>4.2226999999999997</v>
      </c>
      <c r="E426" s="4">
        <v>3090</v>
      </c>
      <c r="F426" s="4"/>
      <c r="G426" s="4"/>
      <c r="H426" s="5">
        <f t="shared" si="6"/>
        <v>0</v>
      </c>
    </row>
    <row r="427" spans="1:8" ht="13.5" x14ac:dyDescent="0.25">
      <c r="A427" s="1"/>
      <c r="B427" s="3">
        <v>42921</v>
      </c>
      <c r="C427" s="4">
        <v>8.3699999999999992</v>
      </c>
      <c r="D427" s="4">
        <v>4.3472999999999997</v>
      </c>
      <c r="E427" s="4">
        <v>5529</v>
      </c>
      <c r="F427" s="4"/>
      <c r="G427" s="4"/>
      <c r="H427" s="5">
        <f t="shared" si="6"/>
        <v>2.9507187344589968E-2</v>
      </c>
    </row>
    <row r="428" spans="1:8" ht="13.5" x14ac:dyDescent="0.25">
      <c r="A428" s="1"/>
      <c r="B428" s="3">
        <v>42922</v>
      </c>
      <c r="C428" s="4">
        <v>8.34</v>
      </c>
      <c r="D428" s="4">
        <v>4.3316999999999997</v>
      </c>
      <c r="E428" s="4">
        <v>575</v>
      </c>
      <c r="F428" s="4"/>
      <c r="G428" s="4"/>
      <c r="H428" s="5">
        <f t="shared" si="6"/>
        <v>-3.5884342005382788E-3</v>
      </c>
    </row>
    <row r="429" spans="1:8" ht="13.5" x14ac:dyDescent="0.25">
      <c r="A429" s="1"/>
      <c r="B429" s="3">
        <v>42923</v>
      </c>
      <c r="C429" s="4">
        <v>8.3000000000000007</v>
      </c>
      <c r="D429" s="4">
        <v>4.3109999999999999</v>
      </c>
      <c r="E429" s="4">
        <v>100</v>
      </c>
      <c r="F429" s="4"/>
      <c r="G429" s="4"/>
      <c r="H429" s="5">
        <f t="shared" si="6"/>
        <v>-4.7787242883855574E-3</v>
      </c>
    </row>
    <row r="430" spans="1:8" ht="13.5" x14ac:dyDescent="0.25">
      <c r="A430" s="1"/>
      <c r="B430" s="3">
        <v>42926</v>
      </c>
      <c r="C430" s="4">
        <v>8.5399999999999991</v>
      </c>
      <c r="D430" s="4">
        <v>4.4356</v>
      </c>
      <c r="E430" s="4">
        <v>621</v>
      </c>
      <c r="F430" s="4"/>
      <c r="G430" s="4"/>
      <c r="H430" s="5">
        <f t="shared" si="6"/>
        <v>2.8902806773370458E-2</v>
      </c>
    </row>
    <row r="431" spans="1:8" ht="13.5" x14ac:dyDescent="0.25">
      <c r="A431" s="1"/>
      <c r="B431" s="3">
        <v>42927</v>
      </c>
      <c r="C431" s="4">
        <v>8.65</v>
      </c>
      <c r="D431" s="4">
        <v>4.4927000000000001</v>
      </c>
      <c r="E431" s="4">
        <v>1888</v>
      </c>
      <c r="F431" s="4"/>
      <c r="G431" s="4"/>
      <c r="H431" s="5">
        <f t="shared" si="6"/>
        <v>1.2873117503832661E-2</v>
      </c>
    </row>
    <row r="432" spans="1:8" ht="13.5" x14ac:dyDescent="0.25">
      <c r="A432" s="1"/>
      <c r="B432" s="3">
        <v>42928</v>
      </c>
      <c r="C432" s="4">
        <v>8.65</v>
      </c>
      <c r="D432" s="4">
        <v>4.4927000000000001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8.7799999999999994</v>
      </c>
      <c r="D433" s="4">
        <v>4.5602999999999998</v>
      </c>
      <c r="E433" s="4">
        <v>571</v>
      </c>
      <c r="F433" s="4"/>
      <c r="G433" s="4"/>
      <c r="H433" s="5">
        <f t="shared" si="6"/>
        <v>1.5046631201727171E-2</v>
      </c>
    </row>
    <row r="434" spans="1:8" ht="13.5" x14ac:dyDescent="0.25">
      <c r="A434" s="1"/>
      <c r="B434" s="3">
        <v>42930</v>
      </c>
      <c r="C434" s="4">
        <v>8.7899999999999991</v>
      </c>
      <c r="D434" s="4">
        <v>4.5655000000000001</v>
      </c>
      <c r="E434" s="4">
        <v>585</v>
      </c>
      <c r="F434" s="4"/>
      <c r="G434" s="4"/>
      <c r="H434" s="5">
        <f t="shared" si="6"/>
        <v>1.1402758590444303E-3</v>
      </c>
    </row>
    <row r="435" spans="1:8" ht="13.5" x14ac:dyDescent="0.25">
      <c r="A435" s="1"/>
      <c r="B435" s="3">
        <v>42933</v>
      </c>
      <c r="C435" s="4">
        <v>8.9</v>
      </c>
      <c r="D435" s="4">
        <v>4.6226000000000003</v>
      </c>
      <c r="E435" s="4">
        <v>221</v>
      </c>
      <c r="F435" s="4"/>
      <c r="G435" s="4"/>
      <c r="H435" s="5">
        <f t="shared" si="6"/>
        <v>1.2506844814368668E-2</v>
      </c>
    </row>
    <row r="436" spans="1:8" ht="13.5" x14ac:dyDescent="0.25">
      <c r="A436" s="1"/>
      <c r="B436" s="3">
        <v>42934</v>
      </c>
      <c r="C436" s="4">
        <v>8.9</v>
      </c>
      <c r="D436" s="4">
        <v>4.6226000000000003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8.8800000000000008</v>
      </c>
      <c r="D437" s="4">
        <v>4.6121999999999996</v>
      </c>
      <c r="E437" s="4">
        <v>20</v>
      </c>
      <c r="F437" s="4"/>
      <c r="G437" s="4"/>
      <c r="H437" s="5">
        <f t="shared" si="6"/>
        <v>-2.2498161207979558E-3</v>
      </c>
    </row>
    <row r="438" spans="1:8" ht="13.5" x14ac:dyDescent="0.25">
      <c r="A438" s="1"/>
      <c r="B438" s="3">
        <v>42936</v>
      </c>
      <c r="C438" s="4">
        <v>8.8699999999999992</v>
      </c>
      <c r="D438" s="4">
        <v>4.6070000000000002</v>
      </c>
      <c r="E438" s="4">
        <v>139</v>
      </c>
      <c r="F438" s="4"/>
      <c r="G438" s="4"/>
      <c r="H438" s="5">
        <f t="shared" si="6"/>
        <v>-1.1274446034429183E-3</v>
      </c>
    </row>
    <row r="439" spans="1:8" ht="13.5" x14ac:dyDescent="0.25">
      <c r="A439" s="1"/>
      <c r="B439" s="3">
        <v>42937</v>
      </c>
      <c r="C439" s="4">
        <v>8.8699999999999992</v>
      </c>
      <c r="D439" s="4">
        <v>4.6070000000000002</v>
      </c>
      <c r="E439" s="4">
        <v>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8.8699999999999992</v>
      </c>
      <c r="D440" s="4">
        <v>4.6070000000000002</v>
      </c>
      <c r="E440" s="4">
        <v>0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8.8699999999999992</v>
      </c>
      <c r="D441" s="4">
        <v>4.6070000000000002</v>
      </c>
      <c r="E441" s="4">
        <v>5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8.8699999999999992</v>
      </c>
      <c r="D442" s="4">
        <v>4.6070000000000002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8.8699999999999992</v>
      </c>
      <c r="D443" s="4">
        <v>4.6070000000000002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8.8699999999999992</v>
      </c>
      <c r="D444" s="4">
        <v>4.6070000000000002</v>
      </c>
      <c r="E444" s="4">
        <v>230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8.75</v>
      </c>
      <c r="D445" s="4">
        <v>4.5446999999999997</v>
      </c>
      <c r="E445" s="4">
        <v>1524</v>
      </c>
      <c r="F445" s="4"/>
      <c r="G445" s="4"/>
      <c r="H445" s="5">
        <f t="shared" si="6"/>
        <v>-1.3522899934881802E-2</v>
      </c>
    </row>
    <row r="446" spans="1:8" ht="13.5" x14ac:dyDescent="0.25">
      <c r="A446" s="1"/>
      <c r="B446" s="3">
        <v>42949</v>
      </c>
      <c r="C446" s="4">
        <v>8.75</v>
      </c>
      <c r="D446" s="4">
        <v>4.5446999999999997</v>
      </c>
      <c r="E446" s="4">
        <v>14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8.75</v>
      </c>
      <c r="D447" s="4">
        <v>4.5446999999999997</v>
      </c>
      <c r="E447" s="4">
        <v>225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8.57</v>
      </c>
      <c r="D448" s="4">
        <v>4.4512</v>
      </c>
      <c r="E448" s="4">
        <v>114</v>
      </c>
      <c r="F448" s="4"/>
      <c r="G448" s="4"/>
      <c r="H448" s="5">
        <f t="shared" si="6"/>
        <v>-2.0573415186920962E-2</v>
      </c>
    </row>
    <row r="449" spans="1:8" ht="13.5" x14ac:dyDescent="0.25">
      <c r="A449" s="1"/>
      <c r="B449" s="3">
        <v>42954</v>
      </c>
      <c r="C449" s="4">
        <v>8.57</v>
      </c>
      <c r="D449" s="4">
        <v>4.4512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8.5</v>
      </c>
      <c r="D450" s="4">
        <v>4.4147999999999996</v>
      </c>
      <c r="E450" s="4">
        <v>17</v>
      </c>
      <c r="F450" s="4"/>
      <c r="G450" s="4"/>
      <c r="H450" s="5">
        <f t="shared" si="6"/>
        <v>-8.1775700934580402E-3</v>
      </c>
    </row>
    <row r="451" spans="1:8" ht="13.5" x14ac:dyDescent="0.25">
      <c r="A451" s="1"/>
      <c r="B451" s="3">
        <v>42956</v>
      </c>
      <c r="C451" s="4">
        <v>8.75</v>
      </c>
      <c r="D451" s="4">
        <v>4.5446999999999997</v>
      </c>
      <c r="E451" s="4">
        <v>279</v>
      </c>
      <c r="F451" s="4"/>
      <c r="G451" s="4"/>
      <c r="H451" s="5">
        <f t="shared" si="6"/>
        <v>2.9423756455558607E-2</v>
      </c>
    </row>
    <row r="452" spans="1:8" ht="13.5" x14ac:dyDescent="0.25">
      <c r="A452" s="1"/>
      <c r="B452" s="3">
        <v>42957</v>
      </c>
      <c r="C452" s="4">
        <v>8.75</v>
      </c>
      <c r="D452" s="4">
        <v>4.5446999999999997</v>
      </c>
      <c r="E452" s="4">
        <v>480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8.5</v>
      </c>
      <c r="D453" s="4">
        <v>4.4147999999999996</v>
      </c>
      <c r="E453" s="4">
        <v>249</v>
      </c>
      <c r="F453" s="4"/>
      <c r="G453" s="4"/>
      <c r="H453" s="5">
        <f t="shared" si="6"/>
        <v>-2.8582744735626144E-2</v>
      </c>
    </row>
    <row r="454" spans="1:8" ht="13.5" x14ac:dyDescent="0.25">
      <c r="A454" s="1"/>
      <c r="B454" s="3">
        <v>42961</v>
      </c>
      <c r="C454" s="4">
        <v>8.74</v>
      </c>
      <c r="D454" s="4">
        <v>4.5395000000000003</v>
      </c>
      <c r="E454" s="4">
        <v>100</v>
      </c>
      <c r="F454" s="4"/>
      <c r="G454" s="4"/>
      <c r="H454" s="5">
        <f t="shared" si="6"/>
        <v>2.8245900154027524E-2</v>
      </c>
    </row>
    <row r="455" spans="1:8" ht="13.5" x14ac:dyDescent="0.25">
      <c r="A455" s="1"/>
      <c r="B455" s="3">
        <v>42962</v>
      </c>
      <c r="C455" s="4">
        <v>8.74</v>
      </c>
      <c r="D455" s="4">
        <v>4.5395000000000003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8.5</v>
      </c>
      <c r="D456" s="4">
        <v>4.4147999999999996</v>
      </c>
      <c r="E456" s="4">
        <v>224</v>
      </c>
      <c r="F456" s="4"/>
      <c r="G456" s="4"/>
      <c r="H456" s="5">
        <f t="shared" si="7"/>
        <v>-2.7469985681242579E-2</v>
      </c>
    </row>
    <row r="457" spans="1:8" ht="13.5" x14ac:dyDescent="0.25">
      <c r="A457" s="1"/>
      <c r="B457" s="3">
        <v>42964</v>
      </c>
      <c r="C457" s="4">
        <v>8.75</v>
      </c>
      <c r="D457" s="4">
        <v>4.5446999999999997</v>
      </c>
      <c r="E457" s="4">
        <v>300</v>
      </c>
      <c r="F457" s="4"/>
      <c r="G457" s="4"/>
      <c r="H457" s="5">
        <f t="shared" si="7"/>
        <v>2.9423756455558607E-2</v>
      </c>
    </row>
    <row r="458" spans="1:8" ht="13.5" x14ac:dyDescent="0.25">
      <c r="A458" s="1"/>
      <c r="B458" s="3">
        <v>42965</v>
      </c>
      <c r="C458" s="4">
        <v>8.75</v>
      </c>
      <c r="D458" s="4">
        <v>4.5446999999999997</v>
      </c>
      <c r="E458" s="4">
        <v>52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8.5</v>
      </c>
      <c r="D459" s="4">
        <v>4.4147999999999996</v>
      </c>
      <c r="E459" s="4">
        <v>20</v>
      </c>
      <c r="F459" s="4"/>
      <c r="G459" s="4"/>
      <c r="H459" s="5">
        <f t="shared" si="7"/>
        <v>-2.8582744735626144E-2</v>
      </c>
    </row>
    <row r="460" spans="1:8" ht="13.5" x14ac:dyDescent="0.25">
      <c r="A460" s="1"/>
      <c r="B460" s="3">
        <v>42969</v>
      </c>
      <c r="C460" s="4">
        <v>8.5</v>
      </c>
      <c r="D460" s="4">
        <v>4.4147999999999996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8.74</v>
      </c>
      <c r="D461" s="4">
        <v>4.5395000000000003</v>
      </c>
      <c r="E461" s="4">
        <v>1416</v>
      </c>
      <c r="F461" s="4"/>
      <c r="G461" s="4"/>
      <c r="H461" s="5">
        <f t="shared" si="7"/>
        <v>2.8245900154027524E-2</v>
      </c>
    </row>
    <row r="462" spans="1:8" ht="13.5" x14ac:dyDescent="0.25">
      <c r="A462" s="1"/>
      <c r="B462" s="3">
        <v>42971</v>
      </c>
      <c r="C462" s="4">
        <v>8.75</v>
      </c>
      <c r="D462" s="4">
        <v>4.5446999999999997</v>
      </c>
      <c r="E462" s="4">
        <v>200</v>
      </c>
      <c r="F462" s="4"/>
      <c r="G462" s="4"/>
      <c r="H462" s="5">
        <f t="shared" si="7"/>
        <v>1.1455006057934634E-3</v>
      </c>
    </row>
    <row r="463" spans="1:8" ht="13.5" x14ac:dyDescent="0.25">
      <c r="A463" s="1"/>
      <c r="B463" s="3">
        <v>42972</v>
      </c>
      <c r="C463" s="4">
        <v>8.8800000000000008</v>
      </c>
      <c r="D463" s="4">
        <v>4.6121999999999996</v>
      </c>
      <c r="E463" s="4">
        <v>1074</v>
      </c>
      <c r="F463" s="4"/>
      <c r="G463" s="4"/>
      <c r="H463" s="5">
        <f t="shared" si="7"/>
        <v>1.4852465509274517E-2</v>
      </c>
    </row>
    <row r="464" spans="1:8" ht="13.5" x14ac:dyDescent="0.25">
      <c r="A464" s="1"/>
      <c r="B464" s="3">
        <v>42975</v>
      </c>
      <c r="C464" s="4">
        <v>8.85</v>
      </c>
      <c r="D464" s="4">
        <v>4.5965999999999996</v>
      </c>
      <c r="E464" s="4">
        <v>178</v>
      </c>
      <c r="F464" s="4"/>
      <c r="G464" s="4"/>
      <c r="H464" s="5">
        <f t="shared" si="7"/>
        <v>-3.3823338103291401E-3</v>
      </c>
    </row>
    <row r="465" spans="1:8" ht="13.5" x14ac:dyDescent="0.25">
      <c r="A465" s="1"/>
      <c r="B465" s="3">
        <v>42976</v>
      </c>
      <c r="C465" s="4">
        <v>8.83</v>
      </c>
      <c r="D465" s="4">
        <v>4.5861999999999998</v>
      </c>
      <c r="E465" s="4">
        <v>740</v>
      </c>
      <c r="F465" s="4"/>
      <c r="G465" s="4"/>
      <c r="H465" s="5">
        <f t="shared" si="7"/>
        <v>-2.262541878779912E-3</v>
      </c>
    </row>
    <row r="466" spans="1:8" ht="13.5" x14ac:dyDescent="0.25">
      <c r="A466" s="1"/>
      <c r="B466" s="3">
        <v>42977</v>
      </c>
      <c r="C466" s="4">
        <v>8.94</v>
      </c>
      <c r="D466" s="4">
        <v>4.6433999999999997</v>
      </c>
      <c r="E466" s="4">
        <v>3096</v>
      </c>
      <c r="F466" s="4"/>
      <c r="G466" s="4"/>
      <c r="H466" s="5">
        <f t="shared" si="7"/>
        <v>1.2472199206314578E-2</v>
      </c>
    </row>
    <row r="467" spans="1:8" ht="13.5" x14ac:dyDescent="0.25">
      <c r="A467" s="1"/>
      <c r="B467" s="3">
        <v>42978</v>
      </c>
      <c r="C467" s="4">
        <v>9.2200000000000006</v>
      </c>
      <c r="D467" s="4">
        <v>4.7888000000000002</v>
      </c>
      <c r="E467" s="4">
        <v>4416</v>
      </c>
      <c r="F467" s="4"/>
      <c r="G467" s="4"/>
      <c r="H467" s="5">
        <f t="shared" si="7"/>
        <v>3.1313261834001037E-2</v>
      </c>
    </row>
    <row r="468" spans="1:8" ht="13.5" x14ac:dyDescent="0.25">
      <c r="A468" s="1"/>
      <c r="B468" s="3">
        <v>42982</v>
      </c>
      <c r="C468" s="4">
        <v>9.25</v>
      </c>
      <c r="D468" s="4">
        <v>4.8044000000000002</v>
      </c>
      <c r="E468" s="4">
        <v>3253</v>
      </c>
      <c r="F468" s="4"/>
      <c r="G468" s="4"/>
      <c r="H468" s="5">
        <f t="shared" si="7"/>
        <v>3.2576010691613886E-3</v>
      </c>
    </row>
    <row r="469" spans="1:8" ht="13.5" x14ac:dyDescent="0.25">
      <c r="A469" s="1"/>
      <c r="B469" s="3">
        <v>42983</v>
      </c>
      <c r="C469" s="4">
        <v>9.2899999999999991</v>
      </c>
      <c r="D469" s="4">
        <v>4.8251999999999997</v>
      </c>
      <c r="E469" s="4">
        <v>1906</v>
      </c>
      <c r="F469" s="4"/>
      <c r="G469" s="4"/>
      <c r="H469" s="5">
        <f t="shared" si="7"/>
        <v>4.329364748979994E-3</v>
      </c>
    </row>
    <row r="470" spans="1:8" ht="13.5" x14ac:dyDescent="0.25">
      <c r="A470" s="1"/>
      <c r="B470" s="3">
        <v>42984</v>
      </c>
      <c r="C470" s="4">
        <v>9.2200000000000006</v>
      </c>
      <c r="D470" s="4">
        <v>4.7888000000000002</v>
      </c>
      <c r="E470" s="4">
        <v>110</v>
      </c>
      <c r="F470" s="4"/>
      <c r="G470" s="4"/>
      <c r="H470" s="5">
        <f t="shared" si="7"/>
        <v>-7.5437287573571141E-3</v>
      </c>
    </row>
    <row r="471" spans="1:8" ht="13.5" x14ac:dyDescent="0.25">
      <c r="A471" s="1"/>
      <c r="B471" s="3">
        <v>42985</v>
      </c>
      <c r="C471" s="4">
        <v>9.25</v>
      </c>
      <c r="D471" s="4">
        <v>4.8044000000000002</v>
      </c>
      <c r="E471" s="4">
        <v>555</v>
      </c>
      <c r="F471" s="4"/>
      <c r="G471" s="4"/>
      <c r="H471" s="5">
        <f t="shared" si="7"/>
        <v>3.2576010691613886E-3</v>
      </c>
    </row>
    <row r="472" spans="1:8" ht="13.5" x14ac:dyDescent="0.25">
      <c r="A472" s="1"/>
      <c r="B472" s="3">
        <v>42986</v>
      </c>
      <c r="C472" s="4">
        <v>9.1999999999999993</v>
      </c>
      <c r="D472" s="4">
        <v>4.7784000000000004</v>
      </c>
      <c r="E472" s="4">
        <v>925</v>
      </c>
      <c r="F472" s="4"/>
      <c r="G472" s="4"/>
      <c r="H472" s="5">
        <f t="shared" si="7"/>
        <v>-5.4117059362250855E-3</v>
      </c>
    </row>
    <row r="473" spans="1:8" ht="13.5" x14ac:dyDescent="0.25">
      <c r="A473" s="1"/>
      <c r="B473" s="3">
        <v>42989</v>
      </c>
      <c r="C473" s="4">
        <v>9.1999999999999993</v>
      </c>
      <c r="D473" s="4">
        <v>4.7784000000000004</v>
      </c>
      <c r="E473" s="4">
        <v>1610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9.2200000000000006</v>
      </c>
      <c r="D474" s="4">
        <v>4.7888000000000002</v>
      </c>
      <c r="E474" s="4">
        <v>221</v>
      </c>
      <c r="F474" s="4"/>
      <c r="G474" s="4"/>
      <c r="H474" s="5">
        <f t="shared" si="7"/>
        <v>2.1764607399965977E-3</v>
      </c>
    </row>
    <row r="475" spans="1:8" ht="13.5" x14ac:dyDescent="0.25">
      <c r="A475" s="1"/>
      <c r="B475" s="3">
        <v>42991</v>
      </c>
      <c r="C475" s="4">
        <v>9.2200000000000006</v>
      </c>
      <c r="D475" s="4">
        <v>4.7888000000000002</v>
      </c>
      <c r="E475" s="4">
        <v>431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9.2200000000000006</v>
      </c>
      <c r="D476" s="4">
        <v>4.7888000000000002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9.1</v>
      </c>
      <c r="D477" s="4">
        <v>4.7264999999999997</v>
      </c>
      <c r="E477" s="4">
        <v>71</v>
      </c>
      <c r="F477" s="4"/>
      <c r="G477" s="4"/>
      <c r="H477" s="5">
        <f t="shared" si="7"/>
        <v>-1.3009522218509954E-2</v>
      </c>
    </row>
    <row r="478" spans="1:8" ht="13.5" x14ac:dyDescent="0.25">
      <c r="A478" s="1"/>
      <c r="B478" s="3">
        <v>42996</v>
      </c>
      <c r="C478" s="4">
        <v>9.1999999999999993</v>
      </c>
      <c r="D478" s="4">
        <v>4.7784000000000004</v>
      </c>
      <c r="E478" s="4">
        <v>367</v>
      </c>
      <c r="F478" s="4"/>
      <c r="G478" s="4"/>
      <c r="H478" s="5">
        <f t="shared" si="7"/>
        <v>1.0980641066328303E-2</v>
      </c>
    </row>
    <row r="479" spans="1:8" ht="13.5" x14ac:dyDescent="0.25">
      <c r="A479" s="1"/>
      <c r="B479" s="3">
        <v>42997</v>
      </c>
      <c r="C479" s="4">
        <v>9.1999999999999993</v>
      </c>
      <c r="D479" s="4">
        <v>4.7784000000000004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9.11</v>
      </c>
      <c r="D480" s="4">
        <v>4.7317</v>
      </c>
      <c r="E480" s="4">
        <v>645</v>
      </c>
      <c r="F480" s="4"/>
      <c r="G480" s="4"/>
      <c r="H480" s="5">
        <f t="shared" si="7"/>
        <v>-9.7731458228696635E-3</v>
      </c>
    </row>
    <row r="481" spans="1:8" ht="13.5" x14ac:dyDescent="0.25">
      <c r="A481" s="1"/>
      <c r="B481" s="3">
        <v>43000</v>
      </c>
      <c r="C481" s="4">
        <v>9.1999999999999993</v>
      </c>
      <c r="D481" s="4">
        <v>4.7784000000000004</v>
      </c>
      <c r="E481" s="4">
        <v>1605</v>
      </c>
      <c r="F481" s="4"/>
      <c r="G481" s="4"/>
      <c r="H481" s="5">
        <f t="shared" si="7"/>
        <v>9.8696028911385777E-3</v>
      </c>
    </row>
    <row r="482" spans="1:8" ht="13.5" x14ac:dyDescent="0.25">
      <c r="A482" s="1"/>
      <c r="B482" s="3">
        <v>43003</v>
      </c>
      <c r="C482" s="4">
        <v>9.25</v>
      </c>
      <c r="D482" s="4">
        <v>4.8044000000000002</v>
      </c>
      <c r="E482" s="4">
        <v>3</v>
      </c>
      <c r="F482" s="4"/>
      <c r="G482" s="4"/>
      <c r="H482" s="5">
        <f t="shared" si="7"/>
        <v>5.4411518499915866E-3</v>
      </c>
    </row>
    <row r="483" spans="1:8" ht="13.5" x14ac:dyDescent="0.25">
      <c r="A483" s="1"/>
      <c r="B483" s="3">
        <v>43004</v>
      </c>
      <c r="C483" s="4">
        <v>9.25</v>
      </c>
      <c r="D483" s="4">
        <v>4.8044000000000002</v>
      </c>
      <c r="E483" s="4">
        <v>376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9.26</v>
      </c>
      <c r="D484" s="4">
        <v>4.8095999999999997</v>
      </c>
      <c r="E484" s="4">
        <v>828</v>
      </c>
      <c r="F484" s="4"/>
      <c r="G484" s="4"/>
      <c r="H484" s="5">
        <f t="shared" si="7"/>
        <v>1.0823411872449061E-3</v>
      </c>
    </row>
    <row r="485" spans="1:8" ht="13.5" x14ac:dyDescent="0.25">
      <c r="A485" s="1"/>
      <c r="B485" s="3">
        <v>43006</v>
      </c>
      <c r="C485" s="4">
        <v>9.25</v>
      </c>
      <c r="D485" s="4">
        <v>4.8044000000000002</v>
      </c>
      <c r="E485" s="4">
        <v>300</v>
      </c>
      <c r="F485" s="4"/>
      <c r="G485" s="4"/>
      <c r="H485" s="5">
        <f t="shared" si="7"/>
        <v>-1.081170991350513E-3</v>
      </c>
    </row>
    <row r="486" spans="1:8" ht="13.5" x14ac:dyDescent="0.25">
      <c r="A486" s="1"/>
      <c r="B486" s="3">
        <v>43007</v>
      </c>
      <c r="C486" s="4">
        <v>9.25</v>
      </c>
      <c r="D486" s="4">
        <v>4.8044000000000002</v>
      </c>
      <c r="E486" s="4">
        <v>274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9.4499999999999993</v>
      </c>
      <c r="D487" s="4">
        <v>4.9082999999999997</v>
      </c>
      <c r="E487" s="4">
        <v>1723</v>
      </c>
      <c r="F487" s="4"/>
      <c r="G487" s="4"/>
      <c r="H487" s="5">
        <f t="shared" si="7"/>
        <v>2.1626009491299523E-2</v>
      </c>
    </row>
    <row r="488" spans="1:8" ht="13.5" x14ac:dyDescent="0.25">
      <c r="A488" s="1"/>
      <c r="B488" s="3">
        <v>43011</v>
      </c>
      <c r="C488" s="4">
        <v>9.25</v>
      </c>
      <c r="D488" s="4">
        <v>4.8044000000000002</v>
      </c>
      <c r="E488" s="4">
        <v>227</v>
      </c>
      <c r="F488" s="4"/>
      <c r="G488" s="4"/>
      <c r="H488" s="5">
        <f t="shared" si="7"/>
        <v>-2.1168225251105156E-2</v>
      </c>
    </row>
    <row r="489" spans="1:8" ht="13.5" x14ac:dyDescent="0.25">
      <c r="A489" s="1"/>
      <c r="B489" s="3">
        <v>43012</v>
      </c>
      <c r="C489" s="4">
        <v>9.25</v>
      </c>
      <c r="D489" s="4">
        <v>4.8044000000000002</v>
      </c>
      <c r="E489" s="4">
        <v>38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9.25</v>
      </c>
      <c r="D490" s="4">
        <v>4.8044000000000002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9.25</v>
      </c>
      <c r="D491" s="4">
        <v>4.8044000000000002</v>
      </c>
      <c r="E491" s="4">
        <v>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9.3000000000000007</v>
      </c>
      <c r="D492" s="4">
        <v>4.8303000000000003</v>
      </c>
      <c r="E492" s="4">
        <v>977</v>
      </c>
      <c r="F492" s="4"/>
      <c r="G492" s="4"/>
      <c r="H492" s="5">
        <f t="shared" si="7"/>
        <v>5.390891682624268E-3</v>
      </c>
    </row>
    <row r="493" spans="1:8" ht="13.5" x14ac:dyDescent="0.25">
      <c r="A493" s="1"/>
      <c r="B493" s="3">
        <v>43018</v>
      </c>
      <c r="C493" s="4">
        <v>9.3000000000000007</v>
      </c>
      <c r="D493" s="4">
        <v>4.8303000000000003</v>
      </c>
      <c r="E493" s="4">
        <v>10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9.0299999999999994</v>
      </c>
      <c r="D494" s="4">
        <v>4.6901000000000002</v>
      </c>
      <c r="E494" s="4">
        <v>32</v>
      </c>
      <c r="F494" s="4"/>
      <c r="G494" s="4"/>
      <c r="H494" s="5">
        <f t="shared" si="7"/>
        <v>-2.9025112311864706E-2</v>
      </c>
    </row>
    <row r="495" spans="1:8" ht="13.5" x14ac:dyDescent="0.25">
      <c r="A495" s="1"/>
      <c r="B495" s="3">
        <v>43020</v>
      </c>
      <c r="C495" s="4">
        <v>9.25</v>
      </c>
      <c r="D495" s="4">
        <v>4.8044000000000002</v>
      </c>
      <c r="E495" s="4">
        <v>10</v>
      </c>
      <c r="F495" s="4"/>
      <c r="G495" s="4"/>
      <c r="H495" s="5">
        <f t="shared" si="7"/>
        <v>2.4370482505703516E-2</v>
      </c>
    </row>
    <row r="496" spans="1:8" ht="13.5" x14ac:dyDescent="0.25">
      <c r="A496" s="1"/>
      <c r="B496" s="3">
        <v>43021</v>
      </c>
      <c r="C496" s="4">
        <v>9.25</v>
      </c>
      <c r="D496" s="4">
        <v>4.8044000000000002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9.25</v>
      </c>
      <c r="D497" s="4">
        <v>4.8044000000000002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9.02</v>
      </c>
      <c r="D498" s="4">
        <v>4.6848999999999998</v>
      </c>
      <c r="E498" s="4">
        <v>461</v>
      </c>
      <c r="F498" s="4"/>
      <c r="G498" s="4"/>
      <c r="H498" s="5">
        <f t="shared" si="7"/>
        <v>-2.4873033053034798E-2</v>
      </c>
    </row>
    <row r="499" spans="1:8" ht="13.5" x14ac:dyDescent="0.25">
      <c r="A499" s="1"/>
      <c r="B499" s="3">
        <v>43026</v>
      </c>
      <c r="C499" s="4">
        <v>9.14</v>
      </c>
      <c r="D499" s="4">
        <v>4.7472000000000003</v>
      </c>
      <c r="E499" s="4">
        <v>10</v>
      </c>
      <c r="F499" s="4"/>
      <c r="G499" s="4"/>
      <c r="H499" s="5">
        <f t="shared" si="7"/>
        <v>1.3298042647655333E-2</v>
      </c>
    </row>
    <row r="500" spans="1:8" ht="13.5" x14ac:dyDescent="0.25">
      <c r="A500" s="1"/>
      <c r="B500" s="3">
        <v>43027</v>
      </c>
      <c r="C500" s="4">
        <v>9.1199999999999992</v>
      </c>
      <c r="D500" s="4">
        <v>4.7369000000000003</v>
      </c>
      <c r="E500" s="4">
        <v>860</v>
      </c>
      <c r="F500" s="4"/>
      <c r="G500" s="4"/>
      <c r="H500" s="5">
        <f t="shared" si="7"/>
        <v>-2.1697000337040731E-3</v>
      </c>
    </row>
    <row r="501" spans="1:8" ht="13.5" x14ac:dyDescent="0.25">
      <c r="A501" s="1"/>
      <c r="B501" s="3">
        <v>43028</v>
      </c>
      <c r="C501" s="4">
        <v>9.1</v>
      </c>
      <c r="D501" s="4">
        <v>4.7264999999999997</v>
      </c>
      <c r="E501" s="4">
        <v>818</v>
      </c>
      <c r="F501" s="4"/>
      <c r="G501" s="4"/>
      <c r="H501" s="5">
        <f t="shared" si="7"/>
        <v>-2.1955287213157614E-3</v>
      </c>
    </row>
    <row r="502" spans="1:8" ht="13.5" x14ac:dyDescent="0.25">
      <c r="A502" s="1"/>
      <c r="B502" s="3">
        <v>43031</v>
      </c>
      <c r="C502" s="4">
        <v>9</v>
      </c>
      <c r="D502" s="4">
        <v>4.6745000000000001</v>
      </c>
      <c r="E502" s="4">
        <v>1169</v>
      </c>
      <c r="F502" s="4"/>
      <c r="G502" s="4"/>
      <c r="H502" s="5">
        <f t="shared" si="7"/>
        <v>-1.1001798370887465E-2</v>
      </c>
    </row>
    <row r="503" spans="1:8" ht="13.5" x14ac:dyDescent="0.25">
      <c r="A503" s="1"/>
      <c r="B503" s="3">
        <v>43032</v>
      </c>
      <c r="C503" s="4">
        <v>9</v>
      </c>
      <c r="D503" s="4">
        <v>4.6745000000000001</v>
      </c>
      <c r="E503" s="4">
        <v>204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9.11</v>
      </c>
      <c r="D504" s="4">
        <v>4.7317</v>
      </c>
      <c r="E504" s="4">
        <v>1820</v>
      </c>
      <c r="F504" s="4"/>
      <c r="G504" s="4"/>
      <c r="H504" s="5">
        <f t="shared" si="7"/>
        <v>1.223660284522407E-2</v>
      </c>
    </row>
    <row r="505" spans="1:8" ht="13.5" x14ac:dyDescent="0.25">
      <c r="A505" s="1"/>
      <c r="B505" s="3">
        <v>43034</v>
      </c>
      <c r="C505" s="4">
        <v>9.1199999999999992</v>
      </c>
      <c r="D505" s="4">
        <v>4.7369000000000003</v>
      </c>
      <c r="E505" s="4">
        <v>574</v>
      </c>
      <c r="F505" s="4"/>
      <c r="G505" s="4"/>
      <c r="H505" s="5">
        <f t="shared" si="7"/>
        <v>1.0989707716043526E-3</v>
      </c>
    </row>
    <row r="506" spans="1:8" ht="13.5" x14ac:dyDescent="0.25">
      <c r="A506" s="1"/>
      <c r="B506" s="3">
        <v>43035</v>
      </c>
      <c r="C506" s="4">
        <v>9.1199999999999992</v>
      </c>
      <c r="D506" s="4">
        <v>4.7369000000000003</v>
      </c>
      <c r="E506" s="4">
        <v>347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9.1199999999999992</v>
      </c>
      <c r="D507" s="4">
        <v>4.7369000000000003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9.14</v>
      </c>
      <c r="D508" s="4">
        <v>4.7472000000000003</v>
      </c>
      <c r="E508" s="4">
        <v>598</v>
      </c>
      <c r="F508" s="4"/>
      <c r="G508" s="4"/>
      <c r="H508" s="5">
        <f t="shared" si="7"/>
        <v>2.1744178682260498E-3</v>
      </c>
    </row>
    <row r="509" spans="1:8" ht="13.5" x14ac:dyDescent="0.25">
      <c r="A509" s="1"/>
      <c r="B509" s="3">
        <v>43040</v>
      </c>
      <c r="C509" s="4">
        <v>9.14</v>
      </c>
      <c r="D509" s="4">
        <v>4.7472000000000003</v>
      </c>
      <c r="E509" s="4">
        <v>866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9.1999999999999993</v>
      </c>
      <c r="D510" s="4">
        <v>4.7784000000000004</v>
      </c>
      <c r="E510" s="4">
        <v>637</v>
      </c>
      <c r="F510" s="4"/>
      <c r="G510" s="4"/>
      <c r="H510" s="5">
        <f t="shared" si="7"/>
        <v>6.5722952477249991E-3</v>
      </c>
    </row>
    <row r="511" spans="1:8" ht="13.5" x14ac:dyDescent="0.25">
      <c r="A511" s="1"/>
      <c r="B511" s="3">
        <v>43042</v>
      </c>
      <c r="C511" s="4">
        <v>9.1999999999999993</v>
      </c>
      <c r="D511" s="4">
        <v>4.7784000000000004</v>
      </c>
      <c r="E511" s="4">
        <v>330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9.1999999999999993</v>
      </c>
      <c r="D512" s="4">
        <v>4.7784000000000004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9.1999999999999993</v>
      </c>
      <c r="D513" s="4">
        <v>4.7784000000000004</v>
      </c>
      <c r="E513" s="4">
        <v>5237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9.23</v>
      </c>
      <c r="D514" s="4">
        <v>4.7939999999999996</v>
      </c>
      <c r="E514" s="4">
        <v>732</v>
      </c>
      <c r="F514" s="4"/>
      <c r="G514" s="4"/>
      <c r="H514" s="5">
        <f t="shared" si="7"/>
        <v>3.2646911099948033E-3</v>
      </c>
    </row>
    <row r="515" spans="1:8" ht="13.5" x14ac:dyDescent="0.25">
      <c r="A515" s="1"/>
      <c r="B515" s="3">
        <v>43048</v>
      </c>
      <c r="C515" s="4">
        <v>9.23</v>
      </c>
      <c r="D515" s="4">
        <v>4.7939999999999996</v>
      </c>
      <c r="E515" s="4">
        <v>761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9.24</v>
      </c>
      <c r="D516" s="4">
        <v>4.7991999999999999</v>
      </c>
      <c r="E516" s="4">
        <v>100</v>
      </c>
      <c r="F516" s="4"/>
      <c r="G516" s="4"/>
      <c r="H516" s="5">
        <f t="shared" si="7"/>
        <v>1.0846891948269328E-3</v>
      </c>
    </row>
    <row r="517" spans="1:8" ht="13.5" x14ac:dyDescent="0.25">
      <c r="A517" s="1"/>
      <c r="B517" s="3">
        <v>43052</v>
      </c>
      <c r="C517" s="4">
        <v>9.24</v>
      </c>
      <c r="D517" s="4">
        <v>4.7991999999999999</v>
      </c>
      <c r="E517" s="4">
        <v>180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9.2100000000000009</v>
      </c>
      <c r="D518" s="4">
        <v>4.7835999999999999</v>
      </c>
      <c r="E518" s="4">
        <v>553</v>
      </c>
      <c r="F518" s="4"/>
      <c r="G518" s="4"/>
      <c r="H518" s="5">
        <f t="shared" si="7"/>
        <v>-3.2505417569595055E-3</v>
      </c>
    </row>
    <row r="519" spans="1:8" ht="13.5" x14ac:dyDescent="0.25">
      <c r="A519" s="1"/>
      <c r="B519" s="3">
        <v>43054</v>
      </c>
      <c r="C519" s="4">
        <v>9.3000000000000007</v>
      </c>
      <c r="D519" s="4">
        <v>4.8303000000000003</v>
      </c>
      <c r="E519" s="4">
        <v>4842</v>
      </c>
      <c r="F519" s="4"/>
      <c r="G519" s="4"/>
      <c r="H519" s="5">
        <f t="shared" ref="H519:H582" si="8">(D519-D518)/D518</f>
        <v>9.7625219499959046E-3</v>
      </c>
    </row>
    <row r="520" spans="1:8" ht="13.5" x14ac:dyDescent="0.25">
      <c r="A520" s="1"/>
      <c r="B520" s="3">
        <v>43055</v>
      </c>
      <c r="C520" s="4">
        <v>9.3000000000000007</v>
      </c>
      <c r="D520" s="4">
        <v>4.8303000000000003</v>
      </c>
      <c r="E520" s="4">
        <v>1120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9.3000000000000007</v>
      </c>
      <c r="D521" s="4">
        <v>4.8303000000000003</v>
      </c>
      <c r="E521" s="4">
        <v>551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9.3000000000000007</v>
      </c>
      <c r="D522" s="4">
        <v>4.8303000000000003</v>
      </c>
      <c r="E522" s="4">
        <v>200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9.3000000000000007</v>
      </c>
      <c r="D523" s="4">
        <v>4.8303000000000003</v>
      </c>
      <c r="E523" s="4">
        <v>1714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9.3000000000000007</v>
      </c>
      <c r="D524" s="4">
        <v>4.8303000000000003</v>
      </c>
      <c r="E524" s="4">
        <v>500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9.3000000000000007</v>
      </c>
      <c r="D525" s="4">
        <v>4.8303000000000003</v>
      </c>
      <c r="E525" s="4">
        <v>171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9.43</v>
      </c>
      <c r="D526" s="4">
        <v>4.8978999999999999</v>
      </c>
      <c r="E526" s="4">
        <v>431</v>
      </c>
      <c r="F526" s="4"/>
      <c r="G526" s="4"/>
      <c r="H526" s="5">
        <f t="shared" si="8"/>
        <v>1.3994989959215713E-2</v>
      </c>
    </row>
    <row r="527" spans="1:8" ht="13.5" x14ac:dyDescent="0.25">
      <c r="A527" s="1"/>
      <c r="B527" s="3">
        <v>43066</v>
      </c>
      <c r="C527" s="4">
        <v>9.43</v>
      </c>
      <c r="D527" s="4">
        <v>4.8978999999999999</v>
      </c>
      <c r="E527" s="4">
        <v>579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9.43</v>
      </c>
      <c r="D528" s="4">
        <v>4.8978999999999999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9.4499999999999993</v>
      </c>
      <c r="D529" s="4">
        <v>4.9082999999999997</v>
      </c>
      <c r="E529" s="4">
        <v>722</v>
      </c>
      <c r="F529" s="4"/>
      <c r="G529" s="4"/>
      <c r="H529" s="5">
        <f t="shared" si="8"/>
        <v>2.1233589905877504E-3</v>
      </c>
    </row>
    <row r="530" spans="1:8" ht="13.5" x14ac:dyDescent="0.25">
      <c r="A530" s="1"/>
      <c r="B530" s="3">
        <v>43069</v>
      </c>
      <c r="C530" s="4">
        <v>9.4499999999999993</v>
      </c>
      <c r="D530" s="4">
        <v>4.9082999999999997</v>
      </c>
      <c r="E530" s="4">
        <v>1039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9.5</v>
      </c>
      <c r="D531" s="4">
        <v>4.9341999999999997</v>
      </c>
      <c r="E531" s="4">
        <v>450</v>
      </c>
      <c r="F531" s="4"/>
      <c r="G531" s="4"/>
      <c r="H531" s="5">
        <f t="shared" si="8"/>
        <v>5.2767760731821682E-3</v>
      </c>
    </row>
    <row r="532" spans="1:8" ht="13.5" x14ac:dyDescent="0.25">
      <c r="A532" s="1"/>
      <c r="B532" s="3">
        <v>43074</v>
      </c>
      <c r="C532" s="4">
        <v>9.58</v>
      </c>
      <c r="D532" s="4">
        <v>4.9757999999999996</v>
      </c>
      <c r="E532" s="4">
        <v>100</v>
      </c>
      <c r="F532" s="4"/>
      <c r="G532" s="4"/>
      <c r="H532" s="5">
        <f t="shared" si="8"/>
        <v>8.430951319362787E-3</v>
      </c>
    </row>
    <row r="533" spans="1:8" ht="13.5" x14ac:dyDescent="0.25">
      <c r="A533" s="1"/>
      <c r="B533" s="3">
        <v>43075</v>
      </c>
      <c r="C533" s="4">
        <v>9.56</v>
      </c>
      <c r="D533" s="4">
        <v>4.9653999999999998</v>
      </c>
      <c r="E533" s="4">
        <v>280</v>
      </c>
      <c r="F533" s="4"/>
      <c r="G533" s="4"/>
      <c r="H533" s="5">
        <f t="shared" si="8"/>
        <v>-2.0901161622251183E-3</v>
      </c>
    </row>
    <row r="534" spans="1:8" ht="13.5" x14ac:dyDescent="0.25">
      <c r="A534" s="1"/>
      <c r="B534" s="3">
        <v>43076</v>
      </c>
      <c r="C534" s="4">
        <v>9.56</v>
      </c>
      <c r="D534" s="4">
        <v>4.9653999999999998</v>
      </c>
      <c r="E534" s="4">
        <v>150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9.56</v>
      </c>
      <c r="D535" s="4">
        <v>4.9653999999999998</v>
      </c>
      <c r="E535" s="4">
        <v>200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9.58</v>
      </c>
      <c r="D536" s="4">
        <v>4.9757999999999996</v>
      </c>
      <c r="E536" s="4">
        <v>1003</v>
      </c>
      <c r="F536" s="4"/>
      <c r="G536" s="4"/>
      <c r="H536" s="5">
        <f t="shared" si="8"/>
        <v>2.0944938977725345E-3</v>
      </c>
    </row>
    <row r="537" spans="1:8" ht="13.5" x14ac:dyDescent="0.25">
      <c r="A537" s="1"/>
      <c r="B537" s="3">
        <v>43081</v>
      </c>
      <c r="C537" s="4">
        <v>9.64</v>
      </c>
      <c r="D537" s="4">
        <v>5.0068999999999999</v>
      </c>
      <c r="E537" s="4">
        <v>470</v>
      </c>
      <c r="F537" s="4"/>
      <c r="G537" s="4"/>
      <c r="H537" s="5">
        <f t="shared" si="8"/>
        <v>6.2502512158849532E-3</v>
      </c>
    </row>
    <row r="538" spans="1:8" ht="13.5" x14ac:dyDescent="0.25">
      <c r="A538" s="1"/>
      <c r="B538" s="3">
        <v>43082</v>
      </c>
      <c r="C538" s="4">
        <v>9.5</v>
      </c>
      <c r="D538" s="4">
        <v>4.9341999999999997</v>
      </c>
      <c r="E538" s="4">
        <v>242</v>
      </c>
      <c r="F538" s="4"/>
      <c r="G538" s="4"/>
      <c r="H538" s="5">
        <f t="shared" si="8"/>
        <v>-1.4519962451816535E-2</v>
      </c>
    </row>
    <row r="539" spans="1:8" ht="13.5" x14ac:dyDescent="0.25">
      <c r="A539" s="1"/>
      <c r="B539" s="3">
        <v>43083</v>
      </c>
      <c r="C539" s="4">
        <v>9.65</v>
      </c>
      <c r="D539" s="4">
        <v>5.0121000000000002</v>
      </c>
      <c r="E539" s="4">
        <v>2620</v>
      </c>
      <c r="F539" s="4"/>
      <c r="G539" s="4"/>
      <c r="H539" s="5">
        <f t="shared" si="8"/>
        <v>1.5787767013903071E-2</v>
      </c>
    </row>
    <row r="540" spans="1:8" ht="13.5" x14ac:dyDescent="0.25">
      <c r="A540" s="1"/>
      <c r="B540" s="3">
        <v>43084</v>
      </c>
      <c r="C540" s="4">
        <v>9.5</v>
      </c>
      <c r="D540" s="4">
        <v>4.9341999999999997</v>
      </c>
      <c r="E540" s="4">
        <v>435</v>
      </c>
      <c r="F540" s="4"/>
      <c r="G540" s="4"/>
      <c r="H540" s="5">
        <f t="shared" si="8"/>
        <v>-1.5542387422437805E-2</v>
      </c>
    </row>
    <row r="541" spans="1:8" ht="13.5" x14ac:dyDescent="0.25">
      <c r="A541" s="1"/>
      <c r="B541" s="3">
        <v>43087</v>
      </c>
      <c r="C541" s="4">
        <v>9.65</v>
      </c>
      <c r="D541" s="4">
        <v>5.0121000000000002</v>
      </c>
      <c r="E541" s="4">
        <v>210</v>
      </c>
      <c r="F541" s="4"/>
      <c r="G541" s="4"/>
      <c r="H541" s="5">
        <f t="shared" si="8"/>
        <v>1.5787767013903071E-2</v>
      </c>
    </row>
    <row r="542" spans="1:8" ht="13.5" x14ac:dyDescent="0.25">
      <c r="A542" s="1"/>
      <c r="B542" s="3">
        <v>43088</v>
      </c>
      <c r="C542" s="4">
        <v>9.6999999999999993</v>
      </c>
      <c r="D542" s="4">
        <v>5.0381</v>
      </c>
      <c r="E542" s="4">
        <v>1219</v>
      </c>
      <c r="F542" s="4"/>
      <c r="G542" s="4"/>
      <c r="H542" s="5">
        <f t="shared" si="8"/>
        <v>5.1874463797609389E-3</v>
      </c>
    </row>
    <row r="543" spans="1:8" ht="13.5" x14ac:dyDescent="0.25">
      <c r="A543" s="1"/>
      <c r="B543" s="3">
        <v>43089</v>
      </c>
      <c r="C543" s="4">
        <v>9.75</v>
      </c>
      <c r="D543" s="4">
        <v>5.0640999999999998</v>
      </c>
      <c r="E543" s="4">
        <v>915</v>
      </c>
      <c r="F543" s="4"/>
      <c r="G543" s="4"/>
      <c r="H543" s="5">
        <f t="shared" si="8"/>
        <v>5.1606756515352615E-3</v>
      </c>
    </row>
    <row r="544" spans="1:8" ht="13.5" x14ac:dyDescent="0.25">
      <c r="A544" s="1"/>
      <c r="B544" s="3">
        <v>43090</v>
      </c>
      <c r="C544" s="4">
        <v>9.8000000000000007</v>
      </c>
      <c r="D544" s="4">
        <v>5.09</v>
      </c>
      <c r="E544" s="4">
        <v>393</v>
      </c>
      <c r="F544" s="4"/>
      <c r="G544" s="4"/>
      <c r="H544" s="5">
        <f t="shared" si="8"/>
        <v>5.1144329693331558E-3</v>
      </c>
    </row>
    <row r="545" spans="1:8" ht="13.5" x14ac:dyDescent="0.25">
      <c r="A545" s="1"/>
      <c r="B545" s="3">
        <v>43091</v>
      </c>
      <c r="C545" s="4">
        <v>9.82</v>
      </c>
      <c r="D545" s="4">
        <v>5.1003999999999996</v>
      </c>
      <c r="E545" s="4">
        <v>2492</v>
      </c>
      <c r="F545" s="4"/>
      <c r="G545" s="4"/>
      <c r="H545" s="5">
        <f t="shared" si="8"/>
        <v>2.0432220039292228E-3</v>
      </c>
    </row>
    <row r="546" spans="1:8" ht="13.5" x14ac:dyDescent="0.25">
      <c r="A546" s="1"/>
      <c r="B546" s="3">
        <v>43094</v>
      </c>
      <c r="C546" s="4">
        <v>10.1</v>
      </c>
      <c r="D546" s="4">
        <v>5.2458999999999998</v>
      </c>
      <c r="E546" s="4">
        <v>6860</v>
      </c>
      <c r="F546" s="4"/>
      <c r="G546" s="4"/>
      <c r="H546" s="5">
        <f t="shared" si="8"/>
        <v>2.8527174339267547E-2</v>
      </c>
    </row>
    <row r="547" spans="1:8" ht="13.5" x14ac:dyDescent="0.25">
      <c r="A547" s="1"/>
      <c r="B547" s="3">
        <v>43095</v>
      </c>
      <c r="C547" s="4">
        <v>10.199999999999999</v>
      </c>
      <c r="D547" s="4">
        <v>5.2977999999999996</v>
      </c>
      <c r="E547" s="4">
        <v>6648</v>
      </c>
      <c r="F547" s="4"/>
      <c r="G547" s="4"/>
      <c r="H547" s="5">
        <f t="shared" si="8"/>
        <v>9.893440591700154E-3</v>
      </c>
    </row>
    <row r="548" spans="1:8" ht="13.5" x14ac:dyDescent="0.25">
      <c r="A548" s="1"/>
      <c r="B548" s="3">
        <v>43096</v>
      </c>
      <c r="C548" s="4">
        <v>10.199999999999999</v>
      </c>
      <c r="D548" s="4">
        <v>5.2977999999999996</v>
      </c>
      <c r="E548" s="4">
        <v>504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10.44</v>
      </c>
      <c r="D549" s="4">
        <v>5.4225000000000003</v>
      </c>
      <c r="E549" s="4">
        <v>6760</v>
      </c>
      <c r="F549" s="4"/>
      <c r="G549" s="4"/>
      <c r="H549" s="5">
        <f t="shared" si="8"/>
        <v>2.3538072407414533E-2</v>
      </c>
    </row>
    <row r="550" spans="1:8" ht="13.5" x14ac:dyDescent="0.25">
      <c r="A550" s="1"/>
      <c r="B550" s="3">
        <v>43098</v>
      </c>
      <c r="C550" s="4">
        <v>10.55</v>
      </c>
      <c r="D550" s="4">
        <v>5.4795999999999996</v>
      </c>
      <c r="E550" s="4">
        <v>13029</v>
      </c>
      <c r="F550" s="4"/>
      <c r="G550" s="4"/>
      <c r="H550" s="5">
        <f t="shared" si="8"/>
        <v>1.0530198248040435E-2</v>
      </c>
    </row>
    <row r="551" spans="1:8" ht="13.5" x14ac:dyDescent="0.25">
      <c r="A551" s="1"/>
      <c r="B551" s="3">
        <v>43102</v>
      </c>
      <c r="C551" s="4">
        <v>10.7</v>
      </c>
      <c r="D551" s="4">
        <v>5.5575000000000001</v>
      </c>
      <c r="E551" s="4">
        <v>3252</v>
      </c>
      <c r="F551" s="4"/>
      <c r="G551" s="4"/>
      <c r="H551" s="5">
        <f t="shared" si="8"/>
        <v>1.4216366158113827E-2</v>
      </c>
    </row>
    <row r="552" spans="1:8" ht="13.5" x14ac:dyDescent="0.25">
      <c r="A552" s="1"/>
      <c r="B552" s="3">
        <v>43103</v>
      </c>
      <c r="C552" s="4">
        <v>10.71</v>
      </c>
      <c r="D552" s="4">
        <v>5.5627000000000004</v>
      </c>
      <c r="E552" s="4">
        <v>2505</v>
      </c>
      <c r="F552" s="4"/>
      <c r="G552" s="4"/>
      <c r="H552" s="5">
        <f t="shared" si="8"/>
        <v>9.3567251461993978E-4</v>
      </c>
    </row>
    <row r="553" spans="1:8" ht="13.5" x14ac:dyDescent="0.25">
      <c r="A553" s="1"/>
      <c r="B553" s="3">
        <v>43104</v>
      </c>
      <c r="C553" s="4">
        <v>10.9</v>
      </c>
      <c r="D553" s="4">
        <v>5.6614000000000004</v>
      </c>
      <c r="E553" s="4">
        <v>1958</v>
      </c>
      <c r="F553" s="4"/>
      <c r="G553" s="4"/>
      <c r="H553" s="5">
        <f t="shared" si="8"/>
        <v>1.7743182267603862E-2</v>
      </c>
    </row>
    <row r="554" spans="1:8" ht="13.5" x14ac:dyDescent="0.25">
      <c r="A554" s="1"/>
      <c r="B554" s="3">
        <v>43105</v>
      </c>
      <c r="C554" s="4">
        <v>10.99</v>
      </c>
      <c r="D554" s="4">
        <v>5.7081</v>
      </c>
      <c r="E554" s="4">
        <v>61</v>
      </c>
      <c r="F554" s="4"/>
      <c r="G554" s="4"/>
      <c r="H554" s="5">
        <f t="shared" si="8"/>
        <v>8.2488430423569292E-3</v>
      </c>
    </row>
    <row r="555" spans="1:8" ht="13.5" x14ac:dyDescent="0.25">
      <c r="A555" s="1"/>
      <c r="B555" s="3">
        <v>43108</v>
      </c>
      <c r="C555" s="4">
        <v>10.99</v>
      </c>
      <c r="D555" s="4">
        <v>5.7081</v>
      </c>
      <c r="E555" s="4">
        <v>358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10.99</v>
      </c>
      <c r="D556" s="4">
        <v>5.7081</v>
      </c>
      <c r="E556" s="4">
        <v>310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10.99</v>
      </c>
      <c r="D557" s="4">
        <v>5.7081</v>
      </c>
      <c r="E557" s="4">
        <v>18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10.9</v>
      </c>
      <c r="D558" s="4">
        <v>5.6614000000000004</v>
      </c>
      <c r="E558" s="4">
        <v>3479</v>
      </c>
      <c r="F558" s="4"/>
      <c r="G558" s="4"/>
      <c r="H558" s="5">
        <f t="shared" si="8"/>
        <v>-8.1813563182143827E-3</v>
      </c>
    </row>
    <row r="559" spans="1:8" ht="13.5" x14ac:dyDescent="0.25">
      <c r="A559" s="1"/>
      <c r="B559" s="3">
        <v>43112</v>
      </c>
      <c r="C559" s="4">
        <v>10.9</v>
      </c>
      <c r="D559" s="4">
        <v>5.6614000000000004</v>
      </c>
      <c r="E559" s="4">
        <v>324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10.95</v>
      </c>
      <c r="D560" s="4">
        <v>5.6872999999999996</v>
      </c>
      <c r="E560" s="4">
        <v>500</v>
      </c>
      <c r="F560" s="4"/>
      <c r="G560" s="4"/>
      <c r="H560" s="5">
        <f t="shared" si="8"/>
        <v>4.5748401455468863E-3</v>
      </c>
    </row>
    <row r="561" spans="1:8" ht="13.5" x14ac:dyDescent="0.25">
      <c r="A561" s="1"/>
      <c r="B561" s="3">
        <v>43116</v>
      </c>
      <c r="C561" s="4">
        <v>10.95</v>
      </c>
      <c r="D561" s="4">
        <v>5.6872999999999996</v>
      </c>
      <c r="E561" s="4">
        <v>0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11.1</v>
      </c>
      <c r="D562" s="4">
        <v>5.7652999999999999</v>
      </c>
      <c r="E562" s="4">
        <v>5068</v>
      </c>
      <c r="F562" s="4"/>
      <c r="G562" s="4"/>
      <c r="H562" s="5">
        <f t="shared" si="8"/>
        <v>1.3714767991841523E-2</v>
      </c>
    </row>
    <row r="563" spans="1:8" ht="13.5" x14ac:dyDescent="0.25">
      <c r="A563" s="1"/>
      <c r="B563" s="3">
        <v>43118</v>
      </c>
      <c r="C563" s="4">
        <v>11.18</v>
      </c>
      <c r="D563" s="4">
        <v>5.8068</v>
      </c>
      <c r="E563" s="4">
        <v>1265</v>
      </c>
      <c r="F563" s="4"/>
      <c r="G563" s="4"/>
      <c r="H563" s="5">
        <f t="shared" si="8"/>
        <v>7.1982377326418557E-3</v>
      </c>
    </row>
    <row r="564" spans="1:8" ht="13.5" x14ac:dyDescent="0.25">
      <c r="A564" s="1"/>
      <c r="B564" s="3">
        <v>43119</v>
      </c>
      <c r="C564" s="4">
        <v>11.68</v>
      </c>
      <c r="D564" s="4">
        <v>6.0664999999999996</v>
      </c>
      <c r="E564" s="4">
        <v>7042</v>
      </c>
      <c r="F564" s="4"/>
      <c r="G564" s="4"/>
      <c r="H564" s="5">
        <f t="shared" si="8"/>
        <v>4.4723427705448716E-2</v>
      </c>
    </row>
    <row r="565" spans="1:8" ht="13.5" x14ac:dyDescent="0.25">
      <c r="A565" s="1"/>
      <c r="B565" s="3">
        <v>43122</v>
      </c>
      <c r="C565" s="4">
        <v>12.38</v>
      </c>
      <c r="D565" s="4">
        <v>6.4301000000000004</v>
      </c>
      <c r="E565" s="4">
        <v>9181</v>
      </c>
      <c r="F565" s="4"/>
      <c r="G565" s="4"/>
      <c r="H565" s="5">
        <f t="shared" si="8"/>
        <v>5.9935712519574851E-2</v>
      </c>
    </row>
    <row r="566" spans="1:8" ht="13.5" x14ac:dyDescent="0.25">
      <c r="A566" s="1"/>
      <c r="B566" s="3">
        <v>43123</v>
      </c>
      <c r="C566" s="4">
        <v>13.13</v>
      </c>
      <c r="D566" s="4">
        <v>6.8196000000000003</v>
      </c>
      <c r="E566" s="4">
        <v>19070</v>
      </c>
      <c r="F566" s="4"/>
      <c r="G566" s="4"/>
      <c r="H566" s="5">
        <f t="shared" si="8"/>
        <v>6.0574485622307578E-2</v>
      </c>
    </row>
    <row r="567" spans="1:8" ht="13.5" x14ac:dyDescent="0.25">
      <c r="A567" s="1"/>
      <c r="B567" s="3">
        <v>43124</v>
      </c>
      <c r="C567" s="4">
        <v>12.9</v>
      </c>
      <c r="D567" s="4">
        <v>6.7001999999999997</v>
      </c>
      <c r="E567" s="4">
        <v>16378</v>
      </c>
      <c r="F567" s="4"/>
      <c r="G567" s="4"/>
      <c r="H567" s="5">
        <f t="shared" si="8"/>
        <v>-1.7508358261481703E-2</v>
      </c>
    </row>
    <row r="568" spans="1:8" ht="13.5" x14ac:dyDescent="0.25">
      <c r="A568" s="1"/>
      <c r="B568" s="3">
        <v>43125</v>
      </c>
      <c r="C568" s="4">
        <v>12.9</v>
      </c>
      <c r="D568" s="4">
        <v>6.7001999999999997</v>
      </c>
      <c r="E568" s="4">
        <v>1416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12.85</v>
      </c>
      <c r="D569" s="4">
        <v>6.6741999999999999</v>
      </c>
      <c r="E569" s="4">
        <v>1384</v>
      </c>
      <c r="F569" s="4"/>
      <c r="G569" s="4"/>
      <c r="H569" s="5">
        <f t="shared" si="8"/>
        <v>-3.8804811796662492E-3</v>
      </c>
    </row>
    <row r="570" spans="1:8" ht="13.5" x14ac:dyDescent="0.25">
      <c r="A570" s="1"/>
      <c r="B570" s="3">
        <v>43129</v>
      </c>
      <c r="C570" s="4">
        <v>12.85</v>
      </c>
      <c r="D570" s="4">
        <v>6.6741999999999999</v>
      </c>
      <c r="E570" s="4">
        <v>407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12.77</v>
      </c>
      <c r="D571" s="4">
        <v>6.6326000000000001</v>
      </c>
      <c r="E571" s="4">
        <v>2228</v>
      </c>
      <c r="F571" s="4"/>
      <c r="G571" s="4"/>
      <c r="H571" s="5">
        <f t="shared" si="8"/>
        <v>-6.2329567588624646E-3</v>
      </c>
    </row>
    <row r="572" spans="1:8" ht="13.5" x14ac:dyDescent="0.25">
      <c r="A572" s="1"/>
      <c r="B572" s="3">
        <v>43131</v>
      </c>
      <c r="C572" s="4">
        <v>12.39</v>
      </c>
      <c r="D572" s="4">
        <v>6.4352999999999998</v>
      </c>
      <c r="E572" s="4">
        <v>329</v>
      </c>
      <c r="F572" s="4"/>
      <c r="G572" s="4"/>
      <c r="H572" s="5">
        <f t="shared" si="8"/>
        <v>-2.9747007206826923E-2</v>
      </c>
    </row>
    <row r="573" spans="1:8" ht="13.5" x14ac:dyDescent="0.25">
      <c r="A573" s="1"/>
      <c r="B573" s="3">
        <v>43132</v>
      </c>
      <c r="C573" s="4">
        <v>12.29</v>
      </c>
      <c r="D573" s="4">
        <v>6.3833000000000002</v>
      </c>
      <c r="E573" s="4">
        <v>710</v>
      </c>
      <c r="F573" s="4"/>
      <c r="G573" s="4"/>
      <c r="H573" s="5">
        <f t="shared" si="8"/>
        <v>-8.0804313707208055E-3</v>
      </c>
    </row>
    <row r="574" spans="1:8" ht="13.5" x14ac:dyDescent="0.25">
      <c r="A574" s="1"/>
      <c r="B574" s="3">
        <v>43133</v>
      </c>
      <c r="C574" s="4">
        <v>12.5</v>
      </c>
      <c r="D574" s="4">
        <v>6.4923999999999999</v>
      </c>
      <c r="E574" s="4">
        <v>772</v>
      </c>
      <c r="F574" s="4"/>
      <c r="G574" s="4"/>
      <c r="H574" s="5">
        <f t="shared" si="8"/>
        <v>1.709147306252248E-2</v>
      </c>
    </row>
    <row r="575" spans="1:8" ht="13.5" x14ac:dyDescent="0.25">
      <c r="A575" s="1"/>
      <c r="B575" s="3">
        <v>43136</v>
      </c>
      <c r="C575" s="4">
        <v>12.5</v>
      </c>
      <c r="D575" s="4">
        <v>6.4923999999999999</v>
      </c>
      <c r="E575" s="4">
        <v>2176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12.65</v>
      </c>
      <c r="D576" s="4">
        <v>6.5702999999999996</v>
      </c>
      <c r="E576" s="4">
        <v>2784</v>
      </c>
      <c r="F576" s="4"/>
      <c r="G576" s="4"/>
      <c r="H576" s="5">
        <f t="shared" si="8"/>
        <v>1.1998644569034508E-2</v>
      </c>
    </row>
    <row r="577" spans="1:8" ht="13.5" x14ac:dyDescent="0.25">
      <c r="A577" s="1"/>
      <c r="B577" s="3">
        <v>43138</v>
      </c>
      <c r="C577" s="4">
        <v>12.42</v>
      </c>
      <c r="D577" s="4">
        <v>6.4508999999999999</v>
      </c>
      <c r="E577" s="4">
        <v>61</v>
      </c>
      <c r="F577" s="4"/>
      <c r="G577" s="4"/>
      <c r="H577" s="5">
        <f t="shared" si="8"/>
        <v>-1.817268617871326E-2</v>
      </c>
    </row>
    <row r="578" spans="1:8" ht="13.5" x14ac:dyDescent="0.25">
      <c r="A578" s="1"/>
      <c r="B578" s="3">
        <v>43139</v>
      </c>
      <c r="C578" s="4">
        <v>12.75</v>
      </c>
      <c r="D578" s="4">
        <v>6.6223000000000001</v>
      </c>
      <c r="E578" s="4">
        <v>287</v>
      </c>
      <c r="F578" s="4"/>
      <c r="G578" s="4"/>
      <c r="H578" s="5">
        <f t="shared" si="8"/>
        <v>2.6569935977925594E-2</v>
      </c>
    </row>
    <row r="579" spans="1:8" ht="13.5" x14ac:dyDescent="0.25">
      <c r="A579" s="1"/>
      <c r="B579" s="3">
        <v>43140</v>
      </c>
      <c r="C579" s="4">
        <v>12.4</v>
      </c>
      <c r="D579" s="4">
        <v>6.4405000000000001</v>
      </c>
      <c r="E579" s="4">
        <v>434</v>
      </c>
      <c r="F579" s="4"/>
      <c r="G579" s="4"/>
      <c r="H579" s="5">
        <f t="shared" si="8"/>
        <v>-2.7452697703214891E-2</v>
      </c>
    </row>
    <row r="580" spans="1:8" ht="13.5" x14ac:dyDescent="0.25">
      <c r="A580" s="1"/>
      <c r="B580" s="3">
        <v>43143</v>
      </c>
      <c r="C580" s="4">
        <v>12.65</v>
      </c>
      <c r="D580" s="4">
        <v>6.5702999999999996</v>
      </c>
      <c r="E580" s="4">
        <v>65</v>
      </c>
      <c r="F580" s="4"/>
      <c r="G580" s="4"/>
      <c r="H580" s="5">
        <f t="shared" si="8"/>
        <v>2.0153714773697613E-2</v>
      </c>
    </row>
    <row r="581" spans="1:8" ht="13.5" x14ac:dyDescent="0.25">
      <c r="A581" s="1"/>
      <c r="B581" s="3">
        <v>43144</v>
      </c>
      <c r="C581" s="4">
        <v>12.69</v>
      </c>
      <c r="D581" s="4">
        <v>6.5911</v>
      </c>
      <c r="E581" s="4">
        <v>240</v>
      </c>
      <c r="F581" s="4"/>
      <c r="G581" s="4"/>
      <c r="H581" s="5">
        <f t="shared" si="8"/>
        <v>3.1657610763588229E-3</v>
      </c>
    </row>
    <row r="582" spans="1:8" ht="13.5" x14ac:dyDescent="0.25">
      <c r="A582" s="1"/>
      <c r="B582" s="3">
        <v>43145</v>
      </c>
      <c r="C582" s="4">
        <v>12.5</v>
      </c>
      <c r="D582" s="4">
        <v>6.4923999999999999</v>
      </c>
      <c r="E582" s="4">
        <v>3353</v>
      </c>
      <c r="F582" s="4"/>
      <c r="G582" s="4"/>
      <c r="H582" s="5">
        <f t="shared" si="8"/>
        <v>-1.4974738662742184E-2</v>
      </c>
    </row>
    <row r="583" spans="1:8" ht="13.5" x14ac:dyDescent="0.25">
      <c r="A583" s="1"/>
      <c r="B583" s="3">
        <v>43146</v>
      </c>
      <c r="C583" s="4">
        <v>12.68</v>
      </c>
      <c r="D583" s="4">
        <v>6.5858999999999996</v>
      </c>
      <c r="E583" s="4">
        <v>3054</v>
      </c>
      <c r="F583" s="4"/>
      <c r="G583" s="4"/>
      <c r="H583" s="5">
        <f t="shared" ref="H583:H646" si="9">(D583-D582)/D582</f>
        <v>1.4401454007762876E-2</v>
      </c>
    </row>
    <row r="584" spans="1:8" ht="13.5" x14ac:dyDescent="0.25">
      <c r="A584" s="1"/>
      <c r="B584" s="3">
        <v>43147</v>
      </c>
      <c r="C584" s="4">
        <v>12.6</v>
      </c>
      <c r="D584" s="4">
        <v>6.5442999999999998</v>
      </c>
      <c r="E584" s="4">
        <v>175</v>
      </c>
      <c r="F584" s="4"/>
      <c r="G584" s="4"/>
      <c r="H584" s="5">
        <f t="shared" si="9"/>
        <v>-6.3165246967005059E-3</v>
      </c>
    </row>
    <row r="585" spans="1:8" ht="13.5" x14ac:dyDescent="0.25">
      <c r="A585" s="1"/>
      <c r="B585" s="3">
        <v>43150</v>
      </c>
      <c r="C585" s="4">
        <v>12.6</v>
      </c>
      <c r="D585" s="4">
        <v>6.5442999999999998</v>
      </c>
      <c r="E585" s="4">
        <v>528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12.65</v>
      </c>
      <c r="D586" s="4">
        <v>6.5702999999999996</v>
      </c>
      <c r="E586" s="4">
        <v>460</v>
      </c>
      <c r="F586" s="4"/>
      <c r="G586" s="4"/>
      <c r="H586" s="5">
        <f t="shared" si="9"/>
        <v>3.9729230016961022E-3</v>
      </c>
    </row>
    <row r="587" spans="1:8" ht="13.5" x14ac:dyDescent="0.25">
      <c r="A587" s="1"/>
      <c r="B587" s="3">
        <v>43152</v>
      </c>
      <c r="C587" s="4">
        <v>12.6</v>
      </c>
      <c r="D587" s="4">
        <v>6.5442999999999998</v>
      </c>
      <c r="E587" s="4">
        <v>582</v>
      </c>
      <c r="F587" s="4"/>
      <c r="G587" s="4"/>
      <c r="H587" s="5">
        <f t="shared" si="9"/>
        <v>-3.9572013454484273E-3</v>
      </c>
    </row>
    <row r="588" spans="1:8" ht="13.5" x14ac:dyDescent="0.25">
      <c r="A588" s="1"/>
      <c r="B588" s="3">
        <v>43153</v>
      </c>
      <c r="C588" s="4">
        <v>12.5</v>
      </c>
      <c r="D588" s="4">
        <v>6.4923999999999999</v>
      </c>
      <c r="E588" s="4">
        <v>1254</v>
      </c>
      <c r="F588" s="4"/>
      <c r="G588" s="4"/>
      <c r="H588" s="5">
        <f t="shared" si="9"/>
        <v>-7.9305655303087939E-3</v>
      </c>
    </row>
    <row r="589" spans="1:8" ht="13.5" x14ac:dyDescent="0.25">
      <c r="A589" s="1"/>
      <c r="B589" s="3">
        <v>43154</v>
      </c>
      <c r="C589" s="4">
        <v>12.83</v>
      </c>
      <c r="D589" s="4">
        <v>6.6638000000000002</v>
      </c>
      <c r="E589" s="4">
        <v>2526</v>
      </c>
      <c r="F589" s="4"/>
      <c r="G589" s="4"/>
      <c r="H589" s="5">
        <f t="shared" si="9"/>
        <v>2.640009857679752E-2</v>
      </c>
    </row>
    <row r="590" spans="1:8" ht="13.5" x14ac:dyDescent="0.25">
      <c r="A590" s="1"/>
      <c r="B590" s="3">
        <v>43157</v>
      </c>
      <c r="C590" s="4">
        <v>12.9</v>
      </c>
      <c r="D590" s="4">
        <v>6.7001999999999997</v>
      </c>
      <c r="E590" s="4">
        <v>119</v>
      </c>
      <c r="F590" s="4"/>
      <c r="G590" s="4"/>
      <c r="H590" s="5">
        <f t="shared" si="9"/>
        <v>5.4623488099882263E-3</v>
      </c>
    </row>
    <row r="591" spans="1:8" ht="13.5" x14ac:dyDescent="0.25">
      <c r="A591" s="1"/>
      <c r="B591" s="3">
        <v>43158</v>
      </c>
      <c r="C591" s="4">
        <v>12.9</v>
      </c>
      <c r="D591" s="4">
        <v>6.7001999999999997</v>
      </c>
      <c r="E591" s="4">
        <v>50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13.01</v>
      </c>
      <c r="D592" s="4">
        <v>6.7572999999999999</v>
      </c>
      <c r="E592" s="4">
        <v>11759</v>
      </c>
      <c r="F592" s="4"/>
      <c r="G592" s="4"/>
      <c r="H592" s="5">
        <f t="shared" si="9"/>
        <v>8.5221336676517354E-3</v>
      </c>
    </row>
    <row r="593" spans="1:8" ht="13.5" x14ac:dyDescent="0.25">
      <c r="A593" s="1"/>
      <c r="B593" s="3">
        <v>43160</v>
      </c>
      <c r="C593" s="4">
        <v>13</v>
      </c>
      <c r="D593" s="4">
        <v>6.7521000000000004</v>
      </c>
      <c r="E593" s="4">
        <v>1020</v>
      </c>
      <c r="F593" s="4"/>
      <c r="G593" s="4"/>
      <c r="H593" s="5">
        <f t="shared" si="9"/>
        <v>-7.6953812913433284E-4</v>
      </c>
    </row>
    <row r="594" spans="1:8" ht="13.5" x14ac:dyDescent="0.25">
      <c r="A594" s="1"/>
      <c r="B594" s="3">
        <v>43161</v>
      </c>
      <c r="C594" s="4">
        <v>12.75</v>
      </c>
      <c r="D594" s="4">
        <v>6.6223000000000001</v>
      </c>
      <c r="E594" s="4">
        <v>1052</v>
      </c>
      <c r="F594" s="4"/>
      <c r="G594" s="4"/>
      <c r="H594" s="5">
        <f t="shared" si="9"/>
        <v>-1.9223648938848707E-2</v>
      </c>
    </row>
    <row r="595" spans="1:8" ht="13.5" x14ac:dyDescent="0.25">
      <c r="A595" s="1"/>
      <c r="B595" s="3">
        <v>43164</v>
      </c>
      <c r="C595" s="4">
        <v>12.75</v>
      </c>
      <c r="D595" s="4">
        <v>6.6223000000000001</v>
      </c>
      <c r="E595" s="4">
        <v>453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12.71</v>
      </c>
      <c r="D596" s="4">
        <v>6.6014999999999997</v>
      </c>
      <c r="E596" s="4">
        <v>201</v>
      </c>
      <c r="F596" s="4"/>
      <c r="G596" s="4"/>
      <c r="H596" s="5">
        <f t="shared" si="9"/>
        <v>-3.1409027075185924E-3</v>
      </c>
    </row>
    <row r="597" spans="1:8" ht="13.5" x14ac:dyDescent="0.25">
      <c r="A597" s="1"/>
      <c r="B597" s="3">
        <v>43166</v>
      </c>
      <c r="C597" s="4">
        <v>12.71</v>
      </c>
      <c r="D597" s="4">
        <v>6.6014999999999997</v>
      </c>
      <c r="E597" s="4">
        <v>540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12.9</v>
      </c>
      <c r="D598" s="4">
        <v>6.7001999999999997</v>
      </c>
      <c r="E598" s="4">
        <v>570</v>
      </c>
      <c r="F598" s="4"/>
      <c r="G598" s="4"/>
      <c r="H598" s="5">
        <f t="shared" si="9"/>
        <v>1.4951147466484892E-2</v>
      </c>
    </row>
    <row r="599" spans="1:8" ht="13.5" x14ac:dyDescent="0.25">
      <c r="A599" s="1"/>
      <c r="B599" s="3">
        <v>43168</v>
      </c>
      <c r="C599" s="4">
        <v>13</v>
      </c>
      <c r="D599" s="4">
        <v>6.7521000000000004</v>
      </c>
      <c r="E599" s="4">
        <v>1399</v>
      </c>
      <c r="F599" s="4"/>
      <c r="G599" s="4"/>
      <c r="H599" s="5">
        <f t="shared" si="9"/>
        <v>7.7460374317185644E-3</v>
      </c>
    </row>
    <row r="600" spans="1:8" ht="13.5" x14ac:dyDescent="0.25">
      <c r="A600" s="1"/>
      <c r="B600" s="3">
        <v>43171</v>
      </c>
      <c r="C600" s="4">
        <v>12.8</v>
      </c>
      <c r="D600" s="4">
        <v>6.6482000000000001</v>
      </c>
      <c r="E600" s="4">
        <v>2</v>
      </c>
      <c r="F600" s="4"/>
      <c r="G600" s="4"/>
      <c r="H600" s="5">
        <f t="shared" si="9"/>
        <v>-1.5387805275395849E-2</v>
      </c>
    </row>
    <row r="601" spans="1:8" ht="13.5" x14ac:dyDescent="0.25">
      <c r="A601" s="1"/>
      <c r="B601" s="3">
        <v>43172</v>
      </c>
      <c r="C601" s="4">
        <v>13</v>
      </c>
      <c r="D601" s="4">
        <v>6.7521000000000004</v>
      </c>
      <c r="E601" s="4">
        <v>3355</v>
      </c>
      <c r="F601" s="4"/>
      <c r="G601" s="4"/>
      <c r="H601" s="5">
        <f t="shared" si="9"/>
        <v>1.5628290364309187E-2</v>
      </c>
    </row>
    <row r="602" spans="1:8" ht="13.5" x14ac:dyDescent="0.25">
      <c r="A602" s="1"/>
      <c r="B602" s="3">
        <v>43173</v>
      </c>
      <c r="C602" s="4">
        <v>13</v>
      </c>
      <c r="D602" s="4">
        <v>6.7521000000000004</v>
      </c>
      <c r="E602" s="4">
        <v>400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13</v>
      </c>
      <c r="D603" s="4">
        <v>6.7521000000000004</v>
      </c>
      <c r="E603" s="4">
        <v>200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13.38</v>
      </c>
      <c r="D604" s="4">
        <v>6.9494999999999996</v>
      </c>
      <c r="E604" s="4">
        <v>7922</v>
      </c>
      <c r="F604" s="4"/>
      <c r="G604" s="4"/>
      <c r="H604" s="5">
        <f t="shared" si="9"/>
        <v>2.9235349002532416E-2</v>
      </c>
    </row>
    <row r="605" spans="1:8" ht="13.5" x14ac:dyDescent="0.25">
      <c r="A605" s="1"/>
      <c r="B605" s="3">
        <v>43178</v>
      </c>
      <c r="C605" s="4">
        <v>13.95</v>
      </c>
      <c r="D605" s="4">
        <v>7.2454999999999998</v>
      </c>
      <c r="E605" s="4">
        <v>514</v>
      </c>
      <c r="F605" s="4"/>
      <c r="G605" s="4"/>
      <c r="H605" s="5">
        <f t="shared" si="9"/>
        <v>4.2592992301604474E-2</v>
      </c>
    </row>
    <row r="606" spans="1:8" ht="13.5" x14ac:dyDescent="0.25">
      <c r="A606" s="1"/>
      <c r="B606" s="3">
        <v>43180</v>
      </c>
      <c r="C606" s="4">
        <v>14.33</v>
      </c>
      <c r="D606" s="4">
        <v>7.4428999999999998</v>
      </c>
      <c r="E606" s="4">
        <v>7133</v>
      </c>
      <c r="F606" s="4"/>
      <c r="G606" s="4"/>
      <c r="H606" s="5">
        <f t="shared" si="9"/>
        <v>2.7244496584086678E-2</v>
      </c>
    </row>
    <row r="607" spans="1:8" ht="13.5" x14ac:dyDescent="0.25">
      <c r="A607" s="1"/>
      <c r="B607" s="3">
        <v>43181</v>
      </c>
      <c r="C607" s="4">
        <v>14.3</v>
      </c>
      <c r="D607" s="4">
        <v>7.4272999999999998</v>
      </c>
      <c r="E607" s="4">
        <v>450</v>
      </c>
      <c r="F607" s="4"/>
      <c r="G607" s="4"/>
      <c r="H607" s="5">
        <f t="shared" si="9"/>
        <v>-2.0959572209757029E-3</v>
      </c>
    </row>
    <row r="608" spans="1:8" ht="13.5" x14ac:dyDescent="0.25">
      <c r="A608" s="1"/>
      <c r="B608" s="3">
        <v>43182</v>
      </c>
      <c r="C608" s="4">
        <v>13.99</v>
      </c>
      <c r="D608" s="4">
        <v>7.2663000000000002</v>
      </c>
      <c r="E608" s="4">
        <v>743</v>
      </c>
      <c r="F608" s="4"/>
      <c r="G608" s="4"/>
      <c r="H608" s="5">
        <f t="shared" si="9"/>
        <v>-2.1676786988542213E-2</v>
      </c>
    </row>
    <row r="609" spans="1:8" ht="13.5" x14ac:dyDescent="0.25">
      <c r="A609" s="1"/>
      <c r="B609" s="3">
        <v>43185</v>
      </c>
      <c r="C609" s="4">
        <v>14.3</v>
      </c>
      <c r="D609" s="4">
        <v>7.4272999999999998</v>
      </c>
      <c r="E609" s="4">
        <v>4675</v>
      </c>
      <c r="F609" s="4"/>
      <c r="G609" s="4"/>
      <c r="H609" s="5">
        <f t="shared" si="9"/>
        <v>2.2157081320617038E-2</v>
      </c>
    </row>
    <row r="610" spans="1:8" ht="13.5" x14ac:dyDescent="0.25">
      <c r="A610" s="1"/>
      <c r="B610" s="3">
        <v>43186</v>
      </c>
      <c r="C610" s="4">
        <v>14.3</v>
      </c>
      <c r="D610" s="4">
        <v>7.4272999999999998</v>
      </c>
      <c r="E610" s="4">
        <v>3392</v>
      </c>
      <c r="F610" s="4"/>
      <c r="G610" s="4"/>
      <c r="H610" s="5">
        <f t="shared" si="9"/>
        <v>0</v>
      </c>
    </row>
    <row r="611" spans="1:8" ht="13.5" x14ac:dyDescent="0.25">
      <c r="A611" s="1"/>
      <c r="B611" s="3">
        <v>43187</v>
      </c>
      <c r="C611" s="4">
        <v>14.3</v>
      </c>
      <c r="D611" s="4">
        <v>7.4272999999999998</v>
      </c>
      <c r="E611" s="4">
        <v>525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14.49</v>
      </c>
      <c r="D612" s="4">
        <v>7.5259999999999998</v>
      </c>
      <c r="E612" s="4">
        <v>2</v>
      </c>
      <c r="F612" s="4"/>
      <c r="G612" s="4"/>
      <c r="H612" s="5">
        <f t="shared" si="9"/>
        <v>1.3288812892975914E-2</v>
      </c>
    </row>
    <row r="613" spans="1:8" ht="13.5" x14ac:dyDescent="0.25">
      <c r="A613" s="1"/>
      <c r="B613" s="3">
        <v>43189</v>
      </c>
      <c r="C613" s="4">
        <v>14.07</v>
      </c>
      <c r="D613" s="4">
        <v>7.3079000000000001</v>
      </c>
      <c r="E613" s="4">
        <v>700</v>
      </c>
      <c r="F613" s="4"/>
      <c r="G613" s="4"/>
      <c r="H613" s="5">
        <f t="shared" si="9"/>
        <v>-2.8979537602976314E-2</v>
      </c>
    </row>
    <row r="614" spans="1:8" ht="13.5" x14ac:dyDescent="0.25">
      <c r="A614" s="1"/>
      <c r="B614" s="3">
        <v>43192</v>
      </c>
      <c r="C614" s="4">
        <v>14.3</v>
      </c>
      <c r="D614" s="4">
        <v>7.4272999999999998</v>
      </c>
      <c r="E614" s="4">
        <v>5675</v>
      </c>
      <c r="F614" s="4"/>
      <c r="G614" s="4"/>
      <c r="H614" s="5">
        <f t="shared" si="9"/>
        <v>1.6338483011535423E-2</v>
      </c>
    </row>
    <row r="615" spans="1:8" ht="13.5" x14ac:dyDescent="0.25">
      <c r="A615" s="1"/>
      <c r="B615" s="3">
        <v>43193</v>
      </c>
      <c r="C615" s="4">
        <v>14.3</v>
      </c>
      <c r="D615" s="4">
        <v>7.4272999999999998</v>
      </c>
      <c r="E615" s="4">
        <v>160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14.47</v>
      </c>
      <c r="D616" s="4">
        <v>7.5156000000000001</v>
      </c>
      <c r="E616" s="4">
        <v>183</v>
      </c>
      <c r="F616" s="4"/>
      <c r="G616" s="4"/>
      <c r="H616" s="5">
        <f t="shared" si="9"/>
        <v>1.1888573236573219E-2</v>
      </c>
    </row>
    <row r="617" spans="1:8" ht="13.5" x14ac:dyDescent="0.25">
      <c r="A617" s="1"/>
      <c r="B617" s="3">
        <v>43195</v>
      </c>
      <c r="C617" s="4">
        <v>14.4</v>
      </c>
      <c r="D617" s="4">
        <v>7.4791999999999996</v>
      </c>
      <c r="E617" s="4">
        <v>2021</v>
      </c>
      <c r="F617" s="4"/>
      <c r="G617" s="4"/>
      <c r="H617" s="5">
        <f t="shared" si="9"/>
        <v>-4.8432593538773258E-3</v>
      </c>
    </row>
    <row r="618" spans="1:8" ht="13.5" x14ac:dyDescent="0.25">
      <c r="A618" s="1"/>
      <c r="B618" s="3">
        <v>43196</v>
      </c>
      <c r="C618" s="4">
        <v>14.39</v>
      </c>
      <c r="D618" s="4">
        <v>7.4741</v>
      </c>
      <c r="E618" s="4">
        <v>100</v>
      </c>
      <c r="F618" s="4"/>
      <c r="G618" s="4"/>
      <c r="H618" s="5">
        <f t="shared" si="9"/>
        <v>-6.8189111134876203E-4</v>
      </c>
    </row>
    <row r="619" spans="1:8" ht="13.5" x14ac:dyDescent="0.25">
      <c r="A619" s="1"/>
      <c r="B619" s="3">
        <v>43200</v>
      </c>
      <c r="C619" s="4">
        <v>14.39</v>
      </c>
      <c r="D619" s="4">
        <v>7.4741</v>
      </c>
      <c r="E619" s="4">
        <v>3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14.39</v>
      </c>
      <c r="D620" s="4">
        <v>7.4741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14.39</v>
      </c>
      <c r="D621" s="4">
        <v>7.4741</v>
      </c>
      <c r="E621" s="4">
        <v>230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14.5</v>
      </c>
      <c r="D622" s="4">
        <v>7.5312000000000001</v>
      </c>
      <c r="E622" s="4">
        <v>2465</v>
      </c>
      <c r="F622" s="4"/>
      <c r="G622" s="4"/>
      <c r="H622" s="5">
        <f t="shared" si="9"/>
        <v>7.6397158186270117E-3</v>
      </c>
    </row>
    <row r="623" spans="1:8" ht="13.5" x14ac:dyDescent="0.25">
      <c r="A623" s="1"/>
      <c r="B623" s="3">
        <v>43206</v>
      </c>
      <c r="C623" s="4">
        <v>14.1</v>
      </c>
      <c r="D623" s="4">
        <v>7.3234000000000004</v>
      </c>
      <c r="E623" s="4">
        <v>1158</v>
      </c>
      <c r="F623" s="4"/>
      <c r="G623" s="4"/>
      <c r="H623" s="5">
        <f t="shared" si="9"/>
        <v>-2.7591884427448449E-2</v>
      </c>
    </row>
    <row r="624" spans="1:8" ht="13.5" x14ac:dyDescent="0.25">
      <c r="A624" s="1"/>
      <c r="B624" s="3">
        <v>43207</v>
      </c>
      <c r="C624" s="4">
        <v>14.12</v>
      </c>
      <c r="D624" s="4">
        <v>7.3338000000000001</v>
      </c>
      <c r="E624" s="4">
        <v>720</v>
      </c>
      <c r="F624" s="4"/>
      <c r="G624" s="4"/>
      <c r="H624" s="5">
        <f t="shared" si="9"/>
        <v>1.4201054155173474E-3</v>
      </c>
    </row>
    <row r="625" spans="1:8" ht="13.5" x14ac:dyDescent="0.25">
      <c r="A625" s="1"/>
      <c r="B625" s="3">
        <v>43208</v>
      </c>
      <c r="C625" s="4">
        <v>14.47</v>
      </c>
      <c r="D625" s="4">
        <v>7.5156000000000001</v>
      </c>
      <c r="E625" s="4">
        <v>2835</v>
      </c>
      <c r="F625" s="4"/>
      <c r="G625" s="4"/>
      <c r="H625" s="5">
        <f t="shared" si="9"/>
        <v>2.4789331587989849E-2</v>
      </c>
    </row>
    <row r="626" spans="1:8" ht="13.5" x14ac:dyDescent="0.25">
      <c r="A626" s="1"/>
      <c r="B626" s="3">
        <v>43209</v>
      </c>
      <c r="C626" s="4">
        <v>14.9</v>
      </c>
      <c r="D626" s="4">
        <v>7.7389000000000001</v>
      </c>
      <c r="E626" s="4">
        <v>6713</v>
      </c>
      <c r="F626" s="4"/>
      <c r="G626" s="4"/>
      <c r="H626" s="5">
        <f t="shared" si="9"/>
        <v>2.9711533343977865E-2</v>
      </c>
    </row>
    <row r="627" spans="1:8" ht="13.5" x14ac:dyDescent="0.25">
      <c r="A627" s="1"/>
      <c r="B627" s="3">
        <v>43210</v>
      </c>
      <c r="C627" s="4">
        <v>15.4</v>
      </c>
      <c r="D627" s="4">
        <v>7.9985999999999997</v>
      </c>
      <c r="E627" s="4">
        <v>3193</v>
      </c>
      <c r="F627" s="4"/>
      <c r="G627" s="4"/>
      <c r="H627" s="5">
        <f t="shared" si="9"/>
        <v>3.3557740764191241E-2</v>
      </c>
    </row>
    <row r="628" spans="1:8" ht="13.5" x14ac:dyDescent="0.25">
      <c r="A628" s="1"/>
      <c r="B628" s="3">
        <v>43213</v>
      </c>
      <c r="C628" s="4">
        <v>15.4</v>
      </c>
      <c r="D628" s="4">
        <v>7.9985999999999997</v>
      </c>
      <c r="E628" s="4">
        <v>3224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15.34</v>
      </c>
      <c r="D629" s="4">
        <v>7.9675000000000002</v>
      </c>
      <c r="E629" s="4">
        <v>482</v>
      </c>
      <c r="F629" s="4"/>
      <c r="G629" s="4"/>
      <c r="H629" s="5">
        <f t="shared" si="9"/>
        <v>-3.8881804315754587E-3</v>
      </c>
    </row>
    <row r="630" spans="1:8" ht="13.5" x14ac:dyDescent="0.25">
      <c r="A630" s="1"/>
      <c r="B630" s="3">
        <v>43215</v>
      </c>
      <c r="C630" s="4">
        <v>15</v>
      </c>
      <c r="D630" s="4">
        <v>7.7908999999999997</v>
      </c>
      <c r="E630" s="4">
        <v>1564</v>
      </c>
      <c r="F630" s="4"/>
      <c r="G630" s="4"/>
      <c r="H630" s="5">
        <f t="shared" si="9"/>
        <v>-2.2165045497332982E-2</v>
      </c>
    </row>
    <row r="631" spans="1:8" ht="13.5" x14ac:dyDescent="0.25">
      <c r="A631" s="1"/>
      <c r="B631" s="3">
        <v>43216</v>
      </c>
      <c r="C631" s="4">
        <v>14.85</v>
      </c>
      <c r="D631" s="4">
        <v>7.7130000000000001</v>
      </c>
      <c r="E631" s="4">
        <v>1637</v>
      </c>
      <c r="F631" s="4"/>
      <c r="G631" s="4"/>
      <c r="H631" s="5">
        <f t="shared" si="9"/>
        <v>-9.9988448061199137E-3</v>
      </c>
    </row>
    <row r="632" spans="1:8" ht="13.5" x14ac:dyDescent="0.25">
      <c r="A632" s="1"/>
      <c r="B632" s="3">
        <v>43217</v>
      </c>
      <c r="C632" s="4">
        <v>14.99</v>
      </c>
      <c r="D632" s="4">
        <v>7.7857000000000003</v>
      </c>
      <c r="E632" s="4">
        <v>96</v>
      </c>
      <c r="F632" s="4"/>
      <c r="G632" s="4"/>
      <c r="H632" s="5">
        <f t="shared" si="9"/>
        <v>9.4256450149099186E-3</v>
      </c>
    </row>
    <row r="633" spans="1:8" ht="13.5" x14ac:dyDescent="0.25">
      <c r="A633" s="1"/>
      <c r="B633" s="3">
        <v>43220</v>
      </c>
      <c r="C633" s="4">
        <v>14.95</v>
      </c>
      <c r="D633" s="4">
        <v>7.7648999999999999</v>
      </c>
      <c r="E633" s="4">
        <v>188</v>
      </c>
      <c r="F633" s="4"/>
      <c r="G633" s="4"/>
      <c r="H633" s="5">
        <f t="shared" si="9"/>
        <v>-2.6715645349808461E-3</v>
      </c>
    </row>
    <row r="634" spans="1:8" ht="13.5" x14ac:dyDescent="0.25">
      <c r="A634" s="1"/>
      <c r="B634" s="3">
        <v>43222</v>
      </c>
      <c r="C634" s="4">
        <v>14.99</v>
      </c>
      <c r="D634" s="4">
        <v>7.7857000000000003</v>
      </c>
      <c r="E634" s="4">
        <v>445</v>
      </c>
      <c r="F634" s="4"/>
      <c r="G634" s="4"/>
      <c r="H634" s="5">
        <f t="shared" si="9"/>
        <v>2.6787209107651576E-3</v>
      </c>
    </row>
    <row r="635" spans="1:8" ht="13.5" x14ac:dyDescent="0.25">
      <c r="A635" s="1"/>
      <c r="B635" s="3">
        <v>43223</v>
      </c>
      <c r="C635" s="4">
        <v>14.55</v>
      </c>
      <c r="D635" s="4">
        <v>7.5571999999999999</v>
      </c>
      <c r="E635" s="4">
        <v>346</v>
      </c>
      <c r="F635" s="4"/>
      <c r="G635" s="4"/>
      <c r="H635" s="5">
        <f t="shared" si="9"/>
        <v>-2.9348677703995834E-2</v>
      </c>
    </row>
    <row r="636" spans="1:8" ht="13.5" x14ac:dyDescent="0.25">
      <c r="A636" s="1"/>
      <c r="B636" s="3">
        <v>43224</v>
      </c>
      <c r="C636" s="4">
        <v>14.12</v>
      </c>
      <c r="D636" s="4">
        <v>7.3338000000000001</v>
      </c>
      <c r="E636" s="4">
        <v>75</v>
      </c>
      <c r="F636" s="4"/>
      <c r="G636" s="4"/>
      <c r="H636" s="5">
        <f t="shared" si="9"/>
        <v>-2.9561213147726646E-2</v>
      </c>
    </row>
    <row r="637" spans="1:8" ht="13.5" x14ac:dyDescent="0.25">
      <c r="A637" s="1"/>
      <c r="B637" s="3">
        <v>43227</v>
      </c>
      <c r="C637" s="4">
        <v>14.19</v>
      </c>
      <c r="D637" s="4">
        <v>7.3701999999999996</v>
      </c>
      <c r="E637" s="4">
        <v>805</v>
      </c>
      <c r="F637" s="4"/>
      <c r="G637" s="4"/>
      <c r="H637" s="5">
        <f t="shared" si="9"/>
        <v>4.9633205159671035E-3</v>
      </c>
    </row>
    <row r="638" spans="1:8" ht="13.5" x14ac:dyDescent="0.25">
      <c r="A638" s="1"/>
      <c r="B638" s="3">
        <v>43228</v>
      </c>
      <c r="C638" s="4">
        <v>14.4</v>
      </c>
      <c r="D638" s="4">
        <v>7.4791999999999996</v>
      </c>
      <c r="E638" s="4">
        <v>587</v>
      </c>
      <c r="F638" s="4"/>
      <c r="G638" s="4"/>
      <c r="H638" s="5">
        <f t="shared" si="9"/>
        <v>1.4789286586524109E-2</v>
      </c>
    </row>
    <row r="639" spans="1:8" ht="13.5" x14ac:dyDescent="0.25">
      <c r="A639" s="1"/>
      <c r="B639" s="3">
        <v>43229</v>
      </c>
      <c r="C639" s="4">
        <v>14.4</v>
      </c>
      <c r="D639" s="4">
        <v>7.4791999999999996</v>
      </c>
      <c r="E639" s="4">
        <v>298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14.4</v>
      </c>
      <c r="D640" s="4">
        <v>7.4791999999999996</v>
      </c>
      <c r="E640" s="4">
        <v>508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14.44</v>
      </c>
      <c r="D641" s="4">
        <v>7.5</v>
      </c>
      <c r="E641" s="4">
        <v>557</v>
      </c>
      <c r="F641" s="4"/>
      <c r="G641" s="4"/>
      <c r="H641" s="5">
        <f t="shared" si="9"/>
        <v>2.7810461011873429E-3</v>
      </c>
    </row>
    <row r="642" spans="1:8" ht="13.5" x14ac:dyDescent="0.25">
      <c r="A642" s="1"/>
      <c r="B642" s="3">
        <v>43234</v>
      </c>
      <c r="C642" s="4">
        <v>14.82</v>
      </c>
      <c r="D642" s="4">
        <v>7.6974</v>
      </c>
      <c r="E642" s="4">
        <v>735</v>
      </c>
      <c r="F642" s="4"/>
      <c r="G642" s="4"/>
      <c r="H642" s="5">
        <f t="shared" si="9"/>
        <v>2.6320000000000003E-2</v>
      </c>
    </row>
    <row r="643" spans="1:8" ht="13.5" x14ac:dyDescent="0.25">
      <c r="A643" s="1"/>
      <c r="B643" s="3">
        <v>43235</v>
      </c>
      <c r="C643" s="4">
        <v>14.77</v>
      </c>
      <c r="D643" s="4">
        <v>7.6714000000000002</v>
      </c>
      <c r="E643" s="4">
        <v>172</v>
      </c>
      <c r="F643" s="4"/>
      <c r="G643" s="4"/>
      <c r="H643" s="5">
        <f t="shared" si="9"/>
        <v>-3.3777639202847458E-3</v>
      </c>
    </row>
    <row r="644" spans="1:8" ht="13.5" x14ac:dyDescent="0.25">
      <c r="A644" s="1"/>
      <c r="B644" s="3">
        <v>43236</v>
      </c>
      <c r="C644" s="4">
        <v>14.8</v>
      </c>
      <c r="D644" s="4">
        <v>7.6870000000000003</v>
      </c>
      <c r="E644" s="4">
        <v>1837</v>
      </c>
      <c r="F644" s="4"/>
      <c r="G644" s="4"/>
      <c r="H644" s="5">
        <f t="shared" si="9"/>
        <v>2.033527126730461E-3</v>
      </c>
    </row>
    <row r="645" spans="1:8" ht="13.5" x14ac:dyDescent="0.25">
      <c r="A645" s="1"/>
      <c r="B645" s="3">
        <v>43237</v>
      </c>
      <c r="C645" s="4">
        <v>14.41</v>
      </c>
      <c r="D645" s="4">
        <v>7.4843999999999999</v>
      </c>
      <c r="E645" s="4">
        <v>135</v>
      </c>
      <c r="F645" s="4"/>
      <c r="G645" s="4"/>
      <c r="H645" s="5">
        <f t="shared" si="9"/>
        <v>-2.6356185768180086E-2</v>
      </c>
    </row>
    <row r="646" spans="1:8" ht="13.5" x14ac:dyDescent="0.25">
      <c r="A646" s="1"/>
      <c r="B646" s="3">
        <v>43238</v>
      </c>
      <c r="C646" s="4">
        <v>14.6</v>
      </c>
      <c r="D646" s="4">
        <v>7.5831</v>
      </c>
      <c r="E646" s="4">
        <v>27</v>
      </c>
      <c r="F646" s="4"/>
      <c r="G646" s="4"/>
      <c r="H646" s="5">
        <f t="shared" si="9"/>
        <v>1.3187429854096521E-2</v>
      </c>
    </row>
    <row r="647" spans="1:8" ht="13.5" x14ac:dyDescent="0.25">
      <c r="A647" s="1"/>
      <c r="B647" s="3">
        <v>43241</v>
      </c>
      <c r="C647" s="4">
        <v>14.89</v>
      </c>
      <c r="D647" s="4">
        <v>7.7337999999999996</v>
      </c>
      <c r="E647" s="4">
        <v>133</v>
      </c>
      <c r="F647" s="4"/>
      <c r="G647" s="4"/>
      <c r="H647" s="5">
        <f t="shared" ref="H647:H710" si="10">(D647-D646)/D646</f>
        <v>1.9873138953725996E-2</v>
      </c>
    </row>
    <row r="648" spans="1:8" ht="13.5" x14ac:dyDescent="0.25">
      <c r="A648" s="1"/>
      <c r="B648" s="3">
        <v>43242</v>
      </c>
      <c r="C648" s="4">
        <v>14.89</v>
      </c>
      <c r="D648" s="4">
        <v>7.7337999999999996</v>
      </c>
      <c r="E648" s="4">
        <v>2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14.85</v>
      </c>
      <c r="D649" s="4">
        <v>7.7130000000000001</v>
      </c>
      <c r="E649" s="4">
        <v>400</v>
      </c>
      <c r="F649" s="4"/>
      <c r="G649" s="4"/>
      <c r="H649" s="5">
        <f t="shared" si="10"/>
        <v>-2.6894928754298644E-3</v>
      </c>
    </row>
    <row r="650" spans="1:8" ht="13.5" x14ac:dyDescent="0.25">
      <c r="A650" s="1"/>
      <c r="B650" s="3">
        <v>43244</v>
      </c>
      <c r="C650" s="4">
        <v>14.6</v>
      </c>
      <c r="D650" s="4">
        <v>7.5831</v>
      </c>
      <c r="E650" s="4">
        <v>710</v>
      </c>
      <c r="F650" s="4"/>
      <c r="G650" s="4"/>
      <c r="H650" s="5">
        <f t="shared" si="10"/>
        <v>-1.684169583819527E-2</v>
      </c>
    </row>
    <row r="651" spans="1:8" ht="13.5" x14ac:dyDescent="0.25">
      <c r="A651" s="1"/>
      <c r="B651" s="3">
        <v>43245</v>
      </c>
      <c r="C651" s="4">
        <v>14.6</v>
      </c>
      <c r="D651" s="4">
        <v>7.5831</v>
      </c>
      <c r="E651" s="4">
        <v>289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14.94</v>
      </c>
      <c r="D652" s="4">
        <v>7.7596999999999996</v>
      </c>
      <c r="E652" s="4">
        <v>2</v>
      </c>
      <c r="F652" s="4"/>
      <c r="G652" s="4"/>
      <c r="H652" s="5">
        <f t="shared" si="10"/>
        <v>2.3288628661101613E-2</v>
      </c>
    </row>
    <row r="653" spans="1:8" ht="13.5" x14ac:dyDescent="0.25">
      <c r="A653" s="1"/>
      <c r="B653" s="3">
        <v>43249</v>
      </c>
      <c r="C653" s="4">
        <v>14.65</v>
      </c>
      <c r="D653" s="4">
        <v>7.6090999999999998</v>
      </c>
      <c r="E653" s="4">
        <v>377</v>
      </c>
      <c r="F653" s="4"/>
      <c r="G653" s="4"/>
      <c r="H653" s="5">
        <f t="shared" si="10"/>
        <v>-1.9407966802840296E-2</v>
      </c>
    </row>
    <row r="654" spans="1:8" ht="13.5" x14ac:dyDescent="0.25">
      <c r="A654" s="1"/>
      <c r="B654" s="3">
        <v>43250</v>
      </c>
      <c r="C654" s="4">
        <v>14.65</v>
      </c>
      <c r="D654" s="4">
        <v>7.6090999999999998</v>
      </c>
      <c r="E654" s="4">
        <v>530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14.85</v>
      </c>
      <c r="D655" s="4">
        <v>7.7130000000000001</v>
      </c>
      <c r="E655" s="4">
        <v>4170</v>
      </c>
      <c r="F655" s="4"/>
      <c r="G655" s="4"/>
      <c r="H655" s="5">
        <f t="shared" si="10"/>
        <v>1.365470292150193E-2</v>
      </c>
    </row>
    <row r="656" spans="1:8" ht="13.5" x14ac:dyDescent="0.25">
      <c r="A656" s="1"/>
      <c r="B656" s="3">
        <v>43252</v>
      </c>
      <c r="C656" s="4">
        <v>14.95</v>
      </c>
      <c r="D656" s="4">
        <v>7.7648999999999999</v>
      </c>
      <c r="E656" s="4">
        <v>608</v>
      </c>
      <c r="F656" s="4"/>
      <c r="G656" s="4"/>
      <c r="H656" s="5">
        <f t="shared" si="10"/>
        <v>6.7288992609879214E-3</v>
      </c>
    </row>
    <row r="657" spans="1:8" ht="13.5" x14ac:dyDescent="0.25">
      <c r="A657" s="1"/>
      <c r="B657" s="3">
        <v>43255</v>
      </c>
      <c r="C657" s="4">
        <v>14.96</v>
      </c>
      <c r="D657" s="4">
        <v>7.7701000000000002</v>
      </c>
      <c r="E657" s="4">
        <v>835</v>
      </c>
      <c r="F657" s="4"/>
      <c r="G657" s="4"/>
      <c r="H657" s="5">
        <f t="shared" si="10"/>
        <v>6.6968022769131803E-4</v>
      </c>
    </row>
    <row r="658" spans="1:8" ht="13.5" x14ac:dyDescent="0.25">
      <c r="A658" s="1"/>
      <c r="B658" s="3">
        <v>43256</v>
      </c>
      <c r="C658" s="4">
        <v>15</v>
      </c>
      <c r="D658" s="4">
        <v>7.7908999999999997</v>
      </c>
      <c r="E658" s="4">
        <v>2337</v>
      </c>
      <c r="F658" s="4"/>
      <c r="G658" s="4"/>
      <c r="H658" s="5">
        <f t="shared" si="10"/>
        <v>2.6769282248619046E-3</v>
      </c>
    </row>
    <row r="659" spans="1:8" ht="13.5" x14ac:dyDescent="0.25">
      <c r="A659" s="1"/>
      <c r="B659" s="3">
        <v>43257</v>
      </c>
      <c r="C659" s="4">
        <v>15.1</v>
      </c>
      <c r="D659" s="4">
        <v>7.8428000000000004</v>
      </c>
      <c r="E659" s="4">
        <v>4836</v>
      </c>
      <c r="F659" s="4"/>
      <c r="G659" s="4"/>
      <c r="H659" s="5">
        <f t="shared" si="10"/>
        <v>6.6616180415614021E-3</v>
      </c>
    </row>
    <row r="660" spans="1:8" ht="13.5" x14ac:dyDescent="0.25">
      <c r="A660" s="1"/>
      <c r="B660" s="3">
        <v>43258</v>
      </c>
      <c r="C660" s="4">
        <v>15</v>
      </c>
      <c r="D660" s="4">
        <v>7.7908999999999997</v>
      </c>
      <c r="E660" s="4">
        <v>1887</v>
      </c>
      <c r="F660" s="4"/>
      <c r="G660" s="4"/>
      <c r="H660" s="5">
        <f t="shared" si="10"/>
        <v>-6.6175345539859131E-3</v>
      </c>
    </row>
    <row r="661" spans="1:8" ht="13.5" x14ac:dyDescent="0.25">
      <c r="A661" s="1"/>
      <c r="B661" s="3">
        <v>43259</v>
      </c>
      <c r="C661" s="4">
        <v>15</v>
      </c>
      <c r="D661" s="4">
        <v>7.7908999999999997</v>
      </c>
      <c r="E661" s="4">
        <v>670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15</v>
      </c>
      <c r="D662" s="4">
        <v>7.7908999999999997</v>
      </c>
      <c r="E662" s="4">
        <v>21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15</v>
      </c>
      <c r="D663" s="4">
        <v>7.7908999999999997</v>
      </c>
      <c r="E663" s="4">
        <v>800</v>
      </c>
      <c r="F663" s="4"/>
      <c r="G663" s="4"/>
      <c r="H663" s="5">
        <f t="shared" si="10"/>
        <v>0</v>
      </c>
    </row>
    <row r="664" spans="1:8" ht="13.5" x14ac:dyDescent="0.25">
      <c r="A664" s="1"/>
      <c r="B664" s="3">
        <v>43264</v>
      </c>
      <c r="C664" s="4">
        <v>15</v>
      </c>
      <c r="D664" s="4">
        <v>7.7908999999999997</v>
      </c>
      <c r="E664" s="4">
        <v>1067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14.96</v>
      </c>
      <c r="D665" s="4">
        <v>7.7701000000000002</v>
      </c>
      <c r="E665" s="4">
        <v>958</v>
      </c>
      <c r="F665" s="4"/>
      <c r="G665" s="4"/>
      <c r="H665" s="5">
        <f t="shared" si="10"/>
        <v>-2.6697814116468555E-3</v>
      </c>
    </row>
    <row r="666" spans="1:8" ht="13.5" x14ac:dyDescent="0.25">
      <c r="A666" s="1"/>
      <c r="B666" s="3">
        <v>43269</v>
      </c>
      <c r="C666" s="4">
        <v>15</v>
      </c>
      <c r="D666" s="4">
        <v>7.7908999999999997</v>
      </c>
      <c r="E666" s="4">
        <v>400</v>
      </c>
      <c r="F666" s="4"/>
      <c r="G666" s="4"/>
      <c r="H666" s="5">
        <f t="shared" si="10"/>
        <v>2.6769282248619046E-3</v>
      </c>
    </row>
    <row r="667" spans="1:8" ht="13.5" x14ac:dyDescent="0.25">
      <c r="A667" s="1"/>
      <c r="B667" s="3">
        <v>43270</v>
      </c>
      <c r="C667" s="4">
        <v>15.08</v>
      </c>
      <c r="D667" s="4">
        <v>7.8323999999999998</v>
      </c>
      <c r="E667" s="4">
        <v>2</v>
      </c>
      <c r="F667" s="4"/>
      <c r="G667" s="4"/>
      <c r="H667" s="5">
        <f t="shared" si="10"/>
        <v>5.3267273357378601E-3</v>
      </c>
    </row>
    <row r="668" spans="1:8" ht="13.5" x14ac:dyDescent="0.25">
      <c r="A668" s="1"/>
      <c r="B668" s="3">
        <v>43271</v>
      </c>
      <c r="C668" s="4">
        <v>15.14</v>
      </c>
      <c r="D668" s="4">
        <v>7.8635999999999999</v>
      </c>
      <c r="E668" s="4">
        <v>1985</v>
      </c>
      <c r="F668" s="4"/>
      <c r="G668" s="4"/>
      <c r="H668" s="5">
        <f t="shared" si="10"/>
        <v>3.9834533476329247E-3</v>
      </c>
    </row>
    <row r="669" spans="1:8" ht="13.5" x14ac:dyDescent="0.25">
      <c r="A669" s="1"/>
      <c r="B669" s="3">
        <v>43272</v>
      </c>
      <c r="C669" s="4">
        <v>14.98</v>
      </c>
      <c r="D669" s="4">
        <v>7.7805</v>
      </c>
      <c r="E669" s="4">
        <v>10603</v>
      </c>
      <c r="F669" s="4"/>
      <c r="G669" s="4"/>
      <c r="H669" s="5">
        <f t="shared" si="10"/>
        <v>-1.0567678925682887E-2</v>
      </c>
    </row>
    <row r="670" spans="1:8" ht="13.5" x14ac:dyDescent="0.25">
      <c r="A670" s="1"/>
      <c r="B670" s="3">
        <v>43273</v>
      </c>
      <c r="C670" s="4">
        <v>14.98</v>
      </c>
      <c r="D670" s="4">
        <v>7.7805</v>
      </c>
      <c r="E670" s="4">
        <v>365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14.8</v>
      </c>
      <c r="D671" s="4">
        <v>7.6870000000000003</v>
      </c>
      <c r="E671" s="4">
        <v>391</v>
      </c>
      <c r="F671" s="4"/>
      <c r="G671" s="4"/>
      <c r="H671" s="5">
        <f t="shared" si="10"/>
        <v>-1.2017222543538294E-2</v>
      </c>
    </row>
    <row r="672" spans="1:8" ht="13.5" x14ac:dyDescent="0.25">
      <c r="A672" s="1"/>
      <c r="B672" s="3">
        <v>43277</v>
      </c>
      <c r="C672" s="4">
        <v>14.8</v>
      </c>
      <c r="D672" s="4">
        <v>7.6870000000000003</v>
      </c>
      <c r="E672" s="4">
        <v>2944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14.85</v>
      </c>
      <c r="D673" s="4">
        <v>7.7130000000000001</v>
      </c>
      <c r="E673" s="4">
        <v>137</v>
      </c>
      <c r="F673" s="4"/>
      <c r="G673" s="4"/>
      <c r="H673" s="5">
        <f t="shared" si="10"/>
        <v>3.3823338103291011E-3</v>
      </c>
    </row>
    <row r="674" spans="1:8" ht="13.5" x14ac:dyDescent="0.25">
      <c r="A674" s="1"/>
      <c r="B674" s="3">
        <v>43279</v>
      </c>
      <c r="C674" s="4">
        <v>14.7</v>
      </c>
      <c r="D674" s="4">
        <v>7.6351000000000004</v>
      </c>
      <c r="E674" s="4">
        <v>2841</v>
      </c>
      <c r="F674" s="4"/>
      <c r="G674" s="4"/>
      <c r="H674" s="5">
        <f t="shared" si="10"/>
        <v>-1.0099831453390332E-2</v>
      </c>
    </row>
    <row r="675" spans="1:8" ht="13.5" x14ac:dyDescent="0.25">
      <c r="A675" s="1"/>
      <c r="B675" s="3">
        <v>43280</v>
      </c>
      <c r="C675" s="4">
        <v>13.95</v>
      </c>
      <c r="D675" s="4">
        <v>7.6582999999999997</v>
      </c>
      <c r="E675" s="4">
        <v>2019</v>
      </c>
      <c r="F675" s="4"/>
      <c r="G675" s="4"/>
      <c r="H675" s="5">
        <f t="shared" si="10"/>
        <v>3.0385980537254546E-3</v>
      </c>
    </row>
    <row r="676" spans="1:8" ht="13.5" x14ac:dyDescent="0.25">
      <c r="A676" s="1"/>
      <c r="B676" s="3">
        <v>43283</v>
      </c>
      <c r="C676" s="4">
        <v>13.9</v>
      </c>
      <c r="D676" s="4">
        <v>7.8177000000000003</v>
      </c>
      <c r="E676" s="4">
        <v>62</v>
      </c>
      <c r="F676" s="4"/>
      <c r="G676" s="4"/>
      <c r="H676" s="5">
        <f t="shared" si="10"/>
        <v>2.0814018777013263E-2</v>
      </c>
    </row>
    <row r="677" spans="1:8" ht="13.5" x14ac:dyDescent="0.25">
      <c r="A677" s="1"/>
      <c r="B677" s="3">
        <v>43284</v>
      </c>
      <c r="C677" s="4">
        <v>13.9</v>
      </c>
      <c r="D677" s="4">
        <v>7.8177000000000003</v>
      </c>
      <c r="E677" s="4">
        <v>679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13.98</v>
      </c>
      <c r="D678" s="4">
        <v>7.8627000000000002</v>
      </c>
      <c r="E678" s="4">
        <v>938</v>
      </c>
      <c r="F678" s="4"/>
      <c r="G678" s="4"/>
      <c r="H678" s="5">
        <f t="shared" si="10"/>
        <v>5.7561686941171863E-3</v>
      </c>
    </row>
    <row r="679" spans="1:8" ht="13.5" x14ac:dyDescent="0.25">
      <c r="A679" s="1"/>
      <c r="B679" s="3">
        <v>43286</v>
      </c>
      <c r="C679" s="4">
        <v>14.05</v>
      </c>
      <c r="D679" s="4">
        <v>7.9020999999999999</v>
      </c>
      <c r="E679" s="4">
        <v>644</v>
      </c>
      <c r="F679" s="4"/>
      <c r="G679" s="4"/>
      <c r="H679" s="5">
        <f t="shared" si="10"/>
        <v>5.011001309982532E-3</v>
      </c>
    </row>
    <row r="680" spans="1:8" ht="13.5" x14ac:dyDescent="0.25">
      <c r="A680" s="1"/>
      <c r="B680" s="3">
        <v>43287</v>
      </c>
      <c r="C680" s="4">
        <v>14.05</v>
      </c>
      <c r="D680" s="4">
        <v>7.9020999999999999</v>
      </c>
      <c r="E680" s="4">
        <v>1023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14.4</v>
      </c>
      <c r="D681" s="4">
        <v>8.0989000000000004</v>
      </c>
      <c r="E681" s="4">
        <v>298</v>
      </c>
      <c r="F681" s="4"/>
      <c r="G681" s="4"/>
      <c r="H681" s="5">
        <f t="shared" si="10"/>
        <v>2.4904772149175605E-2</v>
      </c>
    </row>
    <row r="682" spans="1:8" ht="13.5" x14ac:dyDescent="0.25">
      <c r="A682" s="1"/>
      <c r="B682" s="3">
        <v>43291</v>
      </c>
      <c r="C682" s="4">
        <v>14.82</v>
      </c>
      <c r="D682" s="4">
        <v>8.3351000000000006</v>
      </c>
      <c r="E682" s="4">
        <v>250</v>
      </c>
      <c r="F682" s="4"/>
      <c r="G682" s="4"/>
      <c r="H682" s="5">
        <f t="shared" si="10"/>
        <v>2.9164454432083389E-2</v>
      </c>
    </row>
    <row r="683" spans="1:8" ht="13.5" x14ac:dyDescent="0.25">
      <c r="A683" s="1"/>
      <c r="B683" s="3">
        <v>43292</v>
      </c>
      <c r="C683" s="4">
        <v>14.82</v>
      </c>
      <c r="D683" s="4">
        <v>8.3351000000000006</v>
      </c>
      <c r="E683" s="4">
        <v>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14.8</v>
      </c>
      <c r="D684" s="4">
        <v>8.3239000000000001</v>
      </c>
      <c r="E684" s="4">
        <v>127</v>
      </c>
      <c r="F684" s="4"/>
      <c r="G684" s="4"/>
      <c r="H684" s="5">
        <f t="shared" si="10"/>
        <v>-1.3437151323919979E-3</v>
      </c>
    </row>
    <row r="685" spans="1:8" ht="13.5" x14ac:dyDescent="0.25">
      <c r="A685" s="1"/>
      <c r="B685" s="3">
        <v>43294</v>
      </c>
      <c r="C685" s="4">
        <v>15.2</v>
      </c>
      <c r="D685" s="4">
        <v>8.5488999999999997</v>
      </c>
      <c r="E685" s="4">
        <v>1</v>
      </c>
      <c r="F685" s="4"/>
      <c r="G685" s="4"/>
      <c r="H685" s="5">
        <f t="shared" si="10"/>
        <v>2.7030598637657787E-2</v>
      </c>
    </row>
    <row r="686" spans="1:8" ht="13.5" x14ac:dyDescent="0.25">
      <c r="A686" s="1"/>
      <c r="B686" s="3">
        <v>43297</v>
      </c>
      <c r="C686" s="4">
        <v>15.1</v>
      </c>
      <c r="D686" s="4">
        <v>8.4925999999999995</v>
      </c>
      <c r="E686" s="4">
        <v>5</v>
      </c>
      <c r="F686" s="4"/>
      <c r="G686" s="4"/>
      <c r="H686" s="5">
        <f t="shared" si="10"/>
        <v>-6.585642597293247E-3</v>
      </c>
    </row>
    <row r="687" spans="1:8" ht="13.5" x14ac:dyDescent="0.25">
      <c r="A687" s="1"/>
      <c r="B687" s="3">
        <v>43298</v>
      </c>
      <c r="C687" s="4">
        <v>15.1</v>
      </c>
      <c r="D687" s="4">
        <v>8.4925999999999995</v>
      </c>
      <c r="E687" s="4">
        <v>1300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14.9</v>
      </c>
      <c r="D688" s="4">
        <v>8.3801000000000005</v>
      </c>
      <c r="E688" s="4">
        <v>439</v>
      </c>
      <c r="F688" s="4"/>
      <c r="G688" s="4"/>
      <c r="H688" s="5">
        <f t="shared" si="10"/>
        <v>-1.3246826649082607E-2</v>
      </c>
    </row>
    <row r="689" spans="1:8" ht="13.5" x14ac:dyDescent="0.25">
      <c r="A689" s="1"/>
      <c r="B689" s="3">
        <v>43300</v>
      </c>
      <c r="C689" s="4">
        <v>15.2</v>
      </c>
      <c r="D689" s="4">
        <v>8.5488999999999997</v>
      </c>
      <c r="E689" s="4">
        <v>1281</v>
      </c>
      <c r="F689" s="4"/>
      <c r="G689" s="4"/>
      <c r="H689" s="5">
        <f t="shared" si="10"/>
        <v>2.0142957721268142E-2</v>
      </c>
    </row>
    <row r="690" spans="1:8" ht="13.5" x14ac:dyDescent="0.25">
      <c r="A690" s="1"/>
      <c r="B690" s="3">
        <v>43301</v>
      </c>
      <c r="C690" s="4">
        <v>15.55</v>
      </c>
      <c r="D690" s="4">
        <v>8.7456999999999994</v>
      </c>
      <c r="E690" s="4">
        <v>3535</v>
      </c>
      <c r="F690" s="4"/>
      <c r="G690" s="4"/>
      <c r="H690" s="5">
        <f t="shared" si="10"/>
        <v>2.3020505562119063E-2</v>
      </c>
    </row>
    <row r="691" spans="1:8" ht="13.5" x14ac:dyDescent="0.25">
      <c r="A691" s="1"/>
      <c r="B691" s="3">
        <v>43304</v>
      </c>
      <c r="C691" s="4">
        <v>16</v>
      </c>
      <c r="D691" s="4">
        <v>8.9987999999999992</v>
      </c>
      <c r="E691" s="4">
        <v>618</v>
      </c>
      <c r="F691" s="4"/>
      <c r="G691" s="4"/>
      <c r="H691" s="5">
        <f t="shared" si="10"/>
        <v>2.8939936197216905E-2</v>
      </c>
    </row>
    <row r="692" spans="1:8" ht="13.5" x14ac:dyDescent="0.25">
      <c r="A692" s="1"/>
      <c r="B692" s="3">
        <v>43305</v>
      </c>
      <c r="C692" s="4">
        <v>16.48</v>
      </c>
      <c r="D692" s="4">
        <v>9.2688000000000006</v>
      </c>
      <c r="E692" s="4">
        <v>3225</v>
      </c>
      <c r="F692" s="4"/>
      <c r="G692" s="4"/>
      <c r="H692" s="5">
        <f t="shared" si="10"/>
        <v>3.0004000533404608E-2</v>
      </c>
    </row>
    <row r="693" spans="1:8" ht="13.5" x14ac:dyDescent="0.25">
      <c r="A693" s="1"/>
      <c r="B693" s="3">
        <v>43307</v>
      </c>
      <c r="C693" s="4">
        <v>16.399999999999999</v>
      </c>
      <c r="D693" s="4">
        <v>9.2238000000000007</v>
      </c>
      <c r="E693" s="4">
        <v>855</v>
      </c>
      <c r="F693" s="4"/>
      <c r="G693" s="4"/>
      <c r="H693" s="5">
        <f t="shared" si="10"/>
        <v>-4.8549974106680393E-3</v>
      </c>
    </row>
    <row r="694" spans="1:8" ht="13.5" x14ac:dyDescent="0.25">
      <c r="A694" s="1"/>
      <c r="B694" s="3">
        <v>43308</v>
      </c>
      <c r="C694" s="4">
        <v>15.95</v>
      </c>
      <c r="D694" s="4">
        <v>8.9707000000000008</v>
      </c>
      <c r="E694" s="4">
        <v>100</v>
      </c>
      <c r="F694" s="4"/>
      <c r="G694" s="4"/>
      <c r="H694" s="5">
        <f t="shared" si="10"/>
        <v>-2.7439883778919736E-2</v>
      </c>
    </row>
    <row r="695" spans="1:8" ht="13.5" x14ac:dyDescent="0.25">
      <c r="A695" s="1"/>
      <c r="B695" s="3">
        <v>43311</v>
      </c>
      <c r="C695" s="4">
        <v>15.48</v>
      </c>
      <c r="D695" s="4">
        <v>8.7063000000000006</v>
      </c>
      <c r="E695" s="4">
        <v>804</v>
      </c>
      <c r="F695" s="4"/>
      <c r="G695" s="4"/>
      <c r="H695" s="5">
        <f t="shared" si="10"/>
        <v>-2.9473731146956221E-2</v>
      </c>
    </row>
    <row r="696" spans="1:8" ht="13.5" x14ac:dyDescent="0.25">
      <c r="A696" s="1"/>
      <c r="B696" s="3">
        <v>43312</v>
      </c>
      <c r="C696" s="4">
        <v>15.43</v>
      </c>
      <c r="D696" s="4">
        <v>8.6782000000000004</v>
      </c>
      <c r="E696" s="4">
        <v>183</v>
      </c>
      <c r="F696" s="4"/>
      <c r="G696" s="4"/>
      <c r="H696" s="5">
        <f t="shared" si="10"/>
        <v>-3.2275478676361065E-3</v>
      </c>
    </row>
    <row r="697" spans="1:8" ht="13.5" x14ac:dyDescent="0.25">
      <c r="A697" s="1"/>
      <c r="B697" s="3">
        <v>43313</v>
      </c>
      <c r="C697" s="4">
        <v>15.55</v>
      </c>
      <c r="D697" s="4">
        <v>8.7456999999999994</v>
      </c>
      <c r="E697" s="4">
        <v>1527</v>
      </c>
      <c r="F697" s="4"/>
      <c r="G697" s="4"/>
      <c r="H697" s="5">
        <f t="shared" si="10"/>
        <v>7.7781106681107832E-3</v>
      </c>
    </row>
    <row r="698" spans="1:8" ht="13.5" x14ac:dyDescent="0.25">
      <c r="A698" s="1"/>
      <c r="B698" s="3">
        <v>43314</v>
      </c>
      <c r="C698" s="4">
        <v>15.12</v>
      </c>
      <c r="D698" s="4">
        <v>8.5038999999999998</v>
      </c>
      <c r="E698" s="4">
        <v>963</v>
      </c>
      <c r="F698" s="4"/>
      <c r="G698" s="4"/>
      <c r="H698" s="5">
        <f t="shared" si="10"/>
        <v>-2.7647872668854361E-2</v>
      </c>
    </row>
    <row r="699" spans="1:8" ht="13.5" x14ac:dyDescent="0.25">
      <c r="A699" s="1"/>
      <c r="B699" s="3">
        <v>43315</v>
      </c>
      <c r="C699" s="4">
        <v>16.010000000000002</v>
      </c>
      <c r="D699" s="4">
        <v>9.0044000000000004</v>
      </c>
      <c r="E699" s="4">
        <v>2422</v>
      </c>
      <c r="F699" s="4"/>
      <c r="G699" s="4"/>
      <c r="H699" s="5">
        <f t="shared" si="10"/>
        <v>5.8855348722350993E-2</v>
      </c>
    </row>
    <row r="700" spans="1:8" ht="13.5" x14ac:dyDescent="0.25">
      <c r="A700" s="1"/>
      <c r="B700" s="3">
        <v>43318</v>
      </c>
      <c r="C700" s="4">
        <v>16.010000000000002</v>
      </c>
      <c r="D700" s="4">
        <v>9.0044000000000004</v>
      </c>
      <c r="E700" s="4">
        <v>730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16.829999999999998</v>
      </c>
      <c r="D701" s="4">
        <v>9.4656000000000002</v>
      </c>
      <c r="E701" s="4">
        <v>4837</v>
      </c>
      <c r="F701" s="4"/>
      <c r="G701" s="4"/>
      <c r="H701" s="5">
        <f t="shared" si="10"/>
        <v>5.1219403847008106E-2</v>
      </c>
    </row>
    <row r="702" spans="1:8" ht="13.5" x14ac:dyDescent="0.25">
      <c r="A702" s="1"/>
      <c r="B702" s="3">
        <v>43320</v>
      </c>
      <c r="C702" s="4">
        <v>17.489999999999998</v>
      </c>
      <c r="D702" s="4">
        <v>9.8368000000000002</v>
      </c>
      <c r="E702" s="4">
        <v>6834</v>
      </c>
      <c r="F702" s="4"/>
      <c r="G702" s="4"/>
      <c r="H702" s="5">
        <f t="shared" si="10"/>
        <v>3.9215686274509803E-2</v>
      </c>
    </row>
    <row r="703" spans="1:8" ht="13.5" x14ac:dyDescent="0.25">
      <c r="A703" s="1"/>
      <c r="B703" s="3">
        <v>43321</v>
      </c>
      <c r="C703" s="4">
        <v>18</v>
      </c>
      <c r="D703" s="4">
        <v>10.1236</v>
      </c>
      <c r="E703" s="4">
        <v>11859</v>
      </c>
      <c r="F703" s="4"/>
      <c r="G703" s="4"/>
      <c r="H703" s="5">
        <f t="shared" si="10"/>
        <v>2.9155823031880235E-2</v>
      </c>
    </row>
    <row r="704" spans="1:8" ht="13.5" x14ac:dyDescent="0.25">
      <c r="A704" s="1"/>
      <c r="B704" s="3">
        <v>43322</v>
      </c>
      <c r="C704" s="4">
        <v>18</v>
      </c>
      <c r="D704" s="4">
        <v>10.1236</v>
      </c>
      <c r="E704" s="4">
        <v>1827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17.46</v>
      </c>
      <c r="D705" s="4">
        <v>9.8199000000000005</v>
      </c>
      <c r="E705" s="4">
        <v>645</v>
      </c>
      <c r="F705" s="4"/>
      <c r="G705" s="4"/>
      <c r="H705" s="5">
        <f t="shared" si="10"/>
        <v>-2.9999209767276384E-2</v>
      </c>
    </row>
    <row r="706" spans="1:8" ht="13.5" x14ac:dyDescent="0.25">
      <c r="A706" s="1"/>
      <c r="B706" s="3">
        <v>43327</v>
      </c>
      <c r="C706" s="4">
        <v>17.559999999999999</v>
      </c>
      <c r="D706" s="4">
        <v>9.8762000000000008</v>
      </c>
      <c r="E706" s="4">
        <v>1834</v>
      </c>
      <c r="F706" s="4"/>
      <c r="G706" s="4"/>
      <c r="H706" s="5">
        <f t="shared" si="10"/>
        <v>5.7332559394698756E-3</v>
      </c>
    </row>
    <row r="707" spans="1:8" ht="13.5" x14ac:dyDescent="0.25">
      <c r="A707" s="1"/>
      <c r="B707" s="3">
        <v>43328</v>
      </c>
      <c r="C707" s="4">
        <v>17.07</v>
      </c>
      <c r="D707" s="4">
        <v>9.6006</v>
      </c>
      <c r="E707" s="4">
        <v>2994</v>
      </c>
      <c r="F707" s="4"/>
      <c r="G707" s="4"/>
      <c r="H707" s="5">
        <f t="shared" si="10"/>
        <v>-2.790546971507267E-2</v>
      </c>
    </row>
    <row r="708" spans="1:8" ht="13.5" x14ac:dyDescent="0.25">
      <c r="A708" s="1"/>
      <c r="B708" s="3">
        <v>43329</v>
      </c>
      <c r="C708" s="4">
        <v>18</v>
      </c>
      <c r="D708" s="4">
        <v>10.1236</v>
      </c>
      <c r="E708" s="4">
        <v>5602</v>
      </c>
      <c r="F708" s="4"/>
      <c r="G708" s="4"/>
      <c r="H708" s="5">
        <f t="shared" si="10"/>
        <v>5.4475761931545914E-2</v>
      </c>
    </row>
    <row r="709" spans="1:8" ht="13.5" x14ac:dyDescent="0.25">
      <c r="A709" s="1"/>
      <c r="B709" s="3">
        <v>43332</v>
      </c>
      <c r="C709" s="4">
        <v>19</v>
      </c>
      <c r="D709" s="4">
        <v>10.6861</v>
      </c>
      <c r="E709" s="4">
        <v>9154</v>
      </c>
      <c r="F709" s="4"/>
      <c r="G709" s="4"/>
      <c r="H709" s="5">
        <f t="shared" si="10"/>
        <v>5.5563238373701057E-2</v>
      </c>
    </row>
    <row r="710" spans="1:8" ht="13.5" x14ac:dyDescent="0.25">
      <c r="A710" s="1"/>
      <c r="B710" s="3">
        <v>43335</v>
      </c>
      <c r="C710" s="4">
        <v>18.5</v>
      </c>
      <c r="D710" s="4">
        <v>10.4049</v>
      </c>
      <c r="E710" s="4">
        <v>477</v>
      </c>
      <c r="F710" s="4"/>
      <c r="G710" s="4"/>
      <c r="H710" s="5">
        <f t="shared" si="10"/>
        <v>-2.6314558164344345E-2</v>
      </c>
    </row>
    <row r="711" spans="1:8" ht="13.5" x14ac:dyDescent="0.25">
      <c r="A711" s="1"/>
      <c r="B711" s="3">
        <v>43336</v>
      </c>
      <c r="C711" s="4">
        <v>18.600000000000001</v>
      </c>
      <c r="D711" s="4">
        <v>10.4611</v>
      </c>
      <c r="E711" s="4">
        <v>325</v>
      </c>
      <c r="F711" s="4"/>
      <c r="G711" s="4"/>
      <c r="H711" s="5">
        <f t="shared" ref="H711:H774" si="11">(D711-D710)/D710</f>
        <v>5.4013013099597764E-3</v>
      </c>
    </row>
    <row r="712" spans="1:8" ht="13.5" x14ac:dyDescent="0.25">
      <c r="A712" s="1"/>
      <c r="B712" s="3">
        <v>43339</v>
      </c>
      <c r="C712" s="4">
        <v>19</v>
      </c>
      <c r="D712" s="4">
        <v>10.6861</v>
      </c>
      <c r="E712" s="4">
        <v>4</v>
      </c>
      <c r="F712" s="4"/>
      <c r="G712" s="4"/>
      <c r="H712" s="5">
        <f t="shared" si="11"/>
        <v>2.1508254390073669E-2</v>
      </c>
    </row>
    <row r="713" spans="1:8" ht="13.5" x14ac:dyDescent="0.25">
      <c r="A713" s="1"/>
      <c r="B713" s="3">
        <v>43340</v>
      </c>
      <c r="C713" s="4">
        <v>19</v>
      </c>
      <c r="D713" s="4">
        <v>10.6861</v>
      </c>
      <c r="E713" s="4">
        <v>1240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18.5</v>
      </c>
      <c r="D714" s="4">
        <v>10.4049</v>
      </c>
      <c r="E714" s="4">
        <v>2634</v>
      </c>
      <c r="F714" s="4"/>
      <c r="G714" s="4"/>
      <c r="H714" s="5">
        <f t="shared" si="11"/>
        <v>-2.6314558164344345E-2</v>
      </c>
    </row>
    <row r="715" spans="1:8" ht="13.5" x14ac:dyDescent="0.25">
      <c r="A715" s="1"/>
      <c r="B715" s="3">
        <v>43342</v>
      </c>
      <c r="C715" s="4">
        <v>18.96</v>
      </c>
      <c r="D715" s="4">
        <v>10.663600000000001</v>
      </c>
      <c r="E715" s="4">
        <v>10151</v>
      </c>
      <c r="F715" s="4"/>
      <c r="G715" s="4"/>
      <c r="H715" s="5">
        <f t="shared" si="11"/>
        <v>2.4863285567377009E-2</v>
      </c>
    </row>
    <row r="716" spans="1:8" ht="13.5" x14ac:dyDescent="0.25">
      <c r="A716" s="1"/>
      <c r="B716" s="3">
        <v>43343</v>
      </c>
      <c r="C716" s="4">
        <v>18.97</v>
      </c>
      <c r="D716" s="4">
        <v>10.6692</v>
      </c>
      <c r="E716" s="4">
        <v>2275</v>
      </c>
      <c r="F716" s="4"/>
      <c r="G716" s="4"/>
      <c r="H716" s="5">
        <f t="shared" si="11"/>
        <v>5.2515098090695294E-4</v>
      </c>
    </row>
    <row r="717" spans="1:8" ht="13.5" x14ac:dyDescent="0.25">
      <c r="A717" s="1"/>
      <c r="B717" s="3">
        <v>43346</v>
      </c>
      <c r="C717" s="4">
        <v>18.5</v>
      </c>
      <c r="D717" s="4">
        <v>10.4049</v>
      </c>
      <c r="E717" s="4">
        <v>343</v>
      </c>
      <c r="F717" s="4"/>
      <c r="G717" s="4"/>
      <c r="H717" s="5">
        <f t="shared" si="11"/>
        <v>-2.4772241592621792E-2</v>
      </c>
    </row>
    <row r="718" spans="1:8" ht="13.5" x14ac:dyDescent="0.25">
      <c r="A718" s="1"/>
      <c r="B718" s="3">
        <v>43347</v>
      </c>
      <c r="C718" s="4">
        <v>18.399999999999999</v>
      </c>
      <c r="D718" s="4">
        <v>10.348599999999999</v>
      </c>
      <c r="E718" s="4">
        <v>238</v>
      </c>
      <c r="F718" s="4"/>
      <c r="G718" s="4"/>
      <c r="H718" s="5">
        <f t="shared" si="11"/>
        <v>-5.4109121663831698E-3</v>
      </c>
    </row>
    <row r="719" spans="1:8" ht="13.5" x14ac:dyDescent="0.25">
      <c r="A719" s="1"/>
      <c r="B719" s="3">
        <v>43348</v>
      </c>
      <c r="C719" s="4">
        <v>18</v>
      </c>
      <c r="D719" s="4">
        <v>10.1236</v>
      </c>
      <c r="E719" s="4">
        <v>10704</v>
      </c>
      <c r="F719" s="4"/>
      <c r="G719" s="4"/>
      <c r="H719" s="5">
        <f t="shared" si="11"/>
        <v>-2.1742071391299272E-2</v>
      </c>
    </row>
    <row r="720" spans="1:8" ht="13.5" x14ac:dyDescent="0.25">
      <c r="A720" s="1"/>
      <c r="B720" s="3">
        <v>43349</v>
      </c>
      <c r="C720" s="4">
        <v>18</v>
      </c>
      <c r="D720" s="4">
        <v>10.1236</v>
      </c>
      <c r="E720" s="4">
        <v>4642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18</v>
      </c>
      <c r="D721" s="4">
        <v>10.1236</v>
      </c>
      <c r="E721" s="4">
        <v>199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17.5</v>
      </c>
      <c r="D722" s="4">
        <v>9.8423999999999996</v>
      </c>
      <c r="E722" s="4">
        <v>3102</v>
      </c>
      <c r="F722" s="4"/>
      <c r="G722" s="4"/>
      <c r="H722" s="5">
        <f t="shared" si="11"/>
        <v>-2.7776680232328432E-2</v>
      </c>
    </row>
    <row r="723" spans="1:8" ht="13.5" x14ac:dyDescent="0.25">
      <c r="A723" s="1"/>
      <c r="B723" s="3">
        <v>43355</v>
      </c>
      <c r="C723" s="4">
        <v>17</v>
      </c>
      <c r="D723" s="4">
        <v>9.5611999999999995</v>
      </c>
      <c r="E723" s="4">
        <v>951</v>
      </c>
      <c r="F723" s="4"/>
      <c r="G723" s="4"/>
      <c r="H723" s="5">
        <f t="shared" si="11"/>
        <v>-2.8570267414451771E-2</v>
      </c>
    </row>
    <row r="724" spans="1:8" ht="13.5" x14ac:dyDescent="0.25">
      <c r="A724" s="1"/>
      <c r="B724" s="3">
        <v>43356</v>
      </c>
      <c r="C724" s="4">
        <v>16.95</v>
      </c>
      <c r="D724" s="4">
        <v>9.5330999999999992</v>
      </c>
      <c r="E724" s="4">
        <v>209</v>
      </c>
      <c r="F724" s="4"/>
      <c r="G724" s="4"/>
      <c r="H724" s="5">
        <f t="shared" si="11"/>
        <v>-2.9389616366146758E-3</v>
      </c>
    </row>
    <row r="725" spans="1:8" ht="13.5" x14ac:dyDescent="0.25">
      <c r="A725" s="1"/>
      <c r="B725" s="3">
        <v>43357</v>
      </c>
      <c r="C725" s="4">
        <v>16.45</v>
      </c>
      <c r="D725" s="4">
        <v>9.2518999999999991</v>
      </c>
      <c r="E725" s="4">
        <v>5831</v>
      </c>
      <c r="F725" s="4"/>
      <c r="G725" s="4"/>
      <c r="H725" s="5">
        <f t="shared" si="11"/>
        <v>-2.9497225456567133E-2</v>
      </c>
    </row>
    <row r="726" spans="1:8" ht="13.5" x14ac:dyDescent="0.25">
      <c r="A726" s="1"/>
      <c r="B726" s="3">
        <v>43360</v>
      </c>
      <c r="C726" s="4">
        <v>16.440000000000001</v>
      </c>
      <c r="D726" s="4">
        <v>9.2462999999999997</v>
      </c>
      <c r="E726" s="4">
        <v>369</v>
      </c>
      <c r="F726" s="4"/>
      <c r="G726" s="4"/>
      <c r="H726" s="5">
        <f t="shared" si="11"/>
        <v>-6.0528107740025119E-4</v>
      </c>
    </row>
    <row r="727" spans="1:8" ht="13.5" x14ac:dyDescent="0.25">
      <c r="A727" s="1"/>
      <c r="B727" s="3">
        <v>43361</v>
      </c>
      <c r="C727" s="4">
        <v>16.39</v>
      </c>
      <c r="D727" s="4">
        <v>9.2180999999999997</v>
      </c>
      <c r="E727" s="4">
        <v>1604</v>
      </c>
      <c r="F727" s="4"/>
      <c r="G727" s="4"/>
      <c r="H727" s="5">
        <f t="shared" si="11"/>
        <v>-3.0498685960870841E-3</v>
      </c>
    </row>
    <row r="728" spans="1:8" ht="13.5" x14ac:dyDescent="0.25">
      <c r="A728" s="1"/>
      <c r="B728" s="3">
        <v>43362</v>
      </c>
      <c r="C728" s="4">
        <v>16.12</v>
      </c>
      <c r="D728" s="4">
        <v>9.0663</v>
      </c>
      <c r="E728" s="4">
        <v>8444</v>
      </c>
      <c r="F728" s="4"/>
      <c r="G728" s="4"/>
      <c r="H728" s="5">
        <f t="shared" si="11"/>
        <v>-1.6467601783447753E-2</v>
      </c>
    </row>
    <row r="729" spans="1:8" ht="13.5" x14ac:dyDescent="0.25">
      <c r="A729" s="1"/>
      <c r="B729" s="3">
        <v>43363</v>
      </c>
      <c r="C729" s="4">
        <v>16</v>
      </c>
      <c r="D729" s="4">
        <v>8.9987999999999992</v>
      </c>
      <c r="E729" s="4">
        <v>3852</v>
      </c>
      <c r="F729" s="4"/>
      <c r="G729" s="4"/>
      <c r="H729" s="5">
        <f t="shared" si="11"/>
        <v>-7.4451540319646139E-3</v>
      </c>
    </row>
    <row r="730" spans="1:8" ht="13.5" x14ac:dyDescent="0.25">
      <c r="A730" s="1"/>
      <c r="B730" s="3">
        <v>43364</v>
      </c>
      <c r="C730" s="4">
        <v>15.6</v>
      </c>
      <c r="D730" s="4">
        <v>8.7737999999999996</v>
      </c>
      <c r="E730" s="4">
        <v>646</v>
      </c>
      <c r="F730" s="4"/>
      <c r="G730" s="4"/>
      <c r="H730" s="5">
        <f t="shared" si="11"/>
        <v>-2.5003333777837009E-2</v>
      </c>
    </row>
    <row r="731" spans="1:8" ht="13.5" x14ac:dyDescent="0.25">
      <c r="A731" s="1"/>
      <c r="B731" s="3">
        <v>43367</v>
      </c>
      <c r="C731" s="4">
        <v>15.2</v>
      </c>
      <c r="D731" s="4">
        <v>8.5488999999999997</v>
      </c>
      <c r="E731" s="4">
        <v>1079</v>
      </c>
      <c r="F731" s="4"/>
      <c r="G731" s="4"/>
      <c r="H731" s="5">
        <f t="shared" si="11"/>
        <v>-2.5633135015614657E-2</v>
      </c>
    </row>
    <row r="732" spans="1:8" ht="13.5" x14ac:dyDescent="0.25">
      <c r="A732" s="1"/>
      <c r="B732" s="3">
        <v>43368</v>
      </c>
      <c r="C732" s="4">
        <v>15.88</v>
      </c>
      <c r="D732" s="4">
        <v>8.9313000000000002</v>
      </c>
      <c r="E732" s="4">
        <v>12215</v>
      </c>
      <c r="F732" s="4"/>
      <c r="G732" s="4"/>
      <c r="H732" s="5">
        <f t="shared" si="11"/>
        <v>4.4730901051597341E-2</v>
      </c>
    </row>
    <row r="733" spans="1:8" ht="13.5" x14ac:dyDescent="0.25">
      <c r="A733" s="1"/>
      <c r="B733" s="3">
        <v>43369</v>
      </c>
      <c r="C733" s="4">
        <v>15.9</v>
      </c>
      <c r="D733" s="4">
        <v>8.9425000000000008</v>
      </c>
      <c r="E733" s="4">
        <v>12385</v>
      </c>
      <c r="F733" s="4"/>
      <c r="G733" s="4"/>
      <c r="H733" s="5">
        <f t="shared" si="11"/>
        <v>1.2540167724743926E-3</v>
      </c>
    </row>
    <row r="734" spans="1:8" ht="13.5" x14ac:dyDescent="0.25">
      <c r="A734" s="1"/>
      <c r="B734" s="3">
        <v>43370</v>
      </c>
      <c r="C734" s="4">
        <v>15.89</v>
      </c>
      <c r="D734" s="4">
        <v>8.9368999999999996</v>
      </c>
      <c r="E734" s="4">
        <v>100</v>
      </c>
      <c r="F734" s="4"/>
      <c r="G734" s="4"/>
      <c r="H734" s="5">
        <f t="shared" si="11"/>
        <v>-6.2622309197664621E-4</v>
      </c>
    </row>
    <row r="735" spans="1:8" ht="13.5" x14ac:dyDescent="0.25">
      <c r="A735" s="1"/>
      <c r="B735" s="3">
        <v>43371</v>
      </c>
      <c r="C735" s="4">
        <v>15.78</v>
      </c>
      <c r="D735" s="4">
        <v>8.8750999999999998</v>
      </c>
      <c r="E735" s="4">
        <v>4271</v>
      </c>
      <c r="F735" s="4"/>
      <c r="G735" s="4"/>
      <c r="H735" s="5">
        <f t="shared" si="11"/>
        <v>-6.9151495485011419E-3</v>
      </c>
    </row>
    <row r="736" spans="1:8" ht="13.5" x14ac:dyDescent="0.25">
      <c r="A736" s="1"/>
      <c r="B736" s="3">
        <v>43374</v>
      </c>
      <c r="C736" s="4">
        <v>15.31</v>
      </c>
      <c r="D736" s="4">
        <v>8.6106999999999996</v>
      </c>
      <c r="E736" s="4">
        <v>1734</v>
      </c>
      <c r="F736" s="4"/>
      <c r="G736" s="4"/>
      <c r="H736" s="5">
        <f t="shared" si="11"/>
        <v>-2.9791213620128248E-2</v>
      </c>
    </row>
    <row r="737" spans="1:8" ht="13.5" x14ac:dyDescent="0.25">
      <c r="A737" s="1"/>
      <c r="B737" s="3">
        <v>43375</v>
      </c>
      <c r="C737" s="4">
        <v>15</v>
      </c>
      <c r="D737" s="4">
        <v>8.4364000000000008</v>
      </c>
      <c r="E737" s="4">
        <v>1535</v>
      </c>
      <c r="F737" s="4"/>
      <c r="G737" s="4"/>
      <c r="H737" s="5">
        <f t="shared" si="11"/>
        <v>-2.0242256727095218E-2</v>
      </c>
    </row>
    <row r="738" spans="1:8" ht="13.5" x14ac:dyDescent="0.25">
      <c r="A738" s="1"/>
      <c r="B738" s="3">
        <v>43376</v>
      </c>
      <c r="C738" s="4">
        <v>15</v>
      </c>
      <c r="D738" s="4">
        <v>8.4364000000000008</v>
      </c>
      <c r="E738" s="4">
        <v>2144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14.6</v>
      </c>
      <c r="D739" s="4">
        <v>8.2113999999999994</v>
      </c>
      <c r="E739" s="4">
        <v>3477</v>
      </c>
      <c r="F739" s="4"/>
      <c r="G739" s="4"/>
      <c r="H739" s="5">
        <f t="shared" si="11"/>
        <v>-2.667014366317403E-2</v>
      </c>
    </row>
    <row r="740" spans="1:8" ht="13.5" x14ac:dyDescent="0.25">
      <c r="A740" s="1"/>
      <c r="B740" s="3">
        <v>43378</v>
      </c>
      <c r="C740" s="4">
        <v>15.2</v>
      </c>
      <c r="D740" s="4">
        <v>8.5488999999999997</v>
      </c>
      <c r="E740" s="4">
        <v>785</v>
      </c>
      <c r="F740" s="4"/>
      <c r="G740" s="4"/>
      <c r="H740" s="5">
        <f t="shared" si="11"/>
        <v>4.1101395620722458E-2</v>
      </c>
    </row>
    <row r="741" spans="1:8" ht="13.5" x14ac:dyDescent="0.25">
      <c r="A741" s="1"/>
      <c r="B741" s="3">
        <v>43381</v>
      </c>
      <c r="C741" s="4">
        <v>15.6</v>
      </c>
      <c r="D741" s="4">
        <v>8.7737999999999996</v>
      </c>
      <c r="E741" s="4">
        <v>100</v>
      </c>
      <c r="F741" s="4"/>
      <c r="G741" s="4"/>
      <c r="H741" s="5">
        <f t="shared" si="11"/>
        <v>2.6307478155084267E-2</v>
      </c>
    </row>
    <row r="742" spans="1:8" ht="13.5" x14ac:dyDescent="0.25">
      <c r="A742" s="1"/>
      <c r="B742" s="3">
        <v>43382</v>
      </c>
      <c r="C742" s="4">
        <v>15.65</v>
      </c>
      <c r="D742" s="4">
        <v>8.8018999999999998</v>
      </c>
      <c r="E742" s="4">
        <v>1407</v>
      </c>
      <c r="F742" s="4"/>
      <c r="G742" s="4"/>
      <c r="H742" s="5">
        <f t="shared" si="11"/>
        <v>3.2027171806971026E-3</v>
      </c>
    </row>
    <row r="743" spans="1:8" ht="13.5" x14ac:dyDescent="0.25">
      <c r="A743" s="1"/>
      <c r="B743" s="3">
        <v>43383</v>
      </c>
      <c r="C743" s="4">
        <v>15.6</v>
      </c>
      <c r="D743" s="4">
        <v>8.7737999999999996</v>
      </c>
      <c r="E743" s="4">
        <v>252</v>
      </c>
      <c r="F743" s="4"/>
      <c r="G743" s="4"/>
      <c r="H743" s="5">
        <f t="shared" si="11"/>
        <v>-3.1924925300219537E-3</v>
      </c>
    </row>
    <row r="744" spans="1:8" ht="13.5" x14ac:dyDescent="0.25">
      <c r="A744" s="1"/>
      <c r="B744" s="3">
        <v>43384</v>
      </c>
      <c r="C744" s="4">
        <v>15.6</v>
      </c>
      <c r="D744" s="4">
        <v>8.7737999999999996</v>
      </c>
      <c r="E744" s="4">
        <v>256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15.2</v>
      </c>
      <c r="D745" s="4">
        <v>8.5488999999999997</v>
      </c>
      <c r="E745" s="4">
        <v>420</v>
      </c>
      <c r="F745" s="4"/>
      <c r="G745" s="4"/>
      <c r="H745" s="5">
        <f t="shared" si="11"/>
        <v>-2.5633135015614657E-2</v>
      </c>
    </row>
    <row r="746" spans="1:8" ht="13.5" x14ac:dyDescent="0.25">
      <c r="A746" s="1"/>
      <c r="B746" s="3">
        <v>43389</v>
      </c>
      <c r="C746" s="4">
        <v>15.5</v>
      </c>
      <c r="D746" s="4">
        <v>8.7175999999999991</v>
      </c>
      <c r="E746" s="4">
        <v>10</v>
      </c>
      <c r="F746" s="4"/>
      <c r="G746" s="4"/>
      <c r="H746" s="5">
        <f t="shared" si="11"/>
        <v>1.9733532969153856E-2</v>
      </c>
    </row>
    <row r="747" spans="1:8" ht="13.5" x14ac:dyDescent="0.25">
      <c r="A747" s="1"/>
      <c r="B747" s="3">
        <v>43390</v>
      </c>
      <c r="C747" s="4">
        <v>15.04</v>
      </c>
      <c r="D747" s="4">
        <v>8.4588999999999999</v>
      </c>
      <c r="E747" s="4">
        <v>4175</v>
      </c>
      <c r="F747" s="4"/>
      <c r="G747" s="4"/>
      <c r="H747" s="5">
        <f t="shared" si="11"/>
        <v>-2.9675598788657349E-2</v>
      </c>
    </row>
    <row r="748" spans="1:8" ht="13.5" x14ac:dyDescent="0.25">
      <c r="A748" s="1"/>
      <c r="B748" s="3">
        <v>43391</v>
      </c>
      <c r="C748" s="4">
        <v>15.4</v>
      </c>
      <c r="D748" s="4">
        <v>8.6613000000000007</v>
      </c>
      <c r="E748" s="4">
        <v>1322</v>
      </c>
      <c r="F748" s="4"/>
      <c r="G748" s="4"/>
      <c r="H748" s="5">
        <f t="shared" si="11"/>
        <v>2.3927461017390062E-2</v>
      </c>
    </row>
    <row r="749" spans="1:8" ht="13.5" x14ac:dyDescent="0.25">
      <c r="A749" s="1"/>
      <c r="B749" s="3">
        <v>43392</v>
      </c>
      <c r="C749" s="4">
        <v>15.4</v>
      </c>
      <c r="D749" s="4">
        <v>8.6613000000000007</v>
      </c>
      <c r="E749" s="4">
        <v>14009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15.4</v>
      </c>
      <c r="D750" s="4">
        <v>8.6613000000000007</v>
      </c>
      <c r="E750" s="4">
        <v>801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14.94</v>
      </c>
      <c r="D751" s="4">
        <v>8.4025999999999996</v>
      </c>
      <c r="E751" s="4">
        <v>3853</v>
      </c>
      <c r="F751" s="4"/>
      <c r="G751" s="4"/>
      <c r="H751" s="5">
        <f t="shared" si="11"/>
        <v>-2.9868495491439048E-2</v>
      </c>
    </row>
    <row r="752" spans="1:8" ht="13.5" x14ac:dyDescent="0.25">
      <c r="A752" s="1"/>
      <c r="B752" s="3">
        <v>43397</v>
      </c>
      <c r="C752" s="4">
        <v>15.19</v>
      </c>
      <c r="D752" s="4">
        <v>8.5432000000000006</v>
      </c>
      <c r="E752" s="4">
        <v>153</v>
      </c>
      <c r="F752" s="4"/>
      <c r="G752" s="4"/>
      <c r="H752" s="5">
        <f t="shared" si="11"/>
        <v>1.6732916002189912E-2</v>
      </c>
    </row>
    <row r="753" spans="1:8" ht="13.5" x14ac:dyDescent="0.25">
      <c r="A753" s="1"/>
      <c r="B753" s="3">
        <v>43398</v>
      </c>
      <c r="C753" s="4">
        <v>15</v>
      </c>
      <c r="D753" s="4">
        <v>8.4364000000000008</v>
      </c>
      <c r="E753" s="4">
        <v>2838</v>
      </c>
      <c r="F753" s="4"/>
      <c r="G753" s="4"/>
      <c r="H753" s="5">
        <f t="shared" si="11"/>
        <v>-1.2501170521584393E-2</v>
      </c>
    </row>
    <row r="754" spans="1:8" ht="13.5" x14ac:dyDescent="0.25">
      <c r="A754" s="1"/>
      <c r="B754" s="3">
        <v>43399</v>
      </c>
      <c r="C754" s="4">
        <v>14.75</v>
      </c>
      <c r="D754" s="4">
        <v>8.2957999999999998</v>
      </c>
      <c r="E754" s="4">
        <v>1333</v>
      </c>
      <c r="F754" s="4"/>
      <c r="G754" s="4"/>
      <c r="H754" s="5">
        <f t="shared" si="11"/>
        <v>-1.6665876440187868E-2</v>
      </c>
    </row>
    <row r="755" spans="1:8" ht="13.5" x14ac:dyDescent="0.25">
      <c r="A755" s="1"/>
      <c r="B755" s="3">
        <v>43402</v>
      </c>
      <c r="C755" s="4">
        <v>15</v>
      </c>
      <c r="D755" s="4">
        <v>8.4364000000000008</v>
      </c>
      <c r="E755" s="4">
        <v>2169</v>
      </c>
      <c r="F755" s="4"/>
      <c r="G755" s="4"/>
      <c r="H755" s="5">
        <f t="shared" si="11"/>
        <v>1.6948335302201228E-2</v>
      </c>
    </row>
    <row r="756" spans="1:8" ht="13.5" x14ac:dyDescent="0.25">
      <c r="A756" s="1"/>
      <c r="B756" s="3">
        <v>43403</v>
      </c>
      <c r="C756" s="4">
        <v>15.45</v>
      </c>
      <c r="D756" s="4">
        <v>8.6895000000000007</v>
      </c>
      <c r="E756" s="4">
        <v>8526</v>
      </c>
      <c r="F756" s="4"/>
      <c r="G756" s="4"/>
      <c r="H756" s="5">
        <f t="shared" si="11"/>
        <v>3.0000948271774675E-2</v>
      </c>
    </row>
    <row r="757" spans="1:8" ht="13.5" x14ac:dyDescent="0.25">
      <c r="A757" s="1"/>
      <c r="B757" s="3">
        <v>43404</v>
      </c>
      <c r="C757" s="4">
        <v>16.3</v>
      </c>
      <c r="D757" s="4">
        <v>9.1675000000000004</v>
      </c>
      <c r="E757" s="4">
        <v>6667</v>
      </c>
      <c r="F757" s="4"/>
      <c r="G757" s="4"/>
      <c r="H757" s="5">
        <f t="shared" si="11"/>
        <v>5.5008918810058087E-2</v>
      </c>
    </row>
    <row r="758" spans="1:8" ht="13.5" x14ac:dyDescent="0.25">
      <c r="A758" s="1"/>
      <c r="B758" s="3">
        <v>43405</v>
      </c>
      <c r="C758" s="4">
        <v>17.2</v>
      </c>
      <c r="D758" s="4">
        <v>9.6737000000000002</v>
      </c>
      <c r="E758" s="4">
        <v>6384</v>
      </c>
      <c r="F758" s="4"/>
      <c r="G758" s="4"/>
      <c r="H758" s="5">
        <f t="shared" si="11"/>
        <v>5.5216798472866077E-2</v>
      </c>
    </row>
    <row r="759" spans="1:8" ht="13.5" x14ac:dyDescent="0.25">
      <c r="A759" s="1"/>
      <c r="B759" s="3">
        <v>43406</v>
      </c>
      <c r="C759" s="4">
        <v>17.440000000000001</v>
      </c>
      <c r="D759" s="4">
        <v>9.8087</v>
      </c>
      <c r="E759" s="4">
        <v>1283</v>
      </c>
      <c r="F759" s="4"/>
      <c r="G759" s="4"/>
      <c r="H759" s="5">
        <f t="shared" si="11"/>
        <v>1.3955363511376183E-2</v>
      </c>
    </row>
    <row r="760" spans="1:8" ht="13.5" x14ac:dyDescent="0.25">
      <c r="A760" s="1"/>
      <c r="B760" s="3">
        <v>43409</v>
      </c>
      <c r="C760" s="4">
        <v>17.440000000000001</v>
      </c>
      <c r="D760" s="4">
        <v>9.8087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17.3</v>
      </c>
      <c r="D761" s="4">
        <v>9.7299000000000007</v>
      </c>
      <c r="E761" s="4">
        <v>5</v>
      </c>
      <c r="F761" s="4"/>
      <c r="G761" s="4"/>
      <c r="H761" s="5">
        <f t="shared" si="11"/>
        <v>-8.03368438223203E-3</v>
      </c>
    </row>
    <row r="762" spans="1:8" ht="13.5" x14ac:dyDescent="0.25">
      <c r="A762" s="1"/>
      <c r="B762" s="3">
        <v>43411</v>
      </c>
      <c r="C762" s="4">
        <v>16.829999999999998</v>
      </c>
      <c r="D762" s="4">
        <v>9.4656000000000002</v>
      </c>
      <c r="E762" s="4">
        <v>31742</v>
      </c>
      <c r="F762" s="4"/>
      <c r="G762" s="4"/>
      <c r="H762" s="5">
        <f t="shared" si="11"/>
        <v>-2.7163691302068922E-2</v>
      </c>
    </row>
    <row r="763" spans="1:8" ht="13.5" x14ac:dyDescent="0.25">
      <c r="A763" s="1"/>
      <c r="B763" s="3">
        <v>43412</v>
      </c>
      <c r="C763" s="4">
        <v>16.829999999999998</v>
      </c>
      <c r="D763" s="4">
        <v>9.4656000000000002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16.329999999999998</v>
      </c>
      <c r="D764" s="4">
        <v>9.1844000000000001</v>
      </c>
      <c r="E764" s="4">
        <v>1708</v>
      </c>
      <c r="F764" s="4"/>
      <c r="G764" s="4"/>
      <c r="H764" s="5">
        <f t="shared" si="11"/>
        <v>-2.9707572684246123E-2</v>
      </c>
    </row>
    <row r="765" spans="1:8" ht="13.5" x14ac:dyDescent="0.25">
      <c r="A765" s="1"/>
      <c r="B765" s="3">
        <v>43416</v>
      </c>
      <c r="C765" s="4">
        <v>16.57</v>
      </c>
      <c r="D765" s="4">
        <v>9.3193999999999999</v>
      </c>
      <c r="E765" s="4">
        <v>175</v>
      </c>
      <c r="F765" s="4"/>
      <c r="G765" s="4"/>
      <c r="H765" s="5">
        <f t="shared" si="11"/>
        <v>1.4698837158660313E-2</v>
      </c>
    </row>
    <row r="766" spans="1:8" ht="13.5" x14ac:dyDescent="0.25">
      <c r="A766" s="1"/>
      <c r="B766" s="3">
        <v>43417</v>
      </c>
      <c r="C766" s="4">
        <v>16.079999999999998</v>
      </c>
      <c r="D766" s="4">
        <v>9.0437999999999992</v>
      </c>
      <c r="E766" s="4">
        <v>3864</v>
      </c>
      <c r="F766" s="4"/>
      <c r="G766" s="4"/>
      <c r="H766" s="5">
        <f t="shared" si="11"/>
        <v>-2.9572719273773067E-2</v>
      </c>
    </row>
    <row r="767" spans="1:8" ht="13.5" x14ac:dyDescent="0.25">
      <c r="A767" s="1"/>
      <c r="B767" s="3">
        <v>43418</v>
      </c>
      <c r="C767" s="4">
        <v>15.6</v>
      </c>
      <c r="D767" s="4">
        <v>8.7737999999999996</v>
      </c>
      <c r="E767" s="4">
        <v>214</v>
      </c>
      <c r="F767" s="4"/>
      <c r="G767" s="4"/>
      <c r="H767" s="5">
        <f t="shared" si="11"/>
        <v>-2.9854707092151486E-2</v>
      </c>
    </row>
    <row r="768" spans="1:8" ht="13.5" x14ac:dyDescent="0.25">
      <c r="A768" s="1"/>
      <c r="B768" s="3">
        <v>43419</v>
      </c>
      <c r="C768" s="4">
        <v>15.6</v>
      </c>
      <c r="D768" s="4">
        <v>8.7737999999999996</v>
      </c>
      <c r="E768" s="4">
        <v>1827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15.78</v>
      </c>
      <c r="D769" s="4">
        <v>8.8750999999999998</v>
      </c>
      <c r="E769" s="4">
        <v>9226</v>
      </c>
      <c r="F769" s="4"/>
      <c r="G769" s="4"/>
      <c r="H769" s="5">
        <f t="shared" si="11"/>
        <v>1.1545738448562786E-2</v>
      </c>
    </row>
    <row r="770" spans="1:8" ht="13.5" x14ac:dyDescent="0.25">
      <c r="A770" s="1"/>
      <c r="B770" s="3">
        <v>43423</v>
      </c>
      <c r="C770" s="4">
        <v>16.25</v>
      </c>
      <c r="D770" s="4">
        <v>9.1394000000000002</v>
      </c>
      <c r="E770" s="4">
        <v>3259</v>
      </c>
      <c r="F770" s="4"/>
      <c r="G770" s="4"/>
      <c r="H770" s="5">
        <f t="shared" si="11"/>
        <v>2.9779946141451977E-2</v>
      </c>
    </row>
    <row r="771" spans="1:8" ht="13.5" x14ac:dyDescent="0.25">
      <c r="A771" s="1"/>
      <c r="B771" s="3">
        <v>43425</v>
      </c>
      <c r="C771" s="4">
        <v>16.72</v>
      </c>
      <c r="D771" s="4">
        <v>9.4037000000000006</v>
      </c>
      <c r="E771" s="4">
        <v>6463</v>
      </c>
      <c r="F771" s="4"/>
      <c r="G771" s="4"/>
      <c r="H771" s="5">
        <f t="shared" si="11"/>
        <v>2.8918747401361185E-2</v>
      </c>
    </row>
    <row r="772" spans="1:8" ht="13.5" x14ac:dyDescent="0.25">
      <c r="A772" s="1"/>
      <c r="B772" s="3">
        <v>43426</v>
      </c>
      <c r="C772" s="4">
        <v>16.7</v>
      </c>
      <c r="D772" s="4">
        <v>9.3925000000000001</v>
      </c>
      <c r="E772" s="4">
        <v>10627</v>
      </c>
      <c r="F772" s="4"/>
      <c r="G772" s="4"/>
      <c r="H772" s="5">
        <f t="shared" si="11"/>
        <v>-1.1910205557387563E-3</v>
      </c>
    </row>
    <row r="773" spans="1:8" ht="13.5" x14ac:dyDescent="0.25">
      <c r="A773" s="1"/>
      <c r="B773" s="3">
        <v>43427</v>
      </c>
      <c r="C773" s="4">
        <v>16.59</v>
      </c>
      <c r="D773" s="4">
        <v>9.3306000000000004</v>
      </c>
      <c r="E773" s="4">
        <v>1211</v>
      </c>
      <c r="F773" s="4"/>
      <c r="G773" s="4"/>
      <c r="H773" s="5">
        <f t="shared" si="11"/>
        <v>-6.590364652648349E-3</v>
      </c>
    </row>
    <row r="774" spans="1:8" ht="13.5" x14ac:dyDescent="0.25">
      <c r="A774" s="1"/>
      <c r="B774" s="3">
        <v>43430</v>
      </c>
      <c r="C774" s="4">
        <v>16.5</v>
      </c>
      <c r="D774" s="4">
        <v>9.2799999999999994</v>
      </c>
      <c r="E774" s="4">
        <v>3629</v>
      </c>
      <c r="F774" s="4"/>
      <c r="G774" s="4"/>
      <c r="H774" s="5">
        <f t="shared" si="11"/>
        <v>-5.4230167406170114E-3</v>
      </c>
    </row>
    <row r="775" spans="1:8" ht="13.5" x14ac:dyDescent="0.25">
      <c r="A775" s="1"/>
      <c r="B775" s="3">
        <v>43431</v>
      </c>
      <c r="C775" s="4">
        <v>16.489999999999998</v>
      </c>
      <c r="D775" s="4">
        <v>9.2744</v>
      </c>
      <c r="E775" s="4">
        <v>2197</v>
      </c>
      <c r="F775" s="4"/>
      <c r="G775" s="4"/>
      <c r="H775" s="5">
        <f t="shared" ref="H775:H838" si="12">(D775-D774)/D774</f>
        <v>-6.0344827586200254E-4</v>
      </c>
    </row>
    <row r="776" spans="1:8" ht="13.5" x14ac:dyDescent="0.25">
      <c r="A776" s="1"/>
      <c r="B776" s="3">
        <v>43432</v>
      </c>
      <c r="C776" s="4">
        <v>16.84</v>
      </c>
      <c r="D776" s="4">
        <v>9.4711999999999996</v>
      </c>
      <c r="E776" s="4">
        <v>2243</v>
      </c>
      <c r="F776" s="4"/>
      <c r="G776" s="4"/>
      <c r="H776" s="5">
        <f t="shared" si="12"/>
        <v>2.1219701544035154E-2</v>
      </c>
    </row>
    <row r="777" spans="1:8" ht="13.5" x14ac:dyDescent="0.25">
      <c r="A777" s="1"/>
      <c r="B777" s="3">
        <v>43433</v>
      </c>
      <c r="C777" s="4">
        <v>16.829999999999998</v>
      </c>
      <c r="D777" s="4">
        <v>9.4656000000000002</v>
      </c>
      <c r="E777" s="4">
        <v>2522</v>
      </c>
      <c r="F777" s="4"/>
      <c r="G777" s="4"/>
      <c r="H777" s="5">
        <f t="shared" si="12"/>
        <v>-5.9126615423593458E-4</v>
      </c>
    </row>
    <row r="778" spans="1:8" ht="13.5" x14ac:dyDescent="0.25">
      <c r="A778" s="1"/>
      <c r="B778" s="3">
        <v>43434</v>
      </c>
      <c r="C778" s="4">
        <v>16.79</v>
      </c>
      <c r="D778" s="4">
        <v>9.4430999999999994</v>
      </c>
      <c r="E778" s="4">
        <v>3167</v>
      </c>
      <c r="F778" s="4"/>
      <c r="G778" s="4"/>
      <c r="H778" s="5">
        <f t="shared" si="12"/>
        <v>-2.3770283975660129E-3</v>
      </c>
    </row>
    <row r="779" spans="1:8" ht="13.5" x14ac:dyDescent="0.25">
      <c r="A779" s="1"/>
      <c r="B779" s="3">
        <v>43437</v>
      </c>
      <c r="C779" s="4">
        <v>16.79</v>
      </c>
      <c r="D779" s="4">
        <v>9.4430999999999994</v>
      </c>
      <c r="E779" s="4">
        <v>1501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16.68</v>
      </c>
      <c r="D780" s="4">
        <v>9.3811999999999998</v>
      </c>
      <c r="E780" s="4">
        <v>7003</v>
      </c>
      <c r="F780" s="4"/>
      <c r="G780" s="4"/>
      <c r="H780" s="5">
        <f t="shared" si="12"/>
        <v>-6.555050777816567E-3</v>
      </c>
    </row>
    <row r="781" spans="1:8" ht="13.5" x14ac:dyDescent="0.25">
      <c r="A781" s="1"/>
      <c r="B781" s="3">
        <v>43439</v>
      </c>
      <c r="C781" s="4">
        <v>16.5</v>
      </c>
      <c r="D781" s="4">
        <v>9.2799999999999994</v>
      </c>
      <c r="E781" s="4">
        <v>4610</v>
      </c>
      <c r="F781" s="4"/>
      <c r="G781" s="4"/>
      <c r="H781" s="5">
        <f t="shared" si="12"/>
        <v>-1.0787532511832218E-2</v>
      </c>
    </row>
    <row r="782" spans="1:8" ht="13.5" x14ac:dyDescent="0.25">
      <c r="A782" s="1"/>
      <c r="B782" s="3">
        <v>43440</v>
      </c>
      <c r="C782" s="4">
        <v>16.5</v>
      </c>
      <c r="D782" s="4">
        <v>9.2799999999999994</v>
      </c>
      <c r="E782" s="4">
        <v>2033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16.440000000000001</v>
      </c>
      <c r="D783" s="4">
        <v>9.2462999999999997</v>
      </c>
      <c r="E783" s="4">
        <v>15</v>
      </c>
      <c r="F783" s="4"/>
      <c r="G783" s="4"/>
      <c r="H783" s="5">
        <f t="shared" si="12"/>
        <v>-3.6314655172413387E-3</v>
      </c>
    </row>
    <row r="784" spans="1:8" ht="13.5" x14ac:dyDescent="0.25">
      <c r="A784" s="1"/>
      <c r="B784" s="3">
        <v>43444</v>
      </c>
      <c r="C784" s="4">
        <v>16.399999999999999</v>
      </c>
      <c r="D784" s="4">
        <v>9.2238000000000007</v>
      </c>
      <c r="E784" s="4">
        <v>150</v>
      </c>
      <c r="F784" s="4"/>
      <c r="G784" s="4"/>
      <c r="H784" s="5">
        <f t="shared" si="12"/>
        <v>-2.4334057947502327E-3</v>
      </c>
    </row>
    <row r="785" spans="1:8" ht="13.5" x14ac:dyDescent="0.25">
      <c r="A785" s="1"/>
      <c r="B785" s="3">
        <v>43445</v>
      </c>
      <c r="C785" s="4">
        <v>16.3</v>
      </c>
      <c r="D785" s="4">
        <v>9.1675000000000004</v>
      </c>
      <c r="E785" s="4">
        <v>2144</v>
      </c>
      <c r="F785" s="4"/>
      <c r="G785" s="4"/>
      <c r="H785" s="5">
        <f t="shared" si="12"/>
        <v>-6.1037750168043796E-3</v>
      </c>
    </row>
    <row r="786" spans="1:8" ht="13.5" x14ac:dyDescent="0.25">
      <c r="A786" s="1"/>
      <c r="B786" s="3">
        <v>43446</v>
      </c>
      <c r="C786" s="4">
        <v>15.9</v>
      </c>
      <c r="D786" s="4">
        <v>8.9425000000000008</v>
      </c>
      <c r="E786" s="4">
        <v>2891</v>
      </c>
      <c r="F786" s="4"/>
      <c r="G786" s="4"/>
      <c r="H786" s="5">
        <f t="shared" si="12"/>
        <v>-2.4543223343332383E-2</v>
      </c>
    </row>
    <row r="787" spans="1:8" ht="13.5" x14ac:dyDescent="0.25">
      <c r="A787" s="1"/>
      <c r="B787" s="3">
        <v>43447</v>
      </c>
      <c r="C787" s="4">
        <v>16</v>
      </c>
      <c r="D787" s="4">
        <v>8.9987999999999992</v>
      </c>
      <c r="E787" s="4">
        <v>656</v>
      </c>
      <c r="F787" s="4"/>
      <c r="G787" s="4"/>
      <c r="H787" s="5">
        <f t="shared" si="12"/>
        <v>6.2957785854065931E-3</v>
      </c>
    </row>
    <row r="788" spans="1:8" ht="13.5" x14ac:dyDescent="0.25">
      <c r="A788" s="1"/>
      <c r="B788" s="3">
        <v>43448</v>
      </c>
      <c r="C788" s="4">
        <v>16.29</v>
      </c>
      <c r="D788" s="4">
        <v>9.1618999999999993</v>
      </c>
      <c r="E788" s="4">
        <v>1346</v>
      </c>
      <c r="F788" s="4"/>
      <c r="G788" s="4"/>
      <c r="H788" s="5">
        <f t="shared" si="12"/>
        <v>1.8124638840734324E-2</v>
      </c>
    </row>
    <row r="789" spans="1:8" ht="13.5" x14ac:dyDescent="0.25">
      <c r="A789" s="1"/>
      <c r="B789" s="3">
        <v>43451</v>
      </c>
      <c r="C789" s="4">
        <v>16.2</v>
      </c>
      <c r="D789" s="4">
        <v>9.1113</v>
      </c>
      <c r="E789" s="4">
        <v>450</v>
      </c>
      <c r="F789" s="4"/>
      <c r="G789" s="4"/>
      <c r="H789" s="5">
        <f t="shared" si="12"/>
        <v>-5.5228718933844857E-3</v>
      </c>
    </row>
    <row r="790" spans="1:8" ht="13.5" x14ac:dyDescent="0.25">
      <c r="A790" s="1"/>
      <c r="B790" s="3">
        <v>43452</v>
      </c>
      <c r="C790" s="4">
        <v>16</v>
      </c>
      <c r="D790" s="4">
        <v>8.9987999999999992</v>
      </c>
      <c r="E790" s="4">
        <v>2000</v>
      </c>
      <c r="F790" s="4"/>
      <c r="G790" s="4"/>
      <c r="H790" s="5">
        <f t="shared" si="12"/>
        <v>-1.2347304994896524E-2</v>
      </c>
    </row>
    <row r="791" spans="1:8" ht="13.5" x14ac:dyDescent="0.25">
      <c r="A791" s="1"/>
      <c r="B791" s="3">
        <v>43453</v>
      </c>
      <c r="C791" s="4">
        <v>15.95</v>
      </c>
      <c r="D791" s="4">
        <v>8.9707000000000008</v>
      </c>
      <c r="E791" s="4">
        <v>1079</v>
      </c>
      <c r="F791" s="4"/>
      <c r="G791" s="4"/>
      <c r="H791" s="5">
        <f t="shared" si="12"/>
        <v>-3.1226385740319223E-3</v>
      </c>
    </row>
    <row r="792" spans="1:8" ht="13.5" x14ac:dyDescent="0.25">
      <c r="A792" s="1"/>
      <c r="B792" s="3">
        <v>43454</v>
      </c>
      <c r="C792" s="4">
        <v>16</v>
      </c>
      <c r="D792" s="4">
        <v>8.9987999999999992</v>
      </c>
      <c r="E792" s="4">
        <v>1994</v>
      </c>
      <c r="F792" s="4"/>
      <c r="G792" s="4"/>
      <c r="H792" s="5">
        <f t="shared" si="12"/>
        <v>3.13241998952127E-3</v>
      </c>
    </row>
    <row r="793" spans="1:8" ht="13.5" x14ac:dyDescent="0.25">
      <c r="A793" s="1"/>
      <c r="B793" s="3">
        <v>43455</v>
      </c>
      <c r="C793" s="4">
        <v>16.29</v>
      </c>
      <c r="D793" s="4">
        <v>9.1618999999999993</v>
      </c>
      <c r="E793" s="4">
        <v>760</v>
      </c>
      <c r="F793" s="4"/>
      <c r="G793" s="4"/>
      <c r="H793" s="5">
        <f t="shared" si="12"/>
        <v>1.8124638840734324E-2</v>
      </c>
    </row>
    <row r="794" spans="1:8" ht="13.5" x14ac:dyDescent="0.25">
      <c r="A794" s="1"/>
      <c r="B794" s="3">
        <v>43458</v>
      </c>
      <c r="C794" s="4">
        <v>16.29</v>
      </c>
      <c r="D794" s="4">
        <v>9.1618999999999993</v>
      </c>
      <c r="E794" s="4">
        <v>4152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16.3</v>
      </c>
      <c r="D795" s="4">
        <v>9.1675000000000004</v>
      </c>
      <c r="E795" s="4">
        <v>2801</v>
      </c>
      <c r="F795" s="4"/>
      <c r="G795" s="4"/>
      <c r="H795" s="5">
        <f t="shared" si="12"/>
        <v>6.1122692891225178E-4</v>
      </c>
    </row>
    <row r="796" spans="1:8" ht="13.5" x14ac:dyDescent="0.25">
      <c r="A796" s="1"/>
      <c r="B796" s="3">
        <v>43460</v>
      </c>
      <c r="C796" s="4">
        <v>16.78</v>
      </c>
      <c r="D796" s="4">
        <v>9.4375</v>
      </c>
      <c r="E796" s="4">
        <v>1161</v>
      </c>
      <c r="F796" s="4"/>
      <c r="G796" s="4"/>
      <c r="H796" s="5">
        <f t="shared" si="12"/>
        <v>2.9451868011998863E-2</v>
      </c>
    </row>
    <row r="797" spans="1:8" ht="13.5" x14ac:dyDescent="0.25">
      <c r="A797" s="1"/>
      <c r="B797" s="3">
        <v>43461</v>
      </c>
      <c r="C797" s="4">
        <v>16.77</v>
      </c>
      <c r="D797" s="4">
        <v>9.4319000000000006</v>
      </c>
      <c r="E797" s="4">
        <v>50</v>
      </c>
      <c r="F797" s="4"/>
      <c r="G797" s="4"/>
      <c r="H797" s="5">
        <f t="shared" si="12"/>
        <v>-5.9337748344364327E-4</v>
      </c>
    </row>
    <row r="798" spans="1:8" ht="13.5" x14ac:dyDescent="0.25">
      <c r="A798" s="1"/>
      <c r="B798" s="3">
        <v>43462</v>
      </c>
      <c r="C798" s="4">
        <v>16.5</v>
      </c>
      <c r="D798" s="4">
        <v>9.2799999999999994</v>
      </c>
      <c r="E798" s="4">
        <v>2605</v>
      </c>
      <c r="F798" s="4"/>
      <c r="G798" s="4"/>
      <c r="H798" s="5">
        <f t="shared" si="12"/>
        <v>-1.610492053562922E-2</v>
      </c>
    </row>
    <row r="799" spans="1:8" ht="13.5" x14ac:dyDescent="0.25">
      <c r="A799" s="1"/>
      <c r="B799" s="3">
        <v>43465</v>
      </c>
      <c r="C799" s="4">
        <v>16.5</v>
      </c>
      <c r="D799" s="4">
        <v>9.2799999999999994</v>
      </c>
      <c r="E799" s="4">
        <v>4527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16.8</v>
      </c>
      <c r="D800" s="4">
        <v>9.4487000000000005</v>
      </c>
      <c r="E800" s="4">
        <v>20</v>
      </c>
      <c r="F800" s="4"/>
      <c r="G800" s="4"/>
      <c r="H800" s="5">
        <f t="shared" si="12"/>
        <v>1.8178879310344957E-2</v>
      </c>
    </row>
    <row r="801" spans="1:8" ht="13.5" x14ac:dyDescent="0.25">
      <c r="A801" s="1"/>
      <c r="B801" s="3">
        <v>43468</v>
      </c>
      <c r="C801" s="4">
        <v>16.7</v>
      </c>
      <c r="D801" s="4">
        <v>9.3925000000000001</v>
      </c>
      <c r="E801" s="4">
        <v>308</v>
      </c>
      <c r="F801" s="4"/>
      <c r="G801" s="4"/>
      <c r="H801" s="5">
        <f t="shared" si="12"/>
        <v>-5.947908177844621E-3</v>
      </c>
    </row>
    <row r="802" spans="1:8" ht="13.5" x14ac:dyDescent="0.25">
      <c r="A802" s="1"/>
      <c r="B802" s="3">
        <v>43469</v>
      </c>
      <c r="C802" s="4">
        <v>16.62</v>
      </c>
      <c r="D802" s="4">
        <v>9.3475000000000001</v>
      </c>
      <c r="E802" s="4">
        <v>450</v>
      </c>
      <c r="F802" s="4"/>
      <c r="G802" s="4"/>
      <c r="H802" s="5">
        <f t="shared" si="12"/>
        <v>-4.7910566941708737E-3</v>
      </c>
    </row>
    <row r="803" spans="1:8" ht="13.5" x14ac:dyDescent="0.25">
      <c r="A803" s="1"/>
      <c r="B803" s="3">
        <v>43472</v>
      </c>
      <c r="C803" s="4">
        <v>16.899999999999999</v>
      </c>
      <c r="D803" s="4">
        <v>9.5050000000000008</v>
      </c>
      <c r="E803" s="4">
        <v>726</v>
      </c>
      <c r="F803" s="4"/>
      <c r="G803" s="4"/>
      <c r="H803" s="5">
        <f t="shared" si="12"/>
        <v>1.6849424979941231E-2</v>
      </c>
    </row>
    <row r="804" spans="1:8" ht="13.5" x14ac:dyDescent="0.25">
      <c r="A804" s="1"/>
      <c r="B804" s="3">
        <v>43473</v>
      </c>
      <c r="C804" s="4">
        <v>16.989999999999998</v>
      </c>
      <c r="D804" s="4">
        <v>9.5556000000000001</v>
      </c>
      <c r="E804" s="4">
        <v>2</v>
      </c>
      <c r="F804" s="4"/>
      <c r="G804" s="4"/>
      <c r="H804" s="5">
        <f t="shared" si="12"/>
        <v>5.3235139400314895E-3</v>
      </c>
    </row>
    <row r="805" spans="1:8" ht="13.5" x14ac:dyDescent="0.25">
      <c r="A805" s="1"/>
      <c r="B805" s="3">
        <v>43474</v>
      </c>
      <c r="C805" s="4">
        <v>16.600000000000001</v>
      </c>
      <c r="D805" s="4">
        <v>9.3361999999999998</v>
      </c>
      <c r="E805" s="4">
        <v>1006</v>
      </c>
      <c r="F805" s="4"/>
      <c r="G805" s="4"/>
      <c r="H805" s="5">
        <f t="shared" si="12"/>
        <v>-2.2960358323914798E-2</v>
      </c>
    </row>
    <row r="806" spans="1:8" ht="13.5" x14ac:dyDescent="0.25">
      <c r="A806" s="1"/>
      <c r="B806" s="3">
        <v>43475</v>
      </c>
      <c r="C806" s="4">
        <v>17</v>
      </c>
      <c r="D806" s="4">
        <v>9.5611999999999995</v>
      </c>
      <c r="E806" s="4">
        <v>15</v>
      </c>
      <c r="F806" s="4"/>
      <c r="G806" s="4"/>
      <c r="H806" s="5">
        <f t="shared" si="12"/>
        <v>2.4099740793898979E-2</v>
      </c>
    </row>
    <row r="807" spans="1:8" ht="13.5" x14ac:dyDescent="0.25">
      <c r="A807" s="1"/>
      <c r="B807" s="3">
        <v>43476</v>
      </c>
      <c r="C807" s="4">
        <v>16.64</v>
      </c>
      <c r="D807" s="4">
        <v>9.3587000000000007</v>
      </c>
      <c r="E807" s="4">
        <v>16</v>
      </c>
      <c r="F807" s="4"/>
      <c r="G807" s="4"/>
      <c r="H807" s="5">
        <f t="shared" si="12"/>
        <v>-2.1179349872400829E-2</v>
      </c>
    </row>
    <row r="808" spans="1:8" ht="13.5" x14ac:dyDescent="0.25">
      <c r="A808" s="1"/>
      <c r="B808" s="3">
        <v>43480</v>
      </c>
      <c r="C808" s="4">
        <v>16.7</v>
      </c>
      <c r="D808" s="4">
        <v>9.3925000000000001</v>
      </c>
      <c r="E808" s="4">
        <v>150</v>
      </c>
      <c r="F808" s="4"/>
      <c r="G808" s="4"/>
      <c r="H808" s="5">
        <f t="shared" si="12"/>
        <v>3.6116127239893773E-3</v>
      </c>
    </row>
    <row r="809" spans="1:8" ht="13.5" x14ac:dyDescent="0.25">
      <c r="A809" s="1"/>
      <c r="B809" s="3">
        <v>43481</v>
      </c>
      <c r="C809" s="4">
        <v>16.899999999999999</v>
      </c>
      <c r="D809" s="4">
        <v>9.5050000000000008</v>
      </c>
      <c r="E809" s="4">
        <v>1118</v>
      </c>
      <c r="F809" s="4"/>
      <c r="G809" s="4"/>
      <c r="H809" s="5">
        <f t="shared" si="12"/>
        <v>1.1977641735427279E-2</v>
      </c>
    </row>
    <row r="810" spans="1:8" ht="13.5" x14ac:dyDescent="0.25">
      <c r="A810" s="1"/>
      <c r="B810" s="3">
        <v>43482</v>
      </c>
      <c r="C810" s="4">
        <v>16.5</v>
      </c>
      <c r="D810" s="4">
        <v>9.2799999999999994</v>
      </c>
      <c r="E810" s="4">
        <v>411</v>
      </c>
      <c r="F810" s="4"/>
      <c r="G810" s="4"/>
      <c r="H810" s="5">
        <f t="shared" si="12"/>
        <v>-2.3671751709626661E-2</v>
      </c>
    </row>
    <row r="811" spans="1:8" ht="13.5" x14ac:dyDescent="0.25">
      <c r="A811" s="1"/>
      <c r="B811" s="3">
        <v>43483</v>
      </c>
      <c r="C811" s="4">
        <v>16.8</v>
      </c>
      <c r="D811" s="4">
        <v>9.4487000000000005</v>
      </c>
      <c r="E811" s="4">
        <v>5078</v>
      </c>
      <c r="F811" s="4"/>
      <c r="G811" s="4"/>
      <c r="H811" s="5">
        <f t="shared" si="12"/>
        <v>1.8178879310344957E-2</v>
      </c>
    </row>
    <row r="812" spans="1:8" ht="13.5" x14ac:dyDescent="0.25">
      <c r="A812" s="1"/>
      <c r="B812" s="3">
        <v>43486</v>
      </c>
      <c r="C812" s="4">
        <v>16.8</v>
      </c>
      <c r="D812" s="4">
        <v>9.4487000000000005</v>
      </c>
      <c r="E812" s="4">
        <v>89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16.8</v>
      </c>
      <c r="D813" s="4">
        <v>9.4487000000000005</v>
      </c>
      <c r="E813" s="4">
        <v>27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17</v>
      </c>
      <c r="D814" s="4">
        <v>9.5611999999999995</v>
      </c>
      <c r="E814" s="4">
        <v>767</v>
      </c>
      <c r="F814" s="4"/>
      <c r="G814" s="4"/>
      <c r="H814" s="5">
        <f t="shared" si="12"/>
        <v>1.1906399822197648E-2</v>
      </c>
    </row>
    <row r="815" spans="1:8" ht="13.5" x14ac:dyDescent="0.25">
      <c r="A815" s="1"/>
      <c r="B815" s="3">
        <v>43489</v>
      </c>
      <c r="C815" s="4">
        <v>16.600000000000001</v>
      </c>
      <c r="D815" s="4">
        <v>9.3361999999999998</v>
      </c>
      <c r="E815" s="4">
        <v>591</v>
      </c>
      <c r="F815" s="4"/>
      <c r="G815" s="4"/>
      <c r="H815" s="5">
        <f t="shared" si="12"/>
        <v>-2.3532610969334358E-2</v>
      </c>
    </row>
    <row r="816" spans="1:8" ht="13.5" x14ac:dyDescent="0.25">
      <c r="A816" s="1"/>
      <c r="B816" s="3">
        <v>43490</v>
      </c>
      <c r="C816" s="4">
        <v>16.95</v>
      </c>
      <c r="D816" s="4">
        <v>9.5330999999999992</v>
      </c>
      <c r="E816" s="4">
        <v>19</v>
      </c>
      <c r="F816" s="4"/>
      <c r="G816" s="4"/>
      <c r="H816" s="5">
        <f t="shared" si="12"/>
        <v>2.1089950943638677E-2</v>
      </c>
    </row>
    <row r="817" spans="1:8" ht="13.5" x14ac:dyDescent="0.25">
      <c r="A817" s="1"/>
      <c r="B817" s="3">
        <v>43493</v>
      </c>
      <c r="C817" s="4">
        <v>16.95</v>
      </c>
      <c r="D817" s="4">
        <v>9.5330999999999992</v>
      </c>
      <c r="E817" s="4">
        <v>824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16.95</v>
      </c>
      <c r="D818" s="4">
        <v>9.5330999999999992</v>
      </c>
      <c r="E818" s="4">
        <v>270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16.899999999999999</v>
      </c>
      <c r="D819" s="4">
        <v>9.5050000000000008</v>
      </c>
      <c r="E819" s="4">
        <v>1103</v>
      </c>
      <c r="F819" s="4"/>
      <c r="G819" s="4"/>
      <c r="H819" s="5">
        <f t="shared" si="12"/>
        <v>-2.9476245922101375E-3</v>
      </c>
    </row>
    <row r="820" spans="1:8" ht="13.5" x14ac:dyDescent="0.25">
      <c r="A820" s="1"/>
      <c r="B820" s="3">
        <v>43496</v>
      </c>
      <c r="C820" s="4">
        <v>16.899999999999999</v>
      </c>
      <c r="D820" s="4">
        <v>9.5050000000000008</v>
      </c>
      <c r="E820" s="4">
        <v>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16.89</v>
      </c>
      <c r="D821" s="4">
        <v>9.4992999999999999</v>
      </c>
      <c r="E821" s="4">
        <v>354</v>
      </c>
      <c r="F821" s="4"/>
      <c r="G821" s="4"/>
      <c r="H821" s="5">
        <f t="shared" si="12"/>
        <v>-5.9968437664396912E-4</v>
      </c>
    </row>
    <row r="822" spans="1:8" ht="13.5" x14ac:dyDescent="0.25">
      <c r="A822" s="1"/>
      <c r="B822" s="3">
        <v>43500</v>
      </c>
      <c r="C822" s="4">
        <v>16.399999999999999</v>
      </c>
      <c r="D822" s="4">
        <v>9.2238000000000007</v>
      </c>
      <c r="E822" s="4">
        <v>148</v>
      </c>
      <c r="F822" s="4"/>
      <c r="G822" s="4"/>
      <c r="H822" s="5">
        <f t="shared" si="12"/>
        <v>-2.9002136999568304E-2</v>
      </c>
    </row>
    <row r="823" spans="1:8" ht="13.5" x14ac:dyDescent="0.25">
      <c r="A823" s="1"/>
      <c r="B823" s="3">
        <v>43501</v>
      </c>
      <c r="C823" s="4">
        <v>16.84</v>
      </c>
      <c r="D823" s="4">
        <v>9.4711999999999996</v>
      </c>
      <c r="E823" s="4">
        <v>228</v>
      </c>
      <c r="F823" s="4"/>
      <c r="G823" s="4"/>
      <c r="H823" s="5">
        <f t="shared" si="12"/>
        <v>2.6821917214163243E-2</v>
      </c>
    </row>
    <row r="824" spans="1:8" ht="13.5" x14ac:dyDescent="0.25">
      <c r="A824" s="1"/>
      <c r="B824" s="3">
        <v>43502</v>
      </c>
      <c r="C824" s="4">
        <v>16.399999999999999</v>
      </c>
      <c r="D824" s="4">
        <v>9.2238000000000007</v>
      </c>
      <c r="E824" s="4">
        <v>12</v>
      </c>
      <c r="F824" s="4"/>
      <c r="G824" s="4"/>
      <c r="H824" s="5">
        <f t="shared" si="12"/>
        <v>-2.6121294028211731E-2</v>
      </c>
    </row>
    <row r="825" spans="1:8" ht="13.5" x14ac:dyDescent="0.25">
      <c r="A825" s="1"/>
      <c r="B825" s="3">
        <v>43503</v>
      </c>
      <c r="C825" s="4">
        <v>16.7</v>
      </c>
      <c r="D825" s="4">
        <v>9.3925000000000001</v>
      </c>
      <c r="E825" s="4">
        <v>230</v>
      </c>
      <c r="F825" s="4"/>
      <c r="G825" s="4"/>
      <c r="H825" s="5">
        <f t="shared" si="12"/>
        <v>1.8289642013053123E-2</v>
      </c>
    </row>
    <row r="826" spans="1:8" ht="13.5" x14ac:dyDescent="0.25">
      <c r="A826" s="1"/>
      <c r="B826" s="3">
        <v>43504</v>
      </c>
      <c r="C826" s="4">
        <v>16.649999999999999</v>
      </c>
      <c r="D826" s="4">
        <v>9.3643999999999998</v>
      </c>
      <c r="E826" s="4">
        <v>624</v>
      </c>
      <c r="F826" s="4"/>
      <c r="G826" s="4"/>
      <c r="H826" s="5">
        <f t="shared" si="12"/>
        <v>-2.9917487356933975E-3</v>
      </c>
    </row>
    <row r="827" spans="1:8" ht="13.5" x14ac:dyDescent="0.25">
      <c r="A827" s="1"/>
      <c r="B827" s="3">
        <v>43507</v>
      </c>
      <c r="C827" s="4">
        <v>16.41</v>
      </c>
      <c r="D827" s="4">
        <v>9.2294</v>
      </c>
      <c r="E827" s="4">
        <v>681</v>
      </c>
      <c r="F827" s="4"/>
      <c r="G827" s="4"/>
      <c r="H827" s="5">
        <f t="shared" si="12"/>
        <v>-1.4416300029900452E-2</v>
      </c>
    </row>
    <row r="828" spans="1:8" ht="13.5" x14ac:dyDescent="0.25">
      <c r="A828" s="1"/>
      <c r="B828" s="3">
        <v>43508</v>
      </c>
      <c r="C828" s="4">
        <v>16.3</v>
      </c>
      <c r="D828" s="4">
        <v>9.1675000000000004</v>
      </c>
      <c r="E828" s="4">
        <v>1323</v>
      </c>
      <c r="F828" s="4"/>
      <c r="G828" s="4"/>
      <c r="H828" s="5">
        <f t="shared" si="12"/>
        <v>-6.7068281795132538E-3</v>
      </c>
    </row>
    <row r="829" spans="1:8" ht="13.5" x14ac:dyDescent="0.25">
      <c r="A829" s="1"/>
      <c r="B829" s="3">
        <v>43509</v>
      </c>
      <c r="C829" s="4">
        <v>16.600000000000001</v>
      </c>
      <c r="D829" s="4">
        <v>9.3361999999999998</v>
      </c>
      <c r="E829" s="4">
        <v>30</v>
      </c>
      <c r="F829" s="4"/>
      <c r="G829" s="4"/>
      <c r="H829" s="5">
        <f t="shared" si="12"/>
        <v>1.8401963457867401E-2</v>
      </c>
    </row>
    <row r="830" spans="1:8" ht="13.5" x14ac:dyDescent="0.25">
      <c r="A830" s="1"/>
      <c r="B830" s="3">
        <v>43510</v>
      </c>
      <c r="C830" s="4">
        <v>16.3</v>
      </c>
      <c r="D830" s="4">
        <v>9.1675000000000004</v>
      </c>
      <c r="E830" s="4">
        <v>7</v>
      </c>
      <c r="F830" s="4"/>
      <c r="G830" s="4"/>
      <c r="H830" s="5">
        <f t="shared" si="12"/>
        <v>-1.8069450097469998E-2</v>
      </c>
    </row>
    <row r="831" spans="1:8" ht="13.5" x14ac:dyDescent="0.25">
      <c r="A831" s="1"/>
      <c r="B831" s="3">
        <v>43511</v>
      </c>
      <c r="C831" s="4">
        <v>16.59</v>
      </c>
      <c r="D831" s="4">
        <v>9.3306000000000004</v>
      </c>
      <c r="E831" s="4">
        <v>110</v>
      </c>
      <c r="F831" s="4"/>
      <c r="G831" s="4"/>
      <c r="H831" s="5">
        <f t="shared" si="12"/>
        <v>1.7791109899100082E-2</v>
      </c>
    </row>
    <row r="832" spans="1:8" ht="13.5" x14ac:dyDescent="0.25">
      <c r="A832" s="1"/>
      <c r="B832" s="3">
        <v>43514</v>
      </c>
      <c r="C832" s="4">
        <v>16.5</v>
      </c>
      <c r="D832" s="4">
        <v>9.2799999999999994</v>
      </c>
      <c r="E832" s="4">
        <v>10</v>
      </c>
      <c r="F832" s="4"/>
      <c r="G832" s="4"/>
      <c r="H832" s="5">
        <f t="shared" si="12"/>
        <v>-5.4230167406170114E-3</v>
      </c>
    </row>
    <row r="833" spans="1:8" ht="13.5" x14ac:dyDescent="0.25">
      <c r="A833" s="1"/>
      <c r="B833" s="3">
        <v>43515</v>
      </c>
      <c r="C833" s="4">
        <v>16.100000000000001</v>
      </c>
      <c r="D833" s="4">
        <v>9.0549999999999997</v>
      </c>
      <c r="E833" s="4">
        <v>530</v>
      </c>
      <c r="F833" s="4"/>
      <c r="G833" s="4"/>
      <c r="H833" s="5">
        <f t="shared" si="12"/>
        <v>-2.4245689655172376E-2</v>
      </c>
    </row>
    <row r="834" spans="1:8" ht="13.5" x14ac:dyDescent="0.25">
      <c r="A834" s="1"/>
      <c r="B834" s="3">
        <v>43516</v>
      </c>
      <c r="C834" s="4">
        <v>16.38</v>
      </c>
      <c r="D834" s="4">
        <v>9.2125000000000004</v>
      </c>
      <c r="E834" s="4">
        <v>5087</v>
      </c>
      <c r="F834" s="4"/>
      <c r="G834" s="4"/>
      <c r="H834" s="5">
        <f t="shared" si="12"/>
        <v>1.7393705135284446E-2</v>
      </c>
    </row>
    <row r="835" spans="1:8" ht="13.5" x14ac:dyDescent="0.25">
      <c r="A835" s="1"/>
      <c r="B835" s="3">
        <v>43517</v>
      </c>
      <c r="C835" s="4">
        <v>16.100000000000001</v>
      </c>
      <c r="D835" s="4">
        <v>9.0549999999999997</v>
      </c>
      <c r="E835" s="4">
        <v>11845</v>
      </c>
      <c r="F835" s="4"/>
      <c r="G835" s="4"/>
      <c r="H835" s="5">
        <f t="shared" si="12"/>
        <v>-1.7096336499321643E-2</v>
      </c>
    </row>
    <row r="836" spans="1:8" ht="13.5" x14ac:dyDescent="0.25">
      <c r="A836" s="1"/>
      <c r="B836" s="3">
        <v>43518</v>
      </c>
      <c r="C836" s="4">
        <v>16.100000000000001</v>
      </c>
      <c r="D836" s="4">
        <v>9.0549999999999997</v>
      </c>
      <c r="E836" s="4">
        <v>680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16</v>
      </c>
      <c r="D837" s="4">
        <v>8.9987999999999992</v>
      </c>
      <c r="E837" s="4">
        <v>805</v>
      </c>
      <c r="F837" s="4"/>
      <c r="G837" s="4"/>
      <c r="H837" s="5">
        <f t="shared" si="12"/>
        <v>-6.2065157371618412E-3</v>
      </c>
    </row>
    <row r="838" spans="1:8" ht="13.5" x14ac:dyDescent="0.25">
      <c r="A838" s="1"/>
      <c r="B838" s="3">
        <v>43522</v>
      </c>
      <c r="C838" s="4">
        <v>16.48</v>
      </c>
      <c r="D838" s="4">
        <v>9.2688000000000006</v>
      </c>
      <c r="E838" s="4">
        <v>16</v>
      </c>
      <c r="F838" s="4"/>
      <c r="G838" s="4"/>
      <c r="H838" s="5">
        <f t="shared" si="12"/>
        <v>3.0004000533404608E-2</v>
      </c>
    </row>
    <row r="839" spans="1:8" ht="13.5" x14ac:dyDescent="0.25">
      <c r="A839" s="1"/>
      <c r="B839" s="3">
        <v>43523</v>
      </c>
      <c r="C839" s="4">
        <v>16</v>
      </c>
      <c r="D839" s="4">
        <v>8.9987999999999992</v>
      </c>
      <c r="E839" s="4">
        <v>31</v>
      </c>
      <c r="F839" s="4"/>
      <c r="G839" s="4"/>
      <c r="H839" s="5">
        <f t="shared" ref="H839:H902" si="13">(D839-D838)/D838</f>
        <v>-2.912998446400843E-2</v>
      </c>
    </row>
    <row r="840" spans="1:8" ht="13.5" x14ac:dyDescent="0.25">
      <c r="A840" s="1"/>
      <c r="B840" s="3">
        <v>43524</v>
      </c>
      <c r="C840" s="4">
        <v>15.75</v>
      </c>
      <c r="D840" s="4">
        <v>8.8582000000000001</v>
      </c>
      <c r="E840" s="4">
        <v>1288</v>
      </c>
      <c r="F840" s="4"/>
      <c r="G840" s="4"/>
      <c r="H840" s="5">
        <f t="shared" si="13"/>
        <v>-1.5624305462950525E-2</v>
      </c>
    </row>
    <row r="841" spans="1:8" ht="13.5" x14ac:dyDescent="0.25">
      <c r="A841" s="1"/>
      <c r="B841" s="3">
        <v>43525</v>
      </c>
      <c r="C841" s="4">
        <v>16.22</v>
      </c>
      <c r="D841" s="4">
        <v>9.1225000000000005</v>
      </c>
      <c r="E841" s="4">
        <v>1</v>
      </c>
      <c r="F841" s="4"/>
      <c r="G841" s="4"/>
      <c r="H841" s="5">
        <f t="shared" si="13"/>
        <v>2.9836761418798451E-2</v>
      </c>
    </row>
    <row r="842" spans="1:8" ht="13.5" x14ac:dyDescent="0.25">
      <c r="A842" s="1"/>
      <c r="B842" s="3">
        <v>43528</v>
      </c>
      <c r="C842" s="4">
        <v>16.239999999999998</v>
      </c>
      <c r="D842" s="4">
        <v>9.1338000000000008</v>
      </c>
      <c r="E842" s="4">
        <v>400</v>
      </c>
      <c r="F842" s="4"/>
      <c r="G842" s="4"/>
      <c r="H842" s="5">
        <f t="shared" si="13"/>
        <v>1.2386955330227799E-3</v>
      </c>
    </row>
    <row r="843" spans="1:8" ht="13.5" x14ac:dyDescent="0.25">
      <c r="A843" s="1"/>
      <c r="B843" s="3">
        <v>43529</v>
      </c>
      <c r="C843" s="4">
        <v>16.2</v>
      </c>
      <c r="D843" s="4">
        <v>9.1113</v>
      </c>
      <c r="E843" s="4">
        <v>199</v>
      </c>
      <c r="F843" s="4">
        <v>16.096299999999999</v>
      </c>
      <c r="G843" s="4">
        <v>3203.1637000000001</v>
      </c>
      <c r="H843" s="5">
        <f t="shared" si="13"/>
        <v>-2.4633777836169887E-3</v>
      </c>
    </row>
    <row r="844" spans="1:8" ht="13.5" x14ac:dyDescent="0.25">
      <c r="A844" s="1"/>
      <c r="B844" s="3">
        <v>43530</v>
      </c>
      <c r="C844" s="4">
        <v>16.2</v>
      </c>
      <c r="D844" s="4">
        <v>9.1113</v>
      </c>
      <c r="E844" s="4">
        <v>100</v>
      </c>
      <c r="F844" s="4">
        <v>16.2</v>
      </c>
      <c r="G844" s="4">
        <v>1620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16</v>
      </c>
      <c r="D845" s="4">
        <v>8.9987999999999992</v>
      </c>
      <c r="E845" s="4">
        <v>500</v>
      </c>
      <c r="F845" s="4">
        <v>16</v>
      </c>
      <c r="G845" s="4">
        <v>8000</v>
      </c>
      <c r="H845" s="5">
        <f t="shared" si="13"/>
        <v>-1.2347304994896524E-2</v>
      </c>
    </row>
    <row r="846" spans="1:8" ht="13.5" x14ac:dyDescent="0.25">
      <c r="A846" s="1"/>
      <c r="B846" s="3">
        <v>43532</v>
      </c>
      <c r="C846" s="4">
        <v>15.75</v>
      </c>
      <c r="D846" s="4">
        <v>8.8582000000000001</v>
      </c>
      <c r="E846" s="4">
        <v>30</v>
      </c>
      <c r="F846" s="4">
        <v>15.75</v>
      </c>
      <c r="G846" s="4">
        <v>472.5</v>
      </c>
      <c r="H846" s="5">
        <f t="shared" si="13"/>
        <v>-1.5624305462950525E-2</v>
      </c>
    </row>
    <row r="847" spans="1:8" ht="13.5" x14ac:dyDescent="0.25">
      <c r="A847" s="1"/>
      <c r="B847" s="3">
        <v>43535</v>
      </c>
      <c r="C847" s="4">
        <v>15.75</v>
      </c>
      <c r="D847" s="4">
        <v>8.8582000000000001</v>
      </c>
      <c r="E847" s="4">
        <v>169</v>
      </c>
      <c r="F847" s="4">
        <v>15.8225</v>
      </c>
      <c r="G847" s="4">
        <v>2674.0025000000001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15.75</v>
      </c>
      <c r="D848" s="4">
        <v>8.8582000000000001</v>
      </c>
      <c r="E848" s="4">
        <v>384</v>
      </c>
      <c r="F848" s="4">
        <v>15.75</v>
      </c>
      <c r="G848" s="4">
        <v>6048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15.99</v>
      </c>
      <c r="D849" s="4">
        <v>8.9931999999999999</v>
      </c>
      <c r="E849" s="4">
        <v>41</v>
      </c>
      <c r="F849" s="4">
        <v>15.99</v>
      </c>
      <c r="G849" s="4">
        <v>655.59</v>
      </c>
      <c r="H849" s="5">
        <f t="shared" si="13"/>
        <v>1.5240116502223905E-2</v>
      </c>
    </row>
    <row r="850" spans="1:8" ht="13.5" x14ac:dyDescent="0.25">
      <c r="A850" s="1"/>
      <c r="B850" s="3">
        <v>43538</v>
      </c>
      <c r="C850" s="4">
        <v>15.99</v>
      </c>
      <c r="D850" s="4">
        <v>8.9931999999999999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16</v>
      </c>
      <c r="D851" s="4">
        <v>8.9987999999999992</v>
      </c>
      <c r="E851" s="4">
        <v>685</v>
      </c>
      <c r="F851" s="4">
        <v>16.1752</v>
      </c>
      <c r="G851" s="4">
        <v>11080.012000000001</v>
      </c>
      <c r="H851" s="5">
        <f t="shared" si="13"/>
        <v>6.2269270115191289E-4</v>
      </c>
    </row>
    <row r="852" spans="1:8" ht="13.5" x14ac:dyDescent="0.25">
      <c r="A852" s="1"/>
      <c r="B852" s="3">
        <v>43542</v>
      </c>
      <c r="C852" s="4">
        <v>16.2</v>
      </c>
      <c r="D852" s="4">
        <v>9.1113</v>
      </c>
      <c r="E852" s="4">
        <v>9</v>
      </c>
      <c r="F852" s="4">
        <v>16.2</v>
      </c>
      <c r="G852" s="4">
        <v>145.80000000000001</v>
      </c>
      <c r="H852" s="5">
        <f t="shared" si="13"/>
        <v>1.2501666888918602E-2</v>
      </c>
    </row>
    <row r="853" spans="1:8" ht="13.5" x14ac:dyDescent="0.25">
      <c r="A853" s="1"/>
      <c r="B853" s="3">
        <v>43543</v>
      </c>
      <c r="C853" s="4">
        <v>16.2</v>
      </c>
      <c r="D853" s="4">
        <v>9.1113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16.2</v>
      </c>
      <c r="D854" s="4">
        <v>9.1113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16.2</v>
      </c>
      <c r="D855" s="4">
        <v>9.1113</v>
      </c>
      <c r="E855" s="4">
        <v>20</v>
      </c>
      <c r="F855" s="4">
        <v>16.157499999999999</v>
      </c>
      <c r="G855" s="4">
        <v>323.14999999999998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16.23</v>
      </c>
      <c r="D856" s="4">
        <v>9.1280999999999999</v>
      </c>
      <c r="E856" s="4">
        <v>547</v>
      </c>
      <c r="F856" s="4">
        <v>16.231100000000001</v>
      </c>
      <c r="G856" s="4">
        <v>8878.4117000000006</v>
      </c>
      <c r="H856" s="5">
        <f t="shared" si="13"/>
        <v>1.8438642125711948E-3</v>
      </c>
    </row>
    <row r="857" spans="1:8" ht="13.5" x14ac:dyDescent="0.25">
      <c r="A857" s="1"/>
      <c r="B857" s="3">
        <v>43550</v>
      </c>
      <c r="C857" s="4">
        <v>16.239999999999998</v>
      </c>
      <c r="D857" s="4">
        <v>9.1338000000000008</v>
      </c>
      <c r="E857" s="4">
        <v>1225</v>
      </c>
      <c r="F857" s="4">
        <v>16.239599999999999</v>
      </c>
      <c r="G857" s="4">
        <v>19893.509999999998</v>
      </c>
      <c r="H857" s="5">
        <f t="shared" si="13"/>
        <v>6.2444539389368292E-4</v>
      </c>
    </row>
    <row r="858" spans="1:8" ht="13.5" x14ac:dyDescent="0.25">
      <c r="A858" s="1"/>
      <c r="B858" s="3">
        <v>43551</v>
      </c>
      <c r="C858" s="4">
        <v>16.239999999999998</v>
      </c>
      <c r="D858" s="4">
        <v>9.1338000000000008</v>
      </c>
      <c r="E858" s="4">
        <v>653</v>
      </c>
      <c r="F858" s="4">
        <v>16.239999999999998</v>
      </c>
      <c r="G858" s="4">
        <v>10604.72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16.45</v>
      </c>
      <c r="D859" s="4">
        <v>9.2518999999999991</v>
      </c>
      <c r="E859" s="4">
        <v>260</v>
      </c>
      <c r="F859" s="4">
        <v>16.451899999999998</v>
      </c>
      <c r="G859" s="4">
        <v>4277.4939999999997</v>
      </c>
      <c r="H859" s="5">
        <f t="shared" si="13"/>
        <v>1.2929996277562274E-2</v>
      </c>
    </row>
    <row r="860" spans="1:8" ht="13.5" x14ac:dyDescent="0.25">
      <c r="A860" s="1"/>
      <c r="B860" s="3">
        <v>43553</v>
      </c>
      <c r="C860" s="4">
        <v>16.5</v>
      </c>
      <c r="D860" s="4">
        <v>9.2799999999999994</v>
      </c>
      <c r="E860" s="4">
        <v>50</v>
      </c>
      <c r="F860" s="4">
        <v>16.5</v>
      </c>
      <c r="G860" s="4">
        <v>825</v>
      </c>
      <c r="H860" s="5">
        <f t="shared" si="13"/>
        <v>3.0372139776694775E-3</v>
      </c>
    </row>
    <row r="861" spans="1:8" ht="13.5" x14ac:dyDescent="0.25">
      <c r="A861" s="1"/>
      <c r="B861" s="3">
        <v>43556</v>
      </c>
      <c r="C861" s="4">
        <v>16.899999999999999</v>
      </c>
      <c r="D861" s="4">
        <v>9.5050000000000008</v>
      </c>
      <c r="E861" s="4">
        <v>370</v>
      </c>
      <c r="F861" s="4">
        <v>16.899999999999999</v>
      </c>
      <c r="G861" s="4">
        <v>6253</v>
      </c>
      <c r="H861" s="5">
        <f t="shared" si="13"/>
        <v>2.424568965517257E-2</v>
      </c>
    </row>
    <row r="862" spans="1:8" ht="13.5" x14ac:dyDescent="0.25">
      <c r="A862" s="1"/>
      <c r="B862" s="3">
        <v>43557</v>
      </c>
      <c r="C862" s="4">
        <v>16.899999999999999</v>
      </c>
      <c r="D862" s="4">
        <v>9.5050000000000008</v>
      </c>
      <c r="E862" s="4">
        <v>50</v>
      </c>
      <c r="F862" s="4">
        <v>16.899999999999999</v>
      </c>
      <c r="G862" s="4">
        <v>845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16.899999999999999</v>
      </c>
      <c r="D863" s="4">
        <v>9.5050000000000008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16.8</v>
      </c>
      <c r="D864" s="4">
        <v>9.4487000000000005</v>
      </c>
      <c r="E864" s="4">
        <v>135</v>
      </c>
      <c r="F864" s="4">
        <v>16.763000000000002</v>
      </c>
      <c r="G864" s="4">
        <v>2263.0050000000001</v>
      </c>
      <c r="H864" s="5">
        <f t="shared" si="13"/>
        <v>-5.9231983166754586E-3</v>
      </c>
    </row>
    <row r="865" spans="1:8" ht="13.5" x14ac:dyDescent="0.25">
      <c r="A865" s="1"/>
      <c r="B865" s="3">
        <v>43560</v>
      </c>
      <c r="C865" s="4">
        <v>16.89</v>
      </c>
      <c r="D865" s="4">
        <v>9.4992999999999999</v>
      </c>
      <c r="E865" s="4">
        <v>4</v>
      </c>
      <c r="F865" s="4">
        <v>16.89</v>
      </c>
      <c r="G865" s="4">
        <v>67.56</v>
      </c>
      <c r="H865" s="5">
        <f t="shared" si="13"/>
        <v>5.355234053361765E-3</v>
      </c>
    </row>
    <row r="866" spans="1:8" ht="13.5" x14ac:dyDescent="0.25">
      <c r="A866" s="1"/>
      <c r="B866" s="3">
        <v>43563</v>
      </c>
      <c r="C866" s="4">
        <v>16.5</v>
      </c>
      <c r="D866" s="4">
        <v>9.2799999999999994</v>
      </c>
      <c r="E866" s="4">
        <v>228</v>
      </c>
      <c r="F866" s="4">
        <v>16.5</v>
      </c>
      <c r="G866" s="4">
        <v>3762</v>
      </c>
      <c r="H866" s="5">
        <f t="shared" si="13"/>
        <v>-2.308591159348589E-2</v>
      </c>
    </row>
    <row r="867" spans="1:8" ht="13.5" x14ac:dyDescent="0.25">
      <c r="A867" s="1"/>
      <c r="B867" s="3">
        <v>43565</v>
      </c>
      <c r="C867" s="4">
        <v>16.5</v>
      </c>
      <c r="D867" s="4">
        <v>9.2799999999999994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16.899999999999999</v>
      </c>
      <c r="D868" s="4">
        <v>9.5050000000000008</v>
      </c>
      <c r="E868" s="4">
        <v>331</v>
      </c>
      <c r="F868" s="4">
        <v>16.899999999999999</v>
      </c>
      <c r="G868" s="4">
        <v>5593.9</v>
      </c>
      <c r="H868" s="5">
        <f t="shared" si="13"/>
        <v>2.424568965517257E-2</v>
      </c>
    </row>
    <row r="869" spans="1:8" ht="13.5" x14ac:dyDescent="0.25">
      <c r="A869" s="1"/>
      <c r="B869" s="3">
        <v>43567</v>
      </c>
      <c r="C869" s="4">
        <v>16.850000000000001</v>
      </c>
      <c r="D869" s="4">
        <v>9.4769000000000005</v>
      </c>
      <c r="E869" s="4">
        <v>325</v>
      </c>
      <c r="F869" s="4">
        <v>16.816800000000001</v>
      </c>
      <c r="G869" s="4">
        <v>5465.46</v>
      </c>
      <c r="H869" s="5">
        <f t="shared" si="13"/>
        <v>-2.9563387690689355E-3</v>
      </c>
    </row>
    <row r="870" spans="1:8" ht="13.5" x14ac:dyDescent="0.25">
      <c r="A870" s="1"/>
      <c r="B870" s="3">
        <v>43570</v>
      </c>
      <c r="C870" s="4">
        <v>16.8</v>
      </c>
      <c r="D870" s="4">
        <v>9.4487000000000005</v>
      </c>
      <c r="E870" s="4">
        <v>1000</v>
      </c>
      <c r="F870" s="4">
        <v>16.8</v>
      </c>
      <c r="G870" s="4">
        <v>16800</v>
      </c>
      <c r="H870" s="5">
        <f t="shared" si="13"/>
        <v>-2.975656596566388E-3</v>
      </c>
    </row>
    <row r="871" spans="1:8" ht="13.5" x14ac:dyDescent="0.25">
      <c r="A871" s="1"/>
      <c r="B871" s="3">
        <v>43571</v>
      </c>
      <c r="C871" s="4">
        <v>16.78</v>
      </c>
      <c r="D871" s="4">
        <v>9.4375</v>
      </c>
      <c r="E871" s="4">
        <v>370</v>
      </c>
      <c r="F871" s="4">
        <v>16.765899999999998</v>
      </c>
      <c r="G871" s="4">
        <v>6203.3829999999998</v>
      </c>
      <c r="H871" s="5">
        <f t="shared" si="13"/>
        <v>-1.1853482489655235E-3</v>
      </c>
    </row>
    <row r="872" spans="1:8" ht="13.5" x14ac:dyDescent="0.25">
      <c r="A872" s="1"/>
      <c r="B872" s="3">
        <v>43572</v>
      </c>
      <c r="C872" s="4">
        <v>16.760000000000002</v>
      </c>
      <c r="D872" s="4">
        <v>9.4261999999999997</v>
      </c>
      <c r="E872" s="4">
        <v>120</v>
      </c>
      <c r="F872" s="4">
        <v>16.760000000000002</v>
      </c>
      <c r="G872" s="4">
        <v>2011.2</v>
      </c>
      <c r="H872" s="5">
        <f t="shared" si="13"/>
        <v>-1.1973509933775163E-3</v>
      </c>
    </row>
    <row r="873" spans="1:8" ht="13.5" x14ac:dyDescent="0.25">
      <c r="A873" s="1"/>
      <c r="B873" s="3">
        <v>43573</v>
      </c>
      <c r="C873" s="4">
        <v>16.649999999999999</v>
      </c>
      <c r="D873" s="4">
        <v>9.3643999999999998</v>
      </c>
      <c r="E873" s="4">
        <v>1130</v>
      </c>
      <c r="F873" s="4">
        <v>16.496300000000002</v>
      </c>
      <c r="G873" s="4">
        <v>18640.819</v>
      </c>
      <c r="H873" s="5">
        <f t="shared" si="13"/>
        <v>-6.5561944367825697E-3</v>
      </c>
    </row>
    <row r="874" spans="1:8" ht="13.5" x14ac:dyDescent="0.25">
      <c r="A874" s="1"/>
      <c r="B874" s="3">
        <v>43574</v>
      </c>
      <c r="C874" s="4">
        <v>15.9</v>
      </c>
      <c r="D874" s="4">
        <v>8.9425000000000008</v>
      </c>
      <c r="E874" s="4">
        <v>366</v>
      </c>
      <c r="F874" s="4">
        <v>16.082799999999999</v>
      </c>
      <c r="G874" s="4">
        <v>5886.3047999999999</v>
      </c>
      <c r="H874" s="5">
        <f t="shared" si="13"/>
        <v>-4.5053607278629601E-2</v>
      </c>
    </row>
    <row r="875" spans="1:8" ht="13.5" x14ac:dyDescent="0.25">
      <c r="A875" s="1"/>
      <c r="B875" s="3">
        <v>43577</v>
      </c>
      <c r="C875" s="4">
        <v>16.3</v>
      </c>
      <c r="D875" s="4">
        <v>9.1675000000000004</v>
      </c>
      <c r="E875" s="4">
        <v>129</v>
      </c>
      <c r="F875" s="4">
        <v>15.932700000000001</v>
      </c>
      <c r="G875" s="4">
        <v>2055.3182999999999</v>
      </c>
      <c r="H875" s="5">
        <f t="shared" si="13"/>
        <v>2.5160749231199288E-2</v>
      </c>
    </row>
    <row r="876" spans="1:8" ht="13.5" x14ac:dyDescent="0.25">
      <c r="A876" s="1"/>
      <c r="B876" s="3">
        <v>43578</v>
      </c>
      <c r="C876" s="4">
        <v>15.82</v>
      </c>
      <c r="D876" s="4">
        <v>8.8976000000000006</v>
      </c>
      <c r="E876" s="4">
        <v>500</v>
      </c>
      <c r="F876" s="4">
        <v>15.949</v>
      </c>
      <c r="G876" s="4">
        <v>7974.5</v>
      </c>
      <c r="H876" s="5">
        <f t="shared" si="13"/>
        <v>-2.9440959912735182E-2</v>
      </c>
    </row>
    <row r="877" spans="1:8" ht="13.5" x14ac:dyDescent="0.25">
      <c r="A877" s="1"/>
      <c r="B877" s="3">
        <v>43579</v>
      </c>
      <c r="C877" s="4">
        <v>15.85</v>
      </c>
      <c r="D877" s="4">
        <v>8.9144000000000005</v>
      </c>
      <c r="E877" s="4">
        <v>203</v>
      </c>
      <c r="F877" s="4">
        <v>15.85</v>
      </c>
      <c r="G877" s="4">
        <v>3217.55</v>
      </c>
      <c r="H877" s="5">
        <f t="shared" si="13"/>
        <v>1.8881496133788802E-3</v>
      </c>
    </row>
    <row r="878" spans="1:8" ht="13.5" x14ac:dyDescent="0.25">
      <c r="A878" s="1"/>
      <c r="B878" s="3">
        <v>43580</v>
      </c>
      <c r="C878" s="4">
        <v>15.85</v>
      </c>
      <c r="D878" s="4">
        <v>8.9144000000000005</v>
      </c>
      <c r="E878" s="4">
        <v>750</v>
      </c>
      <c r="F878" s="4">
        <v>15.7247</v>
      </c>
      <c r="G878" s="4">
        <v>11793.525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15.84</v>
      </c>
      <c r="D879" s="4">
        <v>8.9087999999999994</v>
      </c>
      <c r="E879" s="4">
        <v>1225</v>
      </c>
      <c r="F879" s="4">
        <v>15.7104</v>
      </c>
      <c r="G879" s="4">
        <v>19245.240000000002</v>
      </c>
      <c r="H879" s="5">
        <f t="shared" si="13"/>
        <v>-6.2819707439661218E-4</v>
      </c>
    </row>
    <row r="880" spans="1:8" ht="13.5" x14ac:dyDescent="0.25">
      <c r="A880" s="1"/>
      <c r="B880" s="3">
        <v>43584</v>
      </c>
      <c r="C880" s="4">
        <v>15.38</v>
      </c>
      <c r="D880" s="4">
        <v>8.6501000000000001</v>
      </c>
      <c r="E880" s="4">
        <v>378</v>
      </c>
      <c r="F880" s="4">
        <v>15.4198</v>
      </c>
      <c r="G880" s="4">
        <v>5828.6844000000001</v>
      </c>
      <c r="H880" s="5">
        <f t="shared" si="13"/>
        <v>-2.903870330459762E-2</v>
      </c>
    </row>
    <row r="881" spans="1:8" ht="13.5" x14ac:dyDescent="0.25">
      <c r="A881" s="1"/>
      <c r="B881" s="3">
        <v>43585</v>
      </c>
      <c r="C881" s="4">
        <v>15.59</v>
      </c>
      <c r="D881" s="4">
        <v>8.7682000000000002</v>
      </c>
      <c r="E881" s="4">
        <v>100</v>
      </c>
      <c r="F881" s="4">
        <v>15.586600000000001</v>
      </c>
      <c r="G881" s="4">
        <v>1558.66</v>
      </c>
      <c r="H881" s="5">
        <f t="shared" si="13"/>
        <v>1.3653021352354319E-2</v>
      </c>
    </row>
    <row r="882" spans="1:8" ht="13.5" x14ac:dyDescent="0.25">
      <c r="A882" s="1"/>
      <c r="B882" s="3">
        <v>43587</v>
      </c>
      <c r="C882" s="4">
        <v>15.5</v>
      </c>
      <c r="D882" s="4">
        <v>8.7175999999999991</v>
      </c>
      <c r="E882" s="4">
        <v>379</v>
      </c>
      <c r="F882" s="4">
        <v>15.5236</v>
      </c>
      <c r="G882" s="4">
        <v>5883.4444000000003</v>
      </c>
      <c r="H882" s="5">
        <f t="shared" si="13"/>
        <v>-5.7708537670218612E-3</v>
      </c>
    </row>
    <row r="883" spans="1:8" ht="13.5" x14ac:dyDescent="0.25">
      <c r="A883" s="1"/>
      <c r="B883" s="3">
        <v>43588</v>
      </c>
      <c r="C883" s="4">
        <v>15.1</v>
      </c>
      <c r="D883" s="4">
        <v>8.4925999999999995</v>
      </c>
      <c r="E883" s="4">
        <v>260</v>
      </c>
      <c r="F883" s="4">
        <v>15.13</v>
      </c>
      <c r="G883" s="4">
        <v>3933.8</v>
      </c>
      <c r="H883" s="5">
        <f t="shared" si="13"/>
        <v>-2.5809855923648671E-2</v>
      </c>
    </row>
    <row r="884" spans="1:8" ht="13.5" x14ac:dyDescent="0.25">
      <c r="A884" s="1"/>
      <c r="B884" s="3">
        <v>43591</v>
      </c>
      <c r="C884" s="4">
        <v>15.47</v>
      </c>
      <c r="D884" s="4">
        <v>8.7006999999999994</v>
      </c>
      <c r="E884" s="4">
        <v>60</v>
      </c>
      <c r="F884" s="4">
        <v>15.5283</v>
      </c>
      <c r="G884" s="4">
        <v>931.69799999999998</v>
      </c>
      <c r="H884" s="5">
        <f t="shared" si="13"/>
        <v>2.4503685561547695E-2</v>
      </c>
    </row>
    <row r="885" spans="1:8" ht="13.5" x14ac:dyDescent="0.25">
      <c r="A885" s="1"/>
      <c r="B885" s="3">
        <v>43592</v>
      </c>
      <c r="C885" s="4">
        <v>15.45</v>
      </c>
      <c r="D885" s="4">
        <v>8.6895000000000007</v>
      </c>
      <c r="E885" s="4">
        <v>201</v>
      </c>
      <c r="F885" s="4">
        <v>15.0122</v>
      </c>
      <c r="G885" s="4">
        <v>3017.4522000000002</v>
      </c>
      <c r="H885" s="5">
        <f t="shared" si="13"/>
        <v>-1.2872527497786118E-3</v>
      </c>
    </row>
    <row r="886" spans="1:8" ht="13.5" x14ac:dyDescent="0.25">
      <c r="A886" s="1"/>
      <c r="B886" s="3">
        <v>43593</v>
      </c>
      <c r="C886" s="4">
        <v>14.99</v>
      </c>
      <c r="D886" s="4">
        <v>8.4306999999999999</v>
      </c>
      <c r="E886" s="4">
        <v>286</v>
      </c>
      <c r="F886" s="4">
        <v>14.9924</v>
      </c>
      <c r="G886" s="4">
        <v>4287.8263999999999</v>
      </c>
      <c r="H886" s="5">
        <f t="shared" si="13"/>
        <v>-2.9783071523102687E-2</v>
      </c>
    </row>
    <row r="887" spans="1:8" ht="13.5" x14ac:dyDescent="0.25">
      <c r="A887" s="1"/>
      <c r="B887" s="3">
        <v>43594</v>
      </c>
      <c r="C887" s="4">
        <v>14.67</v>
      </c>
      <c r="D887" s="4">
        <v>8.2507999999999999</v>
      </c>
      <c r="E887" s="4">
        <v>493</v>
      </c>
      <c r="F887" s="4">
        <v>14.736700000000001</v>
      </c>
      <c r="G887" s="4">
        <v>7265.1931000000004</v>
      </c>
      <c r="H887" s="5">
        <f t="shared" si="13"/>
        <v>-2.1338678876012662E-2</v>
      </c>
    </row>
    <row r="888" spans="1:8" ht="13.5" x14ac:dyDescent="0.25">
      <c r="A888" s="1"/>
      <c r="B888" s="3">
        <v>43595</v>
      </c>
      <c r="C888" s="4">
        <v>14.65</v>
      </c>
      <c r="D888" s="4">
        <v>8.2394999999999996</v>
      </c>
      <c r="E888" s="4">
        <v>731</v>
      </c>
      <c r="F888" s="4">
        <v>14.462300000000001</v>
      </c>
      <c r="G888" s="4">
        <v>10571.9413</v>
      </c>
      <c r="H888" s="5">
        <f t="shared" si="13"/>
        <v>-1.3695641634750946E-3</v>
      </c>
    </row>
    <row r="889" spans="1:8" ht="13.5" x14ac:dyDescent="0.25">
      <c r="A889" s="1"/>
      <c r="B889" s="3">
        <v>43598</v>
      </c>
      <c r="C889" s="4">
        <v>14.64</v>
      </c>
      <c r="D889" s="4">
        <v>8.2339000000000002</v>
      </c>
      <c r="E889" s="4">
        <v>957</v>
      </c>
      <c r="F889" s="4">
        <v>14.492699999999999</v>
      </c>
      <c r="G889" s="4">
        <v>13869.5139</v>
      </c>
      <c r="H889" s="5">
        <f t="shared" si="13"/>
        <v>-6.7965289155887901E-4</v>
      </c>
    </row>
    <row r="890" spans="1:8" ht="13.5" x14ac:dyDescent="0.25">
      <c r="A890" s="1"/>
      <c r="B890" s="3">
        <v>43599</v>
      </c>
      <c r="C890" s="4">
        <v>14.21</v>
      </c>
      <c r="D890" s="4">
        <v>7.9920999999999998</v>
      </c>
      <c r="E890" s="4">
        <v>1562</v>
      </c>
      <c r="F890" s="4">
        <v>14.279299999999999</v>
      </c>
      <c r="G890" s="4">
        <v>22304.266599999999</v>
      </c>
      <c r="H890" s="5">
        <f t="shared" si="13"/>
        <v>-2.9366399883408889E-2</v>
      </c>
    </row>
    <row r="891" spans="1:8" ht="13.5" x14ac:dyDescent="0.25">
      <c r="A891" s="1"/>
      <c r="B891" s="3">
        <v>43600</v>
      </c>
      <c r="C891" s="4">
        <v>14.5</v>
      </c>
      <c r="D891" s="4">
        <v>8.1552000000000007</v>
      </c>
      <c r="E891" s="4">
        <v>280</v>
      </c>
      <c r="F891" s="4">
        <v>14.234999999999999</v>
      </c>
      <c r="G891" s="4">
        <v>3985.8</v>
      </c>
      <c r="H891" s="5">
        <f t="shared" si="13"/>
        <v>2.0407652556900052E-2</v>
      </c>
    </row>
    <row r="892" spans="1:8" ht="13.5" x14ac:dyDescent="0.25">
      <c r="A892" s="1"/>
      <c r="B892" s="3">
        <v>43601</v>
      </c>
      <c r="C892" s="4">
        <v>14.47</v>
      </c>
      <c r="D892" s="4">
        <v>8.1382999999999992</v>
      </c>
      <c r="E892" s="4">
        <v>735</v>
      </c>
      <c r="F892" s="4">
        <v>14.3735</v>
      </c>
      <c r="G892" s="4">
        <v>10564.522499999999</v>
      </c>
      <c r="H892" s="5">
        <f t="shared" si="13"/>
        <v>-2.0722974298608824E-3</v>
      </c>
    </row>
    <row r="893" spans="1:8" ht="13.5" x14ac:dyDescent="0.25">
      <c r="A893" s="1"/>
      <c r="B893" s="3">
        <v>43602</v>
      </c>
      <c r="C893" s="4">
        <v>14.6</v>
      </c>
      <c r="D893" s="4">
        <v>8.2113999999999994</v>
      </c>
      <c r="E893" s="4">
        <v>332</v>
      </c>
      <c r="F893" s="4">
        <v>14.494</v>
      </c>
      <c r="G893" s="4">
        <v>4812.0079999999998</v>
      </c>
      <c r="H893" s="5">
        <f t="shared" si="13"/>
        <v>8.9822198739294666E-3</v>
      </c>
    </row>
    <row r="894" spans="1:8" ht="13.5" x14ac:dyDescent="0.25">
      <c r="A894" s="1"/>
      <c r="B894" s="3">
        <v>43605</v>
      </c>
      <c r="C894" s="4">
        <v>14.65</v>
      </c>
      <c r="D894" s="4">
        <v>8.2394999999999996</v>
      </c>
      <c r="E894" s="4">
        <v>1854</v>
      </c>
      <c r="F894" s="4">
        <v>14.509499999999999</v>
      </c>
      <c r="G894" s="4">
        <v>26900.613000000001</v>
      </c>
      <c r="H894" s="5">
        <f t="shared" si="13"/>
        <v>3.4220717539031392E-3</v>
      </c>
    </row>
    <row r="895" spans="1:8" ht="13.5" x14ac:dyDescent="0.25">
      <c r="A895" s="1"/>
      <c r="B895" s="3">
        <v>43606</v>
      </c>
      <c r="C895" s="4">
        <v>14.85</v>
      </c>
      <c r="D895" s="4">
        <v>8.3520000000000003</v>
      </c>
      <c r="E895" s="4">
        <v>250</v>
      </c>
      <c r="F895" s="4">
        <v>14.85</v>
      </c>
      <c r="G895" s="4">
        <v>3712.5</v>
      </c>
      <c r="H895" s="5">
        <f t="shared" si="13"/>
        <v>1.3653741125068355E-2</v>
      </c>
    </row>
    <row r="896" spans="1:8" ht="13.5" x14ac:dyDescent="0.25">
      <c r="A896" s="1"/>
      <c r="B896" s="3">
        <v>43607</v>
      </c>
      <c r="C896" s="4">
        <v>14.4</v>
      </c>
      <c r="D896" s="4">
        <v>8.0989000000000004</v>
      </c>
      <c r="E896" s="4">
        <v>220</v>
      </c>
      <c r="F896" s="4">
        <v>14.5793</v>
      </c>
      <c r="G896" s="4">
        <v>3207.4459999999999</v>
      </c>
      <c r="H896" s="5">
        <f t="shared" si="13"/>
        <v>-3.0304118773946346E-2</v>
      </c>
    </row>
    <row r="897" spans="1:8" ht="13.5" x14ac:dyDescent="0.25">
      <c r="A897" s="1"/>
      <c r="B897" s="3">
        <v>43608</v>
      </c>
      <c r="C897" s="4">
        <v>14.4</v>
      </c>
      <c r="D897" s="4">
        <v>8.0989000000000004</v>
      </c>
      <c r="E897" s="4">
        <v>1045</v>
      </c>
      <c r="F897" s="4">
        <v>14.3575</v>
      </c>
      <c r="G897" s="4">
        <v>15003.5875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14.4</v>
      </c>
      <c r="D898" s="4">
        <v>8.0989000000000004</v>
      </c>
      <c r="E898" s="4">
        <v>1300</v>
      </c>
      <c r="F898" s="4">
        <v>14.326599999999999</v>
      </c>
      <c r="G898" s="4">
        <v>18624.580000000002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15.03</v>
      </c>
      <c r="D899" s="4">
        <v>8.4532000000000007</v>
      </c>
      <c r="E899" s="4">
        <v>310</v>
      </c>
      <c r="F899" s="4">
        <v>15.0161</v>
      </c>
      <c r="G899" s="4">
        <v>4654.991</v>
      </c>
      <c r="H899" s="5">
        <f t="shared" si="13"/>
        <v>4.3746681648125084E-2</v>
      </c>
    </row>
    <row r="900" spans="1:8" ht="13.5" x14ac:dyDescent="0.25">
      <c r="A900" s="1"/>
      <c r="B900" s="3">
        <v>43613</v>
      </c>
      <c r="C900" s="4">
        <v>15.48</v>
      </c>
      <c r="D900" s="4">
        <v>8.7063000000000006</v>
      </c>
      <c r="E900" s="4">
        <v>133</v>
      </c>
      <c r="F900" s="4">
        <v>15.2928</v>
      </c>
      <c r="G900" s="4">
        <v>2033.9423999999999</v>
      </c>
      <c r="H900" s="5">
        <f t="shared" si="13"/>
        <v>2.9941323995646602E-2</v>
      </c>
    </row>
    <row r="901" spans="1:8" ht="13.5" x14ac:dyDescent="0.25">
      <c r="A901" s="1"/>
      <c r="B901" s="3">
        <v>43614</v>
      </c>
      <c r="C901" s="4">
        <v>15.59</v>
      </c>
      <c r="D901" s="4">
        <v>8.7682000000000002</v>
      </c>
      <c r="E901" s="4">
        <v>40</v>
      </c>
      <c r="F901" s="4">
        <v>15.59</v>
      </c>
      <c r="G901" s="4">
        <v>623.6</v>
      </c>
      <c r="H901" s="5">
        <f t="shared" si="13"/>
        <v>7.1097940571769429E-3</v>
      </c>
    </row>
    <row r="902" spans="1:8" ht="13.5" x14ac:dyDescent="0.25">
      <c r="A902" s="1"/>
      <c r="B902" s="3">
        <v>43615</v>
      </c>
      <c r="C902" s="4">
        <v>15.45</v>
      </c>
      <c r="D902" s="4">
        <v>8.6895000000000007</v>
      </c>
      <c r="E902" s="4">
        <v>1217</v>
      </c>
      <c r="F902" s="4">
        <v>15.309699999999999</v>
      </c>
      <c r="G902" s="4">
        <v>18631.904900000001</v>
      </c>
      <c r="H902" s="5">
        <f t="shared" si="13"/>
        <v>-8.9756164321068803E-3</v>
      </c>
    </row>
    <row r="903" spans="1:8" ht="13.5" x14ac:dyDescent="0.25">
      <c r="A903" s="1"/>
      <c r="B903" s="3">
        <v>43616</v>
      </c>
      <c r="C903" s="4">
        <v>15.49</v>
      </c>
      <c r="D903" s="4">
        <v>8.7119999999999997</v>
      </c>
      <c r="E903" s="4">
        <v>100</v>
      </c>
      <c r="F903" s="4">
        <v>15.49</v>
      </c>
      <c r="G903" s="4">
        <v>1549</v>
      </c>
      <c r="H903" s="5">
        <f t="shared" ref="H903:H966" si="14">(D903-D902)/D902</f>
        <v>2.5893319523561855E-3</v>
      </c>
    </row>
    <row r="904" spans="1:8" ht="13.5" x14ac:dyDescent="0.25">
      <c r="A904" s="1"/>
      <c r="B904" s="3">
        <v>43619</v>
      </c>
      <c r="C904" s="4">
        <v>15.7</v>
      </c>
      <c r="D904" s="4">
        <v>8.8300999999999998</v>
      </c>
      <c r="E904" s="4">
        <v>2</v>
      </c>
      <c r="F904" s="4">
        <v>15.7</v>
      </c>
      <c r="G904" s="4">
        <v>31.4</v>
      </c>
      <c r="H904" s="5">
        <f t="shared" si="14"/>
        <v>1.355601469237834E-2</v>
      </c>
    </row>
    <row r="905" spans="1:8" ht="13.5" x14ac:dyDescent="0.25">
      <c r="A905" s="1"/>
      <c r="B905" s="3">
        <v>43623</v>
      </c>
      <c r="C905" s="4">
        <v>15.7</v>
      </c>
      <c r="D905" s="4">
        <v>8.8300999999999998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15.7</v>
      </c>
      <c r="D906" s="4">
        <v>8.8300999999999998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15.5</v>
      </c>
      <c r="D907" s="4">
        <v>8.7175999999999991</v>
      </c>
      <c r="E907" s="4">
        <v>111</v>
      </c>
      <c r="F907" s="4">
        <v>15.4757</v>
      </c>
      <c r="G907" s="4">
        <v>1717.8027</v>
      </c>
      <c r="H907" s="5">
        <f t="shared" si="14"/>
        <v>-1.2740512564976695E-2</v>
      </c>
    </row>
    <row r="908" spans="1:8" ht="13.5" x14ac:dyDescent="0.25">
      <c r="A908" s="1"/>
      <c r="B908" s="3">
        <v>43628</v>
      </c>
      <c r="C908" s="4">
        <v>15.6</v>
      </c>
      <c r="D908" s="4">
        <v>8.7737999999999996</v>
      </c>
      <c r="E908" s="4">
        <v>50</v>
      </c>
      <c r="F908" s="4">
        <v>15.6</v>
      </c>
      <c r="G908" s="4">
        <v>780</v>
      </c>
      <c r="H908" s="5">
        <f t="shared" si="14"/>
        <v>6.4467284573736438E-3</v>
      </c>
    </row>
    <row r="909" spans="1:8" ht="13.5" x14ac:dyDescent="0.25">
      <c r="A909" s="1"/>
      <c r="B909" s="3">
        <v>43629</v>
      </c>
      <c r="C909" s="4">
        <v>15.6</v>
      </c>
      <c r="D909" s="4">
        <v>8.7737999999999996</v>
      </c>
      <c r="E909" s="4">
        <v>0</v>
      </c>
      <c r="F909" s="4">
        <v>0</v>
      </c>
      <c r="G909" s="4">
        <v>0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15.65</v>
      </c>
      <c r="D910" s="4">
        <v>8.8018999999999998</v>
      </c>
      <c r="E910" s="4">
        <v>307</v>
      </c>
      <c r="F910" s="4">
        <v>15.607799999999999</v>
      </c>
      <c r="G910" s="4">
        <v>4791.5946000000004</v>
      </c>
      <c r="H910" s="5">
        <f t="shared" si="14"/>
        <v>3.2027171806971026E-3</v>
      </c>
    </row>
    <row r="911" spans="1:8" ht="13.5" x14ac:dyDescent="0.25">
      <c r="A911" s="1"/>
      <c r="B911" s="3">
        <v>43633</v>
      </c>
      <c r="C911" s="4">
        <v>15.65</v>
      </c>
      <c r="D911" s="4">
        <v>8.8018999999999998</v>
      </c>
      <c r="E911" s="4">
        <v>95</v>
      </c>
      <c r="F911" s="4">
        <v>15.65</v>
      </c>
      <c r="G911" s="4">
        <v>1486.75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15.65</v>
      </c>
      <c r="D912" s="4">
        <v>8.8018999999999998</v>
      </c>
      <c r="E912" s="4">
        <v>218</v>
      </c>
      <c r="F912" s="4">
        <v>15.605399999999999</v>
      </c>
      <c r="G912" s="4">
        <v>3401.9771999999998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15.65</v>
      </c>
      <c r="D913" s="4">
        <v>8.8018999999999998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15.65</v>
      </c>
      <c r="D914" s="4">
        <v>8.8018999999999998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15.65</v>
      </c>
      <c r="D915" s="4">
        <v>8.8018999999999998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15.65</v>
      </c>
      <c r="D916" s="4">
        <v>8.8018999999999998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15.65</v>
      </c>
      <c r="D917" s="4">
        <v>8.8018999999999998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15.65</v>
      </c>
      <c r="D918" s="4">
        <v>8.8018999999999998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15.65</v>
      </c>
      <c r="D919" s="4">
        <v>8.8018999999999998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15.65</v>
      </c>
      <c r="D920" s="4">
        <v>8.8018999999999998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15.6</v>
      </c>
      <c r="D921" s="4">
        <v>8.7737999999999996</v>
      </c>
      <c r="E921" s="4">
        <v>10</v>
      </c>
      <c r="F921" s="4">
        <v>15.6</v>
      </c>
      <c r="G921" s="4">
        <v>156</v>
      </c>
      <c r="H921" s="5">
        <f t="shared" si="14"/>
        <v>-3.1924925300219537E-3</v>
      </c>
    </row>
    <row r="922" spans="1:8" ht="13.5" x14ac:dyDescent="0.25">
      <c r="A922" s="1"/>
      <c r="B922" s="3">
        <v>43648</v>
      </c>
      <c r="C922" s="4">
        <v>15.6</v>
      </c>
      <c r="D922" s="4">
        <v>8.7737999999999996</v>
      </c>
      <c r="E922" s="4">
        <v>26</v>
      </c>
      <c r="F922" s="4">
        <v>15.6</v>
      </c>
      <c r="G922" s="4">
        <v>405.6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15.6</v>
      </c>
      <c r="D923" s="4">
        <v>8.7737999999999996</v>
      </c>
      <c r="E923" s="4">
        <v>39</v>
      </c>
      <c r="F923" s="4">
        <v>15.6013</v>
      </c>
      <c r="G923" s="4">
        <v>608.45069999999998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15.6</v>
      </c>
      <c r="D924" s="4">
        <v>8.7737999999999996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15.6</v>
      </c>
      <c r="D925" s="4">
        <v>8.7737999999999996</v>
      </c>
      <c r="E925" s="4">
        <v>0</v>
      </c>
      <c r="F925" s="4">
        <v>0</v>
      </c>
      <c r="G925" s="4">
        <v>0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15.3</v>
      </c>
      <c r="D926" s="4">
        <v>8.6051000000000002</v>
      </c>
      <c r="E926" s="4">
        <v>302</v>
      </c>
      <c r="F926" s="4">
        <v>15.3</v>
      </c>
      <c r="G926" s="4">
        <v>4620.6000000000004</v>
      </c>
      <c r="H926" s="5">
        <f t="shared" si="14"/>
        <v>-1.9227700654220452E-2</v>
      </c>
    </row>
    <row r="927" spans="1:8" ht="13.5" x14ac:dyDescent="0.25">
      <c r="A927" s="1"/>
      <c r="B927" s="3">
        <v>43655</v>
      </c>
      <c r="C927" s="4">
        <v>15.25</v>
      </c>
      <c r="D927" s="4">
        <v>8.577</v>
      </c>
      <c r="E927" s="4">
        <v>81</v>
      </c>
      <c r="F927" s="4">
        <v>15.013</v>
      </c>
      <c r="G927" s="4">
        <v>1216.0530000000001</v>
      </c>
      <c r="H927" s="5">
        <f t="shared" si="14"/>
        <v>-3.2655053398566239E-3</v>
      </c>
    </row>
    <row r="928" spans="1:8" ht="13.5" x14ac:dyDescent="0.25">
      <c r="A928" s="1"/>
      <c r="B928" s="3">
        <v>43656</v>
      </c>
      <c r="C928" s="4">
        <v>15.25</v>
      </c>
      <c r="D928" s="4">
        <v>8.577</v>
      </c>
      <c r="E928" s="4">
        <v>278</v>
      </c>
      <c r="F928" s="4">
        <v>15.196899999999999</v>
      </c>
      <c r="G928" s="4">
        <v>4224.7381999999998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15.25</v>
      </c>
      <c r="D929" s="4">
        <v>8.577</v>
      </c>
      <c r="E929" s="4">
        <v>31</v>
      </c>
      <c r="F929" s="4">
        <v>15.25</v>
      </c>
      <c r="G929" s="4">
        <v>472.75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15.25</v>
      </c>
      <c r="D930" s="4">
        <v>8.577</v>
      </c>
      <c r="E930" s="4">
        <v>32</v>
      </c>
      <c r="F930" s="4">
        <v>15.25</v>
      </c>
      <c r="G930" s="4">
        <v>488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14.3</v>
      </c>
      <c r="D931" s="4">
        <v>8.577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14.6</v>
      </c>
      <c r="D932" s="4">
        <v>8.7569999999999997</v>
      </c>
      <c r="E932" s="4">
        <v>35</v>
      </c>
      <c r="F932" s="4">
        <v>14.6</v>
      </c>
      <c r="G932" s="4">
        <v>511</v>
      </c>
      <c r="H932" s="5">
        <f t="shared" si="14"/>
        <v>2.0986358866736589E-2</v>
      </c>
    </row>
    <row r="933" spans="1:8" ht="13.5" x14ac:dyDescent="0.25">
      <c r="A933" s="1"/>
      <c r="B933" s="3">
        <v>43663</v>
      </c>
      <c r="C933" s="4">
        <v>14.5</v>
      </c>
      <c r="D933" s="4">
        <v>8.6969999999999992</v>
      </c>
      <c r="E933" s="4">
        <v>1039</v>
      </c>
      <c r="F933" s="4">
        <v>14.42</v>
      </c>
      <c r="G933" s="4">
        <v>14982.38</v>
      </c>
      <c r="H933" s="5">
        <f t="shared" si="14"/>
        <v>-6.8516615279205781E-3</v>
      </c>
    </row>
    <row r="934" spans="1:8" ht="13.5" x14ac:dyDescent="0.25">
      <c r="A934" s="1"/>
      <c r="B934" s="3">
        <v>43664</v>
      </c>
      <c r="C934" s="4">
        <v>14.1</v>
      </c>
      <c r="D934" s="4">
        <v>8.4571000000000005</v>
      </c>
      <c r="E934" s="4">
        <v>319</v>
      </c>
      <c r="F934" s="4">
        <v>14.1661</v>
      </c>
      <c r="G934" s="4">
        <v>4518.9858999999997</v>
      </c>
      <c r="H934" s="5">
        <f t="shared" si="14"/>
        <v>-2.7584224445210841E-2</v>
      </c>
    </row>
    <row r="935" spans="1:8" ht="13.5" x14ac:dyDescent="0.25">
      <c r="A935" s="1"/>
      <c r="B935" s="3">
        <v>43665</v>
      </c>
      <c r="C935" s="4">
        <v>13.68</v>
      </c>
      <c r="D935" s="4">
        <v>8.2050999999999998</v>
      </c>
      <c r="E935" s="4">
        <v>132</v>
      </c>
      <c r="F935" s="4">
        <v>14.0464</v>
      </c>
      <c r="G935" s="4">
        <v>1854.1248000000001</v>
      </c>
      <c r="H935" s="5">
        <f t="shared" si="14"/>
        <v>-2.9797448297879964E-2</v>
      </c>
    </row>
    <row r="936" spans="1:8" ht="13.5" x14ac:dyDescent="0.25">
      <c r="A936" s="1"/>
      <c r="B936" s="3">
        <v>43668</v>
      </c>
      <c r="C936" s="4">
        <v>14.09</v>
      </c>
      <c r="D936" s="4">
        <v>8.4511000000000003</v>
      </c>
      <c r="E936" s="4">
        <v>204</v>
      </c>
      <c r="F936" s="4">
        <v>14.09</v>
      </c>
      <c r="G936" s="4">
        <v>2874.36</v>
      </c>
      <c r="H936" s="5">
        <f t="shared" si="14"/>
        <v>2.99813530609012E-2</v>
      </c>
    </row>
    <row r="937" spans="1:8" ht="13.5" x14ac:dyDescent="0.25">
      <c r="A937" s="1"/>
      <c r="B937" s="3">
        <v>43669</v>
      </c>
      <c r="C937" s="4">
        <v>13.72</v>
      </c>
      <c r="D937" s="4">
        <v>8.2291000000000007</v>
      </c>
      <c r="E937" s="4">
        <v>230</v>
      </c>
      <c r="F937" s="4">
        <v>14.267799999999999</v>
      </c>
      <c r="G937" s="4">
        <v>3281.5940000000001</v>
      </c>
      <c r="H937" s="5">
        <f t="shared" si="14"/>
        <v>-2.6268769745950174E-2</v>
      </c>
    </row>
    <row r="938" spans="1:8" ht="13.5" x14ac:dyDescent="0.25">
      <c r="A938" s="1"/>
      <c r="B938" s="3">
        <v>43670</v>
      </c>
      <c r="C938" s="4">
        <v>14</v>
      </c>
      <c r="D938" s="4">
        <v>8.3971</v>
      </c>
      <c r="E938" s="4">
        <v>305</v>
      </c>
      <c r="F938" s="4">
        <v>14.0364</v>
      </c>
      <c r="G938" s="4">
        <v>4281.1019999999999</v>
      </c>
      <c r="H938" s="5">
        <f t="shared" si="14"/>
        <v>2.0415355263637486E-2</v>
      </c>
    </row>
    <row r="939" spans="1:8" ht="13.5" x14ac:dyDescent="0.25">
      <c r="A939" s="1"/>
      <c r="B939" s="3">
        <v>43672</v>
      </c>
      <c r="C939" s="4">
        <v>14.29</v>
      </c>
      <c r="D939" s="4">
        <v>8.5709999999999997</v>
      </c>
      <c r="E939" s="4">
        <v>878</v>
      </c>
      <c r="F939" s="4">
        <v>14.2643</v>
      </c>
      <c r="G939" s="4">
        <v>12524.055399999999</v>
      </c>
      <c r="H939" s="5">
        <f t="shared" si="14"/>
        <v>2.0709530671303156E-2</v>
      </c>
    </row>
    <row r="940" spans="1:8" ht="13.5" x14ac:dyDescent="0.25">
      <c r="A940" s="1"/>
      <c r="B940" s="3">
        <v>43675</v>
      </c>
      <c r="C940" s="4">
        <v>14.42</v>
      </c>
      <c r="D940" s="4">
        <v>8.6489999999999991</v>
      </c>
      <c r="E940" s="4">
        <v>335</v>
      </c>
      <c r="F940" s="4">
        <v>14.308999999999999</v>
      </c>
      <c r="G940" s="4">
        <v>4793.5150000000003</v>
      </c>
      <c r="H940" s="5">
        <f t="shared" si="14"/>
        <v>9.1004550227510687E-3</v>
      </c>
    </row>
    <row r="941" spans="1:8" ht="13.5" x14ac:dyDescent="0.25">
      <c r="A941" s="1"/>
      <c r="B941" s="3">
        <v>43676</v>
      </c>
      <c r="C941" s="4">
        <v>14.43</v>
      </c>
      <c r="D941" s="4">
        <v>8.6549999999999994</v>
      </c>
      <c r="E941" s="4">
        <v>101</v>
      </c>
      <c r="F941" s="4">
        <v>14.431800000000001</v>
      </c>
      <c r="G941" s="4">
        <v>1457.6117999999999</v>
      </c>
      <c r="H941" s="5">
        <f t="shared" si="14"/>
        <v>6.9372181755118832E-4</v>
      </c>
    </row>
    <row r="942" spans="1:8" ht="13.5" x14ac:dyDescent="0.25">
      <c r="A942" s="1"/>
      <c r="B942" s="3">
        <v>43677</v>
      </c>
      <c r="C942" s="4">
        <v>14.3</v>
      </c>
      <c r="D942" s="4">
        <v>8.577</v>
      </c>
      <c r="E942" s="4">
        <v>200</v>
      </c>
      <c r="F942" s="4">
        <v>14.3</v>
      </c>
      <c r="G942" s="4">
        <v>2860</v>
      </c>
      <c r="H942" s="5">
        <f t="shared" si="14"/>
        <v>-9.0121317157711624E-3</v>
      </c>
    </row>
    <row r="943" spans="1:8" ht="13.5" x14ac:dyDescent="0.25">
      <c r="A943" s="1"/>
      <c r="B943" s="3">
        <v>43678</v>
      </c>
      <c r="C943" s="4">
        <v>14.27</v>
      </c>
      <c r="D943" s="4">
        <v>8.5589999999999993</v>
      </c>
      <c r="E943" s="4">
        <v>893</v>
      </c>
      <c r="F943" s="4">
        <v>14.1739</v>
      </c>
      <c r="G943" s="4">
        <v>12657.2927</v>
      </c>
      <c r="H943" s="5">
        <f t="shared" si="14"/>
        <v>-2.0986358866737415E-3</v>
      </c>
    </row>
    <row r="944" spans="1:8" ht="13.5" x14ac:dyDescent="0.25">
      <c r="A944" s="1"/>
      <c r="B944" s="3">
        <v>43679</v>
      </c>
      <c r="C944" s="4">
        <v>14.27</v>
      </c>
      <c r="D944" s="4">
        <v>8.5589999999999993</v>
      </c>
      <c r="E944" s="4">
        <v>678</v>
      </c>
      <c r="F944" s="4">
        <v>14.2094</v>
      </c>
      <c r="G944" s="4">
        <v>9633.9732000000004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14.28</v>
      </c>
      <c r="D945" s="4">
        <v>8.5649999999999995</v>
      </c>
      <c r="E945" s="4">
        <v>101</v>
      </c>
      <c r="F945" s="4">
        <v>14.279</v>
      </c>
      <c r="G945" s="4">
        <v>1442.1790000000001</v>
      </c>
      <c r="H945" s="5">
        <f t="shared" si="14"/>
        <v>7.0101647388716296E-4</v>
      </c>
    </row>
    <row r="946" spans="1:8" ht="13.5" x14ac:dyDescent="0.25">
      <c r="A946" s="1"/>
      <c r="B946" s="3">
        <v>43683</v>
      </c>
      <c r="C946" s="4">
        <v>14.28</v>
      </c>
      <c r="D946" s="4">
        <v>8.5649999999999995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14.19</v>
      </c>
      <c r="D947" s="4">
        <v>8.5109999999999992</v>
      </c>
      <c r="E947" s="4">
        <v>550</v>
      </c>
      <c r="F947" s="4">
        <v>14.154</v>
      </c>
      <c r="G947" s="4">
        <v>7784.7</v>
      </c>
      <c r="H947" s="5">
        <f t="shared" si="14"/>
        <v>-6.3047285464098391E-3</v>
      </c>
    </row>
    <row r="948" spans="1:8" ht="13.5" x14ac:dyDescent="0.25">
      <c r="A948" s="1"/>
      <c r="B948" s="3">
        <v>43685</v>
      </c>
      <c r="C948" s="4">
        <v>14.2</v>
      </c>
      <c r="D948" s="4">
        <v>8.5169999999999995</v>
      </c>
      <c r="E948" s="4">
        <v>10</v>
      </c>
      <c r="F948" s="4">
        <v>14.2</v>
      </c>
      <c r="G948" s="4">
        <v>142</v>
      </c>
      <c r="H948" s="5">
        <f t="shared" si="14"/>
        <v>7.049700387733789E-4</v>
      </c>
    </row>
    <row r="949" spans="1:8" ht="13.5" x14ac:dyDescent="0.25">
      <c r="A949" s="1"/>
      <c r="B949" s="3">
        <v>43686</v>
      </c>
      <c r="C949" s="4">
        <v>14.2</v>
      </c>
      <c r="D949" s="4">
        <v>8.5169999999999995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14.2</v>
      </c>
      <c r="D950" s="4">
        <v>8.5169999999999995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14.2</v>
      </c>
      <c r="D951" s="4">
        <v>8.5169999999999995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13.78</v>
      </c>
      <c r="D952" s="4">
        <v>8.2651000000000003</v>
      </c>
      <c r="E952" s="4">
        <v>2059</v>
      </c>
      <c r="F952" s="4">
        <v>13.78</v>
      </c>
      <c r="G952" s="4">
        <v>28373.02</v>
      </c>
      <c r="H952" s="5">
        <f t="shared" si="14"/>
        <v>-2.9576141833979001E-2</v>
      </c>
    </row>
    <row r="953" spans="1:8" ht="13.5" x14ac:dyDescent="0.25">
      <c r="A953" s="1"/>
      <c r="B953" s="3">
        <v>43696</v>
      </c>
      <c r="C953" s="4">
        <v>13.5</v>
      </c>
      <c r="D953" s="4">
        <v>8.0972000000000008</v>
      </c>
      <c r="E953" s="4">
        <v>242</v>
      </c>
      <c r="F953" s="4">
        <v>13.5</v>
      </c>
      <c r="G953" s="4">
        <v>3267</v>
      </c>
      <c r="H953" s="5">
        <f t="shared" si="14"/>
        <v>-2.0314333764866667E-2</v>
      </c>
    </row>
    <row r="954" spans="1:8" ht="13.5" x14ac:dyDescent="0.25">
      <c r="A954" s="1"/>
      <c r="B954" s="3">
        <v>43697</v>
      </c>
      <c r="C954" s="4">
        <v>13.5</v>
      </c>
      <c r="D954" s="4">
        <v>8.0972000000000008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13.1</v>
      </c>
      <c r="D955" s="4">
        <v>7.8573000000000004</v>
      </c>
      <c r="E955" s="4">
        <v>215</v>
      </c>
      <c r="F955" s="4">
        <v>13.100899999999999</v>
      </c>
      <c r="G955" s="4">
        <v>2816.6934999999999</v>
      </c>
      <c r="H955" s="5">
        <f t="shared" si="14"/>
        <v>-2.962752556439268E-2</v>
      </c>
    </row>
    <row r="956" spans="1:8" ht="13.5" x14ac:dyDescent="0.25">
      <c r="A956" s="1"/>
      <c r="B956" s="3">
        <v>43699</v>
      </c>
      <c r="C956" s="4">
        <v>13.1</v>
      </c>
      <c r="D956" s="4">
        <v>7.8573000000000004</v>
      </c>
      <c r="E956" s="4">
        <v>288</v>
      </c>
      <c r="F956" s="4">
        <v>13.1</v>
      </c>
      <c r="G956" s="4">
        <v>3772.8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13.1</v>
      </c>
      <c r="D957" s="4">
        <v>7.8573000000000004</v>
      </c>
      <c r="E957" s="4">
        <v>280</v>
      </c>
      <c r="F957" s="4">
        <v>13.0732</v>
      </c>
      <c r="G957" s="4">
        <v>3660.4960000000001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13.1</v>
      </c>
      <c r="D958" s="4">
        <v>7.8573000000000004</v>
      </c>
      <c r="E958" s="4">
        <v>138</v>
      </c>
      <c r="F958" s="4">
        <v>13.1</v>
      </c>
      <c r="G958" s="4">
        <v>1807.8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13.1</v>
      </c>
      <c r="D959" s="4">
        <v>7.8573000000000004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13.46</v>
      </c>
      <c r="D960" s="4">
        <v>8.0731999999999999</v>
      </c>
      <c r="E960" s="4">
        <v>200</v>
      </c>
      <c r="F960" s="4">
        <v>13.46</v>
      </c>
      <c r="G960" s="4">
        <v>2692</v>
      </c>
      <c r="H960" s="5">
        <f t="shared" si="14"/>
        <v>2.7477632265536449E-2</v>
      </c>
    </row>
    <row r="961" spans="1:8" ht="13.5" x14ac:dyDescent="0.25">
      <c r="A961" s="1"/>
      <c r="B961" s="3">
        <v>43706</v>
      </c>
      <c r="C961" s="4">
        <v>13.46</v>
      </c>
      <c r="D961" s="4">
        <v>8.0731999999999999</v>
      </c>
      <c r="E961" s="4">
        <v>240</v>
      </c>
      <c r="F961" s="4">
        <v>13.3042</v>
      </c>
      <c r="G961" s="4">
        <v>3193.0079999999998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13.46</v>
      </c>
      <c r="D962" s="4">
        <v>8.0731999999999999</v>
      </c>
      <c r="E962" s="4">
        <v>260</v>
      </c>
      <c r="F962" s="4">
        <v>13.457700000000001</v>
      </c>
      <c r="G962" s="4">
        <v>3499.002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13.7</v>
      </c>
      <c r="D963" s="4">
        <v>8.2171000000000003</v>
      </c>
      <c r="E963" s="4">
        <v>130</v>
      </c>
      <c r="F963" s="4">
        <v>13.6515</v>
      </c>
      <c r="G963" s="4">
        <v>1774.6949999999999</v>
      </c>
      <c r="H963" s="5">
        <f t="shared" si="14"/>
        <v>1.7824406678888217E-2</v>
      </c>
    </row>
    <row r="964" spans="1:8" ht="13.5" x14ac:dyDescent="0.25">
      <c r="A964" s="1"/>
      <c r="B964" s="3">
        <v>43711</v>
      </c>
      <c r="C964" s="4">
        <v>13.7</v>
      </c>
      <c r="D964" s="4">
        <v>8.2171000000000003</v>
      </c>
      <c r="E964" s="4">
        <v>210</v>
      </c>
      <c r="F964" s="4">
        <v>13.6805</v>
      </c>
      <c r="G964" s="4">
        <v>2872.9050000000002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13.7</v>
      </c>
      <c r="D965" s="4">
        <v>8.2171000000000003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13.7</v>
      </c>
      <c r="D966" s="4">
        <v>8.2171000000000003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13.99</v>
      </c>
      <c r="D967" s="4">
        <v>8.3910999999999998</v>
      </c>
      <c r="E967" s="4">
        <v>2047</v>
      </c>
      <c r="F967" s="4">
        <v>13.9223</v>
      </c>
      <c r="G967" s="4">
        <v>28498.948100000001</v>
      </c>
      <c r="H967" s="5">
        <f t="shared" ref="H967:H1030" si="15">(D967-D966)/D966</f>
        <v>2.1175353835294626E-2</v>
      </c>
    </row>
    <row r="968" spans="1:8" ht="13.5" x14ac:dyDescent="0.25">
      <c r="A968" s="1"/>
      <c r="B968" s="3">
        <v>43717</v>
      </c>
      <c r="C968" s="4">
        <v>13.99</v>
      </c>
      <c r="D968" s="4">
        <v>8.3910999999999998</v>
      </c>
      <c r="E968" s="4">
        <v>50</v>
      </c>
      <c r="F968" s="4">
        <v>13.99</v>
      </c>
      <c r="G968" s="4">
        <v>699.5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13.99</v>
      </c>
      <c r="D969" s="4">
        <v>8.3910999999999998</v>
      </c>
      <c r="E969" s="4">
        <v>16</v>
      </c>
      <c r="F969" s="4">
        <v>13.990600000000001</v>
      </c>
      <c r="G969" s="4">
        <v>223.84960000000001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14</v>
      </c>
      <c r="D970" s="4">
        <v>8.3971</v>
      </c>
      <c r="E970" s="4">
        <v>200</v>
      </c>
      <c r="F970" s="4">
        <v>14</v>
      </c>
      <c r="G970" s="4">
        <v>2800</v>
      </c>
      <c r="H970" s="5">
        <f t="shared" si="15"/>
        <v>7.150433197078128E-4</v>
      </c>
    </row>
    <row r="971" spans="1:8" ht="13.5" x14ac:dyDescent="0.25">
      <c r="A971" s="1"/>
      <c r="B971" s="3">
        <v>43720</v>
      </c>
      <c r="C971" s="4">
        <v>14.1</v>
      </c>
      <c r="D971" s="4">
        <v>8.4571000000000005</v>
      </c>
      <c r="E971" s="4">
        <v>150</v>
      </c>
      <c r="F971" s="4">
        <v>14.1</v>
      </c>
      <c r="G971" s="4">
        <v>2115</v>
      </c>
      <c r="H971" s="5">
        <f t="shared" si="15"/>
        <v>7.1453239808982267E-3</v>
      </c>
    </row>
    <row r="972" spans="1:8" ht="13.5" x14ac:dyDescent="0.25">
      <c r="A972" s="1"/>
      <c r="B972" s="3">
        <v>43721</v>
      </c>
      <c r="C972" s="4">
        <v>14.1</v>
      </c>
      <c r="D972" s="4">
        <v>8.4571000000000005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14.1</v>
      </c>
      <c r="D973" s="4">
        <v>8.4571000000000005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14.1</v>
      </c>
      <c r="D974" s="4">
        <v>8.4571000000000005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14.1</v>
      </c>
      <c r="D975" s="4">
        <v>8.4571000000000005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13.68</v>
      </c>
      <c r="D976" s="4">
        <v>8.2050999999999998</v>
      </c>
      <c r="E976" s="4">
        <v>13</v>
      </c>
      <c r="F976" s="4">
        <v>13.68</v>
      </c>
      <c r="G976" s="4">
        <v>177.84</v>
      </c>
      <c r="H976" s="5">
        <f t="shared" si="15"/>
        <v>-2.9797448297879964E-2</v>
      </c>
    </row>
    <row r="977" spans="1:8" ht="13.5" x14ac:dyDescent="0.25">
      <c r="A977" s="1"/>
      <c r="B977" s="3">
        <v>43728</v>
      </c>
      <c r="C977" s="4">
        <v>13.68</v>
      </c>
      <c r="D977" s="4">
        <v>8.2050999999999998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13.7</v>
      </c>
      <c r="D978" s="4">
        <v>8.2171000000000003</v>
      </c>
      <c r="E978" s="4">
        <v>150</v>
      </c>
      <c r="F978" s="4">
        <v>13.9</v>
      </c>
      <c r="G978" s="4">
        <v>2085</v>
      </c>
      <c r="H978" s="5">
        <f t="shared" si="15"/>
        <v>1.4625050273610869E-3</v>
      </c>
    </row>
    <row r="979" spans="1:8" ht="13.5" x14ac:dyDescent="0.25">
      <c r="A979" s="1"/>
      <c r="B979" s="3">
        <v>43732</v>
      </c>
      <c r="C979" s="4">
        <v>13.3</v>
      </c>
      <c r="D979" s="4">
        <v>7.9771999999999998</v>
      </c>
      <c r="E979" s="4">
        <v>564</v>
      </c>
      <c r="F979" s="4">
        <v>13.382400000000001</v>
      </c>
      <c r="G979" s="4">
        <v>7547.6736000000001</v>
      </c>
      <c r="H979" s="5">
        <f t="shared" si="15"/>
        <v>-2.9195214856823019E-2</v>
      </c>
    </row>
    <row r="980" spans="1:8" ht="13.5" x14ac:dyDescent="0.25">
      <c r="A980" s="1"/>
      <c r="B980" s="3">
        <v>43733</v>
      </c>
      <c r="C980" s="4">
        <v>13.65</v>
      </c>
      <c r="D980" s="4">
        <v>8.1872000000000007</v>
      </c>
      <c r="E980" s="4">
        <v>145</v>
      </c>
      <c r="F980" s="4">
        <v>13.629300000000001</v>
      </c>
      <c r="G980" s="4">
        <v>1976.2484999999999</v>
      </c>
      <c r="H980" s="5">
        <f t="shared" si="15"/>
        <v>2.6325026325026431E-2</v>
      </c>
    </row>
    <row r="981" spans="1:8" ht="13.5" x14ac:dyDescent="0.25">
      <c r="A981" s="1"/>
      <c r="B981" s="3">
        <v>43734</v>
      </c>
      <c r="C981" s="4">
        <v>13.5</v>
      </c>
      <c r="D981" s="4">
        <v>8.0972000000000008</v>
      </c>
      <c r="E981" s="4">
        <v>102</v>
      </c>
      <c r="F981" s="4">
        <v>13.6412</v>
      </c>
      <c r="G981" s="4">
        <v>1391.4023999999999</v>
      </c>
      <c r="H981" s="5">
        <f t="shared" si="15"/>
        <v>-1.0992769200703519E-2</v>
      </c>
    </row>
    <row r="982" spans="1:8" ht="13.5" x14ac:dyDescent="0.25">
      <c r="A982" s="1"/>
      <c r="B982" s="3">
        <v>43735</v>
      </c>
      <c r="C982" s="4">
        <v>13.64</v>
      </c>
      <c r="D982" s="4">
        <v>8.1812000000000005</v>
      </c>
      <c r="E982" s="4">
        <v>125</v>
      </c>
      <c r="F982" s="4">
        <v>13.5532</v>
      </c>
      <c r="G982" s="4">
        <v>1694.15</v>
      </c>
      <c r="H982" s="5">
        <f t="shared" si="15"/>
        <v>1.0373956429382949E-2</v>
      </c>
    </row>
    <row r="983" spans="1:8" ht="13.5" x14ac:dyDescent="0.25">
      <c r="A983" s="1"/>
      <c r="B983" s="3">
        <v>43738</v>
      </c>
      <c r="C983" s="4">
        <v>13.5</v>
      </c>
      <c r="D983" s="4">
        <v>8.0972000000000008</v>
      </c>
      <c r="E983" s="4">
        <v>6009</v>
      </c>
      <c r="F983" s="4">
        <v>13.5</v>
      </c>
      <c r="G983" s="4">
        <v>81121.5</v>
      </c>
      <c r="H983" s="5">
        <f t="shared" si="15"/>
        <v>-1.0267442428983477E-2</v>
      </c>
    </row>
    <row r="984" spans="1:8" ht="13.5" x14ac:dyDescent="0.25">
      <c r="A984" s="1"/>
      <c r="B984" s="3">
        <v>43739</v>
      </c>
      <c r="C984" s="4">
        <v>13.5</v>
      </c>
      <c r="D984" s="4">
        <v>8.0972000000000008</v>
      </c>
      <c r="E984" s="4">
        <v>1100</v>
      </c>
      <c r="F984" s="4">
        <v>13.5</v>
      </c>
      <c r="G984" s="4">
        <v>14850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13.4</v>
      </c>
      <c r="D985" s="4">
        <v>8.0372000000000003</v>
      </c>
      <c r="E985" s="4">
        <v>275</v>
      </c>
      <c r="F985" s="4">
        <v>13.3727</v>
      </c>
      <c r="G985" s="4">
        <v>3677.4924999999998</v>
      </c>
      <c r="H985" s="5">
        <f t="shared" si="15"/>
        <v>-7.4099688781307724E-3</v>
      </c>
    </row>
    <row r="986" spans="1:8" ht="13.5" x14ac:dyDescent="0.25">
      <c r="A986" s="1"/>
      <c r="B986" s="3">
        <v>43741</v>
      </c>
      <c r="C986" s="4">
        <v>13.43</v>
      </c>
      <c r="D986" s="4">
        <v>8.0551999999999992</v>
      </c>
      <c r="E986" s="4">
        <v>50</v>
      </c>
      <c r="F986" s="4">
        <v>13.43</v>
      </c>
      <c r="G986" s="4">
        <v>671.5</v>
      </c>
      <c r="H986" s="5">
        <f t="shared" si="15"/>
        <v>2.2395859254465368E-3</v>
      </c>
    </row>
    <row r="987" spans="1:8" ht="13.5" x14ac:dyDescent="0.25">
      <c r="A987" s="1"/>
      <c r="B987" s="3">
        <v>43742</v>
      </c>
      <c r="C987" s="4">
        <v>13.4</v>
      </c>
      <c r="D987" s="4">
        <v>8.0372000000000003</v>
      </c>
      <c r="E987" s="4">
        <v>855</v>
      </c>
      <c r="F987" s="4">
        <v>13.3392</v>
      </c>
      <c r="G987" s="4">
        <v>11405.016</v>
      </c>
      <c r="H987" s="5">
        <f t="shared" si="15"/>
        <v>-2.2345813884197671E-3</v>
      </c>
    </row>
    <row r="988" spans="1:8" ht="13.5" x14ac:dyDescent="0.25">
      <c r="A988" s="1"/>
      <c r="B988" s="3">
        <v>43745</v>
      </c>
      <c r="C988" s="4">
        <v>13.4</v>
      </c>
      <c r="D988" s="4">
        <v>8.0372000000000003</v>
      </c>
      <c r="E988" s="4">
        <v>145</v>
      </c>
      <c r="F988" s="4">
        <v>13.439</v>
      </c>
      <c r="G988" s="4">
        <v>1948.655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13.4</v>
      </c>
      <c r="D989" s="4">
        <v>8.0372000000000003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13.01</v>
      </c>
      <c r="D990" s="4">
        <v>7.8033000000000001</v>
      </c>
      <c r="E990" s="4">
        <v>1189</v>
      </c>
      <c r="F990" s="4">
        <v>13.1015</v>
      </c>
      <c r="G990" s="4">
        <v>15577.683499999999</v>
      </c>
      <c r="H990" s="5">
        <f t="shared" si="15"/>
        <v>-2.9102174886776515E-2</v>
      </c>
    </row>
    <row r="991" spans="1:8" ht="13.5" x14ac:dyDescent="0.25">
      <c r="A991" s="1"/>
      <c r="B991" s="3">
        <v>43748</v>
      </c>
      <c r="C991" s="4">
        <v>12.99</v>
      </c>
      <c r="D991" s="4">
        <v>7.7912999999999997</v>
      </c>
      <c r="E991" s="4">
        <v>325</v>
      </c>
      <c r="F991" s="4">
        <v>12.9946</v>
      </c>
      <c r="G991" s="4">
        <v>4223.2449999999999</v>
      </c>
      <c r="H991" s="5">
        <f t="shared" si="15"/>
        <v>-1.5378109261466886E-3</v>
      </c>
    </row>
    <row r="992" spans="1:8" ht="13.5" x14ac:dyDescent="0.25">
      <c r="A992" s="1"/>
      <c r="B992" s="3">
        <v>43749</v>
      </c>
      <c r="C992" s="4">
        <v>12.8</v>
      </c>
      <c r="D992" s="4">
        <v>7.6772999999999998</v>
      </c>
      <c r="E992" s="4">
        <v>471</v>
      </c>
      <c r="F992" s="4">
        <v>12.805400000000001</v>
      </c>
      <c r="G992" s="4">
        <v>6031.3433999999997</v>
      </c>
      <c r="H992" s="5">
        <f t="shared" si="15"/>
        <v>-1.4631704593585138E-2</v>
      </c>
    </row>
    <row r="993" spans="1:8" ht="13.5" x14ac:dyDescent="0.25">
      <c r="A993" s="1"/>
      <c r="B993" s="3">
        <v>43752</v>
      </c>
      <c r="C993" s="4">
        <v>12.63</v>
      </c>
      <c r="D993" s="4">
        <v>7.5754000000000001</v>
      </c>
      <c r="E993" s="4">
        <v>207</v>
      </c>
      <c r="F993" s="4">
        <v>12.613</v>
      </c>
      <c r="G993" s="4">
        <v>2610.8910000000001</v>
      </c>
      <c r="H993" s="5">
        <f t="shared" si="15"/>
        <v>-1.3272895418962351E-2</v>
      </c>
    </row>
    <row r="994" spans="1:8" ht="13.5" x14ac:dyDescent="0.25">
      <c r="A994" s="1"/>
      <c r="B994" s="3">
        <v>43754</v>
      </c>
      <c r="C994" s="4">
        <v>12.75</v>
      </c>
      <c r="D994" s="4">
        <v>7.6473000000000004</v>
      </c>
      <c r="E994" s="4">
        <v>642</v>
      </c>
      <c r="F994" s="4">
        <v>12.7537</v>
      </c>
      <c r="G994" s="4">
        <v>8187.8753999999999</v>
      </c>
      <c r="H994" s="5">
        <f t="shared" si="15"/>
        <v>9.4912479869050208E-3</v>
      </c>
    </row>
    <row r="995" spans="1:8" ht="13.5" x14ac:dyDescent="0.25">
      <c r="A995" s="1"/>
      <c r="B995" s="3">
        <v>43755</v>
      </c>
      <c r="C995" s="4">
        <v>12.7</v>
      </c>
      <c r="D995" s="4">
        <v>7.6173999999999999</v>
      </c>
      <c r="E995" s="4">
        <v>2523</v>
      </c>
      <c r="F995" s="4">
        <v>12.766500000000001</v>
      </c>
      <c r="G995" s="4">
        <v>32209.879499999999</v>
      </c>
      <c r="H995" s="5">
        <f t="shared" si="15"/>
        <v>-3.9098766885045022E-3</v>
      </c>
    </row>
    <row r="996" spans="1:8" ht="13.5" x14ac:dyDescent="0.25">
      <c r="A996" s="1"/>
      <c r="B996" s="3">
        <v>43756</v>
      </c>
      <c r="C996" s="4">
        <v>12.99</v>
      </c>
      <c r="D996" s="4">
        <v>7.7912999999999997</v>
      </c>
      <c r="E996" s="4">
        <v>50</v>
      </c>
      <c r="F996" s="4">
        <v>12.99</v>
      </c>
      <c r="G996" s="4">
        <v>649.5</v>
      </c>
      <c r="H996" s="5">
        <f t="shared" si="15"/>
        <v>2.2829311838685078E-2</v>
      </c>
    </row>
    <row r="997" spans="1:8" ht="13.5" x14ac:dyDescent="0.25">
      <c r="A997" s="1"/>
      <c r="B997" s="3">
        <v>43759</v>
      </c>
      <c r="C997" s="4">
        <v>12.9</v>
      </c>
      <c r="D997" s="4">
        <v>7.7373000000000003</v>
      </c>
      <c r="E997" s="4">
        <v>10015</v>
      </c>
      <c r="F997" s="4">
        <v>12.968500000000001</v>
      </c>
      <c r="G997" s="4">
        <v>129879.5275</v>
      </c>
      <c r="H997" s="5">
        <f t="shared" si="15"/>
        <v>-6.9308074390665719E-3</v>
      </c>
    </row>
    <row r="998" spans="1:8" ht="13.5" x14ac:dyDescent="0.25">
      <c r="A998" s="1"/>
      <c r="B998" s="3">
        <v>43760</v>
      </c>
      <c r="C998" s="4">
        <v>12.89</v>
      </c>
      <c r="D998" s="4">
        <v>7.7313000000000001</v>
      </c>
      <c r="E998" s="4">
        <v>109</v>
      </c>
      <c r="F998" s="4">
        <v>12.7921</v>
      </c>
      <c r="G998" s="4">
        <v>1394.3389</v>
      </c>
      <c r="H998" s="5">
        <f t="shared" si="15"/>
        <v>-7.754643092551959E-4</v>
      </c>
    </row>
    <row r="999" spans="1:8" ht="13.5" x14ac:dyDescent="0.25">
      <c r="A999" s="1"/>
      <c r="B999" s="3">
        <v>43761</v>
      </c>
      <c r="C999" s="4">
        <v>12.54</v>
      </c>
      <c r="D999" s="4">
        <v>7.5213999999999999</v>
      </c>
      <c r="E999" s="4">
        <v>194</v>
      </c>
      <c r="F999" s="4">
        <v>12.667299999999999</v>
      </c>
      <c r="G999" s="4">
        <v>2457.4562000000001</v>
      </c>
      <c r="H999" s="5">
        <f t="shared" si="15"/>
        <v>-2.7149379793825125E-2</v>
      </c>
    </row>
    <row r="1000" spans="1:8" ht="13.5" x14ac:dyDescent="0.25">
      <c r="A1000" s="1"/>
      <c r="B1000" s="3">
        <v>43762</v>
      </c>
      <c r="C1000" s="4">
        <v>12.7</v>
      </c>
      <c r="D1000" s="4">
        <v>7.6173999999999999</v>
      </c>
      <c r="E1000" s="4">
        <v>2</v>
      </c>
      <c r="F1000" s="4">
        <v>12.63</v>
      </c>
      <c r="G1000" s="4">
        <v>25.26</v>
      </c>
      <c r="H1000" s="5">
        <f t="shared" si="15"/>
        <v>1.2763581248171894E-2</v>
      </c>
    </row>
    <row r="1001" spans="1:8" ht="13.5" x14ac:dyDescent="0.25">
      <c r="A1001" s="1"/>
      <c r="B1001" s="3">
        <v>43763</v>
      </c>
      <c r="C1001" s="4">
        <v>12.7</v>
      </c>
      <c r="D1001" s="4">
        <v>7.6173999999999999</v>
      </c>
      <c r="E1001" s="4">
        <v>180</v>
      </c>
      <c r="F1001" s="4">
        <v>12.7</v>
      </c>
      <c r="G1001" s="4">
        <v>2286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12.52</v>
      </c>
      <c r="D1002" s="4">
        <v>7.5094000000000003</v>
      </c>
      <c r="E1002" s="4">
        <v>160</v>
      </c>
      <c r="F1002" s="4">
        <v>12.6168</v>
      </c>
      <c r="G1002" s="4">
        <v>2018.6880000000001</v>
      </c>
      <c r="H1002" s="5">
        <f t="shared" si="15"/>
        <v>-1.417806600677392E-2</v>
      </c>
    </row>
    <row r="1003" spans="1:8" ht="13.5" x14ac:dyDescent="0.25">
      <c r="A1003" s="1"/>
      <c r="B1003" s="3">
        <v>43767</v>
      </c>
      <c r="C1003" s="4">
        <v>12.6</v>
      </c>
      <c r="D1003" s="4">
        <v>7.5574000000000003</v>
      </c>
      <c r="E1003" s="4">
        <v>4489</v>
      </c>
      <c r="F1003" s="4">
        <v>12.543699999999999</v>
      </c>
      <c r="G1003" s="4">
        <v>56308.669300000001</v>
      </c>
      <c r="H1003" s="5">
        <f t="shared" si="15"/>
        <v>6.3919887074866226E-3</v>
      </c>
    </row>
    <row r="1004" spans="1:8" ht="13.5" x14ac:dyDescent="0.25">
      <c r="A1004" s="1"/>
      <c r="B1004" s="3">
        <v>43768</v>
      </c>
      <c r="C1004" s="4">
        <v>12.9</v>
      </c>
      <c r="D1004" s="4">
        <v>7.7373000000000003</v>
      </c>
      <c r="E1004" s="4">
        <v>565</v>
      </c>
      <c r="F1004" s="4">
        <v>12.7117</v>
      </c>
      <c r="G1004" s="4">
        <v>7182.1104999999998</v>
      </c>
      <c r="H1004" s="5">
        <f t="shared" si="15"/>
        <v>2.380448302326196E-2</v>
      </c>
    </row>
    <row r="1005" spans="1:8" ht="13.5" x14ac:dyDescent="0.25">
      <c r="A1005" s="1"/>
      <c r="B1005" s="3">
        <v>43769</v>
      </c>
      <c r="C1005" s="4">
        <v>12.52</v>
      </c>
      <c r="D1005" s="4">
        <v>7.5094000000000003</v>
      </c>
      <c r="E1005" s="4">
        <v>34</v>
      </c>
      <c r="F1005" s="4">
        <v>13</v>
      </c>
      <c r="G1005" s="4">
        <v>442</v>
      </c>
      <c r="H1005" s="5">
        <f t="shared" si="15"/>
        <v>-2.9454719346542074E-2</v>
      </c>
    </row>
    <row r="1006" spans="1:8" ht="13.5" x14ac:dyDescent="0.25">
      <c r="A1006" s="1"/>
      <c r="B1006" s="3">
        <v>43770</v>
      </c>
      <c r="C1006" s="4">
        <v>12.65</v>
      </c>
      <c r="D1006" s="4">
        <v>7.5873999999999997</v>
      </c>
      <c r="E1006" s="4">
        <v>539</v>
      </c>
      <c r="F1006" s="4">
        <v>12.4495</v>
      </c>
      <c r="G1006" s="4">
        <v>6710.2804999999998</v>
      </c>
      <c r="H1006" s="5">
        <f t="shared" si="15"/>
        <v>1.0386981649665672E-2</v>
      </c>
    </row>
    <row r="1007" spans="1:8" ht="13.5" x14ac:dyDescent="0.25">
      <c r="A1007" s="1"/>
      <c r="B1007" s="3">
        <v>43773</v>
      </c>
      <c r="C1007" s="4">
        <v>12.65</v>
      </c>
      <c r="D1007" s="4">
        <v>7.5873999999999997</v>
      </c>
      <c r="E1007" s="4">
        <v>30</v>
      </c>
      <c r="F1007" s="4">
        <v>12.65</v>
      </c>
      <c r="G1007" s="4">
        <v>379.5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12.95</v>
      </c>
      <c r="D1008" s="4">
        <v>7.7672999999999996</v>
      </c>
      <c r="E1008" s="4">
        <v>5</v>
      </c>
      <c r="F1008" s="4">
        <v>12.95</v>
      </c>
      <c r="G1008" s="4">
        <v>64.75</v>
      </c>
      <c r="H1008" s="5">
        <f t="shared" si="15"/>
        <v>2.371036191580778E-2</v>
      </c>
    </row>
    <row r="1009" spans="1:8" ht="13.5" x14ac:dyDescent="0.25">
      <c r="A1009" s="1"/>
      <c r="B1009" s="3">
        <v>43775</v>
      </c>
      <c r="C1009" s="4">
        <v>12.6</v>
      </c>
      <c r="D1009" s="4">
        <v>7.5574000000000003</v>
      </c>
      <c r="E1009" s="4">
        <v>30</v>
      </c>
      <c r="F1009" s="4">
        <v>12.6</v>
      </c>
      <c r="G1009" s="4">
        <v>378</v>
      </c>
      <c r="H1009" s="5">
        <f t="shared" si="15"/>
        <v>-2.7023547436045899E-2</v>
      </c>
    </row>
    <row r="1010" spans="1:8" ht="13.5" x14ac:dyDescent="0.25">
      <c r="A1010" s="1"/>
      <c r="B1010" s="3">
        <v>43776</v>
      </c>
      <c r="C1010" s="4">
        <v>12.95</v>
      </c>
      <c r="D1010" s="4">
        <v>7.7672999999999996</v>
      </c>
      <c r="E1010" s="4">
        <v>730</v>
      </c>
      <c r="F1010" s="4">
        <v>12.497400000000001</v>
      </c>
      <c r="G1010" s="4">
        <v>9123.1020000000008</v>
      </c>
      <c r="H1010" s="5">
        <f t="shared" si="15"/>
        <v>2.7774102204461758E-2</v>
      </c>
    </row>
    <row r="1011" spans="1:8" ht="13.5" x14ac:dyDescent="0.25">
      <c r="A1011" s="1"/>
      <c r="B1011" s="3">
        <v>43777</v>
      </c>
      <c r="C1011" s="4">
        <v>12.95</v>
      </c>
      <c r="D1011" s="4">
        <v>7.7672999999999996</v>
      </c>
      <c r="E1011" s="4">
        <v>50</v>
      </c>
      <c r="F1011" s="4">
        <v>12.95</v>
      </c>
      <c r="G1011" s="4">
        <v>647.5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12.95</v>
      </c>
      <c r="D1012" s="4">
        <v>7.7672999999999996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12.95</v>
      </c>
      <c r="D1013" s="4">
        <v>7.7672999999999996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12.75</v>
      </c>
      <c r="D1014" s="4">
        <v>7.6473000000000004</v>
      </c>
      <c r="E1014" s="4">
        <v>608</v>
      </c>
      <c r="F1014" s="4">
        <v>12.7105</v>
      </c>
      <c r="G1014" s="4">
        <v>7727.9840000000004</v>
      </c>
      <c r="H1014" s="5">
        <f t="shared" si="15"/>
        <v>-1.5449383955814662E-2</v>
      </c>
    </row>
    <row r="1015" spans="1:8" ht="13.5" x14ac:dyDescent="0.25">
      <c r="A1015" s="1"/>
      <c r="B1015" s="3">
        <v>43783</v>
      </c>
      <c r="C1015" s="4">
        <v>12.55</v>
      </c>
      <c r="D1015" s="4">
        <v>7.5274000000000001</v>
      </c>
      <c r="E1015" s="4">
        <v>1624</v>
      </c>
      <c r="F1015" s="4">
        <v>12.5573</v>
      </c>
      <c r="G1015" s="4">
        <v>20393.055199999999</v>
      </c>
      <c r="H1015" s="5">
        <f t="shared" si="15"/>
        <v>-1.5678736286009486E-2</v>
      </c>
    </row>
    <row r="1016" spans="1:8" ht="13.5" x14ac:dyDescent="0.25">
      <c r="A1016" s="1"/>
      <c r="B1016" s="3">
        <v>43784</v>
      </c>
      <c r="C1016" s="4">
        <v>12.55</v>
      </c>
      <c r="D1016" s="4">
        <v>7.5274000000000001</v>
      </c>
      <c r="E1016" s="4">
        <v>60</v>
      </c>
      <c r="F1016" s="4">
        <v>12.3833</v>
      </c>
      <c r="G1016" s="4">
        <v>742.99800000000005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12.55</v>
      </c>
      <c r="D1017" s="4">
        <v>7.5274000000000001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12.55</v>
      </c>
      <c r="D1018" s="4">
        <v>7.5274000000000001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12.25</v>
      </c>
      <c r="D1019" s="4">
        <v>7.3474000000000004</v>
      </c>
      <c r="E1019" s="4">
        <v>1104</v>
      </c>
      <c r="F1019" s="4">
        <v>12.250400000000001</v>
      </c>
      <c r="G1019" s="4">
        <v>13524.4416</v>
      </c>
      <c r="H1019" s="5">
        <f t="shared" si="15"/>
        <v>-2.3912639158275063E-2</v>
      </c>
    </row>
    <row r="1020" spans="1:8" ht="13.5" x14ac:dyDescent="0.25">
      <c r="A1020" s="1"/>
      <c r="B1020" s="3">
        <v>43790</v>
      </c>
      <c r="C1020" s="4">
        <v>12.2</v>
      </c>
      <c r="D1020" s="4">
        <v>7.3174999999999999</v>
      </c>
      <c r="E1020" s="4">
        <v>839</v>
      </c>
      <c r="F1020" s="4">
        <v>12.2142</v>
      </c>
      <c r="G1020" s="4">
        <v>10247.7138</v>
      </c>
      <c r="H1020" s="5">
        <f t="shared" si="15"/>
        <v>-4.0694667501429728E-3</v>
      </c>
    </row>
    <row r="1021" spans="1:8" ht="13.5" x14ac:dyDescent="0.25">
      <c r="A1021" s="1"/>
      <c r="B1021" s="3">
        <v>43791</v>
      </c>
      <c r="C1021" s="4">
        <v>12</v>
      </c>
      <c r="D1021" s="4">
        <v>7.1974999999999998</v>
      </c>
      <c r="E1021" s="4">
        <v>463</v>
      </c>
      <c r="F1021" s="4">
        <v>12.0114</v>
      </c>
      <c r="G1021" s="4">
        <v>5561.2781999999997</v>
      </c>
      <c r="H1021" s="5">
        <f t="shared" si="15"/>
        <v>-1.6399043389135649E-2</v>
      </c>
    </row>
    <row r="1022" spans="1:8" ht="13.5" x14ac:dyDescent="0.25">
      <c r="A1022" s="1"/>
      <c r="B1022" s="3">
        <v>43794</v>
      </c>
      <c r="C1022" s="4">
        <v>11.75</v>
      </c>
      <c r="D1022" s="4">
        <v>7.0475000000000003</v>
      </c>
      <c r="E1022" s="4">
        <v>362</v>
      </c>
      <c r="F1022" s="4">
        <v>11.708600000000001</v>
      </c>
      <c r="G1022" s="4">
        <v>4238.5132000000003</v>
      </c>
      <c r="H1022" s="5">
        <f t="shared" si="15"/>
        <v>-2.0840569642236816E-2</v>
      </c>
    </row>
    <row r="1023" spans="1:8" ht="13.5" x14ac:dyDescent="0.25">
      <c r="A1023" s="1"/>
      <c r="B1023" s="3">
        <v>43795</v>
      </c>
      <c r="C1023" s="4">
        <v>11.65</v>
      </c>
      <c r="D1023" s="4">
        <v>6.9875999999999996</v>
      </c>
      <c r="E1023" s="4">
        <v>453</v>
      </c>
      <c r="F1023" s="4">
        <v>11.6083</v>
      </c>
      <c r="G1023" s="4">
        <v>5258.5599000000002</v>
      </c>
      <c r="H1023" s="5">
        <f t="shared" si="15"/>
        <v>-8.4994678964172721E-3</v>
      </c>
    </row>
    <row r="1024" spans="1:8" ht="13.5" x14ac:dyDescent="0.25">
      <c r="A1024" s="1"/>
      <c r="B1024" s="3">
        <v>43796</v>
      </c>
      <c r="C1024" s="4">
        <v>11.5</v>
      </c>
      <c r="D1024" s="4">
        <v>6.8975999999999997</v>
      </c>
      <c r="E1024" s="4">
        <v>1485</v>
      </c>
      <c r="F1024" s="4">
        <v>11.5313</v>
      </c>
      <c r="G1024" s="4">
        <v>17123.980500000001</v>
      </c>
      <c r="H1024" s="5">
        <f t="shared" si="15"/>
        <v>-1.2879958784131871E-2</v>
      </c>
    </row>
    <row r="1025" spans="1:8" ht="13.5" x14ac:dyDescent="0.25">
      <c r="A1025" s="1"/>
      <c r="B1025" s="3">
        <v>43797</v>
      </c>
      <c r="C1025" s="4">
        <v>11.49</v>
      </c>
      <c r="D1025" s="4">
        <v>6.8916000000000004</v>
      </c>
      <c r="E1025" s="4">
        <v>455</v>
      </c>
      <c r="F1025" s="4">
        <v>11.492699999999999</v>
      </c>
      <c r="G1025" s="4">
        <v>5229.1785</v>
      </c>
      <c r="H1025" s="5">
        <f t="shared" si="15"/>
        <v>-8.6986778009732937E-4</v>
      </c>
    </row>
    <row r="1026" spans="1:8" ht="13.5" x14ac:dyDescent="0.25">
      <c r="A1026" s="1"/>
      <c r="B1026" s="3">
        <v>43798</v>
      </c>
      <c r="C1026" s="4">
        <v>11.41</v>
      </c>
      <c r="D1026" s="4">
        <v>6.8436000000000003</v>
      </c>
      <c r="E1026" s="4">
        <v>75</v>
      </c>
      <c r="F1026" s="4">
        <v>11.41</v>
      </c>
      <c r="G1026" s="4">
        <v>855.75</v>
      </c>
      <c r="H1026" s="5">
        <f t="shared" si="15"/>
        <v>-6.9650008706251144E-3</v>
      </c>
    </row>
    <row r="1027" spans="1:8" ht="13.5" x14ac:dyDescent="0.25">
      <c r="A1027" s="1"/>
      <c r="B1027" s="3">
        <v>43801</v>
      </c>
      <c r="C1027" s="4">
        <v>11.4</v>
      </c>
      <c r="D1027" s="4">
        <v>6.8376000000000001</v>
      </c>
      <c r="E1027" s="4">
        <v>25</v>
      </c>
      <c r="F1027" s="4">
        <v>11.404</v>
      </c>
      <c r="G1027" s="4">
        <v>285.10000000000002</v>
      </c>
      <c r="H1027" s="5">
        <f t="shared" si="15"/>
        <v>-8.7673154480101512E-4</v>
      </c>
    </row>
    <row r="1028" spans="1:8" ht="13.5" x14ac:dyDescent="0.25">
      <c r="A1028" s="1"/>
      <c r="B1028" s="3">
        <v>43802</v>
      </c>
      <c r="C1028" s="4">
        <v>11.38</v>
      </c>
      <c r="D1028" s="4">
        <v>6.8255999999999997</v>
      </c>
      <c r="E1028" s="4">
        <v>155</v>
      </c>
      <c r="F1028" s="4">
        <v>11.38</v>
      </c>
      <c r="G1028" s="4">
        <v>1763.9</v>
      </c>
      <c r="H1028" s="5">
        <f t="shared" si="15"/>
        <v>-1.7550017550018214E-3</v>
      </c>
    </row>
    <row r="1029" spans="1:8" ht="13.5" x14ac:dyDescent="0.25">
      <c r="A1029" s="1"/>
      <c r="B1029" s="3">
        <v>43803</v>
      </c>
      <c r="C1029" s="4">
        <v>11.1</v>
      </c>
      <c r="D1029" s="4">
        <v>6.6577000000000002</v>
      </c>
      <c r="E1029" s="4">
        <v>501</v>
      </c>
      <c r="F1029" s="4">
        <v>11.099</v>
      </c>
      <c r="G1029" s="4">
        <v>5560.5990000000002</v>
      </c>
      <c r="H1029" s="5">
        <f t="shared" si="15"/>
        <v>-2.4598570089076344E-2</v>
      </c>
    </row>
    <row r="1030" spans="1:8" ht="13.5" x14ac:dyDescent="0.25">
      <c r="A1030" s="1"/>
      <c r="B1030" s="3">
        <v>43804</v>
      </c>
      <c r="C1030" s="4">
        <v>11.08</v>
      </c>
      <c r="D1030" s="4">
        <v>6.6456999999999997</v>
      </c>
      <c r="E1030" s="4">
        <v>90</v>
      </c>
      <c r="F1030" s="4">
        <v>11.027799999999999</v>
      </c>
      <c r="G1030" s="4">
        <v>992.50199999999995</v>
      </c>
      <c r="H1030" s="5">
        <f t="shared" si="15"/>
        <v>-1.8024242606306164E-3</v>
      </c>
    </row>
    <row r="1031" spans="1:8" ht="13.5" x14ac:dyDescent="0.25">
      <c r="A1031" s="1"/>
      <c r="B1031" s="3">
        <v>43805</v>
      </c>
      <c r="C1031" s="4">
        <v>11.08</v>
      </c>
      <c r="D1031" s="4">
        <v>6.6456999999999997</v>
      </c>
      <c r="E1031" s="4">
        <v>119</v>
      </c>
      <c r="F1031" s="4">
        <v>11.0787</v>
      </c>
      <c r="G1031" s="4">
        <v>1318.3652999999999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10.95</v>
      </c>
      <c r="D1032" s="4">
        <v>6.5677000000000003</v>
      </c>
      <c r="E1032" s="4">
        <v>69</v>
      </c>
      <c r="F1032" s="4">
        <v>10.977499999999999</v>
      </c>
      <c r="G1032" s="4">
        <v>757.44749999999999</v>
      </c>
      <c r="H1032" s="5">
        <f t="shared" si="16"/>
        <v>-1.1736912590095763E-2</v>
      </c>
    </row>
    <row r="1033" spans="1:8" ht="13.5" x14ac:dyDescent="0.25">
      <c r="A1033" s="1"/>
      <c r="B1033" s="3">
        <v>43809</v>
      </c>
      <c r="C1033" s="4">
        <v>11.15</v>
      </c>
      <c r="D1033" s="4">
        <v>6.6877000000000004</v>
      </c>
      <c r="E1033" s="4">
        <v>545</v>
      </c>
      <c r="F1033" s="4">
        <v>11.009399999999999</v>
      </c>
      <c r="G1033" s="4">
        <v>6000.1229999999996</v>
      </c>
      <c r="H1033" s="5">
        <f t="shared" si="16"/>
        <v>1.8271236505930554E-2</v>
      </c>
    </row>
    <row r="1034" spans="1:8" ht="13.5" x14ac:dyDescent="0.25">
      <c r="A1034" s="1"/>
      <c r="B1034" s="3">
        <v>43810</v>
      </c>
      <c r="C1034" s="4">
        <v>11.48</v>
      </c>
      <c r="D1034" s="4">
        <v>6.8856000000000002</v>
      </c>
      <c r="E1034" s="4">
        <v>481</v>
      </c>
      <c r="F1034" s="4">
        <v>11.1579</v>
      </c>
      <c r="G1034" s="4">
        <v>5366.9498999999996</v>
      </c>
      <c r="H1034" s="5">
        <f t="shared" si="16"/>
        <v>2.9591638380908194E-2</v>
      </c>
    </row>
    <row r="1035" spans="1:8" ht="13.5" x14ac:dyDescent="0.25">
      <c r="A1035" s="1"/>
      <c r="B1035" s="3">
        <v>43811</v>
      </c>
      <c r="C1035" s="4">
        <v>11.48</v>
      </c>
      <c r="D1035" s="4">
        <v>6.8856000000000002</v>
      </c>
      <c r="E1035" s="4">
        <v>492</v>
      </c>
      <c r="F1035" s="4">
        <v>11.48</v>
      </c>
      <c r="G1035" s="4">
        <v>5648.16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11.65</v>
      </c>
      <c r="D1036" s="4">
        <v>6.9875999999999996</v>
      </c>
      <c r="E1036" s="4">
        <v>9</v>
      </c>
      <c r="F1036" s="4">
        <v>11.65</v>
      </c>
      <c r="G1036" s="4">
        <v>104.85</v>
      </c>
      <c r="H1036" s="5">
        <f t="shared" si="16"/>
        <v>1.4813523875914869E-2</v>
      </c>
    </row>
    <row r="1037" spans="1:8" ht="13.5" x14ac:dyDescent="0.25">
      <c r="A1037" s="1"/>
      <c r="B1037" s="3">
        <v>43815</v>
      </c>
      <c r="C1037" s="4">
        <v>11.67</v>
      </c>
      <c r="D1037" s="4">
        <v>6.9996</v>
      </c>
      <c r="E1037" s="4">
        <v>13389</v>
      </c>
      <c r="F1037" s="4">
        <v>11.65</v>
      </c>
      <c r="G1037" s="4">
        <v>155981.85</v>
      </c>
      <c r="H1037" s="5">
        <f t="shared" si="16"/>
        <v>1.7173278378843173E-3</v>
      </c>
    </row>
    <row r="1038" spans="1:8" ht="13.5" x14ac:dyDescent="0.25">
      <c r="A1038" s="1"/>
      <c r="B1038" s="3">
        <v>43816</v>
      </c>
      <c r="C1038" s="4">
        <v>11.6</v>
      </c>
      <c r="D1038" s="4">
        <v>6.9576000000000002</v>
      </c>
      <c r="E1038" s="4">
        <v>7594</v>
      </c>
      <c r="F1038" s="4">
        <v>11.6538</v>
      </c>
      <c r="G1038" s="4">
        <v>88498.957200000004</v>
      </c>
      <c r="H1038" s="5">
        <f t="shared" si="16"/>
        <v>-6.0003428767357869E-3</v>
      </c>
    </row>
    <row r="1039" spans="1:8" ht="13.5" x14ac:dyDescent="0.25">
      <c r="A1039" s="1"/>
      <c r="B1039" s="3">
        <v>43817</v>
      </c>
      <c r="C1039" s="4">
        <v>11.65</v>
      </c>
      <c r="D1039" s="4">
        <v>6.9875999999999996</v>
      </c>
      <c r="E1039" s="4">
        <v>719</v>
      </c>
      <c r="F1039" s="4">
        <v>11.65</v>
      </c>
      <c r="G1039" s="4">
        <v>8376.35</v>
      </c>
      <c r="H1039" s="5">
        <f t="shared" si="16"/>
        <v>4.3118316660916639E-3</v>
      </c>
    </row>
    <row r="1040" spans="1:8" ht="13.5" x14ac:dyDescent="0.25">
      <c r="A1040" s="1"/>
      <c r="B1040" s="3">
        <v>43818</v>
      </c>
      <c r="C1040" s="4">
        <v>11.65</v>
      </c>
      <c r="D1040" s="4">
        <v>6.9875999999999996</v>
      </c>
      <c r="E1040" s="4">
        <v>1597</v>
      </c>
      <c r="F1040" s="4">
        <v>11.6166</v>
      </c>
      <c r="G1040" s="4">
        <v>18551.710200000001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11.6</v>
      </c>
      <c r="D1041" s="4">
        <v>6.9576000000000002</v>
      </c>
      <c r="E1041" s="4">
        <v>500</v>
      </c>
      <c r="F1041" s="4">
        <v>11.5562</v>
      </c>
      <c r="G1041" s="4">
        <v>5778.1</v>
      </c>
      <c r="H1041" s="5">
        <f t="shared" si="16"/>
        <v>-4.2933195947105389E-3</v>
      </c>
    </row>
    <row r="1042" spans="1:8" ht="13.5" x14ac:dyDescent="0.25">
      <c r="A1042" s="1"/>
      <c r="B1042" s="3">
        <v>43822</v>
      </c>
      <c r="C1042" s="4">
        <v>11.6</v>
      </c>
      <c r="D1042" s="4">
        <v>6.9576000000000002</v>
      </c>
      <c r="E1042" s="4">
        <v>433</v>
      </c>
      <c r="F1042" s="4">
        <v>11.6</v>
      </c>
      <c r="G1042" s="4">
        <v>5022.8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11.64</v>
      </c>
      <c r="D1043" s="4">
        <v>6.9816000000000003</v>
      </c>
      <c r="E1043" s="4">
        <v>482</v>
      </c>
      <c r="F1043" s="4">
        <v>11.5747</v>
      </c>
      <c r="G1043" s="4">
        <v>5579.0054</v>
      </c>
      <c r="H1043" s="5">
        <f t="shared" si="16"/>
        <v>3.4494653328734077E-3</v>
      </c>
    </row>
    <row r="1044" spans="1:8" ht="13.5" x14ac:dyDescent="0.25">
      <c r="A1044" s="1"/>
      <c r="B1044" s="3">
        <v>43824</v>
      </c>
      <c r="C1044" s="4">
        <v>11.4</v>
      </c>
      <c r="D1044" s="4">
        <v>6.8376000000000001</v>
      </c>
      <c r="E1044" s="4">
        <v>8270</v>
      </c>
      <c r="F1044" s="4">
        <v>11.4991</v>
      </c>
      <c r="G1044" s="4">
        <v>95097.557000000001</v>
      </c>
      <c r="H1044" s="5">
        <f t="shared" si="16"/>
        <v>-2.062564455139225E-2</v>
      </c>
    </row>
    <row r="1045" spans="1:8" ht="13.5" x14ac:dyDescent="0.25">
      <c r="A1045" s="1"/>
      <c r="B1045" s="3">
        <v>43825</v>
      </c>
      <c r="C1045" s="4">
        <v>11.59</v>
      </c>
      <c r="D1045" s="4">
        <v>6.9516</v>
      </c>
      <c r="E1045" s="4">
        <v>95</v>
      </c>
      <c r="F1045" s="4">
        <v>11.5905</v>
      </c>
      <c r="G1045" s="4">
        <v>1101.0975000000001</v>
      </c>
      <c r="H1045" s="5">
        <f t="shared" si="16"/>
        <v>1.6672516672516655E-2</v>
      </c>
    </row>
    <row r="1046" spans="1:8" ht="13.5" x14ac:dyDescent="0.25">
      <c r="A1046" s="1"/>
      <c r="B1046" s="3">
        <v>43826</v>
      </c>
      <c r="C1046" s="4">
        <v>11.3</v>
      </c>
      <c r="D1046" s="4">
        <v>6.7775999999999996</v>
      </c>
      <c r="E1046" s="4">
        <v>8899</v>
      </c>
      <c r="F1046" s="4">
        <v>11.3009</v>
      </c>
      <c r="G1046" s="4">
        <v>100566.70909999999</v>
      </c>
      <c r="H1046" s="5">
        <f t="shared" si="16"/>
        <v>-2.5030208872777543E-2</v>
      </c>
    </row>
    <row r="1047" spans="1:8" ht="13.5" x14ac:dyDescent="0.25">
      <c r="A1047" s="1"/>
      <c r="B1047" s="3">
        <v>43829</v>
      </c>
      <c r="C1047" s="4">
        <v>11.48</v>
      </c>
      <c r="D1047" s="4">
        <v>6.8856000000000002</v>
      </c>
      <c r="E1047" s="4">
        <v>790</v>
      </c>
      <c r="F1047" s="4">
        <v>11.348000000000001</v>
      </c>
      <c r="G1047" s="4">
        <v>8964.92</v>
      </c>
      <c r="H1047" s="5">
        <f t="shared" si="16"/>
        <v>1.5934844192634641E-2</v>
      </c>
    </row>
    <row r="1048" spans="1:8" ht="13.5" x14ac:dyDescent="0.25">
      <c r="A1048" s="1"/>
      <c r="B1048" s="3">
        <v>43830</v>
      </c>
      <c r="C1048" s="4">
        <v>11.82</v>
      </c>
      <c r="D1048" s="4">
        <v>7.0895000000000001</v>
      </c>
      <c r="E1048" s="4">
        <v>9847</v>
      </c>
      <c r="F1048" s="4">
        <v>11.549099999999999</v>
      </c>
      <c r="G1048" s="4">
        <v>113723.9877</v>
      </c>
      <c r="H1048" s="5">
        <f t="shared" si="16"/>
        <v>2.9612524689206454E-2</v>
      </c>
    </row>
    <row r="1049" spans="1:8" ht="13.5" x14ac:dyDescent="0.25">
      <c r="A1049" s="1"/>
      <c r="B1049" s="3">
        <v>43832</v>
      </c>
      <c r="C1049" s="4">
        <v>11.9</v>
      </c>
      <c r="D1049" s="4">
        <v>7.1375000000000002</v>
      </c>
      <c r="E1049" s="4">
        <v>1351</v>
      </c>
      <c r="F1049" s="4">
        <v>11.966900000000001</v>
      </c>
      <c r="G1049" s="4">
        <v>16167.2819</v>
      </c>
      <c r="H1049" s="5">
        <f t="shared" si="16"/>
        <v>6.7705762042457214E-3</v>
      </c>
    </row>
    <row r="1050" spans="1:8" ht="13.5" x14ac:dyDescent="0.25">
      <c r="A1050" s="1"/>
      <c r="B1050" s="3">
        <v>43833</v>
      </c>
      <c r="C1050" s="4">
        <v>11.9</v>
      </c>
      <c r="D1050" s="4">
        <v>7.1375000000000002</v>
      </c>
      <c r="E1050" s="4">
        <v>982</v>
      </c>
      <c r="F1050" s="4">
        <v>11.9</v>
      </c>
      <c r="G1050" s="4">
        <v>11685.8</v>
      </c>
      <c r="H1050" s="5">
        <f t="shared" si="16"/>
        <v>0</v>
      </c>
    </row>
    <row r="1051" spans="1:8" ht="13.5" x14ac:dyDescent="0.25">
      <c r="A1051" s="1"/>
      <c r="B1051" s="3">
        <v>43836</v>
      </c>
      <c r="C1051" s="4">
        <v>11.6</v>
      </c>
      <c r="D1051" s="4">
        <v>6.9576000000000002</v>
      </c>
      <c r="E1051" s="4">
        <v>736</v>
      </c>
      <c r="F1051" s="4">
        <v>11.6007</v>
      </c>
      <c r="G1051" s="4">
        <v>8538.1152000000002</v>
      </c>
      <c r="H1051" s="5">
        <f t="shared" si="16"/>
        <v>-2.5204903677758312E-2</v>
      </c>
    </row>
    <row r="1052" spans="1:8" ht="13.5" x14ac:dyDescent="0.25">
      <c r="A1052" s="1"/>
      <c r="B1052" s="3">
        <v>43837</v>
      </c>
      <c r="C1052" s="4">
        <v>11.6</v>
      </c>
      <c r="D1052" s="4">
        <v>6.9576000000000002</v>
      </c>
      <c r="E1052" s="4">
        <v>454</v>
      </c>
      <c r="F1052" s="4">
        <v>11.5047</v>
      </c>
      <c r="G1052" s="4">
        <v>5223.1337999999996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11.6</v>
      </c>
      <c r="D1053" s="4">
        <v>6.9576000000000002</v>
      </c>
      <c r="E1053" s="4">
        <v>10</v>
      </c>
      <c r="F1053" s="4">
        <v>11.6</v>
      </c>
      <c r="G1053" s="4">
        <v>116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11.5</v>
      </c>
      <c r="D1054" s="4">
        <v>6.8975999999999997</v>
      </c>
      <c r="E1054" s="4">
        <v>905</v>
      </c>
      <c r="F1054" s="4">
        <v>11.530900000000001</v>
      </c>
      <c r="G1054" s="4">
        <v>10435.4645</v>
      </c>
      <c r="H1054" s="5">
        <f t="shared" si="16"/>
        <v>-8.6236633321835829E-3</v>
      </c>
    </row>
    <row r="1055" spans="1:8" ht="13.5" x14ac:dyDescent="0.25">
      <c r="A1055" s="1"/>
      <c r="B1055" s="3">
        <v>43840</v>
      </c>
      <c r="C1055" s="4">
        <v>11.5</v>
      </c>
      <c r="D1055" s="4">
        <v>6.8975999999999997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11.18</v>
      </c>
      <c r="D1056" s="4">
        <v>6.7057000000000002</v>
      </c>
      <c r="E1056" s="4">
        <v>2039</v>
      </c>
      <c r="F1056" s="4">
        <v>11.223699999999999</v>
      </c>
      <c r="G1056" s="4">
        <v>22885.124299999999</v>
      </c>
      <c r="H1056" s="5">
        <f t="shared" si="16"/>
        <v>-2.7821271166782579E-2</v>
      </c>
    </row>
    <row r="1057" spans="1:8" ht="13.5" x14ac:dyDescent="0.25">
      <c r="A1057" s="1"/>
      <c r="B1057" s="3">
        <v>43845</v>
      </c>
      <c r="C1057" s="4">
        <v>11.16</v>
      </c>
      <c r="D1057" s="4">
        <v>6.6936999999999998</v>
      </c>
      <c r="E1057" s="4">
        <v>33</v>
      </c>
      <c r="F1057" s="4">
        <v>11.173299999999999</v>
      </c>
      <c r="G1057" s="4">
        <v>368.71890000000002</v>
      </c>
      <c r="H1057" s="5">
        <f t="shared" si="16"/>
        <v>-1.7895223466603716E-3</v>
      </c>
    </row>
    <row r="1058" spans="1:8" ht="13.5" x14ac:dyDescent="0.25">
      <c r="A1058" s="1"/>
      <c r="B1058" s="3">
        <v>43846</v>
      </c>
      <c r="C1058" s="4">
        <v>11.35</v>
      </c>
      <c r="D1058" s="4">
        <v>6.8075999999999999</v>
      </c>
      <c r="E1058" s="4">
        <v>1253</v>
      </c>
      <c r="F1058" s="4">
        <v>11.1997</v>
      </c>
      <c r="G1058" s="4">
        <v>14033.224099999999</v>
      </c>
      <c r="H1058" s="5">
        <f t="shared" si="16"/>
        <v>1.7016000119515384E-2</v>
      </c>
    </row>
    <row r="1059" spans="1:8" ht="13.5" x14ac:dyDescent="0.25">
      <c r="A1059" s="1"/>
      <c r="B1059" s="3">
        <v>43847</v>
      </c>
      <c r="C1059" s="4">
        <v>11.35</v>
      </c>
      <c r="D1059" s="4">
        <v>6.8075999999999999</v>
      </c>
      <c r="E1059" s="4">
        <v>10</v>
      </c>
      <c r="F1059" s="4">
        <v>11.35</v>
      </c>
      <c r="G1059" s="4">
        <v>113.5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11.35</v>
      </c>
      <c r="D1060" s="4">
        <v>6.8075999999999999</v>
      </c>
      <c r="E1060" s="4">
        <v>19</v>
      </c>
      <c r="F1060" s="4">
        <v>11.35</v>
      </c>
      <c r="G1060" s="4">
        <v>215.65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11.4</v>
      </c>
      <c r="D1061" s="4">
        <v>6.8376000000000001</v>
      </c>
      <c r="E1061" s="4">
        <v>250</v>
      </c>
      <c r="F1061" s="4">
        <v>11.285399999999999</v>
      </c>
      <c r="G1061" s="4">
        <v>2821.35</v>
      </c>
      <c r="H1061" s="5">
        <f t="shared" si="16"/>
        <v>4.4068394147717621E-3</v>
      </c>
    </row>
    <row r="1062" spans="1:8" ht="13.5" x14ac:dyDescent="0.25">
      <c r="A1062" s="1"/>
      <c r="B1062" s="3">
        <v>43852</v>
      </c>
      <c r="C1062" s="4">
        <v>11.39</v>
      </c>
      <c r="D1062" s="4">
        <v>6.8315999999999999</v>
      </c>
      <c r="E1062" s="4">
        <v>322</v>
      </c>
      <c r="F1062" s="4">
        <v>11.073499999999999</v>
      </c>
      <c r="G1062" s="4">
        <v>3565.6669999999999</v>
      </c>
      <c r="H1062" s="5">
        <f t="shared" si="16"/>
        <v>-8.7750087750091072E-4</v>
      </c>
    </row>
    <row r="1063" spans="1:8" ht="13.5" x14ac:dyDescent="0.25">
      <c r="A1063" s="1"/>
      <c r="B1063" s="3">
        <v>43853</v>
      </c>
      <c r="C1063" s="4">
        <v>11.5</v>
      </c>
      <c r="D1063" s="4">
        <v>6.8975999999999997</v>
      </c>
      <c r="E1063" s="4">
        <v>11</v>
      </c>
      <c r="F1063" s="4">
        <v>11.4</v>
      </c>
      <c r="G1063" s="4">
        <v>125.4</v>
      </c>
      <c r="H1063" s="5">
        <f t="shared" si="16"/>
        <v>9.6609871772351773E-3</v>
      </c>
    </row>
    <row r="1064" spans="1:8" ht="13.5" x14ac:dyDescent="0.25">
      <c r="A1064" s="1"/>
      <c r="B1064" s="3">
        <v>43854</v>
      </c>
      <c r="C1064" s="4">
        <v>11.16</v>
      </c>
      <c r="D1064" s="4">
        <v>6.6936999999999998</v>
      </c>
      <c r="E1064" s="4">
        <v>70</v>
      </c>
      <c r="F1064" s="4">
        <v>11.349600000000001</v>
      </c>
      <c r="G1064" s="4">
        <v>794.47199999999998</v>
      </c>
      <c r="H1064" s="5">
        <f t="shared" si="16"/>
        <v>-2.9561006726977496E-2</v>
      </c>
    </row>
    <row r="1065" spans="1:8" ht="13.5" x14ac:dyDescent="0.25">
      <c r="A1065" s="1"/>
      <c r="B1065" s="3">
        <v>43857</v>
      </c>
      <c r="C1065" s="4">
        <v>11.4</v>
      </c>
      <c r="D1065" s="4">
        <v>6.8376000000000001</v>
      </c>
      <c r="E1065" s="4">
        <v>756</v>
      </c>
      <c r="F1065" s="4">
        <v>11.3949</v>
      </c>
      <c r="G1065" s="4">
        <v>8614.5444000000007</v>
      </c>
      <c r="H1065" s="5">
        <f t="shared" si="16"/>
        <v>2.1497826314295587E-2</v>
      </c>
    </row>
    <row r="1066" spans="1:8" ht="13.5" x14ac:dyDescent="0.25">
      <c r="A1066" s="1"/>
      <c r="B1066" s="3">
        <v>43858</v>
      </c>
      <c r="C1066" s="4">
        <v>11.49</v>
      </c>
      <c r="D1066" s="4">
        <v>6.8916000000000004</v>
      </c>
      <c r="E1066" s="4">
        <v>671</v>
      </c>
      <c r="F1066" s="4">
        <v>11.2902</v>
      </c>
      <c r="G1066" s="4">
        <v>7575.7241999999997</v>
      </c>
      <c r="H1066" s="5">
        <f t="shared" si="16"/>
        <v>7.8975078975079376E-3</v>
      </c>
    </row>
    <row r="1067" spans="1:8" ht="13.5" x14ac:dyDescent="0.25">
      <c r="A1067" s="1"/>
      <c r="B1067" s="3">
        <v>43859</v>
      </c>
      <c r="C1067" s="4">
        <v>11.2</v>
      </c>
      <c r="D1067" s="4">
        <v>6.7176999999999998</v>
      </c>
      <c r="E1067" s="4">
        <v>1212</v>
      </c>
      <c r="F1067" s="4">
        <v>11.340400000000001</v>
      </c>
      <c r="G1067" s="4">
        <v>13744.5648</v>
      </c>
      <c r="H1067" s="5">
        <f t="shared" si="16"/>
        <v>-2.5233617737535637E-2</v>
      </c>
    </row>
    <row r="1068" spans="1:8" ht="13.5" x14ac:dyDescent="0.25">
      <c r="A1068" s="1"/>
      <c r="B1068" s="3">
        <v>43860</v>
      </c>
      <c r="C1068" s="4">
        <v>11.55</v>
      </c>
      <c r="D1068" s="4">
        <v>6.9276</v>
      </c>
      <c r="E1068" s="4">
        <v>4310</v>
      </c>
      <c r="F1068" s="4">
        <v>11.2043</v>
      </c>
      <c r="G1068" s="4">
        <v>48290.533000000003</v>
      </c>
      <c r="H1068" s="5">
        <f t="shared" si="16"/>
        <v>3.1245813299194694E-2</v>
      </c>
    </row>
    <row r="1069" spans="1:8" ht="13.5" x14ac:dyDescent="0.25">
      <c r="A1069" s="1"/>
      <c r="B1069" s="3">
        <v>43861</v>
      </c>
      <c r="C1069" s="4">
        <v>11.49</v>
      </c>
      <c r="D1069" s="4">
        <v>6.8916000000000004</v>
      </c>
      <c r="E1069" s="4">
        <v>15</v>
      </c>
      <c r="F1069" s="4">
        <v>11.53</v>
      </c>
      <c r="G1069" s="4">
        <v>172.95</v>
      </c>
      <c r="H1069" s="5">
        <f t="shared" si="16"/>
        <v>-5.1966048848085325E-3</v>
      </c>
    </row>
    <row r="1070" spans="1:8" ht="13.5" x14ac:dyDescent="0.25">
      <c r="A1070" s="1"/>
      <c r="B1070" s="3">
        <v>43864</v>
      </c>
      <c r="C1070" s="4">
        <v>11.55</v>
      </c>
      <c r="D1070" s="4">
        <v>6.9276</v>
      </c>
      <c r="E1070" s="4">
        <v>288</v>
      </c>
      <c r="F1070" s="4">
        <v>11.436199999999999</v>
      </c>
      <c r="G1070" s="4">
        <v>3293.6255999999998</v>
      </c>
      <c r="H1070" s="5">
        <f t="shared" si="16"/>
        <v>5.2237506529687712E-3</v>
      </c>
    </row>
    <row r="1071" spans="1:8" ht="13.5" x14ac:dyDescent="0.25">
      <c r="A1071" s="1"/>
      <c r="B1071" s="3">
        <v>43865</v>
      </c>
      <c r="C1071" s="4">
        <v>11.6</v>
      </c>
      <c r="D1071" s="4">
        <v>6.9576000000000002</v>
      </c>
      <c r="E1071" s="4">
        <v>115</v>
      </c>
      <c r="F1071" s="4">
        <v>11.6</v>
      </c>
      <c r="G1071" s="4">
        <v>1334</v>
      </c>
      <c r="H1071" s="5">
        <f t="shared" si="16"/>
        <v>4.3305040706738624E-3</v>
      </c>
    </row>
    <row r="1072" spans="1:8" ht="13.5" x14ac:dyDescent="0.25">
      <c r="A1072" s="1"/>
      <c r="B1072" s="3">
        <v>43866</v>
      </c>
      <c r="C1072" s="4">
        <v>11.54</v>
      </c>
      <c r="D1072" s="4">
        <v>6.9215999999999998</v>
      </c>
      <c r="E1072" s="4">
        <v>111</v>
      </c>
      <c r="F1072" s="4">
        <v>11.5162</v>
      </c>
      <c r="G1072" s="4">
        <v>1278.2982</v>
      </c>
      <c r="H1072" s="5">
        <f t="shared" si="16"/>
        <v>-5.1741979993101756E-3</v>
      </c>
    </row>
    <row r="1073" spans="1:8" ht="13.5" x14ac:dyDescent="0.25">
      <c r="A1073" s="1"/>
      <c r="B1073" s="3">
        <v>43867</v>
      </c>
      <c r="C1073" s="4">
        <v>11.58</v>
      </c>
      <c r="D1073" s="4">
        <v>6.9455999999999998</v>
      </c>
      <c r="E1073" s="4">
        <v>789</v>
      </c>
      <c r="F1073" s="4">
        <v>11.492800000000001</v>
      </c>
      <c r="G1073" s="4">
        <v>9067.8191999999999</v>
      </c>
      <c r="H1073" s="5">
        <f t="shared" si="16"/>
        <v>3.4674063800277425E-3</v>
      </c>
    </row>
    <row r="1074" spans="1:8" ht="13.5" x14ac:dyDescent="0.25">
      <c r="A1074" s="1"/>
      <c r="B1074" s="3">
        <v>43868</v>
      </c>
      <c r="C1074" s="4">
        <v>11.24</v>
      </c>
      <c r="D1074" s="4">
        <v>6.7416999999999998</v>
      </c>
      <c r="E1074" s="4">
        <v>1950</v>
      </c>
      <c r="F1074" s="4">
        <v>11.2822</v>
      </c>
      <c r="G1074" s="4">
        <v>22000.29</v>
      </c>
      <c r="H1074" s="5">
        <f t="shared" si="16"/>
        <v>-2.9356715042616905E-2</v>
      </c>
    </row>
    <row r="1075" spans="1:8" ht="13.5" x14ac:dyDescent="0.25">
      <c r="A1075" s="1"/>
      <c r="B1075" s="3">
        <v>43871</v>
      </c>
      <c r="C1075" s="4">
        <v>11.23</v>
      </c>
      <c r="D1075" s="4">
        <v>6.7356999999999996</v>
      </c>
      <c r="E1075" s="4">
        <v>10732</v>
      </c>
      <c r="F1075" s="4">
        <v>10.9284</v>
      </c>
      <c r="G1075" s="4">
        <v>117283.5888</v>
      </c>
      <c r="H1075" s="5">
        <f t="shared" si="16"/>
        <v>-8.8998323864903923E-4</v>
      </c>
    </row>
    <row r="1076" spans="1:8" ht="13.5" x14ac:dyDescent="0.25">
      <c r="A1076" s="1"/>
      <c r="B1076" s="3">
        <v>43872</v>
      </c>
      <c r="C1076" s="4">
        <v>11.37</v>
      </c>
      <c r="D1076" s="4">
        <v>6.8196000000000003</v>
      </c>
      <c r="E1076" s="4">
        <v>460</v>
      </c>
      <c r="F1076" s="4">
        <v>11.311</v>
      </c>
      <c r="G1076" s="4">
        <v>5203.0600000000004</v>
      </c>
      <c r="H1076" s="5">
        <f t="shared" si="16"/>
        <v>1.2456017934290535E-2</v>
      </c>
    </row>
    <row r="1077" spans="1:8" ht="13.5" x14ac:dyDescent="0.25">
      <c r="A1077" s="1"/>
      <c r="B1077" s="3">
        <v>43873</v>
      </c>
      <c r="C1077" s="4">
        <v>11.43</v>
      </c>
      <c r="D1077" s="4">
        <v>6.8555999999999999</v>
      </c>
      <c r="E1077" s="4">
        <v>230</v>
      </c>
      <c r="F1077" s="4">
        <v>11.3246</v>
      </c>
      <c r="G1077" s="4">
        <v>2604.6579999999999</v>
      </c>
      <c r="H1077" s="5">
        <f t="shared" si="16"/>
        <v>5.2789019883863553E-3</v>
      </c>
    </row>
    <row r="1078" spans="1:8" ht="13.5" x14ac:dyDescent="0.25">
      <c r="A1078" s="1"/>
      <c r="B1078" s="3">
        <v>43874</v>
      </c>
      <c r="C1078" s="4">
        <v>11.45</v>
      </c>
      <c r="D1078" s="4">
        <v>6.8676000000000004</v>
      </c>
      <c r="E1078" s="4">
        <v>400</v>
      </c>
      <c r="F1078" s="4">
        <v>11.426500000000001</v>
      </c>
      <c r="G1078" s="4">
        <v>4570.6000000000004</v>
      </c>
      <c r="H1078" s="5">
        <f t="shared" si="16"/>
        <v>1.7503938386137544E-3</v>
      </c>
    </row>
    <row r="1079" spans="1:8" ht="13.5" x14ac:dyDescent="0.25">
      <c r="A1079" s="1"/>
      <c r="B1079" s="3">
        <v>43875</v>
      </c>
      <c r="C1079" s="4">
        <v>11.45</v>
      </c>
      <c r="D1079" s="4">
        <v>6.8676000000000004</v>
      </c>
      <c r="E1079" s="4">
        <v>452</v>
      </c>
      <c r="F1079" s="4">
        <v>11.4329</v>
      </c>
      <c r="G1079" s="4">
        <v>5167.6707999999999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11.45</v>
      </c>
      <c r="D1080" s="4">
        <v>6.8676000000000004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11.4</v>
      </c>
      <c r="D1081" s="4">
        <v>6.8376000000000001</v>
      </c>
      <c r="E1081" s="4">
        <v>205</v>
      </c>
      <c r="F1081" s="4">
        <v>11.401199999999999</v>
      </c>
      <c r="G1081" s="4">
        <v>2337.2460000000001</v>
      </c>
      <c r="H1081" s="5">
        <f t="shared" si="16"/>
        <v>-4.3683382841167582E-3</v>
      </c>
    </row>
    <row r="1082" spans="1:8" ht="13.5" x14ac:dyDescent="0.25">
      <c r="A1082" s="1"/>
      <c r="B1082" s="3">
        <v>43880</v>
      </c>
      <c r="C1082" s="4">
        <v>11.38</v>
      </c>
      <c r="D1082" s="4">
        <v>6.8255999999999997</v>
      </c>
      <c r="E1082" s="4">
        <v>715</v>
      </c>
      <c r="F1082" s="4">
        <v>11.325699999999999</v>
      </c>
      <c r="G1082" s="4">
        <v>8097.8755000000001</v>
      </c>
      <c r="H1082" s="5">
        <f t="shared" si="16"/>
        <v>-1.7550017550018214E-3</v>
      </c>
    </row>
    <row r="1083" spans="1:8" ht="13.5" x14ac:dyDescent="0.25">
      <c r="A1083" s="1"/>
      <c r="B1083" s="3">
        <v>43881</v>
      </c>
      <c r="C1083" s="4">
        <v>11.21</v>
      </c>
      <c r="D1083" s="4">
        <v>6.7237</v>
      </c>
      <c r="E1083" s="4">
        <v>1203</v>
      </c>
      <c r="F1083" s="4">
        <v>11.285</v>
      </c>
      <c r="G1083" s="4">
        <v>13575.855</v>
      </c>
      <c r="H1083" s="5">
        <f t="shared" si="16"/>
        <v>-1.4929090482887902E-2</v>
      </c>
    </row>
    <row r="1084" spans="1:8" ht="13.5" x14ac:dyDescent="0.25">
      <c r="A1084" s="1"/>
      <c r="B1084" s="3">
        <v>43882</v>
      </c>
      <c r="C1084" s="4">
        <v>11.4</v>
      </c>
      <c r="D1084" s="4">
        <v>6.8376000000000001</v>
      </c>
      <c r="E1084" s="4">
        <v>1097</v>
      </c>
      <c r="F1084" s="4">
        <v>11.303599999999999</v>
      </c>
      <c r="G1084" s="4">
        <v>12400.049199999999</v>
      </c>
      <c r="H1084" s="5">
        <f t="shared" si="16"/>
        <v>1.6940077635825529E-2</v>
      </c>
    </row>
    <row r="1085" spans="1:8" ht="13.5" x14ac:dyDescent="0.25">
      <c r="A1085" s="1"/>
      <c r="B1085" s="3">
        <v>43885</v>
      </c>
      <c r="C1085" s="4">
        <v>11.4</v>
      </c>
      <c r="D1085" s="4">
        <v>6.8376000000000001</v>
      </c>
      <c r="E1085" s="4">
        <v>75</v>
      </c>
      <c r="F1085" s="4">
        <v>11.4</v>
      </c>
      <c r="G1085" s="4">
        <v>855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11.4</v>
      </c>
      <c r="D1086" s="4">
        <v>6.8376000000000001</v>
      </c>
      <c r="E1086" s="4">
        <v>10</v>
      </c>
      <c r="F1086" s="4">
        <v>11.4</v>
      </c>
      <c r="G1086" s="4">
        <v>114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11.34</v>
      </c>
      <c r="D1087" s="4">
        <v>6.8015999999999996</v>
      </c>
      <c r="E1087" s="4">
        <v>133</v>
      </c>
      <c r="F1087" s="4">
        <v>11.3451</v>
      </c>
      <c r="G1087" s="4">
        <v>1508.8983000000001</v>
      </c>
      <c r="H1087" s="5">
        <f t="shared" si="16"/>
        <v>-5.2650052650053342E-3</v>
      </c>
    </row>
    <row r="1088" spans="1:8" ht="13.5" x14ac:dyDescent="0.25">
      <c r="A1088" s="1"/>
      <c r="B1088" s="3">
        <v>43888</v>
      </c>
      <c r="C1088" s="4">
        <v>11.16</v>
      </c>
      <c r="D1088" s="4">
        <v>6.6936999999999998</v>
      </c>
      <c r="E1088" s="4">
        <v>4517</v>
      </c>
      <c r="F1088" s="4">
        <v>11.1737</v>
      </c>
      <c r="G1088" s="4">
        <v>50471.602899999998</v>
      </c>
      <c r="H1088" s="5">
        <f t="shared" si="16"/>
        <v>-1.5863914373088667E-2</v>
      </c>
    </row>
    <row r="1089" spans="1:8" ht="13.5" x14ac:dyDescent="0.25">
      <c r="A1089" s="1"/>
      <c r="B1089" s="3">
        <v>43889</v>
      </c>
      <c r="C1089" s="4">
        <v>11.35</v>
      </c>
      <c r="D1089" s="4">
        <v>6.8075999999999999</v>
      </c>
      <c r="E1089" s="4">
        <v>445</v>
      </c>
      <c r="F1089" s="4">
        <v>11.3546</v>
      </c>
      <c r="G1089" s="4">
        <v>5052.7969999999996</v>
      </c>
      <c r="H1089" s="5">
        <f t="shared" si="16"/>
        <v>1.7016000119515384E-2</v>
      </c>
    </row>
    <row r="1090" spans="1:8" ht="13.5" x14ac:dyDescent="0.25">
      <c r="A1090" s="1"/>
      <c r="B1090" s="3">
        <v>43892</v>
      </c>
      <c r="C1090" s="4">
        <v>11.35</v>
      </c>
      <c r="D1090" s="4">
        <v>6.8075999999999999</v>
      </c>
      <c r="E1090" s="4">
        <v>221</v>
      </c>
      <c r="F1090" s="4">
        <v>11.35</v>
      </c>
      <c r="G1090" s="4">
        <v>2508.35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11.35</v>
      </c>
      <c r="D1091" s="4">
        <v>6.8075999999999999</v>
      </c>
      <c r="E1091" s="4">
        <v>0</v>
      </c>
      <c r="F1091" s="4">
        <v>0</v>
      </c>
      <c r="G1091" s="4">
        <v>0</v>
      </c>
      <c r="H1091" s="5">
        <f t="shared" si="16"/>
        <v>0</v>
      </c>
    </row>
    <row r="1092" spans="1:8" ht="13.5" x14ac:dyDescent="0.25">
      <c r="A1092" s="1"/>
      <c r="B1092" s="3">
        <v>43894</v>
      </c>
      <c r="C1092" s="4">
        <v>11.35</v>
      </c>
      <c r="D1092" s="4">
        <v>6.8075999999999999</v>
      </c>
      <c r="E1092" s="4">
        <v>5</v>
      </c>
      <c r="F1092" s="4">
        <v>11.35</v>
      </c>
      <c r="G1092" s="4">
        <v>56.75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11.2</v>
      </c>
      <c r="D1093" s="4">
        <v>6.7176999999999998</v>
      </c>
      <c r="E1093" s="4">
        <v>2992</v>
      </c>
      <c r="F1093" s="4">
        <v>11.1492</v>
      </c>
      <c r="G1093" s="4">
        <v>33358.4064</v>
      </c>
      <c r="H1093" s="5">
        <f t="shared" si="16"/>
        <v>-1.3205828779599285E-2</v>
      </c>
    </row>
    <row r="1094" spans="1:8" ht="13.5" x14ac:dyDescent="0.25">
      <c r="A1094" s="1"/>
      <c r="B1094" s="3">
        <v>43896</v>
      </c>
      <c r="C1094" s="4">
        <v>11.34</v>
      </c>
      <c r="D1094" s="4">
        <v>6.8015999999999996</v>
      </c>
      <c r="E1094" s="4">
        <v>200</v>
      </c>
      <c r="F1094" s="4">
        <v>11.345000000000001</v>
      </c>
      <c r="G1094" s="4">
        <v>2269</v>
      </c>
      <c r="H1094" s="5">
        <f t="shared" si="16"/>
        <v>1.2489393691293132E-2</v>
      </c>
    </row>
    <row r="1095" spans="1:8" ht="13.5" x14ac:dyDescent="0.25">
      <c r="A1095" s="1"/>
      <c r="B1095" s="3">
        <v>43899</v>
      </c>
      <c r="C1095" s="4">
        <v>11</v>
      </c>
      <c r="D1095" s="4">
        <v>6.5976999999999997</v>
      </c>
      <c r="E1095" s="4">
        <v>2663</v>
      </c>
      <c r="F1095" s="4">
        <v>11.0694</v>
      </c>
      <c r="G1095" s="4">
        <v>29477.8122</v>
      </c>
      <c r="H1095" s="5">
        <f t="shared" ref="H1095:H1158" si="17">(D1095-D1094)/D1094</f>
        <v>-2.9978240414020228E-2</v>
      </c>
    </row>
    <row r="1096" spans="1:8" ht="13.5" x14ac:dyDescent="0.25">
      <c r="A1096" s="1"/>
      <c r="B1096" s="3">
        <v>43900</v>
      </c>
      <c r="C1096" s="4">
        <v>10.99</v>
      </c>
      <c r="D1096" s="4">
        <v>6.5917000000000003</v>
      </c>
      <c r="E1096" s="4">
        <v>821</v>
      </c>
      <c r="F1096" s="4">
        <v>10.819800000000001</v>
      </c>
      <c r="G1096" s="4">
        <v>8883.0558000000001</v>
      </c>
      <c r="H1096" s="5">
        <f t="shared" si="17"/>
        <v>-9.094078239385452E-4</v>
      </c>
    </row>
    <row r="1097" spans="1:8" ht="13.5" x14ac:dyDescent="0.25">
      <c r="A1097" s="1"/>
      <c r="B1097" s="3">
        <v>43901</v>
      </c>
      <c r="C1097" s="4">
        <v>11.24</v>
      </c>
      <c r="D1097" s="4">
        <v>6.7416999999999998</v>
      </c>
      <c r="E1097" s="4">
        <v>160</v>
      </c>
      <c r="F1097" s="4">
        <v>11.241</v>
      </c>
      <c r="G1097" s="4">
        <v>1798.56</v>
      </c>
      <c r="H1097" s="5">
        <f t="shared" si="17"/>
        <v>2.2755889982857148E-2</v>
      </c>
    </row>
    <row r="1098" spans="1:8" ht="13.5" x14ac:dyDescent="0.25">
      <c r="A1098" s="1"/>
      <c r="B1098" s="3">
        <v>43902</v>
      </c>
      <c r="C1098" s="4">
        <v>11.1</v>
      </c>
      <c r="D1098" s="4">
        <v>6.6577000000000002</v>
      </c>
      <c r="E1098" s="4">
        <v>1543</v>
      </c>
      <c r="F1098" s="4">
        <v>11.0984</v>
      </c>
      <c r="G1098" s="4">
        <v>17124.831200000001</v>
      </c>
      <c r="H1098" s="5">
        <f t="shared" si="17"/>
        <v>-1.2459765341086022E-2</v>
      </c>
    </row>
    <row r="1099" spans="1:8" ht="13.5" x14ac:dyDescent="0.25">
      <c r="A1099" s="1"/>
      <c r="B1099" s="3">
        <v>43903</v>
      </c>
      <c r="C1099" s="4">
        <v>11</v>
      </c>
      <c r="D1099" s="4">
        <v>6.5976999999999997</v>
      </c>
      <c r="E1099" s="4">
        <v>283</v>
      </c>
      <c r="F1099" s="4">
        <v>11.1594</v>
      </c>
      <c r="G1099" s="4">
        <v>3158.1102000000001</v>
      </c>
      <c r="H1099" s="5">
        <f t="shared" si="17"/>
        <v>-9.012121303152815E-3</v>
      </c>
    </row>
    <row r="1100" spans="1:8" ht="13.5" x14ac:dyDescent="0.25">
      <c r="A1100" s="1"/>
      <c r="B1100" s="3">
        <v>43906</v>
      </c>
      <c r="C1100" s="4">
        <v>10.75</v>
      </c>
      <c r="D1100" s="4">
        <v>6.4478</v>
      </c>
      <c r="E1100" s="4">
        <v>529</v>
      </c>
      <c r="F1100" s="4">
        <v>10.6982</v>
      </c>
      <c r="G1100" s="4">
        <v>5659.3477999999996</v>
      </c>
      <c r="H1100" s="5">
        <f t="shared" si="17"/>
        <v>-2.2720038801400444E-2</v>
      </c>
    </row>
    <row r="1101" spans="1:8" ht="13.5" x14ac:dyDescent="0.25">
      <c r="A1101" s="1"/>
      <c r="B1101" s="3">
        <v>43907</v>
      </c>
      <c r="C1101" s="4">
        <v>10.45</v>
      </c>
      <c r="D1101" s="4">
        <v>6.2678000000000003</v>
      </c>
      <c r="E1101" s="4">
        <v>10</v>
      </c>
      <c r="F1101" s="4">
        <v>10.45</v>
      </c>
      <c r="G1101" s="4">
        <v>104.5</v>
      </c>
      <c r="H1101" s="5">
        <f t="shared" si="17"/>
        <v>-2.7916498650702521E-2</v>
      </c>
    </row>
    <row r="1102" spans="1:8" ht="13.5" x14ac:dyDescent="0.25">
      <c r="A1102" s="1"/>
      <c r="B1102" s="3">
        <v>43908</v>
      </c>
      <c r="C1102" s="4">
        <v>10.49</v>
      </c>
      <c r="D1102" s="4">
        <v>6.2918000000000003</v>
      </c>
      <c r="E1102" s="4">
        <v>1016</v>
      </c>
      <c r="F1102" s="4">
        <v>10.1434</v>
      </c>
      <c r="G1102" s="4">
        <v>10305.6944</v>
      </c>
      <c r="H1102" s="5">
        <f t="shared" si="17"/>
        <v>3.8290947381856505E-3</v>
      </c>
    </row>
    <row r="1103" spans="1:8" ht="13.5" x14ac:dyDescent="0.25">
      <c r="A1103" s="1"/>
      <c r="B1103" s="3">
        <v>43909</v>
      </c>
      <c r="C1103" s="4">
        <v>10.19</v>
      </c>
      <c r="D1103" s="4">
        <v>6.1119000000000003</v>
      </c>
      <c r="E1103" s="4">
        <v>781</v>
      </c>
      <c r="F1103" s="4">
        <v>10.2613</v>
      </c>
      <c r="G1103" s="4">
        <v>8014.0753000000004</v>
      </c>
      <c r="H1103" s="5">
        <f t="shared" si="17"/>
        <v>-2.8592771543914292E-2</v>
      </c>
    </row>
    <row r="1104" spans="1:8" ht="13.5" x14ac:dyDescent="0.25">
      <c r="A1104" s="1"/>
      <c r="B1104" s="3">
        <v>43913</v>
      </c>
      <c r="C1104" s="4">
        <v>10.4</v>
      </c>
      <c r="D1104" s="4">
        <v>6.2378</v>
      </c>
      <c r="E1104" s="4">
        <v>405</v>
      </c>
      <c r="F1104" s="4">
        <v>10.276</v>
      </c>
      <c r="G1104" s="4">
        <v>4161.78</v>
      </c>
      <c r="H1104" s="5">
        <f t="shared" si="17"/>
        <v>2.059915901765403E-2</v>
      </c>
    </row>
    <row r="1105" spans="1:8" ht="13.5" x14ac:dyDescent="0.25">
      <c r="A1105" s="1"/>
      <c r="B1105" s="3">
        <v>43914</v>
      </c>
      <c r="C1105" s="4">
        <v>10.4</v>
      </c>
      <c r="D1105" s="4">
        <v>6.2378</v>
      </c>
      <c r="E1105" s="4">
        <v>10</v>
      </c>
      <c r="F1105" s="4">
        <v>10.4</v>
      </c>
      <c r="G1105" s="4">
        <v>104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10.4</v>
      </c>
      <c r="D1106" s="4">
        <v>6.2378</v>
      </c>
      <c r="E1106" s="4">
        <v>10</v>
      </c>
      <c r="F1106" s="4">
        <v>10.4</v>
      </c>
      <c r="G1106" s="4">
        <v>104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10.4</v>
      </c>
      <c r="D1107" s="4">
        <v>6.2378</v>
      </c>
      <c r="E1107" s="4">
        <v>10</v>
      </c>
      <c r="F1107" s="4">
        <v>10.4</v>
      </c>
      <c r="G1107" s="4">
        <v>104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10.69</v>
      </c>
      <c r="D1108" s="4">
        <v>6.4118000000000004</v>
      </c>
      <c r="E1108" s="4">
        <v>252</v>
      </c>
      <c r="F1108" s="4">
        <v>10.6325</v>
      </c>
      <c r="G1108" s="4">
        <v>2679.39</v>
      </c>
      <c r="H1108" s="5">
        <f t="shared" si="17"/>
        <v>2.7894449966334344E-2</v>
      </c>
    </row>
    <row r="1109" spans="1:8" ht="13.5" x14ac:dyDescent="0.25">
      <c r="A1109" s="1"/>
      <c r="B1109" s="3">
        <v>43920</v>
      </c>
      <c r="C1109" s="4">
        <v>10.8</v>
      </c>
      <c r="D1109" s="4">
        <v>6.4776999999999996</v>
      </c>
      <c r="E1109" s="4">
        <v>50</v>
      </c>
      <c r="F1109" s="4">
        <v>10.8</v>
      </c>
      <c r="G1109" s="4">
        <v>540</v>
      </c>
      <c r="H1109" s="5">
        <f t="shared" si="17"/>
        <v>1.0277925075641656E-2</v>
      </c>
    </row>
    <row r="1110" spans="1:8" ht="13.5" x14ac:dyDescent="0.25">
      <c r="A1110" s="1"/>
      <c r="B1110" s="3">
        <v>43921</v>
      </c>
      <c r="C1110" s="4">
        <v>10.9</v>
      </c>
      <c r="D1110" s="4">
        <v>6.5377000000000001</v>
      </c>
      <c r="E1110" s="4">
        <v>573</v>
      </c>
      <c r="F1110" s="4">
        <v>10.795299999999999</v>
      </c>
      <c r="G1110" s="4">
        <v>6185.7069000000001</v>
      </c>
      <c r="H1110" s="5">
        <f t="shared" si="17"/>
        <v>9.2625468916437172E-3</v>
      </c>
    </row>
    <row r="1111" spans="1:8" ht="13.5" x14ac:dyDescent="0.25">
      <c r="A1111" s="1"/>
      <c r="B1111" s="3">
        <v>43922</v>
      </c>
      <c r="C1111" s="4">
        <v>10.9</v>
      </c>
      <c r="D1111" s="4">
        <v>6.5377000000000001</v>
      </c>
      <c r="E1111" s="4">
        <v>1213</v>
      </c>
      <c r="F1111" s="4">
        <v>10.652900000000001</v>
      </c>
      <c r="G1111" s="4">
        <v>12921.967699999999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10.9</v>
      </c>
      <c r="D1112" s="4">
        <v>6.5377000000000001</v>
      </c>
      <c r="E1112" s="4">
        <v>530</v>
      </c>
      <c r="F1112" s="4">
        <v>10.714499999999999</v>
      </c>
      <c r="G1112" s="4">
        <v>5678.6850000000004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10.62</v>
      </c>
      <c r="D1113" s="4">
        <v>6.3697999999999997</v>
      </c>
      <c r="E1113" s="4">
        <v>240</v>
      </c>
      <c r="F1113" s="4">
        <v>10.84</v>
      </c>
      <c r="G1113" s="4">
        <v>2601.6</v>
      </c>
      <c r="H1113" s="5">
        <f t="shared" si="17"/>
        <v>-2.5681814705477521E-2</v>
      </c>
    </row>
    <row r="1114" spans="1:8" ht="13.5" x14ac:dyDescent="0.25">
      <c r="A1114" s="1"/>
      <c r="B1114" s="3">
        <v>43927</v>
      </c>
      <c r="C1114" s="4">
        <v>10.85</v>
      </c>
      <c r="D1114" s="4">
        <v>6.5076999999999998</v>
      </c>
      <c r="E1114" s="4">
        <v>22</v>
      </c>
      <c r="F1114" s="4">
        <v>10.6227</v>
      </c>
      <c r="G1114" s="4">
        <v>233.6994</v>
      </c>
      <c r="H1114" s="5">
        <f t="shared" si="17"/>
        <v>2.1649031366761929E-2</v>
      </c>
    </row>
    <row r="1115" spans="1:8" ht="13.5" x14ac:dyDescent="0.25">
      <c r="A1115" s="1"/>
      <c r="B1115" s="3">
        <v>43928</v>
      </c>
      <c r="C1115" s="4">
        <v>11</v>
      </c>
      <c r="D1115" s="4">
        <v>6.5976999999999997</v>
      </c>
      <c r="E1115" s="4">
        <v>155</v>
      </c>
      <c r="F1115" s="4">
        <v>10.876099999999999</v>
      </c>
      <c r="G1115" s="4">
        <v>1685.7954999999999</v>
      </c>
      <c r="H1115" s="5">
        <f t="shared" si="17"/>
        <v>1.3829770886795621E-2</v>
      </c>
    </row>
    <row r="1116" spans="1:8" ht="13.5" x14ac:dyDescent="0.25">
      <c r="A1116" s="1"/>
      <c r="B1116" s="3">
        <v>43929</v>
      </c>
      <c r="C1116" s="4">
        <v>11.27</v>
      </c>
      <c r="D1116" s="4">
        <v>6.7595999999999998</v>
      </c>
      <c r="E1116" s="4">
        <v>10</v>
      </c>
      <c r="F1116" s="4">
        <v>11.27</v>
      </c>
      <c r="G1116" s="4">
        <v>112.7</v>
      </c>
      <c r="H1116" s="5">
        <f t="shared" si="17"/>
        <v>2.4538854449277805E-2</v>
      </c>
    </row>
    <row r="1117" spans="1:8" ht="13.5" x14ac:dyDescent="0.25">
      <c r="A1117" s="1"/>
      <c r="B1117" s="3">
        <v>43934</v>
      </c>
      <c r="C1117" s="4">
        <v>11.5</v>
      </c>
      <c r="D1117" s="4">
        <v>6.8975999999999997</v>
      </c>
      <c r="E1117" s="4">
        <v>102</v>
      </c>
      <c r="F1117" s="4">
        <v>11.303900000000001</v>
      </c>
      <c r="G1117" s="4">
        <v>1152.9978000000001</v>
      </c>
      <c r="H1117" s="5">
        <f t="shared" si="17"/>
        <v>2.0415409195810388E-2</v>
      </c>
    </row>
    <row r="1118" spans="1:8" ht="13.5" x14ac:dyDescent="0.25">
      <c r="A1118" s="1"/>
      <c r="B1118" s="3">
        <v>43935</v>
      </c>
      <c r="C1118" s="4">
        <v>11.45</v>
      </c>
      <c r="D1118" s="4">
        <v>6.8676000000000004</v>
      </c>
      <c r="E1118" s="4">
        <v>10</v>
      </c>
      <c r="F1118" s="4">
        <v>11.45</v>
      </c>
      <c r="G1118" s="4">
        <v>114.5</v>
      </c>
      <c r="H1118" s="5">
        <f t="shared" si="17"/>
        <v>-4.3493389004870334E-3</v>
      </c>
    </row>
    <row r="1119" spans="1:8" ht="13.5" x14ac:dyDescent="0.25">
      <c r="A1119" s="1"/>
      <c r="B1119" s="3">
        <v>43936</v>
      </c>
      <c r="C1119" s="4">
        <v>11.5</v>
      </c>
      <c r="D1119" s="4">
        <v>6.8975999999999997</v>
      </c>
      <c r="E1119" s="4">
        <v>125</v>
      </c>
      <c r="F1119" s="4">
        <v>11.4331</v>
      </c>
      <c r="G1119" s="4">
        <v>1429.1375</v>
      </c>
      <c r="H1119" s="5">
        <f t="shared" si="17"/>
        <v>4.3683382841166289E-3</v>
      </c>
    </row>
    <row r="1120" spans="1:8" ht="13.5" x14ac:dyDescent="0.25">
      <c r="A1120" s="1"/>
      <c r="B1120" s="3">
        <v>43937</v>
      </c>
      <c r="C1120" s="4">
        <v>11.49</v>
      </c>
      <c r="D1120" s="4">
        <v>6.8916000000000004</v>
      </c>
      <c r="E1120" s="4">
        <v>5</v>
      </c>
      <c r="F1120" s="4">
        <v>11.49</v>
      </c>
      <c r="G1120" s="4">
        <v>57.45</v>
      </c>
      <c r="H1120" s="5">
        <f t="shared" si="17"/>
        <v>-8.6986778009732937E-4</v>
      </c>
    </row>
    <row r="1121" spans="1:8" ht="13.5" x14ac:dyDescent="0.25">
      <c r="A1121" s="1"/>
      <c r="B1121" s="3">
        <v>43938</v>
      </c>
      <c r="C1121" s="4">
        <v>11.48</v>
      </c>
      <c r="D1121" s="4">
        <v>6.8856000000000002</v>
      </c>
      <c r="E1121" s="4">
        <v>5</v>
      </c>
      <c r="F1121" s="4">
        <v>11.48</v>
      </c>
      <c r="G1121" s="4">
        <v>57.4</v>
      </c>
      <c r="H1121" s="5">
        <f t="shared" si="17"/>
        <v>-8.706251088281715E-4</v>
      </c>
    </row>
    <row r="1122" spans="1:8" ht="13.5" x14ac:dyDescent="0.25">
      <c r="A1122" s="1"/>
      <c r="B1122" s="3">
        <v>43941</v>
      </c>
      <c r="C1122" s="4">
        <v>11.5</v>
      </c>
      <c r="D1122" s="4">
        <v>6.8975999999999997</v>
      </c>
      <c r="E1122" s="4">
        <v>3</v>
      </c>
      <c r="F1122" s="4">
        <v>11.5</v>
      </c>
      <c r="G1122" s="4">
        <v>34.5</v>
      </c>
      <c r="H1122" s="5">
        <f t="shared" si="17"/>
        <v>1.7427675148134608E-3</v>
      </c>
    </row>
    <row r="1123" spans="1:8" ht="13.5" x14ac:dyDescent="0.25">
      <c r="A1123" s="1"/>
      <c r="B1123" s="3">
        <v>43942</v>
      </c>
      <c r="C1123" s="4">
        <v>11.5</v>
      </c>
      <c r="D1123" s="4">
        <v>6.8975999999999997</v>
      </c>
      <c r="E1123" s="4">
        <v>400</v>
      </c>
      <c r="F1123" s="4">
        <v>11.42</v>
      </c>
      <c r="G1123" s="4">
        <v>4568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11.49</v>
      </c>
      <c r="D1124" s="4">
        <v>6.8916000000000004</v>
      </c>
      <c r="E1124" s="4">
        <v>120</v>
      </c>
      <c r="F1124" s="4">
        <v>11.435</v>
      </c>
      <c r="G1124" s="4">
        <v>1372.2</v>
      </c>
      <c r="H1124" s="5">
        <f t="shared" si="17"/>
        <v>-8.6986778009732937E-4</v>
      </c>
    </row>
    <row r="1125" spans="1:8" ht="13.5" x14ac:dyDescent="0.25">
      <c r="A1125" s="1"/>
      <c r="B1125" s="3">
        <v>43944</v>
      </c>
      <c r="C1125" s="4">
        <v>11.48</v>
      </c>
      <c r="D1125" s="4">
        <v>6.8856000000000002</v>
      </c>
      <c r="E1125" s="4">
        <v>162</v>
      </c>
      <c r="F1125" s="4">
        <v>11.357799999999999</v>
      </c>
      <c r="G1125" s="4">
        <v>1839.9636</v>
      </c>
      <c r="H1125" s="5">
        <f t="shared" si="17"/>
        <v>-8.706251088281715E-4</v>
      </c>
    </row>
    <row r="1126" spans="1:8" ht="13.5" x14ac:dyDescent="0.25">
      <c r="A1126" s="1"/>
      <c r="B1126" s="3">
        <v>43945</v>
      </c>
      <c r="C1126" s="4">
        <v>11.48</v>
      </c>
      <c r="D1126" s="4">
        <v>6.8856000000000002</v>
      </c>
      <c r="E1126" s="4">
        <v>5</v>
      </c>
      <c r="F1126" s="4">
        <v>11.48</v>
      </c>
      <c r="G1126" s="4">
        <v>57.4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11.48</v>
      </c>
      <c r="D1127" s="4">
        <v>6.8856000000000002</v>
      </c>
      <c r="E1127" s="4">
        <v>15</v>
      </c>
      <c r="F1127" s="4">
        <v>11.6267</v>
      </c>
      <c r="G1127" s="4">
        <v>174.40049999999999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11.48</v>
      </c>
      <c r="D1128" s="4">
        <v>6.8856000000000002</v>
      </c>
      <c r="E1128" s="4">
        <v>110</v>
      </c>
      <c r="F1128" s="4">
        <v>11.3264</v>
      </c>
      <c r="G1128" s="4">
        <v>1245.904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11.45</v>
      </c>
      <c r="D1129" s="4">
        <v>6.8676000000000004</v>
      </c>
      <c r="E1129" s="4">
        <v>65</v>
      </c>
      <c r="F1129" s="4">
        <v>11.440799999999999</v>
      </c>
      <c r="G1129" s="4">
        <v>743.65200000000004</v>
      </c>
      <c r="H1129" s="5">
        <f t="shared" si="17"/>
        <v>-2.6141512722202558E-3</v>
      </c>
    </row>
    <row r="1130" spans="1:8" ht="13.5" x14ac:dyDescent="0.25">
      <c r="A1130" s="1"/>
      <c r="B1130" s="3">
        <v>43951</v>
      </c>
      <c r="C1130" s="4">
        <v>11.45</v>
      </c>
      <c r="D1130" s="4">
        <v>6.8676000000000004</v>
      </c>
      <c r="E1130" s="4">
        <v>80</v>
      </c>
      <c r="F1130" s="4">
        <v>11.45</v>
      </c>
      <c r="G1130" s="4">
        <v>916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11.45</v>
      </c>
      <c r="D1131" s="4">
        <v>6.8676000000000004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11.45</v>
      </c>
      <c r="D1132" s="4">
        <v>6.8676000000000004</v>
      </c>
      <c r="E1132" s="4">
        <v>147</v>
      </c>
      <c r="F1132" s="4">
        <v>11.376899999999999</v>
      </c>
      <c r="G1132" s="4">
        <v>1672.4042999999999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11.13</v>
      </c>
      <c r="D1133" s="4">
        <v>6.6757</v>
      </c>
      <c r="E1133" s="4">
        <v>2950</v>
      </c>
      <c r="F1133" s="4">
        <v>11.1311</v>
      </c>
      <c r="G1133" s="4">
        <v>32836.745000000003</v>
      </c>
      <c r="H1133" s="5">
        <f t="shared" si="17"/>
        <v>-2.7942803890733357E-2</v>
      </c>
    </row>
    <row r="1134" spans="1:8" ht="13.5" x14ac:dyDescent="0.25">
      <c r="A1134" s="1"/>
      <c r="B1134" s="3">
        <v>43958</v>
      </c>
      <c r="C1134" s="4">
        <v>11.45</v>
      </c>
      <c r="D1134" s="4">
        <v>6.8676000000000004</v>
      </c>
      <c r="E1134" s="4">
        <v>14</v>
      </c>
      <c r="F1134" s="4">
        <v>11.45</v>
      </c>
      <c r="G1134" s="4">
        <v>160.30000000000001</v>
      </c>
      <c r="H1134" s="5">
        <f t="shared" si="17"/>
        <v>2.8746049103464864E-2</v>
      </c>
    </row>
    <row r="1135" spans="1:8" ht="13.5" x14ac:dyDescent="0.25">
      <c r="A1135" s="1"/>
      <c r="B1135" s="3">
        <v>43959</v>
      </c>
      <c r="C1135" s="4">
        <v>11.45</v>
      </c>
      <c r="D1135" s="4">
        <v>6.8676000000000004</v>
      </c>
      <c r="E1135" s="4">
        <v>23</v>
      </c>
      <c r="F1135" s="4">
        <v>11.45</v>
      </c>
      <c r="G1135" s="4">
        <v>263.35000000000002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11.5</v>
      </c>
      <c r="D1136" s="4">
        <v>6.8975999999999997</v>
      </c>
      <c r="E1136" s="4">
        <v>377</v>
      </c>
      <c r="F1136" s="4">
        <v>11.293200000000001</v>
      </c>
      <c r="G1136" s="4">
        <v>4257.5364</v>
      </c>
      <c r="H1136" s="5">
        <f t="shared" si="17"/>
        <v>4.3683382841166289E-3</v>
      </c>
    </row>
    <row r="1137" spans="1:8" ht="13.5" x14ac:dyDescent="0.25">
      <c r="A1137" s="1"/>
      <c r="B1137" s="3">
        <v>43963</v>
      </c>
      <c r="C1137" s="4">
        <v>11.55</v>
      </c>
      <c r="D1137" s="4">
        <v>6.9276</v>
      </c>
      <c r="E1137" s="4">
        <v>578</v>
      </c>
      <c r="F1137" s="4">
        <v>11.4956</v>
      </c>
      <c r="G1137" s="4">
        <v>6644.4567999999999</v>
      </c>
      <c r="H1137" s="5">
        <f t="shared" si="17"/>
        <v>4.3493389004871626E-3</v>
      </c>
    </row>
    <row r="1138" spans="1:8" ht="13.5" x14ac:dyDescent="0.25">
      <c r="A1138" s="1"/>
      <c r="B1138" s="3">
        <v>43964</v>
      </c>
      <c r="C1138" s="4">
        <v>11.55</v>
      </c>
      <c r="D1138" s="4">
        <v>6.9276</v>
      </c>
      <c r="E1138" s="4">
        <v>50</v>
      </c>
      <c r="F1138" s="4">
        <v>11.55</v>
      </c>
      <c r="G1138" s="4">
        <v>577.5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11.49</v>
      </c>
      <c r="D1139" s="4">
        <v>6.8916000000000004</v>
      </c>
      <c r="E1139" s="4">
        <v>705</v>
      </c>
      <c r="F1139" s="4">
        <v>11.579800000000001</v>
      </c>
      <c r="G1139" s="4">
        <v>8163.759</v>
      </c>
      <c r="H1139" s="5">
        <f t="shared" si="17"/>
        <v>-5.1966048848085325E-3</v>
      </c>
    </row>
    <row r="1140" spans="1:8" ht="13.5" x14ac:dyDescent="0.25">
      <c r="A1140" s="1"/>
      <c r="B1140" s="3">
        <v>43966</v>
      </c>
      <c r="C1140" s="4">
        <v>11.5</v>
      </c>
      <c r="D1140" s="4">
        <v>6.8975999999999997</v>
      </c>
      <c r="E1140" s="4">
        <v>98</v>
      </c>
      <c r="F1140" s="4">
        <v>11.6173</v>
      </c>
      <c r="G1140" s="4">
        <v>1138.4954</v>
      </c>
      <c r="H1140" s="5">
        <f t="shared" si="17"/>
        <v>8.7062510882804269E-4</v>
      </c>
    </row>
    <row r="1141" spans="1:8" ht="13.5" x14ac:dyDescent="0.25">
      <c r="A1141" s="1"/>
      <c r="B1141" s="3">
        <v>43969</v>
      </c>
      <c r="C1141" s="4">
        <v>11.49</v>
      </c>
      <c r="D1141" s="4">
        <v>6.8916000000000004</v>
      </c>
      <c r="E1141" s="4">
        <v>15</v>
      </c>
      <c r="F1141" s="4">
        <v>11.656700000000001</v>
      </c>
      <c r="G1141" s="4">
        <v>174.85050000000001</v>
      </c>
      <c r="H1141" s="5">
        <f t="shared" si="17"/>
        <v>-8.6986778009732937E-4</v>
      </c>
    </row>
    <row r="1142" spans="1:8" ht="13.5" x14ac:dyDescent="0.25">
      <c r="A1142" s="1"/>
      <c r="B1142" s="3">
        <v>43970</v>
      </c>
      <c r="C1142" s="4">
        <v>11.5</v>
      </c>
      <c r="D1142" s="4">
        <v>6.8975999999999997</v>
      </c>
      <c r="E1142" s="4">
        <v>5</v>
      </c>
      <c r="F1142" s="4">
        <v>11.5</v>
      </c>
      <c r="G1142" s="4">
        <v>57.5</v>
      </c>
      <c r="H1142" s="5">
        <f t="shared" si="17"/>
        <v>8.7062510882804269E-4</v>
      </c>
    </row>
    <row r="1143" spans="1:8" ht="13.5" x14ac:dyDescent="0.25">
      <c r="A1143" s="1"/>
      <c r="B1143" s="3">
        <v>43971</v>
      </c>
      <c r="C1143" s="4">
        <v>11.5</v>
      </c>
      <c r="D1143" s="4">
        <v>6.8975999999999997</v>
      </c>
      <c r="E1143" s="4">
        <v>5</v>
      </c>
      <c r="F1143" s="4">
        <v>11.5</v>
      </c>
      <c r="G1143" s="4">
        <v>57.5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11.5</v>
      </c>
      <c r="D1144" s="4">
        <v>6.8975999999999997</v>
      </c>
      <c r="E1144" s="4">
        <v>791</v>
      </c>
      <c r="F1144" s="4">
        <v>11.424899999999999</v>
      </c>
      <c r="G1144" s="4">
        <v>9037.0959000000003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11.49</v>
      </c>
      <c r="D1145" s="4">
        <v>6.8916000000000004</v>
      </c>
      <c r="E1145" s="4">
        <v>3350</v>
      </c>
      <c r="F1145" s="4">
        <v>11.491899999999999</v>
      </c>
      <c r="G1145" s="4">
        <v>38497.864999999998</v>
      </c>
      <c r="H1145" s="5">
        <f t="shared" si="17"/>
        <v>-8.6986778009732937E-4</v>
      </c>
    </row>
    <row r="1146" spans="1:8" ht="13.5" x14ac:dyDescent="0.25">
      <c r="A1146" s="1"/>
      <c r="B1146" s="3">
        <v>43977</v>
      </c>
      <c r="C1146" s="4">
        <v>11.4</v>
      </c>
      <c r="D1146" s="4">
        <v>6.8376000000000001</v>
      </c>
      <c r="E1146" s="4">
        <v>1742</v>
      </c>
      <c r="F1146" s="4">
        <v>11.428699999999999</v>
      </c>
      <c r="G1146" s="4">
        <v>19908.795399999999</v>
      </c>
      <c r="H1146" s="5">
        <f t="shared" si="17"/>
        <v>-7.8356259794532864E-3</v>
      </c>
    </row>
    <row r="1147" spans="1:8" ht="13.5" x14ac:dyDescent="0.25">
      <c r="A1147" s="1"/>
      <c r="B1147" s="3">
        <v>43978</v>
      </c>
      <c r="C1147" s="4">
        <v>11.5</v>
      </c>
      <c r="D1147" s="4">
        <v>6.8975999999999997</v>
      </c>
      <c r="E1147" s="4">
        <v>1212</v>
      </c>
      <c r="F1147" s="4">
        <v>11.3011</v>
      </c>
      <c r="G1147" s="4">
        <v>13696.933199999999</v>
      </c>
      <c r="H1147" s="5">
        <f t="shared" si="17"/>
        <v>8.7750087750087177E-3</v>
      </c>
    </row>
    <row r="1148" spans="1:8" ht="13.5" x14ac:dyDescent="0.25">
      <c r="A1148" s="1"/>
      <c r="B1148" s="3">
        <v>43979</v>
      </c>
      <c r="C1148" s="4">
        <v>11.5</v>
      </c>
      <c r="D1148" s="4">
        <v>6.8975999999999997</v>
      </c>
      <c r="E1148" s="4">
        <v>1136</v>
      </c>
      <c r="F1148" s="4">
        <v>11.280200000000001</v>
      </c>
      <c r="G1148" s="4">
        <v>12814.307199999999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11.5</v>
      </c>
      <c r="D1149" s="4">
        <v>6.8975999999999997</v>
      </c>
      <c r="E1149" s="4">
        <v>298</v>
      </c>
      <c r="F1149" s="4">
        <v>11.5</v>
      </c>
      <c r="G1149" s="4">
        <v>3427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11.7</v>
      </c>
      <c r="D1150" s="4">
        <v>7.0175999999999998</v>
      </c>
      <c r="E1150" s="4">
        <v>2430</v>
      </c>
      <c r="F1150" s="4">
        <v>11.620900000000001</v>
      </c>
      <c r="G1150" s="4">
        <v>28238.787</v>
      </c>
      <c r="H1150" s="5">
        <f t="shared" si="17"/>
        <v>1.7397355601948519E-2</v>
      </c>
    </row>
    <row r="1151" spans="1:8" ht="13.5" x14ac:dyDescent="0.25">
      <c r="A1151" s="1"/>
      <c r="B1151" s="3">
        <v>43984</v>
      </c>
      <c r="C1151" s="4">
        <v>11.89</v>
      </c>
      <c r="D1151" s="4">
        <v>7.1315</v>
      </c>
      <c r="E1151" s="4">
        <v>3136</v>
      </c>
      <c r="F1151" s="4">
        <v>11.716699999999999</v>
      </c>
      <c r="G1151" s="4">
        <v>36743.571199999998</v>
      </c>
      <c r="H1151" s="5">
        <f t="shared" si="17"/>
        <v>1.6230620155038775E-2</v>
      </c>
    </row>
    <row r="1152" spans="1:8" ht="13.5" x14ac:dyDescent="0.25">
      <c r="A1152" s="1"/>
      <c r="B1152" s="3">
        <v>43985</v>
      </c>
      <c r="C1152" s="4">
        <v>11.98</v>
      </c>
      <c r="D1152" s="4">
        <v>7.1855000000000002</v>
      </c>
      <c r="E1152" s="4">
        <v>1269</v>
      </c>
      <c r="F1152" s="4">
        <v>11.985799999999999</v>
      </c>
      <c r="G1152" s="4">
        <v>15209.9802</v>
      </c>
      <c r="H1152" s="5">
        <f t="shared" si="17"/>
        <v>7.5720395428732065E-3</v>
      </c>
    </row>
    <row r="1153" spans="1:8" ht="13.5" x14ac:dyDescent="0.25">
      <c r="A1153" s="1"/>
      <c r="B1153" s="3">
        <v>43986</v>
      </c>
      <c r="C1153" s="4">
        <v>11.89</v>
      </c>
      <c r="D1153" s="4">
        <v>7.1315</v>
      </c>
      <c r="E1153" s="4">
        <v>1370</v>
      </c>
      <c r="F1153" s="4">
        <v>11.857100000000001</v>
      </c>
      <c r="G1153" s="4">
        <v>16244.227000000001</v>
      </c>
      <c r="H1153" s="5">
        <f t="shared" si="17"/>
        <v>-7.5151346461624479E-3</v>
      </c>
    </row>
    <row r="1154" spans="1:8" ht="13.5" x14ac:dyDescent="0.25">
      <c r="A1154" s="1"/>
      <c r="B1154" s="3">
        <v>43987</v>
      </c>
      <c r="C1154" s="4">
        <v>11.88</v>
      </c>
      <c r="D1154" s="4">
        <v>7.1254999999999997</v>
      </c>
      <c r="E1154" s="4">
        <v>1034</v>
      </c>
      <c r="F1154" s="4">
        <v>11.8886</v>
      </c>
      <c r="G1154" s="4">
        <v>12292.812400000001</v>
      </c>
      <c r="H1154" s="5">
        <f t="shared" si="17"/>
        <v>-8.4133772698593949E-4</v>
      </c>
    </row>
    <row r="1155" spans="1:8" ht="13.5" x14ac:dyDescent="0.25">
      <c r="A1155" s="1"/>
      <c r="B1155" s="3">
        <v>43990</v>
      </c>
      <c r="C1155" s="4">
        <v>11.89</v>
      </c>
      <c r="D1155" s="4">
        <v>7.1315</v>
      </c>
      <c r="E1155" s="4">
        <v>631</v>
      </c>
      <c r="F1155" s="4">
        <v>11.7736</v>
      </c>
      <c r="G1155" s="4">
        <v>7429.1415999999999</v>
      </c>
      <c r="H1155" s="5">
        <f t="shared" si="17"/>
        <v>8.4204617219847417E-4</v>
      </c>
    </row>
    <row r="1156" spans="1:8" ht="13.5" x14ac:dyDescent="0.25">
      <c r="A1156" s="1"/>
      <c r="B1156" s="3">
        <v>43991</v>
      </c>
      <c r="C1156" s="4">
        <v>11.8</v>
      </c>
      <c r="D1156" s="4">
        <v>7.0774999999999997</v>
      </c>
      <c r="E1156" s="4">
        <v>878</v>
      </c>
      <c r="F1156" s="4">
        <v>11.845000000000001</v>
      </c>
      <c r="G1156" s="4">
        <v>10399.91</v>
      </c>
      <c r="H1156" s="5">
        <f t="shared" si="17"/>
        <v>-7.5720395428732065E-3</v>
      </c>
    </row>
    <row r="1157" spans="1:8" ht="13.5" x14ac:dyDescent="0.25">
      <c r="A1157" s="1"/>
      <c r="B1157" s="3">
        <v>43992</v>
      </c>
      <c r="C1157" s="4">
        <v>11.88</v>
      </c>
      <c r="D1157" s="4">
        <v>7.1254999999999997</v>
      </c>
      <c r="E1157" s="4">
        <v>1814</v>
      </c>
      <c r="F1157" s="4">
        <v>11.841100000000001</v>
      </c>
      <c r="G1157" s="4">
        <v>21479.755399999998</v>
      </c>
      <c r="H1157" s="5">
        <f t="shared" si="17"/>
        <v>6.782055810667615E-3</v>
      </c>
    </row>
    <row r="1158" spans="1:8" ht="13.5" x14ac:dyDescent="0.25">
      <c r="A1158" s="1"/>
      <c r="B1158" s="3">
        <v>43993</v>
      </c>
      <c r="C1158" s="4">
        <v>12</v>
      </c>
      <c r="D1158" s="4">
        <v>7.1974999999999998</v>
      </c>
      <c r="E1158" s="4">
        <v>831</v>
      </c>
      <c r="F1158" s="4">
        <v>12.007199999999999</v>
      </c>
      <c r="G1158" s="4">
        <v>9977.9832000000006</v>
      </c>
      <c r="H1158" s="5">
        <f t="shared" si="17"/>
        <v>1.0104554066381315E-2</v>
      </c>
    </row>
    <row r="1159" spans="1:8" ht="13.5" x14ac:dyDescent="0.25">
      <c r="A1159" s="1"/>
      <c r="B1159" s="3">
        <v>43994</v>
      </c>
      <c r="C1159" s="4">
        <v>12.2</v>
      </c>
      <c r="D1159" s="4">
        <v>7.3174999999999999</v>
      </c>
      <c r="E1159" s="4">
        <v>1612</v>
      </c>
      <c r="F1159" s="4">
        <v>12.1403</v>
      </c>
      <c r="G1159" s="4">
        <v>19570.1636</v>
      </c>
      <c r="H1159" s="5">
        <f t="shared" ref="H1159:H1222" si="18">(D1159-D1158)/D1158</f>
        <v>1.6672455713789527E-2</v>
      </c>
    </row>
    <row r="1160" spans="1:8" ht="13.5" x14ac:dyDescent="0.25">
      <c r="A1160" s="1"/>
      <c r="B1160" s="3">
        <v>43997</v>
      </c>
      <c r="C1160" s="4">
        <v>12.25</v>
      </c>
      <c r="D1160" s="4">
        <v>7.3474000000000004</v>
      </c>
      <c r="E1160" s="4">
        <v>769</v>
      </c>
      <c r="F1160" s="4">
        <v>12.258800000000001</v>
      </c>
      <c r="G1160" s="4">
        <v>9427.0172000000002</v>
      </c>
      <c r="H1160" s="5">
        <f t="shared" si="18"/>
        <v>4.0860949777930282E-3</v>
      </c>
    </row>
    <row r="1161" spans="1:8" ht="13.5" x14ac:dyDescent="0.25">
      <c r="A1161" s="1"/>
      <c r="B1161" s="3">
        <v>43998</v>
      </c>
      <c r="C1161" s="4">
        <v>12.4</v>
      </c>
      <c r="D1161" s="4">
        <v>7.4374000000000002</v>
      </c>
      <c r="E1161" s="4">
        <v>7244</v>
      </c>
      <c r="F1161" s="4">
        <v>12.278600000000001</v>
      </c>
      <c r="G1161" s="4">
        <v>88946.178400000004</v>
      </c>
      <c r="H1161" s="5">
        <f t="shared" si="18"/>
        <v>1.2249231020497027E-2</v>
      </c>
    </row>
    <row r="1162" spans="1:8" ht="13.5" x14ac:dyDescent="0.25">
      <c r="A1162" s="1"/>
      <c r="B1162" s="3">
        <v>43999</v>
      </c>
      <c r="C1162" s="4">
        <v>12.77</v>
      </c>
      <c r="D1162" s="4">
        <v>7.6593</v>
      </c>
      <c r="E1162" s="4">
        <v>2257</v>
      </c>
      <c r="F1162" s="4">
        <v>12.7638</v>
      </c>
      <c r="G1162" s="4">
        <v>28807.8966</v>
      </c>
      <c r="H1162" s="5">
        <f t="shared" si="18"/>
        <v>2.9835695269852334E-2</v>
      </c>
    </row>
    <row r="1163" spans="1:8" ht="13.5" x14ac:dyDescent="0.25">
      <c r="A1163" s="1"/>
      <c r="B1163" s="3">
        <v>44000</v>
      </c>
      <c r="C1163" s="4">
        <v>13.15</v>
      </c>
      <c r="D1163" s="4">
        <v>7.8872999999999998</v>
      </c>
      <c r="E1163" s="4">
        <v>4045</v>
      </c>
      <c r="F1163" s="4">
        <v>13.1439</v>
      </c>
      <c r="G1163" s="4">
        <v>53167.075499999999</v>
      </c>
      <c r="H1163" s="5">
        <f t="shared" si="18"/>
        <v>2.9767733343778122E-2</v>
      </c>
    </row>
    <row r="1164" spans="1:8" ht="13.5" x14ac:dyDescent="0.25">
      <c r="A1164" s="1"/>
      <c r="B1164" s="3">
        <v>44001</v>
      </c>
      <c r="C1164" s="4">
        <v>12.8</v>
      </c>
      <c r="D1164" s="4">
        <v>7.6772999999999998</v>
      </c>
      <c r="E1164" s="4">
        <v>6432</v>
      </c>
      <c r="F1164" s="4">
        <v>12.954800000000001</v>
      </c>
      <c r="G1164" s="4">
        <v>83325.2736</v>
      </c>
      <c r="H1164" s="5">
        <f t="shared" si="18"/>
        <v>-2.6625080826138219E-2</v>
      </c>
    </row>
    <row r="1165" spans="1:8" ht="13.5" x14ac:dyDescent="0.25">
      <c r="A1165" s="1"/>
      <c r="B1165" s="3">
        <v>44004</v>
      </c>
      <c r="C1165" s="4">
        <v>12.99</v>
      </c>
      <c r="D1165" s="4">
        <v>7.7912999999999997</v>
      </c>
      <c r="E1165" s="4">
        <v>802</v>
      </c>
      <c r="F1165" s="4">
        <v>12.801600000000001</v>
      </c>
      <c r="G1165" s="4">
        <v>10266.8832</v>
      </c>
      <c r="H1165" s="5">
        <f t="shared" si="18"/>
        <v>1.4848970341135539E-2</v>
      </c>
    </row>
    <row r="1166" spans="1:8" ht="13.5" x14ac:dyDescent="0.25">
      <c r="A1166" s="1"/>
      <c r="B1166" s="3">
        <v>44005</v>
      </c>
      <c r="C1166" s="4">
        <v>12.9</v>
      </c>
      <c r="D1166" s="4">
        <v>7.7373000000000003</v>
      </c>
      <c r="E1166" s="4">
        <v>120</v>
      </c>
      <c r="F1166" s="4">
        <v>12.8833</v>
      </c>
      <c r="G1166" s="4">
        <v>1545.9960000000001</v>
      </c>
      <c r="H1166" s="5">
        <f t="shared" si="18"/>
        <v>-6.9308074390665719E-3</v>
      </c>
    </row>
    <row r="1167" spans="1:8" ht="13.5" x14ac:dyDescent="0.25">
      <c r="A1167" s="1"/>
      <c r="B1167" s="3">
        <v>44006</v>
      </c>
      <c r="C1167" s="4">
        <v>12.8</v>
      </c>
      <c r="D1167" s="4">
        <v>7.6772999999999998</v>
      </c>
      <c r="E1167" s="4">
        <v>1925</v>
      </c>
      <c r="F1167" s="4">
        <v>12.7623</v>
      </c>
      <c r="G1167" s="4">
        <v>24567.427500000002</v>
      </c>
      <c r="H1167" s="5">
        <f t="shared" si="18"/>
        <v>-7.7546430925517296E-3</v>
      </c>
    </row>
    <row r="1168" spans="1:8" ht="13.5" x14ac:dyDescent="0.25">
      <c r="A1168" s="1"/>
      <c r="B1168" s="3">
        <v>44007</v>
      </c>
      <c r="C1168" s="4">
        <v>12.8</v>
      </c>
      <c r="D1168" s="4">
        <v>7.6772999999999998</v>
      </c>
      <c r="E1168" s="4">
        <v>100</v>
      </c>
      <c r="F1168" s="4">
        <v>12.7</v>
      </c>
      <c r="G1168" s="4">
        <v>1270</v>
      </c>
      <c r="H1168" s="5">
        <f t="shared" si="18"/>
        <v>0</v>
      </c>
    </row>
    <row r="1169" spans="1:8" ht="13.5" x14ac:dyDescent="0.25">
      <c r="A1169" s="1"/>
      <c r="B1169" s="3">
        <v>44008</v>
      </c>
      <c r="C1169" s="4">
        <v>12.6</v>
      </c>
      <c r="D1169" s="4">
        <v>7.5574000000000003</v>
      </c>
      <c r="E1169" s="4">
        <v>135</v>
      </c>
      <c r="F1169" s="4">
        <v>12.7333</v>
      </c>
      <c r="G1169" s="4">
        <v>1718.9955</v>
      </c>
      <c r="H1169" s="5">
        <f t="shared" si="18"/>
        <v>-1.5617469683352149E-2</v>
      </c>
    </row>
    <row r="1170" spans="1:8" ht="13.5" x14ac:dyDescent="0.25">
      <c r="A1170" s="1"/>
      <c r="B1170" s="3">
        <v>44011</v>
      </c>
      <c r="C1170" s="4">
        <v>12.5</v>
      </c>
      <c r="D1170" s="4">
        <v>7.4973999999999998</v>
      </c>
      <c r="E1170" s="4">
        <v>1645</v>
      </c>
      <c r="F1170" s="4">
        <v>12.5037</v>
      </c>
      <c r="G1170" s="4">
        <v>20568.586500000001</v>
      </c>
      <c r="H1170" s="5">
        <f t="shared" si="18"/>
        <v>-7.9392383623998319E-3</v>
      </c>
    </row>
    <row r="1171" spans="1:8" ht="13.5" x14ac:dyDescent="0.25">
      <c r="A1171" s="1"/>
      <c r="B1171" s="3">
        <v>44012</v>
      </c>
      <c r="C1171" s="4">
        <v>12.7</v>
      </c>
      <c r="D1171" s="4">
        <v>7.6173999999999999</v>
      </c>
      <c r="E1171" s="4">
        <v>1346</v>
      </c>
      <c r="F1171" s="4">
        <v>12.4565</v>
      </c>
      <c r="G1171" s="4">
        <v>16766.449000000001</v>
      </c>
      <c r="H1171" s="5">
        <f t="shared" si="18"/>
        <v>1.6005548590177943E-2</v>
      </c>
    </row>
    <row r="1172" spans="1:8" ht="13.5" x14ac:dyDescent="0.25">
      <c r="A1172" s="1"/>
      <c r="B1172" s="3">
        <v>44013</v>
      </c>
      <c r="C1172" s="4">
        <v>12.7</v>
      </c>
      <c r="D1172" s="4">
        <v>7.6173999999999999</v>
      </c>
      <c r="E1172" s="4">
        <v>5</v>
      </c>
      <c r="F1172" s="4">
        <v>12.7</v>
      </c>
      <c r="G1172" s="4">
        <v>63.5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12.32</v>
      </c>
      <c r="D1173" s="4">
        <v>7.3894000000000002</v>
      </c>
      <c r="E1173" s="4">
        <v>2447</v>
      </c>
      <c r="F1173" s="4">
        <v>12.37</v>
      </c>
      <c r="G1173" s="4">
        <v>30269.39</v>
      </c>
      <c r="H1173" s="5">
        <f t="shared" si="18"/>
        <v>-2.9931472680967228E-2</v>
      </c>
    </row>
    <row r="1174" spans="1:8" ht="13.5" x14ac:dyDescent="0.25">
      <c r="A1174" s="1"/>
      <c r="B1174" s="3">
        <v>44015</v>
      </c>
      <c r="C1174" s="4">
        <v>12.58</v>
      </c>
      <c r="D1174" s="4">
        <v>7.5453999999999999</v>
      </c>
      <c r="E1174" s="4">
        <v>4166</v>
      </c>
      <c r="F1174" s="4">
        <v>12.372199999999999</v>
      </c>
      <c r="G1174" s="4">
        <v>51542.585200000001</v>
      </c>
      <c r="H1174" s="5">
        <f t="shared" si="18"/>
        <v>2.1111321622865144E-2</v>
      </c>
    </row>
    <row r="1175" spans="1:8" ht="13.5" x14ac:dyDescent="0.25">
      <c r="A1175" s="1"/>
      <c r="B1175" s="3">
        <v>44018</v>
      </c>
      <c r="C1175" s="4">
        <v>12.55</v>
      </c>
      <c r="D1175" s="4">
        <v>7.5274000000000001</v>
      </c>
      <c r="E1175" s="4">
        <v>1581</v>
      </c>
      <c r="F1175" s="4">
        <v>12.3096</v>
      </c>
      <c r="G1175" s="4">
        <v>19461.477599999998</v>
      </c>
      <c r="H1175" s="5">
        <f t="shared" si="18"/>
        <v>-2.3855594136824813E-3</v>
      </c>
    </row>
    <row r="1176" spans="1:8" ht="13.5" x14ac:dyDescent="0.25">
      <c r="A1176" s="1"/>
      <c r="B1176" s="3">
        <v>44019</v>
      </c>
      <c r="C1176" s="4">
        <v>12.33</v>
      </c>
      <c r="D1176" s="4">
        <v>7.3954000000000004</v>
      </c>
      <c r="E1176" s="4">
        <v>4818</v>
      </c>
      <c r="F1176" s="4">
        <v>12.321899999999999</v>
      </c>
      <c r="G1176" s="4">
        <v>59366.914199999999</v>
      </c>
      <c r="H1176" s="5">
        <f t="shared" si="18"/>
        <v>-1.753593538273503E-2</v>
      </c>
    </row>
    <row r="1177" spans="1:8" ht="13.5" x14ac:dyDescent="0.25">
      <c r="A1177" s="1"/>
      <c r="B1177" s="3">
        <v>44020</v>
      </c>
      <c r="C1177" s="4">
        <v>12.6</v>
      </c>
      <c r="D1177" s="4">
        <v>7.5574000000000003</v>
      </c>
      <c r="E1177" s="4">
        <v>1066</v>
      </c>
      <c r="F1177" s="4">
        <v>12.409800000000001</v>
      </c>
      <c r="G1177" s="4">
        <v>13228.846799999999</v>
      </c>
      <c r="H1177" s="5">
        <f t="shared" si="18"/>
        <v>2.1905508829813115E-2</v>
      </c>
    </row>
    <row r="1178" spans="1:8" ht="13.5" x14ac:dyDescent="0.25">
      <c r="A1178" s="1"/>
      <c r="B1178" s="3">
        <v>44021</v>
      </c>
      <c r="C1178" s="4">
        <v>12.6</v>
      </c>
      <c r="D1178" s="4">
        <v>7.5574000000000003</v>
      </c>
      <c r="E1178" s="4">
        <v>5400</v>
      </c>
      <c r="F1178" s="4">
        <v>12.6</v>
      </c>
      <c r="G1178" s="4">
        <v>68040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12.6</v>
      </c>
      <c r="D1179" s="4">
        <v>7.5574000000000003</v>
      </c>
      <c r="E1179" s="4">
        <v>4099</v>
      </c>
      <c r="F1179" s="4">
        <v>12.577400000000001</v>
      </c>
      <c r="G1179" s="4">
        <v>51554.762600000002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12.46</v>
      </c>
      <c r="D1180" s="4">
        <v>7.4733999999999998</v>
      </c>
      <c r="E1180" s="4">
        <v>2252</v>
      </c>
      <c r="F1180" s="4">
        <v>12.5288</v>
      </c>
      <c r="G1180" s="4">
        <v>28214.857599999999</v>
      </c>
      <c r="H1180" s="5">
        <f t="shared" si="18"/>
        <v>-1.1114933707359742E-2</v>
      </c>
    </row>
    <row r="1181" spans="1:8" ht="13.5" x14ac:dyDescent="0.25">
      <c r="A1181" s="1"/>
      <c r="B1181" s="3">
        <v>44026</v>
      </c>
      <c r="C1181" s="4">
        <v>12.46</v>
      </c>
      <c r="D1181" s="4">
        <v>7.4733999999999998</v>
      </c>
      <c r="E1181" s="4">
        <v>5904</v>
      </c>
      <c r="F1181" s="4">
        <v>12.4618</v>
      </c>
      <c r="G1181" s="4">
        <v>73574.467199999999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11.6</v>
      </c>
      <c r="D1182" s="4">
        <v>7.5980999999999996</v>
      </c>
      <c r="E1182" s="4">
        <v>1</v>
      </c>
      <c r="F1182" s="4">
        <v>11.6</v>
      </c>
      <c r="G1182" s="4">
        <v>11.6</v>
      </c>
      <c r="H1182" s="5">
        <f t="shared" si="18"/>
        <v>1.6685845799769825E-2</v>
      </c>
    </row>
    <row r="1183" spans="1:8" ht="13.5" x14ac:dyDescent="0.25">
      <c r="A1183" s="1"/>
      <c r="B1183" s="3">
        <v>44028</v>
      </c>
      <c r="C1183" s="4">
        <v>11.4</v>
      </c>
      <c r="D1183" s="4">
        <v>7.4671000000000003</v>
      </c>
      <c r="E1183" s="4">
        <v>960</v>
      </c>
      <c r="F1183" s="4">
        <v>11.458299999999999</v>
      </c>
      <c r="G1183" s="4">
        <v>10999.968000000001</v>
      </c>
      <c r="H1183" s="5">
        <f t="shared" si="18"/>
        <v>-1.7241152393361412E-2</v>
      </c>
    </row>
    <row r="1184" spans="1:8" ht="13.5" x14ac:dyDescent="0.25">
      <c r="A1184" s="1"/>
      <c r="B1184" s="3">
        <v>44029</v>
      </c>
      <c r="C1184" s="4">
        <v>11.49</v>
      </c>
      <c r="D1184" s="4">
        <v>7.5259999999999998</v>
      </c>
      <c r="E1184" s="4">
        <v>4671</v>
      </c>
      <c r="F1184" s="4">
        <v>11.223699999999999</v>
      </c>
      <c r="G1184" s="4">
        <v>52425.902699999999</v>
      </c>
      <c r="H1184" s="5">
        <f t="shared" si="18"/>
        <v>7.8879350751964623E-3</v>
      </c>
    </row>
    <row r="1185" spans="1:8" ht="13.5" x14ac:dyDescent="0.25">
      <c r="A1185" s="1"/>
      <c r="B1185" s="3">
        <v>44032</v>
      </c>
      <c r="C1185" s="4">
        <v>12</v>
      </c>
      <c r="D1185" s="4">
        <v>7.8601000000000001</v>
      </c>
      <c r="E1185" s="4">
        <v>5811</v>
      </c>
      <c r="F1185" s="4">
        <v>12</v>
      </c>
      <c r="G1185" s="4">
        <v>69732</v>
      </c>
      <c r="H1185" s="5">
        <f t="shared" si="18"/>
        <v>4.4392771724687786E-2</v>
      </c>
    </row>
    <row r="1186" spans="1:8" ht="13.5" x14ac:dyDescent="0.25">
      <c r="A1186" s="1"/>
      <c r="B1186" s="3">
        <v>44033</v>
      </c>
      <c r="C1186" s="4">
        <v>12</v>
      </c>
      <c r="D1186" s="4">
        <v>7.8601000000000001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11.9</v>
      </c>
      <c r="D1187" s="4">
        <v>7.7946</v>
      </c>
      <c r="E1187" s="4">
        <v>2225</v>
      </c>
      <c r="F1187" s="4">
        <v>11.8757</v>
      </c>
      <c r="G1187" s="4">
        <v>26423.432499999999</v>
      </c>
      <c r="H1187" s="5">
        <f t="shared" si="18"/>
        <v>-8.3332273126296239E-3</v>
      </c>
    </row>
    <row r="1188" spans="1:8" ht="13.5" x14ac:dyDescent="0.25">
      <c r="A1188" s="1"/>
      <c r="B1188" s="3">
        <v>44035</v>
      </c>
      <c r="C1188" s="4">
        <v>11.9</v>
      </c>
      <c r="D1188" s="4">
        <v>7.7946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11.9</v>
      </c>
      <c r="D1189" s="4">
        <v>7.7946</v>
      </c>
      <c r="E1189" s="4">
        <v>59</v>
      </c>
      <c r="F1189" s="4">
        <v>11.680999999999999</v>
      </c>
      <c r="G1189" s="4">
        <v>689.17899999999997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11.94</v>
      </c>
      <c r="D1190" s="4">
        <v>7.8208000000000002</v>
      </c>
      <c r="E1190" s="4">
        <v>3</v>
      </c>
      <c r="F1190" s="4">
        <v>11.94</v>
      </c>
      <c r="G1190" s="4">
        <v>35.82</v>
      </c>
      <c r="H1190" s="5">
        <f t="shared" si="18"/>
        <v>3.3613014137993257E-3</v>
      </c>
    </row>
    <row r="1191" spans="1:8" ht="13.5" x14ac:dyDescent="0.25">
      <c r="A1191" s="1"/>
      <c r="B1191" s="3">
        <v>44040</v>
      </c>
      <c r="C1191" s="4">
        <v>11.94</v>
      </c>
      <c r="D1191" s="4">
        <v>7.8208000000000002</v>
      </c>
      <c r="E1191" s="4">
        <v>400</v>
      </c>
      <c r="F1191" s="4">
        <v>11.94</v>
      </c>
      <c r="G1191" s="4">
        <v>4776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11.94</v>
      </c>
      <c r="D1192" s="4">
        <v>7.8208000000000002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11.94</v>
      </c>
      <c r="D1193" s="4">
        <v>7.8208000000000002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11.94</v>
      </c>
      <c r="D1194" s="4">
        <v>7.8208000000000002</v>
      </c>
      <c r="E1194" s="4">
        <v>10</v>
      </c>
      <c r="F1194" s="4">
        <v>11.94</v>
      </c>
      <c r="G1194" s="4">
        <v>119.4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11.9</v>
      </c>
      <c r="D1195" s="4">
        <v>7.7946</v>
      </c>
      <c r="E1195" s="4">
        <v>738</v>
      </c>
      <c r="F1195" s="4">
        <v>11.8584</v>
      </c>
      <c r="G1195" s="4">
        <v>8751.4992000000002</v>
      </c>
      <c r="H1195" s="5">
        <f t="shared" si="18"/>
        <v>-3.3500409165303068E-3</v>
      </c>
    </row>
    <row r="1196" spans="1:8" ht="13.5" x14ac:dyDescent="0.25">
      <c r="A1196" s="1"/>
      <c r="B1196" s="3">
        <v>44048</v>
      </c>
      <c r="C1196" s="4">
        <v>11.85</v>
      </c>
      <c r="D1196" s="4">
        <v>7.7618999999999998</v>
      </c>
      <c r="E1196" s="4">
        <v>1103</v>
      </c>
      <c r="F1196" s="4">
        <v>11.7742</v>
      </c>
      <c r="G1196" s="4">
        <v>12986.9426</v>
      </c>
      <c r="H1196" s="5">
        <f t="shared" si="18"/>
        <v>-4.1952120698945643E-3</v>
      </c>
    </row>
    <row r="1197" spans="1:8" ht="13.5" x14ac:dyDescent="0.25">
      <c r="A1197" s="1"/>
      <c r="B1197" s="3">
        <v>44049</v>
      </c>
      <c r="C1197" s="4">
        <v>11.87</v>
      </c>
      <c r="D1197" s="4">
        <v>7.7750000000000004</v>
      </c>
      <c r="E1197" s="4">
        <v>320</v>
      </c>
      <c r="F1197" s="4">
        <v>11.8047</v>
      </c>
      <c r="G1197" s="4">
        <v>3777.5039999999999</v>
      </c>
      <c r="H1197" s="5">
        <f t="shared" si="18"/>
        <v>1.6877310967676157E-3</v>
      </c>
    </row>
    <row r="1198" spans="1:8" ht="13.5" x14ac:dyDescent="0.25">
      <c r="A1198" s="1"/>
      <c r="B1198" s="3">
        <v>44050</v>
      </c>
      <c r="C1198" s="4">
        <v>11.85</v>
      </c>
      <c r="D1198" s="4">
        <v>7.7618999999999998</v>
      </c>
      <c r="E1198" s="4">
        <v>100</v>
      </c>
      <c r="F1198" s="4">
        <v>11.85</v>
      </c>
      <c r="G1198" s="4">
        <v>1185</v>
      </c>
      <c r="H1198" s="5">
        <f t="shared" si="18"/>
        <v>-1.6848874598071454E-3</v>
      </c>
    </row>
    <row r="1199" spans="1:8" ht="13.5" x14ac:dyDescent="0.25">
      <c r="A1199" s="1"/>
      <c r="B1199" s="3">
        <v>44053</v>
      </c>
      <c r="C1199" s="4">
        <v>11.85</v>
      </c>
      <c r="D1199" s="4">
        <v>7.7618999999999998</v>
      </c>
      <c r="E1199" s="4">
        <v>410</v>
      </c>
      <c r="F1199" s="4">
        <v>11.85</v>
      </c>
      <c r="G1199" s="4">
        <v>4858.5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11.85</v>
      </c>
      <c r="D1200" s="4">
        <v>7.7618999999999998</v>
      </c>
      <c r="E1200" s="4">
        <v>200</v>
      </c>
      <c r="F1200" s="4">
        <v>11.85</v>
      </c>
      <c r="G1200" s="4">
        <v>2370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11.84</v>
      </c>
      <c r="D1201" s="4">
        <v>7.7553000000000001</v>
      </c>
      <c r="E1201" s="4">
        <v>582</v>
      </c>
      <c r="F1201" s="4">
        <v>11.808199999999999</v>
      </c>
      <c r="G1201" s="4">
        <v>6872.3724000000002</v>
      </c>
      <c r="H1201" s="5">
        <f t="shared" si="18"/>
        <v>-8.5030727012712316E-4</v>
      </c>
    </row>
    <row r="1202" spans="1:8" ht="13.5" x14ac:dyDescent="0.25">
      <c r="A1202" s="1"/>
      <c r="B1202" s="3">
        <v>44057</v>
      </c>
      <c r="C1202" s="4">
        <v>11.85</v>
      </c>
      <c r="D1202" s="4">
        <v>7.7618999999999998</v>
      </c>
      <c r="E1202" s="4">
        <v>250</v>
      </c>
      <c r="F1202" s="4">
        <v>11.8416</v>
      </c>
      <c r="G1202" s="4">
        <v>2960.4</v>
      </c>
      <c r="H1202" s="5">
        <f t="shared" si="18"/>
        <v>8.5103090789520933E-4</v>
      </c>
    </row>
    <row r="1203" spans="1:8" ht="13.5" x14ac:dyDescent="0.25">
      <c r="A1203" s="1"/>
      <c r="B1203" s="3">
        <v>44060</v>
      </c>
      <c r="C1203" s="4">
        <v>11.83</v>
      </c>
      <c r="D1203" s="4">
        <v>7.7488000000000001</v>
      </c>
      <c r="E1203" s="4">
        <v>1</v>
      </c>
      <c r="F1203" s="4">
        <v>11.83</v>
      </c>
      <c r="G1203" s="4">
        <v>11.83</v>
      </c>
      <c r="H1203" s="5">
        <f t="shared" si="18"/>
        <v>-1.6877310967675012E-3</v>
      </c>
    </row>
    <row r="1204" spans="1:8" ht="13.5" x14ac:dyDescent="0.25">
      <c r="A1204" s="1"/>
      <c r="B1204" s="3">
        <v>44061</v>
      </c>
      <c r="C1204" s="4">
        <v>11.56</v>
      </c>
      <c r="D1204" s="4">
        <v>7.5719000000000003</v>
      </c>
      <c r="E1204" s="4">
        <v>92</v>
      </c>
      <c r="F1204" s="4">
        <v>11.7058</v>
      </c>
      <c r="G1204" s="4">
        <v>1076.9336000000001</v>
      </c>
      <c r="H1204" s="5">
        <f t="shared" si="18"/>
        <v>-2.2829341317365248E-2</v>
      </c>
    </row>
    <row r="1205" spans="1:8" ht="13.5" x14ac:dyDescent="0.25">
      <c r="A1205" s="1"/>
      <c r="B1205" s="3">
        <v>44062</v>
      </c>
      <c r="C1205" s="4">
        <v>11.55</v>
      </c>
      <c r="D1205" s="4">
        <v>7.5654000000000003</v>
      </c>
      <c r="E1205" s="4">
        <v>724</v>
      </c>
      <c r="F1205" s="4">
        <v>11.5526</v>
      </c>
      <c r="G1205" s="4">
        <v>8364.0823999999993</v>
      </c>
      <c r="H1205" s="5">
        <f t="shared" si="18"/>
        <v>-8.5843711617955207E-4</v>
      </c>
    </row>
    <row r="1206" spans="1:8" ht="13.5" x14ac:dyDescent="0.25">
      <c r="A1206" s="1"/>
      <c r="B1206" s="3">
        <v>44064</v>
      </c>
      <c r="C1206" s="4">
        <v>11.85</v>
      </c>
      <c r="D1206" s="4">
        <v>7.7618999999999998</v>
      </c>
      <c r="E1206" s="4">
        <v>2106</v>
      </c>
      <c r="F1206" s="4">
        <v>11.843999999999999</v>
      </c>
      <c r="G1206" s="4">
        <v>24943.464</v>
      </c>
      <c r="H1206" s="5">
        <f t="shared" si="18"/>
        <v>2.5973510984217549E-2</v>
      </c>
    </row>
    <row r="1207" spans="1:8" ht="13.5" x14ac:dyDescent="0.25">
      <c r="A1207" s="1"/>
      <c r="B1207" s="3">
        <v>44067</v>
      </c>
      <c r="C1207" s="4">
        <v>11.84</v>
      </c>
      <c r="D1207" s="4">
        <v>7.7553000000000001</v>
      </c>
      <c r="E1207" s="4">
        <v>1429</v>
      </c>
      <c r="F1207" s="4">
        <v>11.6989</v>
      </c>
      <c r="G1207" s="4">
        <v>16717.7281</v>
      </c>
      <c r="H1207" s="5">
        <f t="shared" si="18"/>
        <v>-8.5030727012712316E-4</v>
      </c>
    </row>
    <row r="1208" spans="1:8" ht="13.5" x14ac:dyDescent="0.25">
      <c r="A1208" s="1"/>
      <c r="B1208" s="3">
        <v>44068</v>
      </c>
      <c r="C1208" s="4">
        <v>11.8</v>
      </c>
      <c r="D1208" s="4">
        <v>7.7290999999999999</v>
      </c>
      <c r="E1208" s="4">
        <v>350</v>
      </c>
      <c r="F1208" s="4">
        <v>11.8</v>
      </c>
      <c r="G1208" s="4">
        <v>4130</v>
      </c>
      <c r="H1208" s="5">
        <f t="shared" si="18"/>
        <v>-3.3783348161902471E-3</v>
      </c>
    </row>
    <row r="1209" spans="1:8" ht="13.5" x14ac:dyDescent="0.25">
      <c r="A1209" s="1"/>
      <c r="B1209" s="3">
        <v>44069</v>
      </c>
      <c r="C1209" s="4">
        <v>12.1</v>
      </c>
      <c r="D1209" s="4">
        <v>7.9256000000000002</v>
      </c>
      <c r="E1209" s="4">
        <v>1430</v>
      </c>
      <c r="F1209" s="4">
        <v>12.079000000000001</v>
      </c>
      <c r="G1209" s="4">
        <v>17272.97</v>
      </c>
      <c r="H1209" s="5">
        <f t="shared" si="18"/>
        <v>2.5423399878381745E-2</v>
      </c>
    </row>
    <row r="1210" spans="1:8" ht="13.5" x14ac:dyDescent="0.25">
      <c r="A1210" s="1"/>
      <c r="B1210" s="3">
        <v>44070</v>
      </c>
      <c r="C1210" s="4">
        <v>12.1</v>
      </c>
      <c r="D1210" s="4">
        <v>7.9256000000000002</v>
      </c>
      <c r="E1210" s="4">
        <v>210</v>
      </c>
      <c r="F1210" s="4">
        <v>12.1</v>
      </c>
      <c r="G1210" s="4">
        <v>2541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11.74</v>
      </c>
      <c r="D1211" s="4">
        <v>7.6898</v>
      </c>
      <c r="E1211" s="4">
        <v>333</v>
      </c>
      <c r="F1211" s="4">
        <v>11.9618</v>
      </c>
      <c r="G1211" s="4">
        <v>3983.2793999999999</v>
      </c>
      <c r="H1211" s="5">
        <f t="shared" si="18"/>
        <v>-2.9751690723730725E-2</v>
      </c>
    </row>
    <row r="1212" spans="1:8" ht="13.5" x14ac:dyDescent="0.25">
      <c r="A1212" s="1"/>
      <c r="B1212" s="3">
        <v>44074</v>
      </c>
      <c r="C1212" s="4">
        <v>11.53</v>
      </c>
      <c r="D1212" s="4">
        <v>7.5522</v>
      </c>
      <c r="E1212" s="4">
        <v>95</v>
      </c>
      <c r="F1212" s="4">
        <v>11.9679</v>
      </c>
      <c r="G1212" s="4">
        <v>1136.9504999999999</v>
      </c>
      <c r="H1212" s="5">
        <f t="shared" si="18"/>
        <v>-1.7893833389685029E-2</v>
      </c>
    </row>
    <row r="1213" spans="1:8" ht="13.5" x14ac:dyDescent="0.25">
      <c r="A1213" s="1"/>
      <c r="B1213" s="3">
        <v>44075</v>
      </c>
      <c r="C1213" s="4">
        <v>11.61</v>
      </c>
      <c r="D1213" s="4">
        <v>7.6047000000000002</v>
      </c>
      <c r="E1213" s="4">
        <v>603</v>
      </c>
      <c r="F1213" s="4">
        <v>11.839399999999999</v>
      </c>
      <c r="G1213" s="4">
        <v>7139.1581999999999</v>
      </c>
      <c r="H1213" s="5">
        <f t="shared" si="18"/>
        <v>6.9516167474378606E-3</v>
      </c>
    </row>
    <row r="1214" spans="1:8" ht="13.5" x14ac:dyDescent="0.25">
      <c r="A1214" s="1"/>
      <c r="B1214" s="3">
        <v>44076</v>
      </c>
      <c r="C1214" s="4">
        <v>11.94</v>
      </c>
      <c r="D1214" s="4">
        <v>7.8208000000000002</v>
      </c>
      <c r="E1214" s="4">
        <v>478</v>
      </c>
      <c r="F1214" s="4">
        <v>11.865</v>
      </c>
      <c r="G1214" s="4">
        <v>5671.47</v>
      </c>
      <c r="H1214" s="5">
        <f t="shared" si="18"/>
        <v>2.8416637079700706E-2</v>
      </c>
    </row>
    <row r="1215" spans="1:8" ht="13.5" x14ac:dyDescent="0.25">
      <c r="A1215" s="1"/>
      <c r="B1215" s="3">
        <v>44077</v>
      </c>
      <c r="C1215" s="4">
        <v>12</v>
      </c>
      <c r="D1215" s="4">
        <v>7.8601000000000001</v>
      </c>
      <c r="E1215" s="4">
        <v>217</v>
      </c>
      <c r="F1215" s="4">
        <v>11.984299999999999</v>
      </c>
      <c r="G1215" s="4">
        <v>2600.5931</v>
      </c>
      <c r="H1215" s="5">
        <f t="shared" si="18"/>
        <v>5.025061374795403E-3</v>
      </c>
    </row>
    <row r="1216" spans="1:8" ht="13.5" x14ac:dyDescent="0.25">
      <c r="A1216" s="1"/>
      <c r="B1216" s="3">
        <v>44078</v>
      </c>
      <c r="C1216" s="4">
        <v>11.9</v>
      </c>
      <c r="D1216" s="4">
        <v>7.7946</v>
      </c>
      <c r="E1216" s="4">
        <v>290</v>
      </c>
      <c r="F1216" s="4">
        <v>11.9331</v>
      </c>
      <c r="G1216" s="4">
        <v>3460.5990000000002</v>
      </c>
      <c r="H1216" s="5">
        <f t="shared" si="18"/>
        <v>-8.3332273126296239E-3</v>
      </c>
    </row>
    <row r="1217" spans="1:8" ht="13.5" x14ac:dyDescent="0.25">
      <c r="A1217" s="1"/>
      <c r="B1217" s="3">
        <v>44081</v>
      </c>
      <c r="C1217" s="4">
        <v>11.9</v>
      </c>
      <c r="D1217" s="4">
        <v>7.7946</v>
      </c>
      <c r="E1217" s="4">
        <v>670</v>
      </c>
      <c r="F1217" s="4">
        <v>11.888400000000001</v>
      </c>
      <c r="G1217" s="4">
        <v>7965.2280000000001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11.98</v>
      </c>
      <c r="D1218" s="4">
        <v>7.8470000000000004</v>
      </c>
      <c r="E1218" s="4">
        <v>265</v>
      </c>
      <c r="F1218" s="4">
        <v>11.942600000000001</v>
      </c>
      <c r="G1218" s="4">
        <v>3164.7890000000002</v>
      </c>
      <c r="H1218" s="5">
        <f t="shared" si="18"/>
        <v>6.7226028275986513E-3</v>
      </c>
    </row>
    <row r="1219" spans="1:8" ht="13.5" x14ac:dyDescent="0.25">
      <c r="A1219" s="1"/>
      <c r="B1219" s="3">
        <v>44083</v>
      </c>
      <c r="C1219" s="4">
        <v>11.94</v>
      </c>
      <c r="D1219" s="4">
        <v>7.8208000000000002</v>
      </c>
      <c r="E1219" s="4">
        <v>340</v>
      </c>
      <c r="F1219" s="4">
        <v>11.9353</v>
      </c>
      <c r="G1219" s="4">
        <v>4058.002</v>
      </c>
      <c r="H1219" s="5">
        <f t="shared" si="18"/>
        <v>-3.3388556136103253E-3</v>
      </c>
    </row>
    <row r="1220" spans="1:8" ht="13.5" x14ac:dyDescent="0.25">
      <c r="A1220" s="1"/>
      <c r="B1220" s="3">
        <v>44084</v>
      </c>
      <c r="C1220" s="4">
        <v>11.97</v>
      </c>
      <c r="D1220" s="4">
        <v>7.8404999999999996</v>
      </c>
      <c r="E1220" s="4">
        <v>787</v>
      </c>
      <c r="F1220" s="4">
        <v>11.9343</v>
      </c>
      <c r="G1220" s="4">
        <v>9392.2940999999992</v>
      </c>
      <c r="H1220" s="5">
        <f t="shared" si="18"/>
        <v>2.5189238952536036E-3</v>
      </c>
    </row>
    <row r="1221" spans="1:8" ht="13.5" x14ac:dyDescent="0.25">
      <c r="A1221" s="1"/>
      <c r="B1221" s="3">
        <v>44085</v>
      </c>
      <c r="C1221" s="4">
        <v>11.97</v>
      </c>
      <c r="D1221" s="4">
        <v>7.8404999999999996</v>
      </c>
      <c r="E1221" s="4">
        <v>3832</v>
      </c>
      <c r="F1221" s="4">
        <v>11.853199999999999</v>
      </c>
      <c r="G1221" s="4">
        <v>45421.462399999997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11.96</v>
      </c>
      <c r="D1222" s="4">
        <v>7.8338999999999999</v>
      </c>
      <c r="E1222" s="4">
        <v>100</v>
      </c>
      <c r="F1222" s="4">
        <v>11.96</v>
      </c>
      <c r="G1222" s="4">
        <v>1196</v>
      </c>
      <c r="H1222" s="5">
        <f t="shared" si="18"/>
        <v>-8.4178304955037533E-4</v>
      </c>
    </row>
    <row r="1223" spans="1:8" ht="13.5" x14ac:dyDescent="0.25">
      <c r="A1223" s="1"/>
      <c r="B1223" s="3">
        <v>44089</v>
      </c>
      <c r="C1223" s="4">
        <v>11.96</v>
      </c>
      <c r="D1223" s="4">
        <v>7.8338999999999999</v>
      </c>
      <c r="E1223" s="4">
        <v>202</v>
      </c>
      <c r="F1223" s="4">
        <v>11.923299999999999</v>
      </c>
      <c r="G1223" s="4">
        <v>2408.5066000000002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11.96</v>
      </c>
      <c r="D1224" s="4">
        <v>7.8338999999999999</v>
      </c>
      <c r="E1224" s="4">
        <v>145</v>
      </c>
      <c r="F1224" s="4">
        <v>11.9579</v>
      </c>
      <c r="G1224" s="4">
        <v>1733.8955000000001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11.98</v>
      </c>
      <c r="D1225" s="4">
        <v>7.8470000000000004</v>
      </c>
      <c r="E1225" s="4">
        <v>637</v>
      </c>
      <c r="F1225" s="4">
        <v>11.9717</v>
      </c>
      <c r="G1225" s="4">
        <v>7625.9728999999998</v>
      </c>
      <c r="H1225" s="5">
        <f t="shared" si="19"/>
        <v>1.6722194564649225E-3</v>
      </c>
    </row>
    <row r="1226" spans="1:8" ht="13.5" x14ac:dyDescent="0.25">
      <c r="A1226" s="1"/>
      <c r="B1226" s="3">
        <v>44092</v>
      </c>
      <c r="C1226" s="4">
        <v>12.19</v>
      </c>
      <c r="D1226" s="4">
        <v>7.9846000000000004</v>
      </c>
      <c r="E1226" s="4">
        <v>2495</v>
      </c>
      <c r="F1226" s="4">
        <v>11.981999999999999</v>
      </c>
      <c r="G1226" s="4">
        <v>29895.09</v>
      </c>
      <c r="H1226" s="5">
        <f t="shared" si="19"/>
        <v>1.7535363833312084E-2</v>
      </c>
    </row>
    <row r="1227" spans="1:8" ht="13.5" x14ac:dyDescent="0.25">
      <c r="A1227" s="1"/>
      <c r="B1227" s="3">
        <v>44095</v>
      </c>
      <c r="C1227" s="4">
        <v>12.1</v>
      </c>
      <c r="D1227" s="4">
        <v>7.9256000000000002</v>
      </c>
      <c r="E1227" s="4">
        <v>5260</v>
      </c>
      <c r="F1227" s="4">
        <v>12.0776</v>
      </c>
      <c r="G1227" s="4">
        <v>63528.175999999999</v>
      </c>
      <c r="H1227" s="5">
        <f t="shared" si="19"/>
        <v>-7.3892242566941562E-3</v>
      </c>
    </row>
    <row r="1228" spans="1:8" ht="13.5" x14ac:dyDescent="0.25">
      <c r="A1228" s="1"/>
      <c r="B1228" s="3">
        <v>44096</v>
      </c>
      <c r="C1228" s="4">
        <v>12.29</v>
      </c>
      <c r="D1228" s="4">
        <v>8.0501000000000005</v>
      </c>
      <c r="E1228" s="4">
        <v>8</v>
      </c>
      <c r="F1228" s="4">
        <v>12.237500000000001</v>
      </c>
      <c r="G1228" s="4">
        <v>97.9</v>
      </c>
      <c r="H1228" s="5">
        <f t="shared" si="19"/>
        <v>1.5708589885939268E-2</v>
      </c>
    </row>
    <row r="1229" spans="1:8" ht="13.5" x14ac:dyDescent="0.25">
      <c r="A1229" s="1"/>
      <c r="B1229" s="3">
        <v>44097</v>
      </c>
      <c r="C1229" s="4">
        <v>12.28</v>
      </c>
      <c r="D1229" s="4">
        <v>8.0434999999999999</v>
      </c>
      <c r="E1229" s="4">
        <v>7</v>
      </c>
      <c r="F1229" s="4">
        <v>12.28</v>
      </c>
      <c r="G1229" s="4">
        <v>85.96</v>
      </c>
      <c r="H1229" s="5">
        <f t="shared" si="19"/>
        <v>-8.1986559173185484E-4</v>
      </c>
    </row>
    <row r="1230" spans="1:8" ht="13.5" x14ac:dyDescent="0.25">
      <c r="A1230" s="1"/>
      <c r="B1230" s="3">
        <v>44098</v>
      </c>
      <c r="C1230" s="4">
        <v>12.25</v>
      </c>
      <c r="D1230" s="4">
        <v>8.0238999999999994</v>
      </c>
      <c r="E1230" s="4">
        <v>3</v>
      </c>
      <c r="F1230" s="4">
        <v>12.25</v>
      </c>
      <c r="G1230" s="4">
        <v>36.75</v>
      </c>
      <c r="H1230" s="5">
        <f t="shared" si="19"/>
        <v>-2.4367501709455469E-3</v>
      </c>
    </row>
    <row r="1231" spans="1:8" ht="13.5" x14ac:dyDescent="0.25">
      <c r="A1231" s="1"/>
      <c r="B1231" s="3">
        <v>44099</v>
      </c>
      <c r="C1231" s="4">
        <v>12.24</v>
      </c>
      <c r="D1231" s="4">
        <v>8.0173000000000005</v>
      </c>
      <c r="E1231" s="4">
        <v>984</v>
      </c>
      <c r="F1231" s="4">
        <v>11.9983</v>
      </c>
      <c r="G1231" s="4">
        <v>11806.3272</v>
      </c>
      <c r="H1231" s="5">
        <f t="shared" si="19"/>
        <v>-8.2254265382156178E-4</v>
      </c>
    </row>
    <row r="1232" spans="1:8" ht="13.5" x14ac:dyDescent="0.25">
      <c r="A1232" s="1"/>
      <c r="B1232" s="3">
        <v>44102</v>
      </c>
      <c r="C1232" s="4">
        <v>12.19</v>
      </c>
      <c r="D1232" s="4">
        <v>7.9846000000000004</v>
      </c>
      <c r="E1232" s="4">
        <v>238</v>
      </c>
      <c r="F1232" s="4">
        <v>11.961600000000001</v>
      </c>
      <c r="G1232" s="4">
        <v>2846.8607999999999</v>
      </c>
      <c r="H1232" s="5">
        <f t="shared" si="19"/>
        <v>-4.0786798548139861E-3</v>
      </c>
    </row>
    <row r="1233" spans="1:8" ht="13.5" x14ac:dyDescent="0.25">
      <c r="A1233" s="1"/>
      <c r="B1233" s="3">
        <v>44103</v>
      </c>
      <c r="C1233" s="4">
        <v>12</v>
      </c>
      <c r="D1233" s="4">
        <v>7.8601000000000001</v>
      </c>
      <c r="E1233" s="4">
        <v>44</v>
      </c>
      <c r="F1233" s="4">
        <v>11.9991</v>
      </c>
      <c r="G1233" s="4">
        <v>527.96040000000005</v>
      </c>
      <c r="H1233" s="5">
        <f t="shared" si="19"/>
        <v>-1.5592515592515626E-2</v>
      </c>
    </row>
    <row r="1234" spans="1:8" ht="13.5" x14ac:dyDescent="0.25">
      <c r="A1234" s="1"/>
      <c r="B1234" s="3">
        <v>44104</v>
      </c>
      <c r="C1234" s="4">
        <v>12.25</v>
      </c>
      <c r="D1234" s="4">
        <v>8.0238999999999994</v>
      </c>
      <c r="E1234" s="4">
        <v>308</v>
      </c>
      <c r="F1234" s="4">
        <v>11.9581</v>
      </c>
      <c r="G1234" s="4">
        <v>3683.0947999999999</v>
      </c>
      <c r="H1234" s="5">
        <f t="shared" si="19"/>
        <v>2.0839429523797314E-2</v>
      </c>
    </row>
    <row r="1235" spans="1:8" ht="13.5" x14ac:dyDescent="0.25">
      <c r="A1235" s="1"/>
      <c r="B1235" s="3">
        <v>44105</v>
      </c>
      <c r="C1235" s="4">
        <v>12.14</v>
      </c>
      <c r="D1235" s="4">
        <v>7.9518000000000004</v>
      </c>
      <c r="E1235" s="4">
        <v>330</v>
      </c>
      <c r="F1235" s="4">
        <v>11.944599999999999</v>
      </c>
      <c r="G1235" s="4">
        <v>3941.7179999999998</v>
      </c>
      <c r="H1235" s="5">
        <f t="shared" si="19"/>
        <v>-8.9856553546279177E-3</v>
      </c>
    </row>
    <row r="1236" spans="1:8" ht="13.5" x14ac:dyDescent="0.25">
      <c r="A1236" s="1"/>
      <c r="B1236" s="3">
        <v>44106</v>
      </c>
      <c r="C1236" s="4">
        <v>11.6</v>
      </c>
      <c r="D1236" s="4">
        <v>7.5980999999999996</v>
      </c>
      <c r="E1236" s="4">
        <v>2689</v>
      </c>
      <c r="F1236" s="4">
        <v>11.752700000000001</v>
      </c>
      <c r="G1236" s="4">
        <v>31603.010300000002</v>
      </c>
      <c r="H1236" s="5">
        <f t="shared" si="19"/>
        <v>-4.4480494982268262E-2</v>
      </c>
    </row>
    <row r="1237" spans="1:8" ht="13.5" x14ac:dyDescent="0.25">
      <c r="A1237" s="1"/>
      <c r="B1237" s="3">
        <v>44109</v>
      </c>
      <c r="C1237" s="4">
        <v>11.94</v>
      </c>
      <c r="D1237" s="4">
        <v>7.8208000000000002</v>
      </c>
      <c r="E1237" s="4">
        <v>804</v>
      </c>
      <c r="F1237" s="4">
        <v>11.641500000000001</v>
      </c>
      <c r="G1237" s="4">
        <v>9359.7659999999996</v>
      </c>
      <c r="H1237" s="5">
        <f t="shared" si="19"/>
        <v>2.9309959068714624E-2</v>
      </c>
    </row>
    <row r="1238" spans="1:8" ht="13.5" x14ac:dyDescent="0.25">
      <c r="A1238" s="1"/>
      <c r="B1238" s="3">
        <v>44110</v>
      </c>
      <c r="C1238" s="4">
        <v>12</v>
      </c>
      <c r="D1238" s="4">
        <v>7.8601000000000001</v>
      </c>
      <c r="E1238" s="4">
        <v>1</v>
      </c>
      <c r="F1238" s="4">
        <v>12</v>
      </c>
      <c r="G1238" s="4">
        <v>12</v>
      </c>
      <c r="H1238" s="5">
        <f t="shared" si="19"/>
        <v>5.025061374795403E-3</v>
      </c>
    </row>
    <row r="1239" spans="1:8" ht="13.5" x14ac:dyDescent="0.25">
      <c r="A1239" s="1"/>
      <c r="B1239" s="3">
        <v>44111</v>
      </c>
      <c r="C1239" s="4">
        <v>12.1</v>
      </c>
      <c r="D1239" s="4">
        <v>7.9256000000000002</v>
      </c>
      <c r="E1239" s="4">
        <v>102</v>
      </c>
      <c r="F1239" s="4">
        <v>11.835000000000001</v>
      </c>
      <c r="G1239" s="4">
        <v>1207.17</v>
      </c>
      <c r="H1239" s="5">
        <f t="shared" si="19"/>
        <v>8.3332273126296239E-3</v>
      </c>
    </row>
    <row r="1240" spans="1:8" ht="13.5" x14ac:dyDescent="0.25">
      <c r="A1240" s="1"/>
      <c r="B1240" s="3">
        <v>44112</v>
      </c>
      <c r="C1240" s="4">
        <v>11.74</v>
      </c>
      <c r="D1240" s="4">
        <v>7.6898</v>
      </c>
      <c r="E1240" s="4">
        <v>10884</v>
      </c>
      <c r="F1240" s="4">
        <v>11.767300000000001</v>
      </c>
      <c r="G1240" s="4">
        <v>128075.2932</v>
      </c>
      <c r="H1240" s="5">
        <f t="shared" si="19"/>
        <v>-2.9751690723730725E-2</v>
      </c>
    </row>
    <row r="1241" spans="1:8" ht="13.5" x14ac:dyDescent="0.25">
      <c r="A1241" s="1"/>
      <c r="B1241" s="3">
        <v>44113</v>
      </c>
      <c r="C1241" s="4">
        <v>11.85</v>
      </c>
      <c r="D1241" s="4">
        <v>7.7618999999999998</v>
      </c>
      <c r="E1241" s="4">
        <v>63</v>
      </c>
      <c r="F1241" s="4">
        <v>11.85</v>
      </c>
      <c r="G1241" s="4">
        <v>746.55</v>
      </c>
      <c r="H1241" s="5">
        <f t="shared" si="19"/>
        <v>9.3760565944497679E-3</v>
      </c>
    </row>
    <row r="1242" spans="1:8" ht="13.5" x14ac:dyDescent="0.25">
      <c r="A1242" s="1"/>
      <c r="B1242" s="3">
        <v>44116</v>
      </c>
      <c r="C1242" s="4">
        <v>12.18</v>
      </c>
      <c r="D1242" s="4">
        <v>7.9779999999999998</v>
      </c>
      <c r="E1242" s="4">
        <v>161</v>
      </c>
      <c r="F1242" s="4">
        <v>11.918799999999999</v>
      </c>
      <c r="G1242" s="4">
        <v>1918.9268</v>
      </c>
      <c r="H1242" s="5">
        <f t="shared" si="19"/>
        <v>2.7841121374921084E-2</v>
      </c>
    </row>
    <row r="1243" spans="1:8" ht="13.5" x14ac:dyDescent="0.25">
      <c r="A1243" s="1"/>
      <c r="B1243" s="3">
        <v>44117</v>
      </c>
      <c r="C1243" s="4">
        <v>12.19</v>
      </c>
      <c r="D1243" s="4">
        <v>7.9846000000000004</v>
      </c>
      <c r="E1243" s="4">
        <v>3017</v>
      </c>
      <c r="F1243" s="4">
        <v>11.8461</v>
      </c>
      <c r="G1243" s="4">
        <v>35739.683700000001</v>
      </c>
      <c r="H1243" s="5">
        <f t="shared" si="19"/>
        <v>8.2727500626731082E-4</v>
      </c>
    </row>
    <row r="1244" spans="1:8" ht="13.5" x14ac:dyDescent="0.25">
      <c r="A1244" s="1"/>
      <c r="B1244" s="3">
        <v>44118</v>
      </c>
      <c r="C1244" s="4">
        <v>11.98</v>
      </c>
      <c r="D1244" s="4">
        <v>7.8470000000000004</v>
      </c>
      <c r="E1244" s="4">
        <v>1910</v>
      </c>
      <c r="F1244" s="4">
        <v>11.7578</v>
      </c>
      <c r="G1244" s="4">
        <v>22457.398000000001</v>
      </c>
      <c r="H1244" s="5">
        <f t="shared" si="19"/>
        <v>-1.7233173859679877E-2</v>
      </c>
    </row>
    <row r="1245" spans="1:8" ht="13.5" x14ac:dyDescent="0.25">
      <c r="A1245" s="1"/>
      <c r="B1245" s="3">
        <v>44120</v>
      </c>
      <c r="C1245" s="4">
        <v>12</v>
      </c>
      <c r="D1245" s="4">
        <v>7.8601000000000001</v>
      </c>
      <c r="E1245" s="4">
        <v>566</v>
      </c>
      <c r="F1245" s="4">
        <v>11.7051</v>
      </c>
      <c r="G1245" s="4">
        <v>6625.0865999999996</v>
      </c>
      <c r="H1245" s="5">
        <f t="shared" si="19"/>
        <v>1.669427806805106E-3</v>
      </c>
    </row>
    <row r="1246" spans="1:8" ht="13.5" x14ac:dyDescent="0.25">
      <c r="A1246" s="1"/>
      <c r="B1246" s="3">
        <v>44123</v>
      </c>
      <c r="C1246" s="4">
        <v>12</v>
      </c>
      <c r="D1246" s="4">
        <v>7.8601000000000001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11.95</v>
      </c>
      <c r="D1247" s="4">
        <v>7.8273999999999999</v>
      </c>
      <c r="E1247" s="4">
        <v>114</v>
      </c>
      <c r="F1247" s="4">
        <v>11.95</v>
      </c>
      <c r="G1247" s="4">
        <v>1362.3</v>
      </c>
      <c r="H1247" s="5">
        <f t="shared" si="19"/>
        <v>-4.1602524140914457E-3</v>
      </c>
    </row>
    <row r="1248" spans="1:8" ht="13.5" x14ac:dyDescent="0.25">
      <c r="A1248" s="1"/>
      <c r="B1248" s="3">
        <v>44125</v>
      </c>
      <c r="C1248" s="4">
        <v>12.2</v>
      </c>
      <c r="D1248" s="4">
        <v>7.9911000000000003</v>
      </c>
      <c r="E1248" s="4">
        <v>1414</v>
      </c>
      <c r="F1248" s="4">
        <v>11.785500000000001</v>
      </c>
      <c r="G1248" s="4">
        <v>16664.697</v>
      </c>
      <c r="H1248" s="5">
        <f t="shared" si="19"/>
        <v>2.0913713365868666E-2</v>
      </c>
    </row>
    <row r="1249" spans="1:8" ht="13.5" x14ac:dyDescent="0.25">
      <c r="A1249" s="1"/>
      <c r="B1249" s="3">
        <v>44126</v>
      </c>
      <c r="C1249" s="4">
        <v>11.84</v>
      </c>
      <c r="D1249" s="4">
        <v>7.7553000000000001</v>
      </c>
      <c r="E1249" s="4">
        <v>25</v>
      </c>
      <c r="F1249" s="4">
        <v>11.84</v>
      </c>
      <c r="G1249" s="4">
        <v>296</v>
      </c>
      <c r="H1249" s="5">
        <f t="shared" si="19"/>
        <v>-2.9507827458047104E-2</v>
      </c>
    </row>
    <row r="1250" spans="1:8" ht="13.5" x14ac:dyDescent="0.25">
      <c r="A1250" s="1"/>
      <c r="B1250" s="3">
        <v>44127</v>
      </c>
      <c r="C1250" s="4">
        <v>12.1</v>
      </c>
      <c r="D1250" s="4">
        <v>7.9256000000000002</v>
      </c>
      <c r="E1250" s="4">
        <v>244</v>
      </c>
      <c r="F1250" s="4">
        <v>11.8491</v>
      </c>
      <c r="G1250" s="4">
        <v>2891.1804000000002</v>
      </c>
      <c r="H1250" s="5">
        <f t="shared" si="19"/>
        <v>2.1959176305236434E-2</v>
      </c>
    </row>
    <row r="1251" spans="1:8" ht="13.5" x14ac:dyDescent="0.25">
      <c r="A1251" s="1"/>
      <c r="B1251" s="3">
        <v>44130</v>
      </c>
      <c r="C1251" s="4">
        <v>12.12</v>
      </c>
      <c r="D1251" s="4">
        <v>7.9386999999999999</v>
      </c>
      <c r="E1251" s="4">
        <v>978</v>
      </c>
      <c r="F1251" s="4">
        <v>11.822100000000001</v>
      </c>
      <c r="G1251" s="4">
        <v>11562.013800000001</v>
      </c>
      <c r="H1251" s="5">
        <f t="shared" si="19"/>
        <v>1.6528717068738856E-3</v>
      </c>
    </row>
    <row r="1252" spans="1:8" ht="13.5" x14ac:dyDescent="0.25">
      <c r="A1252" s="1"/>
      <c r="B1252" s="3">
        <v>44131</v>
      </c>
      <c r="C1252" s="4">
        <v>12.1</v>
      </c>
      <c r="D1252" s="4">
        <v>7.9256000000000002</v>
      </c>
      <c r="E1252" s="4">
        <v>253</v>
      </c>
      <c r="F1252" s="4">
        <v>11.8256</v>
      </c>
      <c r="G1252" s="4">
        <v>2991.8768</v>
      </c>
      <c r="H1252" s="5">
        <f t="shared" si="19"/>
        <v>-1.6501442301635868E-3</v>
      </c>
    </row>
    <row r="1253" spans="1:8" ht="13.5" x14ac:dyDescent="0.25">
      <c r="A1253" s="1"/>
      <c r="B1253" s="3">
        <v>44132</v>
      </c>
      <c r="C1253" s="4">
        <v>11.8</v>
      </c>
      <c r="D1253" s="4">
        <v>7.7290999999999999</v>
      </c>
      <c r="E1253" s="4">
        <v>789</v>
      </c>
      <c r="F1253" s="4">
        <v>11.7966</v>
      </c>
      <c r="G1253" s="4">
        <v>9307.5174000000006</v>
      </c>
      <c r="H1253" s="5">
        <f t="shared" si="19"/>
        <v>-2.4793075603108956E-2</v>
      </c>
    </row>
    <row r="1254" spans="1:8" ht="13.5" x14ac:dyDescent="0.25">
      <c r="A1254" s="1"/>
      <c r="B1254" s="3">
        <v>44134</v>
      </c>
      <c r="C1254" s="4">
        <v>12.05</v>
      </c>
      <c r="D1254" s="4">
        <v>7.8929</v>
      </c>
      <c r="E1254" s="4">
        <v>48</v>
      </c>
      <c r="F1254" s="4">
        <v>11.7438</v>
      </c>
      <c r="G1254" s="4">
        <v>563.70240000000001</v>
      </c>
      <c r="H1254" s="5">
        <f t="shared" si="19"/>
        <v>2.1192635623811334E-2</v>
      </c>
    </row>
    <row r="1255" spans="1:8" ht="13.5" x14ac:dyDescent="0.25">
      <c r="A1255" s="1"/>
      <c r="B1255" s="3">
        <v>44137</v>
      </c>
      <c r="C1255" s="4">
        <v>12.04</v>
      </c>
      <c r="D1255" s="4">
        <v>7.8863000000000003</v>
      </c>
      <c r="E1255" s="4">
        <v>802</v>
      </c>
      <c r="F1255" s="4">
        <v>11.737</v>
      </c>
      <c r="G1255" s="4">
        <v>9413.0740000000005</v>
      </c>
      <c r="H1255" s="5">
        <f t="shared" si="19"/>
        <v>-8.3619455459966769E-4</v>
      </c>
    </row>
    <row r="1256" spans="1:8" ht="13.5" x14ac:dyDescent="0.25">
      <c r="A1256" s="1"/>
      <c r="B1256" s="3">
        <v>44138</v>
      </c>
      <c r="C1256" s="4">
        <v>12.04</v>
      </c>
      <c r="D1256" s="4">
        <v>7.8863000000000003</v>
      </c>
      <c r="E1256" s="4">
        <v>0</v>
      </c>
      <c r="F1256" s="4">
        <v>0</v>
      </c>
      <c r="G1256" s="4">
        <v>0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11.99</v>
      </c>
      <c r="D1257" s="4">
        <v>7.8536000000000001</v>
      </c>
      <c r="E1257" s="4">
        <v>82</v>
      </c>
      <c r="F1257" s="4">
        <v>11.995100000000001</v>
      </c>
      <c r="G1257" s="4">
        <v>983.59820000000002</v>
      </c>
      <c r="H1257" s="5">
        <f t="shared" si="19"/>
        <v>-4.1464311527586034E-3</v>
      </c>
    </row>
    <row r="1258" spans="1:8" ht="13.5" x14ac:dyDescent="0.25">
      <c r="A1258" s="1"/>
      <c r="B1258" s="3">
        <v>44140</v>
      </c>
      <c r="C1258" s="4">
        <v>11.9</v>
      </c>
      <c r="D1258" s="4">
        <v>7.7946</v>
      </c>
      <c r="E1258" s="4">
        <v>107</v>
      </c>
      <c r="F1258" s="4">
        <v>11.7019</v>
      </c>
      <c r="G1258" s="4">
        <v>1252.1033</v>
      </c>
      <c r="H1258" s="5">
        <f t="shared" si="19"/>
        <v>-7.5124783538759498E-3</v>
      </c>
    </row>
    <row r="1259" spans="1:8" ht="13.5" x14ac:dyDescent="0.25">
      <c r="A1259" s="1"/>
      <c r="B1259" s="3">
        <v>44141</v>
      </c>
      <c r="C1259" s="4">
        <v>11.9</v>
      </c>
      <c r="D1259" s="4">
        <v>7.7946</v>
      </c>
      <c r="E1259" s="4">
        <v>152</v>
      </c>
      <c r="F1259" s="4">
        <v>11.711600000000001</v>
      </c>
      <c r="G1259" s="4">
        <v>1780.1632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11.9</v>
      </c>
      <c r="D1260" s="4">
        <v>7.7946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11.9</v>
      </c>
      <c r="D1261" s="4">
        <v>7.7946</v>
      </c>
      <c r="E1261" s="4">
        <v>200</v>
      </c>
      <c r="F1261" s="4">
        <v>11.702999999999999</v>
      </c>
      <c r="G1261" s="4">
        <v>2340.6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11.9</v>
      </c>
      <c r="D1262" s="4">
        <v>7.7946</v>
      </c>
      <c r="E1262" s="4">
        <v>120</v>
      </c>
      <c r="F1262" s="4">
        <v>11.7333</v>
      </c>
      <c r="G1262" s="4">
        <v>1407.9960000000001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11.9</v>
      </c>
      <c r="D1263" s="4">
        <v>7.7946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11.9</v>
      </c>
      <c r="D1264" s="4">
        <v>7.7946</v>
      </c>
      <c r="E1264" s="4">
        <v>1199</v>
      </c>
      <c r="F1264" s="4">
        <v>11.8969</v>
      </c>
      <c r="G1264" s="4">
        <v>14264.383099999999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12.18</v>
      </c>
      <c r="D1265" s="4">
        <v>7.9779999999999998</v>
      </c>
      <c r="E1265" s="4">
        <v>2474</v>
      </c>
      <c r="F1265" s="4">
        <v>12.001799999999999</v>
      </c>
      <c r="G1265" s="4">
        <v>29692.4532</v>
      </c>
      <c r="H1265" s="5">
        <f t="shared" si="19"/>
        <v>2.3529109896595051E-2</v>
      </c>
    </row>
    <row r="1266" spans="1:8" ht="13.5" x14ac:dyDescent="0.25">
      <c r="A1266" s="1"/>
      <c r="B1266" s="3">
        <v>44152</v>
      </c>
      <c r="C1266" s="4">
        <v>12.19</v>
      </c>
      <c r="D1266" s="4">
        <v>7.9846000000000004</v>
      </c>
      <c r="E1266" s="4">
        <v>146</v>
      </c>
      <c r="F1266" s="4">
        <v>12.106199999999999</v>
      </c>
      <c r="G1266" s="4">
        <v>1767.5052000000001</v>
      </c>
      <c r="H1266" s="5">
        <f t="shared" si="19"/>
        <v>8.2727500626731082E-4</v>
      </c>
    </row>
    <row r="1267" spans="1:8" ht="13.5" x14ac:dyDescent="0.25">
      <c r="A1267" s="1"/>
      <c r="B1267" s="3">
        <v>44153</v>
      </c>
      <c r="C1267" s="4">
        <v>12.17</v>
      </c>
      <c r="D1267" s="4">
        <v>7.9714999999999998</v>
      </c>
      <c r="E1267" s="4">
        <v>266</v>
      </c>
      <c r="F1267" s="4">
        <v>12.161199999999999</v>
      </c>
      <c r="G1267" s="4">
        <v>3234.8791999999999</v>
      </c>
      <c r="H1267" s="5">
        <f t="shared" si="19"/>
        <v>-1.6406582671643609E-3</v>
      </c>
    </row>
    <row r="1268" spans="1:8" ht="13.5" x14ac:dyDescent="0.25">
      <c r="A1268" s="1"/>
      <c r="B1268" s="3">
        <v>44154</v>
      </c>
      <c r="C1268" s="4">
        <v>12.16</v>
      </c>
      <c r="D1268" s="4">
        <v>7.9649000000000001</v>
      </c>
      <c r="E1268" s="4">
        <v>1204</v>
      </c>
      <c r="F1268" s="4">
        <v>12.000299999999999</v>
      </c>
      <c r="G1268" s="4">
        <v>14448.361199999999</v>
      </c>
      <c r="H1268" s="5">
        <f t="shared" si="19"/>
        <v>-8.2794957034431629E-4</v>
      </c>
    </row>
    <row r="1269" spans="1:8" ht="13.5" x14ac:dyDescent="0.25">
      <c r="A1269" s="1"/>
      <c r="B1269" s="3">
        <v>44155</v>
      </c>
      <c r="C1269" s="4">
        <v>12.19</v>
      </c>
      <c r="D1269" s="4">
        <v>7.9846000000000004</v>
      </c>
      <c r="E1269" s="4">
        <v>624</v>
      </c>
      <c r="F1269" s="4">
        <v>12.1601</v>
      </c>
      <c r="G1269" s="4">
        <v>7587.9023999999999</v>
      </c>
      <c r="H1269" s="5">
        <f t="shared" si="19"/>
        <v>2.4733518311592451E-3</v>
      </c>
    </row>
    <row r="1270" spans="1:8" ht="13.5" x14ac:dyDescent="0.25">
      <c r="A1270" s="1"/>
      <c r="B1270" s="3">
        <v>44158</v>
      </c>
      <c r="C1270" s="4">
        <v>12.15</v>
      </c>
      <c r="D1270" s="4">
        <v>7.9584000000000001</v>
      </c>
      <c r="E1270" s="4">
        <v>1419</v>
      </c>
      <c r="F1270" s="4">
        <v>12.0008</v>
      </c>
      <c r="G1270" s="4">
        <v>17029.135200000001</v>
      </c>
      <c r="H1270" s="5">
        <f t="shared" si="19"/>
        <v>-3.2813165343286103E-3</v>
      </c>
    </row>
    <row r="1271" spans="1:8" ht="13.5" x14ac:dyDescent="0.25">
      <c r="A1271" s="1"/>
      <c r="B1271" s="3">
        <v>44159</v>
      </c>
      <c r="C1271" s="4">
        <v>12</v>
      </c>
      <c r="D1271" s="4">
        <v>7.8601000000000001</v>
      </c>
      <c r="E1271" s="4">
        <v>1747</v>
      </c>
      <c r="F1271" s="4">
        <v>12</v>
      </c>
      <c r="G1271" s="4">
        <v>20964</v>
      </c>
      <c r="H1271" s="5">
        <f t="shared" si="19"/>
        <v>-1.2351728990751917E-2</v>
      </c>
    </row>
    <row r="1272" spans="1:8" ht="13.5" x14ac:dyDescent="0.25">
      <c r="A1272" s="1"/>
      <c r="B1272" s="3">
        <v>44160</v>
      </c>
      <c r="C1272" s="4">
        <v>11.85</v>
      </c>
      <c r="D1272" s="4">
        <v>7.7618999999999998</v>
      </c>
      <c r="E1272" s="4">
        <v>3706</v>
      </c>
      <c r="F1272" s="4">
        <v>11.9984</v>
      </c>
      <c r="G1272" s="4">
        <v>44466.070399999997</v>
      </c>
      <c r="H1272" s="5">
        <f t="shared" si="19"/>
        <v>-1.2493479726721071E-2</v>
      </c>
    </row>
    <row r="1273" spans="1:8" ht="13.5" x14ac:dyDescent="0.25">
      <c r="A1273" s="1"/>
      <c r="B1273" s="3">
        <v>44161</v>
      </c>
      <c r="C1273" s="4">
        <v>11.8</v>
      </c>
      <c r="D1273" s="4">
        <v>7.7290999999999999</v>
      </c>
      <c r="E1273" s="4">
        <v>958</v>
      </c>
      <c r="F1273" s="4">
        <v>11.86</v>
      </c>
      <c r="G1273" s="4">
        <v>11361.88</v>
      </c>
      <c r="H1273" s="5">
        <f t="shared" si="19"/>
        <v>-4.2257694636622404E-3</v>
      </c>
    </row>
    <row r="1274" spans="1:8" ht="13.5" x14ac:dyDescent="0.25">
      <c r="A1274" s="1"/>
      <c r="B1274" s="3">
        <v>44162</v>
      </c>
      <c r="C1274" s="4">
        <v>12.1</v>
      </c>
      <c r="D1274" s="4">
        <v>7.9256000000000002</v>
      </c>
      <c r="E1274" s="4">
        <v>112</v>
      </c>
      <c r="F1274" s="4">
        <v>12.1089</v>
      </c>
      <c r="G1274" s="4">
        <v>1356.1967999999999</v>
      </c>
      <c r="H1274" s="5">
        <f t="shared" si="19"/>
        <v>2.5423399878381745E-2</v>
      </c>
    </row>
    <row r="1275" spans="1:8" ht="13.5" x14ac:dyDescent="0.25">
      <c r="A1275" s="1"/>
      <c r="B1275" s="3">
        <v>44165</v>
      </c>
      <c r="C1275" s="4">
        <v>12.1</v>
      </c>
      <c r="D1275" s="4">
        <v>7.9256000000000002</v>
      </c>
      <c r="E1275" s="4">
        <v>232</v>
      </c>
      <c r="F1275" s="4">
        <v>11.857799999999999</v>
      </c>
      <c r="G1275" s="4">
        <v>2751.0095999999999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12</v>
      </c>
      <c r="D1276" s="4">
        <v>7.8601000000000001</v>
      </c>
      <c r="E1276" s="4">
        <v>11</v>
      </c>
      <c r="F1276" s="4">
        <v>12.0245</v>
      </c>
      <c r="G1276" s="4">
        <v>132.26949999999999</v>
      </c>
      <c r="H1276" s="5">
        <f t="shared" si="19"/>
        <v>-8.2643585343696521E-3</v>
      </c>
    </row>
    <row r="1277" spans="1:8" ht="13.5" x14ac:dyDescent="0.25">
      <c r="A1277" s="1"/>
      <c r="B1277" s="3">
        <v>44167</v>
      </c>
      <c r="C1277" s="4">
        <v>11.91</v>
      </c>
      <c r="D1277" s="4">
        <v>7.8011999999999997</v>
      </c>
      <c r="E1277" s="4">
        <v>613</v>
      </c>
      <c r="F1277" s="4">
        <v>11.9117</v>
      </c>
      <c r="G1277" s="4">
        <v>7301.8720999999996</v>
      </c>
      <c r="H1277" s="5">
        <f t="shared" si="19"/>
        <v>-7.4935433391433185E-3</v>
      </c>
    </row>
    <row r="1278" spans="1:8" ht="13.5" x14ac:dyDescent="0.25">
      <c r="A1278" s="1"/>
      <c r="B1278" s="3">
        <v>44168</v>
      </c>
      <c r="C1278" s="4">
        <v>11.91</v>
      </c>
      <c r="D1278" s="4">
        <v>7.8011999999999997</v>
      </c>
      <c r="E1278" s="4">
        <v>99</v>
      </c>
      <c r="F1278" s="4">
        <v>11.941700000000001</v>
      </c>
      <c r="G1278" s="4">
        <v>1182.2283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11.9</v>
      </c>
      <c r="D1279" s="4">
        <v>7.7946</v>
      </c>
      <c r="E1279" s="4">
        <v>41</v>
      </c>
      <c r="F1279" s="4">
        <v>11.9229</v>
      </c>
      <c r="G1279" s="4">
        <v>488.83890000000002</v>
      </c>
      <c r="H1279" s="5">
        <f t="shared" si="19"/>
        <v>-8.4602368866324633E-4</v>
      </c>
    </row>
    <row r="1280" spans="1:8" ht="13.5" x14ac:dyDescent="0.25">
      <c r="A1280" s="1"/>
      <c r="B1280" s="3">
        <v>44172</v>
      </c>
      <c r="C1280" s="4">
        <v>11.88</v>
      </c>
      <c r="D1280" s="4">
        <v>7.7815000000000003</v>
      </c>
      <c r="E1280" s="4">
        <v>45</v>
      </c>
      <c r="F1280" s="4">
        <v>11.853300000000001</v>
      </c>
      <c r="G1280" s="4">
        <v>533.39850000000001</v>
      </c>
      <c r="H1280" s="5">
        <f t="shared" si="19"/>
        <v>-1.6806507068996058E-3</v>
      </c>
    </row>
    <row r="1281" spans="1:8" ht="13.5" x14ac:dyDescent="0.25">
      <c r="A1281" s="1"/>
      <c r="B1281" s="3">
        <v>44173</v>
      </c>
      <c r="C1281" s="4">
        <v>11.76</v>
      </c>
      <c r="D1281" s="4">
        <v>7.7028999999999996</v>
      </c>
      <c r="E1281" s="4">
        <v>270</v>
      </c>
      <c r="F1281" s="4">
        <v>11.786300000000001</v>
      </c>
      <c r="G1281" s="4">
        <v>3182.3009999999999</v>
      </c>
      <c r="H1281" s="5">
        <f t="shared" si="19"/>
        <v>-1.0100880293002721E-2</v>
      </c>
    </row>
    <row r="1282" spans="1:8" ht="13.5" x14ac:dyDescent="0.25">
      <c r="A1282" s="1"/>
      <c r="B1282" s="3">
        <v>44174</v>
      </c>
      <c r="C1282" s="4">
        <v>11.88</v>
      </c>
      <c r="D1282" s="4">
        <v>7.7815000000000003</v>
      </c>
      <c r="E1282" s="4">
        <v>5</v>
      </c>
      <c r="F1282" s="4">
        <v>11.88</v>
      </c>
      <c r="G1282" s="4">
        <v>59.4</v>
      </c>
      <c r="H1282" s="5">
        <f t="shared" si="19"/>
        <v>1.0203949162004008E-2</v>
      </c>
    </row>
    <row r="1283" spans="1:8" ht="13.5" x14ac:dyDescent="0.25">
      <c r="A1283" s="1"/>
      <c r="B1283" s="3">
        <v>44175</v>
      </c>
      <c r="C1283" s="4">
        <v>11.8</v>
      </c>
      <c r="D1283" s="4">
        <v>7.7290999999999999</v>
      </c>
      <c r="E1283" s="4">
        <v>1041</v>
      </c>
      <c r="F1283" s="4">
        <v>11.7935</v>
      </c>
      <c r="G1283" s="4">
        <v>12277.0335</v>
      </c>
      <c r="H1283" s="5">
        <f t="shared" si="19"/>
        <v>-6.7339201953351465E-3</v>
      </c>
    </row>
    <row r="1284" spans="1:8" ht="13.5" x14ac:dyDescent="0.25">
      <c r="A1284" s="1"/>
      <c r="B1284" s="3">
        <v>44176</v>
      </c>
      <c r="C1284" s="4">
        <v>11.88</v>
      </c>
      <c r="D1284" s="4">
        <v>7.7815000000000003</v>
      </c>
      <c r="E1284" s="4">
        <v>138</v>
      </c>
      <c r="F1284" s="4">
        <v>11.790900000000001</v>
      </c>
      <c r="G1284" s="4">
        <v>1627.1442</v>
      </c>
      <c r="H1284" s="5">
        <f t="shared" si="19"/>
        <v>6.7795733009018448E-3</v>
      </c>
    </row>
    <row r="1285" spans="1:8" ht="13.5" x14ac:dyDescent="0.25">
      <c r="A1285" s="1"/>
      <c r="B1285" s="3">
        <v>44179</v>
      </c>
      <c r="C1285" s="4">
        <v>12</v>
      </c>
      <c r="D1285" s="4">
        <v>7.8601000000000001</v>
      </c>
      <c r="E1285" s="4">
        <v>1066</v>
      </c>
      <c r="F1285" s="4">
        <v>11.8805</v>
      </c>
      <c r="G1285" s="4">
        <v>12664.612999999999</v>
      </c>
      <c r="H1285" s="5">
        <f t="shared" si="19"/>
        <v>1.0100880293002606E-2</v>
      </c>
    </row>
    <row r="1286" spans="1:8" ht="13.5" x14ac:dyDescent="0.25">
      <c r="A1286" s="1"/>
      <c r="B1286" s="3">
        <v>44180</v>
      </c>
      <c r="C1286" s="4">
        <v>12</v>
      </c>
      <c r="D1286" s="4">
        <v>7.8601000000000001</v>
      </c>
      <c r="E1286" s="4">
        <v>8</v>
      </c>
      <c r="F1286" s="4">
        <v>12</v>
      </c>
      <c r="G1286" s="4">
        <v>96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12.05</v>
      </c>
      <c r="D1287" s="4">
        <v>7.8929</v>
      </c>
      <c r="E1287" s="4">
        <v>2226</v>
      </c>
      <c r="F1287" s="4">
        <v>12.000299999999999</v>
      </c>
      <c r="G1287" s="4">
        <v>26712.667799999999</v>
      </c>
      <c r="H1287" s="5">
        <f t="shared" ref="H1287:H1350" si="20">(D1287-D1286)/D1286</f>
        <v>4.1729748985381791E-3</v>
      </c>
    </row>
    <row r="1288" spans="1:8" ht="13.5" x14ac:dyDescent="0.25">
      <c r="A1288" s="1"/>
      <c r="B1288" s="3">
        <v>44182</v>
      </c>
      <c r="C1288" s="4">
        <v>12</v>
      </c>
      <c r="D1288" s="4">
        <v>7.8601000000000001</v>
      </c>
      <c r="E1288" s="4">
        <v>13</v>
      </c>
      <c r="F1288" s="4">
        <v>12</v>
      </c>
      <c r="G1288" s="4">
        <v>156</v>
      </c>
      <c r="H1288" s="5">
        <f t="shared" si="20"/>
        <v>-4.1556335440712461E-3</v>
      </c>
    </row>
    <row r="1289" spans="1:8" ht="13.5" x14ac:dyDescent="0.25">
      <c r="A1289" s="1"/>
      <c r="B1289" s="3">
        <v>44183</v>
      </c>
      <c r="C1289" s="4">
        <v>12</v>
      </c>
      <c r="D1289" s="4">
        <v>7.8601000000000001</v>
      </c>
      <c r="E1289" s="4">
        <v>5</v>
      </c>
      <c r="F1289" s="4">
        <v>12</v>
      </c>
      <c r="G1289" s="4">
        <v>60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12</v>
      </c>
      <c r="D1290" s="4">
        <v>7.8601000000000001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11.95</v>
      </c>
      <c r="D1291" s="4">
        <v>7.8273999999999999</v>
      </c>
      <c r="E1291" s="4">
        <v>125</v>
      </c>
      <c r="F1291" s="4">
        <v>11.9809</v>
      </c>
      <c r="G1291" s="4">
        <v>1497.6125</v>
      </c>
      <c r="H1291" s="5">
        <f t="shared" si="20"/>
        <v>-4.1602524140914457E-3</v>
      </c>
    </row>
    <row r="1292" spans="1:8" ht="13.5" x14ac:dyDescent="0.25">
      <c r="A1292" s="1"/>
      <c r="B1292" s="3">
        <v>44188</v>
      </c>
      <c r="C1292" s="4">
        <v>11.95</v>
      </c>
      <c r="D1292" s="4">
        <v>7.8273999999999999</v>
      </c>
      <c r="E1292" s="4">
        <v>3</v>
      </c>
      <c r="F1292" s="4">
        <v>11.95</v>
      </c>
      <c r="G1292" s="4">
        <v>35.85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11.9</v>
      </c>
      <c r="D1293" s="4">
        <v>7.7946</v>
      </c>
      <c r="E1293" s="4">
        <v>603</v>
      </c>
      <c r="F1293" s="4">
        <v>11.819599999999999</v>
      </c>
      <c r="G1293" s="4">
        <v>7127.2187999999996</v>
      </c>
      <c r="H1293" s="5">
        <f t="shared" si="20"/>
        <v>-4.1904080537598616E-3</v>
      </c>
    </row>
    <row r="1294" spans="1:8" ht="13.5" x14ac:dyDescent="0.25">
      <c r="A1294" s="1"/>
      <c r="B1294" s="3">
        <v>44190</v>
      </c>
      <c r="C1294" s="4">
        <v>11.98</v>
      </c>
      <c r="D1294" s="4">
        <v>7.8470000000000004</v>
      </c>
      <c r="E1294" s="4">
        <v>232</v>
      </c>
      <c r="F1294" s="4">
        <v>11.9941</v>
      </c>
      <c r="G1294" s="4">
        <v>2782.6311999999998</v>
      </c>
      <c r="H1294" s="5">
        <f t="shared" si="20"/>
        <v>6.7226028275986513E-3</v>
      </c>
    </row>
    <row r="1295" spans="1:8" ht="13.5" x14ac:dyDescent="0.25">
      <c r="A1295" s="1"/>
      <c r="B1295" s="3">
        <v>44193</v>
      </c>
      <c r="C1295" s="4">
        <v>11.98</v>
      </c>
      <c r="D1295" s="4">
        <v>7.8470000000000004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12</v>
      </c>
      <c r="D1296" s="4">
        <v>7.8601000000000001</v>
      </c>
      <c r="E1296" s="4">
        <v>491</v>
      </c>
      <c r="F1296" s="4">
        <v>11.981</v>
      </c>
      <c r="G1296" s="4">
        <v>5882.6710000000003</v>
      </c>
      <c r="H1296" s="5">
        <f t="shared" si="20"/>
        <v>1.669427806805106E-3</v>
      </c>
    </row>
    <row r="1297" spans="1:8" ht="13.5" x14ac:dyDescent="0.25">
      <c r="A1297" s="1"/>
      <c r="B1297" s="3">
        <v>44195</v>
      </c>
      <c r="C1297" s="4">
        <v>12</v>
      </c>
      <c r="D1297" s="4">
        <v>7.8601000000000001</v>
      </c>
      <c r="E1297" s="4">
        <v>0</v>
      </c>
      <c r="F1297" s="4">
        <v>0</v>
      </c>
      <c r="G1297" s="4">
        <v>0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11.8</v>
      </c>
      <c r="D1298" s="4">
        <v>7.7290999999999999</v>
      </c>
      <c r="E1298" s="4">
        <v>569</v>
      </c>
      <c r="F1298" s="4">
        <v>11.9231</v>
      </c>
      <c r="G1298" s="4">
        <v>6784.2439000000004</v>
      </c>
      <c r="H1298" s="5">
        <f t="shared" si="20"/>
        <v>-1.6666454625259248E-2</v>
      </c>
    </row>
    <row r="1299" spans="1:8" ht="13.5" x14ac:dyDescent="0.25">
      <c r="A1299" s="1"/>
      <c r="B1299" s="3">
        <v>44200</v>
      </c>
      <c r="C1299" s="4">
        <v>12.1</v>
      </c>
      <c r="D1299" s="4">
        <v>7.9256000000000002</v>
      </c>
      <c r="E1299" s="4">
        <v>18</v>
      </c>
      <c r="F1299" s="4">
        <v>12.04</v>
      </c>
      <c r="G1299" s="4">
        <v>216.72</v>
      </c>
      <c r="H1299" s="5">
        <f t="shared" si="20"/>
        <v>2.5423399878381745E-2</v>
      </c>
    </row>
    <row r="1300" spans="1:8" ht="13.5" x14ac:dyDescent="0.25">
      <c r="A1300" s="1"/>
      <c r="B1300" s="3">
        <v>44201</v>
      </c>
      <c r="C1300" s="4">
        <v>12.1</v>
      </c>
      <c r="D1300" s="4">
        <v>7.9256000000000002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11.8</v>
      </c>
      <c r="D1301" s="4">
        <v>7.7290999999999999</v>
      </c>
      <c r="E1301" s="4">
        <v>37</v>
      </c>
      <c r="F1301" s="4">
        <v>11.8108</v>
      </c>
      <c r="G1301" s="4">
        <v>436.99959999999999</v>
      </c>
      <c r="H1301" s="5">
        <f t="shared" si="20"/>
        <v>-2.4793075603108956E-2</v>
      </c>
    </row>
    <row r="1302" spans="1:8" ht="13.5" x14ac:dyDescent="0.25">
      <c r="A1302" s="1"/>
      <c r="B1302" s="3">
        <v>44203</v>
      </c>
      <c r="C1302" s="4">
        <v>11.9</v>
      </c>
      <c r="D1302" s="4">
        <v>7.7946</v>
      </c>
      <c r="E1302" s="4">
        <v>178</v>
      </c>
      <c r="F1302" s="4">
        <v>11.804500000000001</v>
      </c>
      <c r="G1302" s="4">
        <v>2101.201</v>
      </c>
      <c r="H1302" s="5">
        <f t="shared" si="20"/>
        <v>8.4744666261272489E-3</v>
      </c>
    </row>
    <row r="1303" spans="1:8" ht="13.5" x14ac:dyDescent="0.25">
      <c r="A1303" s="1"/>
      <c r="B1303" s="3">
        <v>44204</v>
      </c>
      <c r="C1303" s="4">
        <v>11.8</v>
      </c>
      <c r="D1303" s="4">
        <v>7.7290999999999999</v>
      </c>
      <c r="E1303" s="4">
        <v>127</v>
      </c>
      <c r="F1303" s="4">
        <v>11.8</v>
      </c>
      <c r="G1303" s="4">
        <v>1498.6</v>
      </c>
      <c r="H1303" s="5">
        <f t="shared" si="20"/>
        <v>-8.4032535344982576E-3</v>
      </c>
    </row>
    <row r="1304" spans="1:8" ht="13.5" x14ac:dyDescent="0.25">
      <c r="A1304" s="1"/>
      <c r="B1304" s="3">
        <v>44207</v>
      </c>
      <c r="C1304" s="4">
        <v>11.7</v>
      </c>
      <c r="D1304" s="4">
        <v>7.6635999999999997</v>
      </c>
      <c r="E1304" s="4">
        <v>85</v>
      </c>
      <c r="F1304" s="4">
        <v>11.7182</v>
      </c>
      <c r="G1304" s="4">
        <v>996.04700000000003</v>
      </c>
      <c r="H1304" s="5">
        <f t="shared" si="20"/>
        <v>-8.4744666261272489E-3</v>
      </c>
    </row>
    <row r="1305" spans="1:8" ht="13.5" x14ac:dyDescent="0.25">
      <c r="A1305" s="1"/>
      <c r="B1305" s="3">
        <v>44208</v>
      </c>
      <c r="C1305" s="4">
        <v>11.8</v>
      </c>
      <c r="D1305" s="4">
        <v>7.7290999999999999</v>
      </c>
      <c r="E1305" s="4">
        <v>2057</v>
      </c>
      <c r="F1305" s="4">
        <v>11.8</v>
      </c>
      <c r="G1305" s="4">
        <v>24272.6</v>
      </c>
      <c r="H1305" s="5">
        <f t="shared" si="20"/>
        <v>8.5468970196774519E-3</v>
      </c>
    </row>
    <row r="1306" spans="1:8" ht="13.5" x14ac:dyDescent="0.25">
      <c r="A1306" s="1"/>
      <c r="B1306" s="3">
        <v>44209</v>
      </c>
      <c r="C1306" s="4">
        <v>11.9</v>
      </c>
      <c r="D1306" s="4">
        <v>7.7946</v>
      </c>
      <c r="E1306" s="4">
        <v>141</v>
      </c>
      <c r="F1306" s="4">
        <v>11.8028</v>
      </c>
      <c r="G1306" s="4">
        <v>1664.1948</v>
      </c>
      <c r="H1306" s="5">
        <f t="shared" si="20"/>
        <v>8.4744666261272489E-3</v>
      </c>
    </row>
    <row r="1307" spans="1:8" ht="13.5" x14ac:dyDescent="0.25">
      <c r="A1307" s="1"/>
      <c r="B1307" s="3">
        <v>44211</v>
      </c>
      <c r="C1307" s="4">
        <v>12</v>
      </c>
      <c r="D1307" s="4">
        <v>7.8601000000000001</v>
      </c>
      <c r="E1307" s="4">
        <v>675</v>
      </c>
      <c r="F1307" s="4">
        <v>12.003</v>
      </c>
      <c r="G1307" s="4">
        <v>8102.0249999999996</v>
      </c>
      <c r="H1307" s="5">
        <f t="shared" si="20"/>
        <v>8.4032535344982576E-3</v>
      </c>
    </row>
    <row r="1308" spans="1:8" ht="13.5" x14ac:dyDescent="0.25">
      <c r="A1308" s="1"/>
      <c r="B1308" s="3">
        <v>44214</v>
      </c>
      <c r="C1308" s="4">
        <v>12.1</v>
      </c>
      <c r="D1308" s="4">
        <v>7.9256000000000002</v>
      </c>
      <c r="E1308" s="4">
        <v>410</v>
      </c>
      <c r="F1308" s="4">
        <v>12.0776</v>
      </c>
      <c r="G1308" s="4">
        <v>4951.8159999999998</v>
      </c>
      <c r="H1308" s="5">
        <f t="shared" si="20"/>
        <v>8.3332273126296239E-3</v>
      </c>
    </row>
    <row r="1309" spans="1:8" ht="13.5" x14ac:dyDescent="0.25">
      <c r="A1309" s="1"/>
      <c r="B1309" s="3">
        <v>44215</v>
      </c>
      <c r="C1309" s="4">
        <v>12.1</v>
      </c>
      <c r="D1309" s="4">
        <v>7.9256000000000002</v>
      </c>
      <c r="E1309" s="4">
        <v>299</v>
      </c>
      <c r="F1309" s="4">
        <v>11.9841</v>
      </c>
      <c r="G1309" s="4">
        <v>3583.2458999999999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12.1</v>
      </c>
      <c r="D1310" s="4">
        <v>7.9256000000000002</v>
      </c>
      <c r="E1310" s="4">
        <v>100</v>
      </c>
      <c r="F1310" s="4">
        <v>12.1</v>
      </c>
      <c r="G1310" s="4">
        <v>1210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12.1</v>
      </c>
      <c r="D1311" s="4">
        <v>7.9256000000000002</v>
      </c>
      <c r="E1311" s="4">
        <v>0</v>
      </c>
      <c r="F1311" s="4">
        <v>0</v>
      </c>
      <c r="G1311" s="4">
        <v>0</v>
      </c>
      <c r="H1311" s="5">
        <f t="shared" si="20"/>
        <v>0</v>
      </c>
    </row>
    <row r="1312" spans="1:8" ht="13.5" x14ac:dyDescent="0.25">
      <c r="A1312" s="1"/>
      <c r="B1312" s="3">
        <v>44218</v>
      </c>
      <c r="C1312" s="4">
        <v>12</v>
      </c>
      <c r="D1312" s="4">
        <v>7.8601000000000001</v>
      </c>
      <c r="E1312" s="4">
        <v>2</v>
      </c>
      <c r="F1312" s="4">
        <v>12</v>
      </c>
      <c r="G1312" s="4">
        <v>24</v>
      </c>
      <c r="H1312" s="5">
        <f t="shared" si="20"/>
        <v>-8.2643585343696521E-3</v>
      </c>
    </row>
    <row r="1313" spans="1:8" ht="13.5" x14ac:dyDescent="0.25">
      <c r="A1313" s="1"/>
      <c r="B1313" s="3">
        <v>44221</v>
      </c>
      <c r="C1313" s="4">
        <v>12</v>
      </c>
      <c r="D1313" s="4">
        <v>7.8601000000000001</v>
      </c>
      <c r="E1313" s="4">
        <v>4</v>
      </c>
      <c r="F1313" s="4">
        <v>12</v>
      </c>
      <c r="G1313" s="4">
        <v>48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12</v>
      </c>
      <c r="D1314" s="4">
        <v>7.8601000000000001</v>
      </c>
      <c r="E1314" s="4">
        <v>83</v>
      </c>
      <c r="F1314" s="4">
        <v>12.0036</v>
      </c>
      <c r="G1314" s="4">
        <v>996.29880000000003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11.8</v>
      </c>
      <c r="D1315" s="4">
        <v>7.7290999999999999</v>
      </c>
      <c r="E1315" s="4">
        <v>3438</v>
      </c>
      <c r="F1315" s="4">
        <v>11.789899999999999</v>
      </c>
      <c r="G1315" s="4">
        <v>40533.676200000002</v>
      </c>
      <c r="H1315" s="5">
        <f t="shared" si="20"/>
        <v>-1.6666454625259248E-2</v>
      </c>
    </row>
    <row r="1316" spans="1:8" ht="13.5" x14ac:dyDescent="0.25">
      <c r="A1316" s="1"/>
      <c r="B1316" s="3">
        <v>44224</v>
      </c>
      <c r="C1316" s="4">
        <v>11.7</v>
      </c>
      <c r="D1316" s="4">
        <v>7.6635999999999997</v>
      </c>
      <c r="E1316" s="4">
        <v>300</v>
      </c>
      <c r="F1316" s="4">
        <v>11.7037</v>
      </c>
      <c r="G1316" s="4">
        <v>3511.11</v>
      </c>
      <c r="H1316" s="5">
        <f t="shared" si="20"/>
        <v>-8.4744666261272489E-3</v>
      </c>
    </row>
    <row r="1317" spans="1:8" ht="13.5" x14ac:dyDescent="0.25">
      <c r="A1317" s="1"/>
      <c r="B1317" s="3">
        <v>44225</v>
      </c>
      <c r="C1317" s="4">
        <v>12</v>
      </c>
      <c r="D1317" s="4">
        <v>7.8601000000000001</v>
      </c>
      <c r="E1317" s="4">
        <v>46</v>
      </c>
      <c r="F1317" s="4">
        <v>11.811299999999999</v>
      </c>
      <c r="G1317" s="4">
        <v>543.31979999999999</v>
      </c>
      <c r="H1317" s="5">
        <f t="shared" si="20"/>
        <v>2.5640691059032356E-2</v>
      </c>
    </row>
    <row r="1318" spans="1:8" ht="13.5" x14ac:dyDescent="0.25">
      <c r="A1318" s="1"/>
      <c r="B1318" s="3">
        <v>44228</v>
      </c>
      <c r="C1318" s="4">
        <v>11.95</v>
      </c>
      <c r="D1318" s="4">
        <v>7.8273999999999999</v>
      </c>
      <c r="E1318" s="4">
        <v>44</v>
      </c>
      <c r="F1318" s="4">
        <v>12.0489</v>
      </c>
      <c r="G1318" s="4">
        <v>530.15160000000003</v>
      </c>
      <c r="H1318" s="5">
        <f t="shared" si="20"/>
        <v>-4.1602524140914457E-3</v>
      </c>
    </row>
    <row r="1319" spans="1:8" ht="13.5" x14ac:dyDescent="0.25">
      <c r="A1319" s="1"/>
      <c r="B1319" s="3">
        <v>44229</v>
      </c>
      <c r="C1319" s="4">
        <v>11.95</v>
      </c>
      <c r="D1319" s="4">
        <v>7.8273999999999999</v>
      </c>
      <c r="E1319" s="4">
        <v>1224</v>
      </c>
      <c r="F1319" s="4">
        <v>11.7522</v>
      </c>
      <c r="G1319" s="4">
        <v>14384.692800000001</v>
      </c>
      <c r="H1319" s="5">
        <f t="shared" si="20"/>
        <v>0</v>
      </c>
    </row>
    <row r="1320" spans="1:8" ht="13.5" x14ac:dyDescent="0.25">
      <c r="A1320" s="1"/>
      <c r="B1320" s="3">
        <v>44230</v>
      </c>
      <c r="C1320" s="4">
        <v>11.95</v>
      </c>
      <c r="D1320" s="4">
        <v>7.8273999999999999</v>
      </c>
      <c r="E1320" s="4">
        <v>58</v>
      </c>
      <c r="F1320" s="4">
        <v>11.923400000000001</v>
      </c>
      <c r="G1320" s="4">
        <v>691.55719999999997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11.95</v>
      </c>
      <c r="D1321" s="4">
        <v>7.8273999999999999</v>
      </c>
      <c r="E1321" s="4">
        <v>200</v>
      </c>
      <c r="F1321" s="4">
        <v>11.95</v>
      </c>
      <c r="G1321" s="4">
        <v>2390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11.9</v>
      </c>
      <c r="D1322" s="4">
        <v>7.7946</v>
      </c>
      <c r="E1322" s="4">
        <v>1242</v>
      </c>
      <c r="F1322" s="4">
        <v>11.728400000000001</v>
      </c>
      <c r="G1322" s="4">
        <v>14566.6728</v>
      </c>
      <c r="H1322" s="5">
        <f t="shared" si="20"/>
        <v>-4.1904080537598616E-3</v>
      </c>
    </row>
    <row r="1323" spans="1:8" ht="13.5" x14ac:dyDescent="0.25">
      <c r="A1323" s="1"/>
      <c r="B1323" s="3">
        <v>44235</v>
      </c>
      <c r="C1323" s="4">
        <v>11.9</v>
      </c>
      <c r="D1323" s="4">
        <v>7.7946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11.7</v>
      </c>
      <c r="D1324" s="4">
        <v>7.6635999999999997</v>
      </c>
      <c r="E1324" s="4">
        <v>71</v>
      </c>
      <c r="F1324" s="4">
        <v>11.893700000000001</v>
      </c>
      <c r="G1324" s="4">
        <v>844.45270000000005</v>
      </c>
      <c r="H1324" s="5">
        <f t="shared" si="20"/>
        <v>-1.6806507068996515E-2</v>
      </c>
    </row>
    <row r="1325" spans="1:8" ht="13.5" x14ac:dyDescent="0.25">
      <c r="A1325" s="1"/>
      <c r="B1325" s="3">
        <v>44237</v>
      </c>
      <c r="C1325" s="4">
        <v>11.94</v>
      </c>
      <c r="D1325" s="4">
        <v>7.8208000000000002</v>
      </c>
      <c r="E1325" s="4">
        <v>398</v>
      </c>
      <c r="F1325" s="4">
        <v>11.728400000000001</v>
      </c>
      <c r="G1325" s="4">
        <v>4667.9031999999997</v>
      </c>
      <c r="H1325" s="5">
        <f t="shared" si="20"/>
        <v>2.0512552847225907E-2</v>
      </c>
    </row>
    <row r="1326" spans="1:8" ht="13.5" x14ac:dyDescent="0.25">
      <c r="A1326" s="1"/>
      <c r="B1326" s="3">
        <v>44238</v>
      </c>
      <c r="C1326" s="4">
        <v>11.94</v>
      </c>
      <c r="D1326" s="4">
        <v>7.8208000000000002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11.9</v>
      </c>
      <c r="D1327" s="4">
        <v>7.7946</v>
      </c>
      <c r="E1327" s="4">
        <v>5</v>
      </c>
      <c r="F1327" s="4">
        <v>11.9</v>
      </c>
      <c r="G1327" s="4">
        <v>59.5</v>
      </c>
      <c r="H1327" s="5">
        <f t="shared" si="20"/>
        <v>-3.3500409165303068E-3</v>
      </c>
    </row>
    <row r="1328" spans="1:8" ht="13.5" x14ac:dyDescent="0.25">
      <c r="A1328" s="1"/>
      <c r="B1328" s="3">
        <v>44242</v>
      </c>
      <c r="C1328" s="4">
        <v>11.95</v>
      </c>
      <c r="D1328" s="4">
        <v>7.8273999999999999</v>
      </c>
      <c r="E1328" s="4">
        <v>880</v>
      </c>
      <c r="F1328" s="4">
        <v>11.9496</v>
      </c>
      <c r="G1328" s="4">
        <v>10515.647999999999</v>
      </c>
      <c r="H1328" s="5">
        <f t="shared" si="20"/>
        <v>4.2080414646036924E-3</v>
      </c>
    </row>
    <row r="1329" spans="1:8" ht="13.5" x14ac:dyDescent="0.25">
      <c r="A1329" s="1"/>
      <c r="B1329" s="3">
        <v>44243</v>
      </c>
      <c r="C1329" s="4">
        <v>11.95</v>
      </c>
      <c r="D1329" s="4">
        <v>7.8273999999999999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11.9</v>
      </c>
      <c r="D1330" s="4">
        <v>7.7946</v>
      </c>
      <c r="E1330" s="4">
        <v>251</v>
      </c>
      <c r="F1330" s="4">
        <v>11.9</v>
      </c>
      <c r="G1330" s="4">
        <v>2986.9</v>
      </c>
      <c r="H1330" s="5">
        <f t="shared" si="20"/>
        <v>-4.1904080537598616E-3</v>
      </c>
    </row>
    <row r="1331" spans="1:8" ht="13.5" x14ac:dyDescent="0.25">
      <c r="A1331" s="1"/>
      <c r="B1331" s="3">
        <v>44245</v>
      </c>
      <c r="C1331" s="4">
        <v>11.95</v>
      </c>
      <c r="D1331" s="4">
        <v>7.8273999999999999</v>
      </c>
      <c r="E1331" s="4">
        <v>100</v>
      </c>
      <c r="F1331" s="4">
        <v>11.7279</v>
      </c>
      <c r="G1331" s="4">
        <v>1172.79</v>
      </c>
      <c r="H1331" s="5">
        <f t="shared" si="20"/>
        <v>4.2080414646036924E-3</v>
      </c>
    </row>
    <row r="1332" spans="1:8" ht="13.5" x14ac:dyDescent="0.25">
      <c r="A1332" s="1"/>
      <c r="B1332" s="3">
        <v>44246</v>
      </c>
      <c r="C1332" s="4">
        <v>11.95</v>
      </c>
      <c r="D1332" s="4">
        <v>7.8273999999999999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11.95</v>
      </c>
      <c r="D1333" s="4">
        <v>7.8273999999999999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11.95</v>
      </c>
      <c r="D1334" s="4">
        <v>7.8273999999999999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11.95</v>
      </c>
      <c r="D1335" s="4">
        <v>7.8273999999999999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11.95</v>
      </c>
      <c r="D1336" s="4">
        <v>7.8273999999999999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11.9</v>
      </c>
      <c r="D1337" s="4">
        <v>7.7946</v>
      </c>
      <c r="E1337" s="4">
        <v>2752</v>
      </c>
      <c r="F1337" s="4">
        <v>11.940300000000001</v>
      </c>
      <c r="G1337" s="4">
        <v>32859.705600000001</v>
      </c>
      <c r="H1337" s="5">
        <f t="shared" si="20"/>
        <v>-4.1904080537598616E-3</v>
      </c>
    </row>
    <row r="1338" spans="1:8" ht="13.5" x14ac:dyDescent="0.25">
      <c r="A1338" s="1"/>
      <c r="B1338" s="3">
        <v>44256</v>
      </c>
      <c r="C1338" s="4">
        <v>11.75</v>
      </c>
      <c r="D1338" s="4">
        <v>7.6963999999999997</v>
      </c>
      <c r="E1338" s="4">
        <v>12</v>
      </c>
      <c r="F1338" s="4">
        <v>11.75</v>
      </c>
      <c r="G1338" s="4">
        <v>141</v>
      </c>
      <c r="H1338" s="5">
        <f t="shared" si="20"/>
        <v>-1.2598465604392822E-2</v>
      </c>
    </row>
    <row r="1339" spans="1:8" ht="13.5" x14ac:dyDescent="0.25">
      <c r="A1339" s="1"/>
      <c r="B1339" s="3">
        <v>44257</v>
      </c>
      <c r="C1339" s="4">
        <v>12.09</v>
      </c>
      <c r="D1339" s="4">
        <v>7.9191000000000003</v>
      </c>
      <c r="E1339" s="4">
        <v>1750</v>
      </c>
      <c r="F1339" s="4">
        <v>12.022</v>
      </c>
      <c r="G1339" s="4">
        <v>21038.5</v>
      </c>
      <c r="H1339" s="5">
        <f t="shared" si="20"/>
        <v>2.8935606257471099E-2</v>
      </c>
    </row>
    <row r="1340" spans="1:8" ht="13.5" x14ac:dyDescent="0.25">
      <c r="A1340" s="1"/>
      <c r="B1340" s="3">
        <v>44258</v>
      </c>
      <c r="C1340" s="4">
        <v>12</v>
      </c>
      <c r="D1340" s="4">
        <v>7.8601000000000001</v>
      </c>
      <c r="E1340" s="4">
        <v>3000</v>
      </c>
      <c r="F1340" s="4">
        <v>12</v>
      </c>
      <c r="G1340" s="4">
        <v>36000</v>
      </c>
      <c r="H1340" s="5">
        <f t="shared" si="20"/>
        <v>-7.4503415792198813E-3</v>
      </c>
    </row>
    <row r="1341" spans="1:8" ht="13.5" x14ac:dyDescent="0.25">
      <c r="A1341" s="1"/>
      <c r="B1341" s="3">
        <v>44259</v>
      </c>
      <c r="C1341" s="4">
        <v>12</v>
      </c>
      <c r="D1341" s="4">
        <v>7.8601000000000001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12</v>
      </c>
      <c r="D1342" s="4">
        <v>7.8601000000000001</v>
      </c>
      <c r="E1342" s="4">
        <v>170</v>
      </c>
      <c r="F1342" s="4">
        <v>12</v>
      </c>
      <c r="G1342" s="4">
        <v>2040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11.75</v>
      </c>
      <c r="D1343" s="4">
        <v>7.6963999999999997</v>
      </c>
      <c r="E1343" s="4">
        <v>180</v>
      </c>
      <c r="F1343" s="4">
        <v>11.75</v>
      </c>
      <c r="G1343" s="4">
        <v>2115</v>
      </c>
      <c r="H1343" s="5">
        <f t="shared" si="20"/>
        <v>-2.0826707039350696E-2</v>
      </c>
    </row>
    <row r="1344" spans="1:8" ht="13.5" x14ac:dyDescent="0.25">
      <c r="A1344" s="1"/>
      <c r="B1344" s="3">
        <v>44264</v>
      </c>
      <c r="C1344" s="4">
        <v>11.97</v>
      </c>
      <c r="D1344" s="4">
        <v>7.8404999999999996</v>
      </c>
      <c r="E1344" s="4">
        <v>853</v>
      </c>
      <c r="F1344" s="4">
        <v>11.9643</v>
      </c>
      <c r="G1344" s="4">
        <v>10205.5479</v>
      </c>
      <c r="H1344" s="5">
        <f t="shared" si="20"/>
        <v>1.8723039343069472E-2</v>
      </c>
    </row>
    <row r="1345" spans="1:8" ht="13.5" x14ac:dyDescent="0.25">
      <c r="A1345" s="1"/>
      <c r="B1345" s="3">
        <v>44265</v>
      </c>
      <c r="C1345" s="4">
        <v>11.97</v>
      </c>
      <c r="D1345" s="4">
        <v>7.8404999999999996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11.81</v>
      </c>
      <c r="D1346" s="4">
        <v>7.7356999999999996</v>
      </c>
      <c r="E1346" s="4">
        <v>140</v>
      </c>
      <c r="F1346" s="4">
        <v>11.8081</v>
      </c>
      <c r="G1346" s="4">
        <v>1653.134</v>
      </c>
      <c r="H1346" s="5">
        <f t="shared" si="20"/>
        <v>-1.3366494483770169E-2</v>
      </c>
    </row>
    <row r="1347" spans="1:8" ht="13.5" x14ac:dyDescent="0.25">
      <c r="A1347" s="1"/>
      <c r="B1347" s="3">
        <v>44267</v>
      </c>
      <c r="C1347" s="4">
        <v>11.97</v>
      </c>
      <c r="D1347" s="4">
        <v>7.8404999999999996</v>
      </c>
      <c r="E1347" s="4">
        <v>200</v>
      </c>
      <c r="F1347" s="4">
        <v>11.97</v>
      </c>
      <c r="G1347" s="4">
        <v>2394</v>
      </c>
      <c r="H1347" s="5">
        <f t="shared" si="20"/>
        <v>1.3547578111870937E-2</v>
      </c>
    </row>
    <row r="1348" spans="1:8" ht="13.5" x14ac:dyDescent="0.25">
      <c r="A1348" s="1"/>
      <c r="B1348" s="3">
        <v>44270</v>
      </c>
      <c r="C1348" s="4">
        <v>12.05</v>
      </c>
      <c r="D1348" s="4">
        <v>7.8929</v>
      </c>
      <c r="E1348" s="4">
        <v>10</v>
      </c>
      <c r="F1348" s="4">
        <v>12.05</v>
      </c>
      <c r="G1348" s="4">
        <v>120.5</v>
      </c>
      <c r="H1348" s="5">
        <f t="shared" si="20"/>
        <v>6.6832472418851411E-3</v>
      </c>
    </row>
    <row r="1349" spans="1:8" ht="13.5" x14ac:dyDescent="0.25">
      <c r="A1349" s="1"/>
      <c r="B1349" s="3">
        <v>44271</v>
      </c>
      <c r="C1349" s="4">
        <v>12.04</v>
      </c>
      <c r="D1349" s="4">
        <v>7.8863000000000003</v>
      </c>
      <c r="E1349" s="4">
        <v>2773</v>
      </c>
      <c r="F1349" s="4">
        <v>12.04</v>
      </c>
      <c r="G1349" s="4">
        <v>33386.92</v>
      </c>
      <c r="H1349" s="5">
        <f t="shared" si="20"/>
        <v>-8.3619455459966769E-4</v>
      </c>
    </row>
    <row r="1350" spans="1:8" ht="13.5" x14ac:dyDescent="0.25">
      <c r="A1350" s="1"/>
      <c r="B1350" s="3">
        <v>44272</v>
      </c>
      <c r="C1350" s="4">
        <v>11.81</v>
      </c>
      <c r="D1350" s="4">
        <v>7.7356999999999996</v>
      </c>
      <c r="E1350" s="4">
        <v>928</v>
      </c>
      <c r="F1350" s="4">
        <v>11.809200000000001</v>
      </c>
      <c r="G1350" s="4">
        <v>10958.937599999999</v>
      </c>
      <c r="H1350" s="5">
        <f t="shared" si="20"/>
        <v>-1.9096407694356127E-2</v>
      </c>
    </row>
    <row r="1351" spans="1:8" ht="13.5" x14ac:dyDescent="0.25">
      <c r="A1351" s="1"/>
      <c r="B1351" s="3">
        <v>44273</v>
      </c>
      <c r="C1351" s="4">
        <v>11.81</v>
      </c>
      <c r="D1351" s="4">
        <v>7.7356999999999996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11.82</v>
      </c>
      <c r="D1352" s="4">
        <v>7.7422000000000004</v>
      </c>
      <c r="E1352" s="4">
        <v>521</v>
      </c>
      <c r="F1352" s="4">
        <v>11.82</v>
      </c>
      <c r="G1352" s="4">
        <v>6158.22</v>
      </c>
      <c r="H1352" s="5">
        <f t="shared" si="21"/>
        <v>8.4026009281653095E-4</v>
      </c>
    </row>
    <row r="1353" spans="1:8" ht="13.5" x14ac:dyDescent="0.25">
      <c r="A1353" s="1"/>
      <c r="B1353" s="3">
        <v>44277</v>
      </c>
      <c r="C1353" s="4">
        <v>11.82</v>
      </c>
      <c r="D1353" s="4">
        <v>7.7422000000000004</v>
      </c>
      <c r="E1353" s="4">
        <v>739</v>
      </c>
      <c r="F1353" s="4">
        <v>11.82</v>
      </c>
      <c r="G1353" s="4">
        <v>8734.98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11.98</v>
      </c>
      <c r="D1354" s="4">
        <v>7.8470000000000004</v>
      </c>
      <c r="E1354" s="4">
        <v>52</v>
      </c>
      <c r="F1354" s="4">
        <v>11.98</v>
      </c>
      <c r="G1354" s="4">
        <v>622.96</v>
      </c>
      <c r="H1354" s="5">
        <f t="shared" si="21"/>
        <v>1.3536204179690528E-2</v>
      </c>
    </row>
    <row r="1355" spans="1:8" ht="13.5" x14ac:dyDescent="0.25">
      <c r="A1355" s="1"/>
      <c r="B1355" s="3">
        <v>44279</v>
      </c>
      <c r="C1355" s="4">
        <v>11.98</v>
      </c>
      <c r="D1355" s="4">
        <v>7.8470000000000004</v>
      </c>
      <c r="E1355" s="4">
        <v>1673</v>
      </c>
      <c r="F1355" s="4">
        <v>11.9704</v>
      </c>
      <c r="G1355" s="4">
        <v>20026.479200000002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11.9</v>
      </c>
      <c r="D1356" s="4">
        <v>7.7946</v>
      </c>
      <c r="E1356" s="4">
        <v>1208</v>
      </c>
      <c r="F1356" s="4">
        <v>11.9527</v>
      </c>
      <c r="G1356" s="4">
        <v>14438.8616</v>
      </c>
      <c r="H1356" s="5">
        <f t="shared" si="21"/>
        <v>-6.6777112272206505E-3</v>
      </c>
    </row>
    <row r="1357" spans="1:8" ht="13.5" x14ac:dyDescent="0.25">
      <c r="A1357" s="1"/>
      <c r="B1357" s="3">
        <v>44281</v>
      </c>
      <c r="C1357" s="4">
        <v>11.82</v>
      </c>
      <c r="D1357" s="4">
        <v>7.7422000000000004</v>
      </c>
      <c r="E1357" s="4">
        <v>53</v>
      </c>
      <c r="F1357" s="4">
        <v>11.851699999999999</v>
      </c>
      <c r="G1357" s="4">
        <v>628.14009999999996</v>
      </c>
      <c r="H1357" s="5">
        <f t="shared" si="21"/>
        <v>-6.7226028275985368E-3</v>
      </c>
    </row>
    <row r="1358" spans="1:8" ht="13.5" x14ac:dyDescent="0.25">
      <c r="A1358" s="1"/>
      <c r="B1358" s="3">
        <v>44284</v>
      </c>
      <c r="C1358" s="4">
        <v>11.82</v>
      </c>
      <c r="D1358" s="4">
        <v>7.7422000000000004</v>
      </c>
      <c r="E1358" s="4">
        <v>481</v>
      </c>
      <c r="F1358" s="4">
        <v>11.82</v>
      </c>
      <c r="G1358" s="4">
        <v>5685.42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11.82</v>
      </c>
      <c r="D1359" s="4">
        <v>7.7422000000000004</v>
      </c>
      <c r="E1359" s="4">
        <v>8</v>
      </c>
      <c r="F1359" s="4">
        <v>11.82</v>
      </c>
      <c r="G1359" s="4">
        <v>94.56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11.9</v>
      </c>
      <c r="D1360" s="4">
        <v>7.7946</v>
      </c>
      <c r="E1360" s="4">
        <v>87</v>
      </c>
      <c r="F1360" s="4">
        <v>11.9</v>
      </c>
      <c r="G1360" s="4">
        <v>1035.3</v>
      </c>
      <c r="H1360" s="5">
        <f t="shared" si="21"/>
        <v>6.7681020898452066E-3</v>
      </c>
    </row>
    <row r="1361" spans="1:8" ht="13.5" x14ac:dyDescent="0.25">
      <c r="A1361" s="1"/>
      <c r="B1361" s="3">
        <v>44287</v>
      </c>
      <c r="C1361" s="4">
        <v>11.9</v>
      </c>
      <c r="D1361" s="4">
        <v>7.7946</v>
      </c>
      <c r="E1361" s="4">
        <v>324</v>
      </c>
      <c r="F1361" s="4">
        <v>11.8743</v>
      </c>
      <c r="G1361" s="4">
        <v>3847.2732000000001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11.9</v>
      </c>
      <c r="D1362" s="4">
        <v>7.7946</v>
      </c>
      <c r="E1362" s="4">
        <v>1088</v>
      </c>
      <c r="F1362" s="4">
        <v>11.8339</v>
      </c>
      <c r="G1362" s="4">
        <v>12875.2832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11.8</v>
      </c>
      <c r="D1363" s="4">
        <v>7.7290999999999999</v>
      </c>
      <c r="E1363" s="4">
        <v>1163</v>
      </c>
      <c r="F1363" s="4">
        <v>11.8248</v>
      </c>
      <c r="G1363" s="4">
        <v>13752.242399999999</v>
      </c>
      <c r="H1363" s="5">
        <f t="shared" si="21"/>
        <v>-8.4032535344982576E-3</v>
      </c>
    </row>
    <row r="1364" spans="1:8" ht="13.5" x14ac:dyDescent="0.25">
      <c r="A1364" s="1"/>
      <c r="B1364" s="3">
        <v>44292</v>
      </c>
      <c r="C1364" s="4">
        <v>11.81</v>
      </c>
      <c r="D1364" s="4">
        <v>7.7356999999999996</v>
      </c>
      <c r="E1364" s="4">
        <v>1087</v>
      </c>
      <c r="F1364" s="4">
        <v>11.81</v>
      </c>
      <c r="G1364" s="4">
        <v>12837.47</v>
      </c>
      <c r="H1364" s="5">
        <f t="shared" si="21"/>
        <v>8.5391572110591371E-4</v>
      </c>
    </row>
    <row r="1365" spans="1:8" ht="13.5" x14ac:dyDescent="0.25">
      <c r="A1365" s="1"/>
      <c r="B1365" s="3">
        <v>44293</v>
      </c>
      <c r="C1365" s="4">
        <v>11.9</v>
      </c>
      <c r="D1365" s="4">
        <v>7.7946</v>
      </c>
      <c r="E1365" s="4">
        <v>1954</v>
      </c>
      <c r="F1365" s="4">
        <v>11.8744</v>
      </c>
      <c r="G1365" s="4">
        <v>23202.577600000001</v>
      </c>
      <c r="H1365" s="5">
        <f t="shared" si="21"/>
        <v>7.6140491487519425E-3</v>
      </c>
    </row>
    <row r="1366" spans="1:8" ht="13.5" x14ac:dyDescent="0.25">
      <c r="A1366" s="1"/>
      <c r="B1366" s="3">
        <v>44294</v>
      </c>
      <c r="C1366" s="4">
        <v>12.05</v>
      </c>
      <c r="D1366" s="4">
        <v>7.8929</v>
      </c>
      <c r="E1366" s="4">
        <v>1500</v>
      </c>
      <c r="F1366" s="4">
        <v>12.0174</v>
      </c>
      <c r="G1366" s="4">
        <v>18026.099999999999</v>
      </c>
      <c r="H1366" s="5">
        <f t="shared" si="21"/>
        <v>1.2611294999101949E-2</v>
      </c>
    </row>
    <row r="1367" spans="1:8" ht="13.5" x14ac:dyDescent="0.25">
      <c r="A1367" s="1"/>
      <c r="B1367" s="3">
        <v>44298</v>
      </c>
      <c r="C1367" s="4">
        <v>12.2</v>
      </c>
      <c r="D1367" s="4">
        <v>7.9911000000000003</v>
      </c>
      <c r="E1367" s="4">
        <v>1009</v>
      </c>
      <c r="F1367" s="4">
        <v>12.153499999999999</v>
      </c>
      <c r="G1367" s="4">
        <v>12262.8815</v>
      </c>
      <c r="H1367" s="5">
        <f t="shared" si="21"/>
        <v>1.2441561403286535E-2</v>
      </c>
    </row>
    <row r="1368" spans="1:8" ht="13.5" x14ac:dyDescent="0.25">
      <c r="A1368" s="1"/>
      <c r="B1368" s="3">
        <v>44299</v>
      </c>
      <c r="C1368" s="4">
        <v>12.2</v>
      </c>
      <c r="D1368" s="4">
        <v>7.9911000000000003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12.2</v>
      </c>
      <c r="D1369" s="4">
        <v>7.9911000000000003</v>
      </c>
      <c r="E1369" s="4">
        <v>521</v>
      </c>
      <c r="F1369" s="4">
        <v>12.200900000000001</v>
      </c>
      <c r="G1369" s="4">
        <v>6356.6688999999997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12.2</v>
      </c>
      <c r="D1370" s="4">
        <v>7.9911000000000003</v>
      </c>
      <c r="E1370" s="4">
        <v>162</v>
      </c>
      <c r="F1370" s="4">
        <v>12.2</v>
      </c>
      <c r="G1370" s="4">
        <v>1976.4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12.2</v>
      </c>
      <c r="D1371" s="4">
        <v>7.9911000000000003</v>
      </c>
      <c r="E1371" s="4">
        <v>150</v>
      </c>
      <c r="F1371" s="4">
        <v>12.2067</v>
      </c>
      <c r="G1371" s="4">
        <v>1831.0050000000001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12.34</v>
      </c>
      <c r="D1372" s="4">
        <v>8.0828000000000007</v>
      </c>
      <c r="E1372" s="4">
        <v>691</v>
      </c>
      <c r="F1372" s="4">
        <v>12.34</v>
      </c>
      <c r="G1372" s="4">
        <v>8526.94</v>
      </c>
      <c r="H1372" s="5">
        <f t="shared" si="21"/>
        <v>1.1475266233685015E-2</v>
      </c>
    </row>
    <row r="1373" spans="1:8" ht="13.5" x14ac:dyDescent="0.25">
      <c r="A1373" s="1"/>
      <c r="B1373" s="3">
        <v>44306</v>
      </c>
      <c r="C1373" s="4">
        <v>12.5</v>
      </c>
      <c r="D1373" s="4">
        <v>8.1875999999999998</v>
      </c>
      <c r="E1373" s="4">
        <v>254</v>
      </c>
      <c r="F1373" s="4">
        <v>12.3963</v>
      </c>
      <c r="G1373" s="4">
        <v>3148.6601999999998</v>
      </c>
      <c r="H1373" s="5">
        <f t="shared" si="21"/>
        <v>1.296580392933131E-2</v>
      </c>
    </row>
    <row r="1374" spans="1:8" ht="13.5" x14ac:dyDescent="0.25">
      <c r="A1374" s="1"/>
      <c r="B1374" s="3">
        <v>44307</v>
      </c>
      <c r="C1374" s="4">
        <v>12.5</v>
      </c>
      <c r="D1374" s="4">
        <v>8.1875999999999998</v>
      </c>
      <c r="E1374" s="4">
        <v>0</v>
      </c>
      <c r="F1374" s="4">
        <v>0</v>
      </c>
      <c r="G1374" s="4">
        <v>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12.49</v>
      </c>
      <c r="D1375" s="4">
        <v>8.1811000000000007</v>
      </c>
      <c r="E1375" s="4">
        <v>465</v>
      </c>
      <c r="F1375" s="4">
        <v>12.220800000000001</v>
      </c>
      <c r="G1375" s="4">
        <v>5682.6719999999996</v>
      </c>
      <c r="H1375" s="5">
        <f t="shared" si="21"/>
        <v>-7.9388343348466733E-4</v>
      </c>
    </row>
    <row r="1376" spans="1:8" ht="13.5" x14ac:dyDescent="0.25">
      <c r="A1376" s="1"/>
      <c r="B1376" s="3">
        <v>44309</v>
      </c>
      <c r="C1376" s="4">
        <v>12.56</v>
      </c>
      <c r="D1376" s="4">
        <v>8.2269000000000005</v>
      </c>
      <c r="E1376" s="4">
        <v>100</v>
      </c>
      <c r="F1376" s="4">
        <v>12.5006</v>
      </c>
      <c r="G1376" s="4">
        <v>1250.06</v>
      </c>
      <c r="H1376" s="5">
        <f t="shared" si="21"/>
        <v>5.5982691814059037E-3</v>
      </c>
    </row>
    <row r="1377" spans="1:8" ht="13.5" x14ac:dyDescent="0.25">
      <c r="A1377" s="1"/>
      <c r="B1377" s="3">
        <v>44312</v>
      </c>
      <c r="C1377" s="4">
        <v>12.56</v>
      </c>
      <c r="D1377" s="4">
        <v>8.2269000000000005</v>
      </c>
      <c r="E1377" s="4">
        <v>9</v>
      </c>
      <c r="F1377" s="4">
        <v>12.56</v>
      </c>
      <c r="G1377" s="4">
        <v>113.04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12.56</v>
      </c>
      <c r="D1378" s="4">
        <v>8.2269000000000005</v>
      </c>
      <c r="E1378" s="4">
        <v>0</v>
      </c>
      <c r="F1378" s="4">
        <v>0</v>
      </c>
      <c r="G1378" s="4">
        <v>0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12.5</v>
      </c>
      <c r="D1379" s="4">
        <v>8.1875999999999998</v>
      </c>
      <c r="E1379" s="4">
        <v>245</v>
      </c>
      <c r="F1379" s="4">
        <v>12.2211</v>
      </c>
      <c r="G1379" s="4">
        <v>2994.1695</v>
      </c>
      <c r="H1379" s="5">
        <f t="shared" si="21"/>
        <v>-4.7770119972286983E-3</v>
      </c>
    </row>
    <row r="1380" spans="1:8" ht="13.5" x14ac:dyDescent="0.25">
      <c r="A1380" s="1"/>
      <c r="B1380" s="3">
        <v>44315</v>
      </c>
      <c r="C1380" s="4">
        <v>12.5</v>
      </c>
      <c r="D1380" s="4">
        <v>8.1875999999999998</v>
      </c>
      <c r="E1380" s="4">
        <v>0</v>
      </c>
      <c r="F1380" s="4">
        <v>0</v>
      </c>
      <c r="G1380" s="4">
        <v>0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12.3</v>
      </c>
      <c r="D1381" s="4">
        <v>8.0565999999999995</v>
      </c>
      <c r="E1381" s="4">
        <v>1071</v>
      </c>
      <c r="F1381" s="4">
        <v>12.401899999999999</v>
      </c>
      <c r="G1381" s="4">
        <v>13282.4349</v>
      </c>
      <c r="H1381" s="5">
        <f t="shared" si="21"/>
        <v>-1.5999804582539478E-2</v>
      </c>
    </row>
    <row r="1382" spans="1:8" ht="13.5" x14ac:dyDescent="0.25">
      <c r="A1382" s="1"/>
      <c r="B1382" s="3">
        <v>44319</v>
      </c>
      <c r="C1382" s="4">
        <v>12.3</v>
      </c>
      <c r="D1382" s="4">
        <v>8.0565999999999995</v>
      </c>
      <c r="E1382" s="4">
        <v>100</v>
      </c>
      <c r="F1382" s="4">
        <v>12.3</v>
      </c>
      <c r="G1382" s="4">
        <v>1230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12.3</v>
      </c>
      <c r="D1383" s="4">
        <v>8.0565999999999995</v>
      </c>
      <c r="E1383" s="4">
        <v>8954</v>
      </c>
      <c r="F1383" s="4">
        <v>12.3004</v>
      </c>
      <c r="G1383" s="4">
        <v>110137.7816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12.32</v>
      </c>
      <c r="D1384" s="4">
        <v>8.0696999999999992</v>
      </c>
      <c r="E1384" s="4">
        <v>254</v>
      </c>
      <c r="F1384" s="4">
        <v>12.3134</v>
      </c>
      <c r="G1384" s="4">
        <v>3127.6035999999999</v>
      </c>
      <c r="H1384" s="5">
        <f t="shared" si="21"/>
        <v>1.6259960777498781E-3</v>
      </c>
    </row>
    <row r="1385" spans="1:8" ht="13.5" x14ac:dyDescent="0.25">
      <c r="A1385" s="1"/>
      <c r="B1385" s="3">
        <v>44322</v>
      </c>
      <c r="C1385" s="4">
        <v>12.63</v>
      </c>
      <c r="D1385" s="4">
        <v>8.2728000000000002</v>
      </c>
      <c r="E1385" s="4">
        <v>1322</v>
      </c>
      <c r="F1385" s="4">
        <v>12.3437</v>
      </c>
      <c r="G1385" s="4">
        <v>16318.3714</v>
      </c>
      <c r="H1385" s="5">
        <f t="shared" si="21"/>
        <v>2.5168221866984024E-2</v>
      </c>
    </row>
    <row r="1386" spans="1:8" ht="13.5" x14ac:dyDescent="0.25">
      <c r="A1386" s="1"/>
      <c r="B1386" s="3">
        <v>44323</v>
      </c>
      <c r="C1386" s="4">
        <v>12.88</v>
      </c>
      <c r="D1386" s="4">
        <v>8.4365000000000006</v>
      </c>
      <c r="E1386" s="4">
        <v>409</v>
      </c>
      <c r="F1386" s="4">
        <v>12.342499999999999</v>
      </c>
      <c r="G1386" s="4">
        <v>5048.0825000000004</v>
      </c>
      <c r="H1386" s="5">
        <f t="shared" si="21"/>
        <v>1.9787738129774732E-2</v>
      </c>
    </row>
    <row r="1387" spans="1:8" ht="13.5" x14ac:dyDescent="0.25">
      <c r="A1387" s="1"/>
      <c r="B1387" s="3">
        <v>44326</v>
      </c>
      <c r="C1387" s="4">
        <v>12.88</v>
      </c>
      <c r="D1387" s="4">
        <v>8.4365000000000006</v>
      </c>
      <c r="E1387" s="4">
        <v>0</v>
      </c>
      <c r="F1387" s="4">
        <v>0</v>
      </c>
      <c r="G1387" s="4">
        <v>0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12.88</v>
      </c>
      <c r="D1388" s="4">
        <v>8.4365000000000006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12.88</v>
      </c>
      <c r="D1389" s="4">
        <v>8.4365000000000006</v>
      </c>
      <c r="E1389" s="4">
        <v>231</v>
      </c>
      <c r="F1389" s="4">
        <v>12.8309</v>
      </c>
      <c r="G1389" s="4">
        <v>2963.9378999999999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12.88</v>
      </c>
      <c r="D1390" s="4">
        <v>8.4365000000000006</v>
      </c>
      <c r="E1390" s="4">
        <v>150</v>
      </c>
      <c r="F1390" s="4">
        <v>12.8264</v>
      </c>
      <c r="G1390" s="4">
        <v>1923.96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12.88</v>
      </c>
      <c r="D1391" s="4">
        <v>8.4365000000000006</v>
      </c>
      <c r="E1391" s="4">
        <v>50</v>
      </c>
      <c r="F1391" s="4">
        <v>12.88</v>
      </c>
      <c r="G1391" s="4">
        <v>644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12.88</v>
      </c>
      <c r="D1392" s="4">
        <v>8.4365000000000006</v>
      </c>
      <c r="E1392" s="4">
        <v>440</v>
      </c>
      <c r="F1392" s="4">
        <v>12.88</v>
      </c>
      <c r="G1392" s="4">
        <v>5667.2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12.96</v>
      </c>
      <c r="D1393" s="4">
        <v>8.4888999999999992</v>
      </c>
      <c r="E1393" s="4">
        <v>1055</v>
      </c>
      <c r="F1393" s="4">
        <v>12.898</v>
      </c>
      <c r="G1393" s="4">
        <v>13607.39</v>
      </c>
      <c r="H1393" s="5">
        <f t="shared" si="21"/>
        <v>6.2111065015111322E-3</v>
      </c>
    </row>
    <row r="1394" spans="1:8" ht="13.5" x14ac:dyDescent="0.25">
      <c r="A1394" s="1"/>
      <c r="B1394" s="3">
        <v>44340</v>
      </c>
      <c r="C1394" s="4">
        <v>12.8</v>
      </c>
      <c r="D1394" s="4">
        <v>8.3841000000000001</v>
      </c>
      <c r="E1394" s="4">
        <v>618</v>
      </c>
      <c r="F1394" s="4">
        <v>12.802300000000001</v>
      </c>
      <c r="G1394" s="4">
        <v>7911.8213999999998</v>
      </c>
      <c r="H1394" s="5">
        <f t="shared" si="21"/>
        <v>-1.2345533579144427E-2</v>
      </c>
    </row>
    <row r="1395" spans="1:8" ht="13.5" x14ac:dyDescent="0.25">
      <c r="A1395" s="1"/>
      <c r="B1395" s="3">
        <v>44341</v>
      </c>
      <c r="C1395" s="4">
        <v>12.75</v>
      </c>
      <c r="D1395" s="4">
        <v>8.3513999999999999</v>
      </c>
      <c r="E1395" s="4">
        <v>417</v>
      </c>
      <c r="F1395" s="4">
        <v>12.7501</v>
      </c>
      <c r="G1395" s="4">
        <v>5316.7916999999998</v>
      </c>
      <c r="H1395" s="5">
        <f t="shared" si="21"/>
        <v>-3.9002397395069446E-3</v>
      </c>
    </row>
    <row r="1396" spans="1:8" ht="13.5" x14ac:dyDescent="0.25">
      <c r="A1396" s="1"/>
      <c r="B1396" s="3">
        <v>44342</v>
      </c>
      <c r="C1396" s="4">
        <v>12.78</v>
      </c>
      <c r="D1396" s="4">
        <v>8.3710000000000004</v>
      </c>
      <c r="E1396" s="4">
        <v>153</v>
      </c>
      <c r="F1396" s="4">
        <v>12.7522</v>
      </c>
      <c r="G1396" s="4">
        <v>1951.0866000000001</v>
      </c>
      <c r="H1396" s="5">
        <f t="shared" si="21"/>
        <v>2.3469118950116756E-3</v>
      </c>
    </row>
    <row r="1397" spans="1:8" ht="13.5" x14ac:dyDescent="0.25">
      <c r="A1397" s="1"/>
      <c r="B1397" s="3">
        <v>44343</v>
      </c>
      <c r="C1397" s="4">
        <v>12.8</v>
      </c>
      <c r="D1397" s="4">
        <v>8.3841000000000001</v>
      </c>
      <c r="E1397" s="4">
        <v>326</v>
      </c>
      <c r="F1397" s="4">
        <v>12.721399999999999</v>
      </c>
      <c r="G1397" s="4">
        <v>4147.1764000000003</v>
      </c>
      <c r="H1397" s="5">
        <f t="shared" si="21"/>
        <v>1.5649265320749812E-3</v>
      </c>
    </row>
    <row r="1398" spans="1:8" ht="13.5" x14ac:dyDescent="0.25">
      <c r="A1398" s="1"/>
      <c r="B1398" s="3">
        <v>44344</v>
      </c>
      <c r="C1398" s="4">
        <v>12.72</v>
      </c>
      <c r="D1398" s="4">
        <v>8.3316999999999997</v>
      </c>
      <c r="E1398" s="4">
        <v>15266</v>
      </c>
      <c r="F1398" s="4">
        <v>12.720599999999999</v>
      </c>
      <c r="G1398" s="4">
        <v>194192.6796</v>
      </c>
      <c r="H1398" s="5">
        <f t="shared" si="21"/>
        <v>-6.2499254541334721E-3</v>
      </c>
    </row>
    <row r="1399" spans="1:8" ht="13.5" x14ac:dyDescent="0.25">
      <c r="A1399" s="1"/>
      <c r="B1399" s="3">
        <v>44347</v>
      </c>
      <c r="C1399" s="4">
        <v>12.8</v>
      </c>
      <c r="D1399" s="4">
        <v>8.3841000000000001</v>
      </c>
      <c r="E1399" s="4">
        <v>3182</v>
      </c>
      <c r="F1399" s="4">
        <v>12.799799999999999</v>
      </c>
      <c r="G1399" s="4">
        <v>40728.963600000003</v>
      </c>
      <c r="H1399" s="5">
        <f t="shared" si="21"/>
        <v>6.2892326896072165E-3</v>
      </c>
    </row>
    <row r="1400" spans="1:8" ht="13.5" x14ac:dyDescent="0.25">
      <c r="A1400" s="1"/>
      <c r="B1400" s="3">
        <v>44348</v>
      </c>
      <c r="C1400" s="4">
        <v>12.8</v>
      </c>
      <c r="D1400" s="4">
        <v>8.3841000000000001</v>
      </c>
      <c r="E1400" s="4">
        <v>1515</v>
      </c>
      <c r="F1400" s="4">
        <v>12.7964</v>
      </c>
      <c r="G1400" s="4">
        <v>19386.545999999998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12.8</v>
      </c>
      <c r="D1401" s="4">
        <v>8.3841000000000001</v>
      </c>
      <c r="E1401" s="4">
        <v>2473</v>
      </c>
      <c r="F1401" s="4">
        <v>12.7889</v>
      </c>
      <c r="G1401" s="4">
        <v>31626.949700000001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12.8</v>
      </c>
      <c r="D1402" s="4">
        <v>8.3841000000000001</v>
      </c>
      <c r="E1402" s="4">
        <v>1211</v>
      </c>
      <c r="F1402" s="4">
        <v>12.7807</v>
      </c>
      <c r="G1402" s="4">
        <v>15477.4277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12.72</v>
      </c>
      <c r="D1403" s="4">
        <v>8.3316999999999997</v>
      </c>
      <c r="E1403" s="4">
        <v>1001</v>
      </c>
      <c r="F1403" s="4">
        <v>12.7265</v>
      </c>
      <c r="G1403" s="4">
        <v>12739.226500000001</v>
      </c>
      <c r="H1403" s="5">
        <f t="shared" si="21"/>
        <v>-6.2499254541334721E-3</v>
      </c>
    </row>
    <row r="1404" spans="1:8" ht="13.5" x14ac:dyDescent="0.25">
      <c r="A1404" s="1"/>
      <c r="B1404" s="3">
        <v>44354</v>
      </c>
      <c r="C1404" s="4">
        <v>12.72</v>
      </c>
      <c r="D1404" s="4">
        <v>8.3316999999999997</v>
      </c>
      <c r="E1404" s="4">
        <v>126</v>
      </c>
      <c r="F1404" s="4">
        <v>12.732200000000001</v>
      </c>
      <c r="G1404" s="4">
        <v>1604.2572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12.78</v>
      </c>
      <c r="D1405" s="4">
        <v>8.3710000000000004</v>
      </c>
      <c r="E1405" s="4">
        <v>13</v>
      </c>
      <c r="F1405" s="4">
        <v>12.770799999999999</v>
      </c>
      <c r="G1405" s="4">
        <v>166.0204</v>
      </c>
      <c r="H1405" s="5">
        <f t="shared" si="21"/>
        <v>4.7169245172054659E-3</v>
      </c>
    </row>
    <row r="1406" spans="1:8" ht="13.5" x14ac:dyDescent="0.25">
      <c r="A1406" s="1"/>
      <c r="B1406" s="3">
        <v>44356</v>
      </c>
      <c r="C1406" s="4">
        <v>12.78</v>
      </c>
      <c r="D1406" s="4">
        <v>8.3710000000000004</v>
      </c>
      <c r="E1406" s="4">
        <v>465</v>
      </c>
      <c r="F1406" s="4">
        <v>12.7309</v>
      </c>
      <c r="G1406" s="4">
        <v>5919.8684999999996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12.73</v>
      </c>
      <c r="D1407" s="4">
        <v>8.3383000000000003</v>
      </c>
      <c r="E1407" s="4">
        <v>690</v>
      </c>
      <c r="F1407" s="4">
        <v>12.730700000000001</v>
      </c>
      <c r="G1407" s="4">
        <v>8784.1830000000009</v>
      </c>
      <c r="H1407" s="5">
        <f t="shared" si="21"/>
        <v>-3.9063433281567523E-3</v>
      </c>
    </row>
    <row r="1408" spans="1:8" ht="13.5" x14ac:dyDescent="0.25">
      <c r="A1408" s="1"/>
      <c r="B1408" s="3">
        <v>44358</v>
      </c>
      <c r="C1408" s="4">
        <v>12.89</v>
      </c>
      <c r="D1408" s="4">
        <v>8.4430999999999994</v>
      </c>
      <c r="E1408" s="4">
        <v>931</v>
      </c>
      <c r="F1408" s="4">
        <v>12.8118</v>
      </c>
      <c r="G1408" s="4">
        <v>11927.7858</v>
      </c>
      <c r="H1408" s="5">
        <f t="shared" si="21"/>
        <v>1.2568509168535446E-2</v>
      </c>
    </row>
    <row r="1409" spans="1:8" ht="13.5" x14ac:dyDescent="0.25">
      <c r="A1409" s="1"/>
      <c r="B1409" s="3">
        <v>44361</v>
      </c>
      <c r="C1409" s="4">
        <v>12.82</v>
      </c>
      <c r="D1409" s="4">
        <v>8.3971999999999998</v>
      </c>
      <c r="E1409" s="4">
        <v>165</v>
      </c>
      <c r="F1409" s="4">
        <v>12.851800000000001</v>
      </c>
      <c r="G1409" s="4">
        <v>2120.547</v>
      </c>
      <c r="H1409" s="5">
        <f t="shared" si="21"/>
        <v>-5.4363918465965833E-3</v>
      </c>
    </row>
    <row r="1410" spans="1:8" ht="13.5" x14ac:dyDescent="0.25">
      <c r="A1410" s="1"/>
      <c r="B1410" s="3">
        <v>44362</v>
      </c>
      <c r="C1410" s="4">
        <v>12.83</v>
      </c>
      <c r="D1410" s="4">
        <v>8.4038000000000004</v>
      </c>
      <c r="E1410" s="4">
        <v>1712</v>
      </c>
      <c r="F1410" s="4">
        <v>12.8505</v>
      </c>
      <c r="G1410" s="4">
        <v>22000.056</v>
      </c>
      <c r="H1410" s="5">
        <f t="shared" si="21"/>
        <v>7.8597627780696013E-4</v>
      </c>
    </row>
    <row r="1411" spans="1:8" ht="13.5" x14ac:dyDescent="0.25">
      <c r="A1411" s="1"/>
      <c r="B1411" s="3">
        <v>44363</v>
      </c>
      <c r="C1411" s="4">
        <v>12.83</v>
      </c>
      <c r="D1411" s="4">
        <v>8.4038000000000004</v>
      </c>
      <c r="E1411" s="4">
        <v>1699</v>
      </c>
      <c r="F1411" s="4">
        <v>12.808299999999999</v>
      </c>
      <c r="G1411" s="4">
        <v>21761.3017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12.83</v>
      </c>
      <c r="D1412" s="4">
        <v>8.4038000000000004</v>
      </c>
      <c r="E1412" s="4">
        <v>106</v>
      </c>
      <c r="F1412" s="4">
        <v>12.8012</v>
      </c>
      <c r="G1412" s="4">
        <v>1356.9272000000001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12.84</v>
      </c>
      <c r="D1413" s="4">
        <v>8.4102999999999994</v>
      </c>
      <c r="E1413" s="4">
        <v>296</v>
      </c>
      <c r="F1413" s="4">
        <v>12.8309</v>
      </c>
      <c r="G1413" s="4">
        <v>3797.9463999999998</v>
      </c>
      <c r="H1413" s="5">
        <f t="shared" si="21"/>
        <v>7.7345962540744208E-4</v>
      </c>
    </row>
    <row r="1414" spans="1:8" ht="13.5" x14ac:dyDescent="0.25">
      <c r="A1414" s="1"/>
      <c r="B1414" s="3">
        <v>44368</v>
      </c>
      <c r="C1414" s="4">
        <v>12.8</v>
      </c>
      <c r="D1414" s="4">
        <v>8.3841000000000001</v>
      </c>
      <c r="E1414" s="4">
        <v>783</v>
      </c>
      <c r="F1414" s="4">
        <v>12.8131</v>
      </c>
      <c r="G1414" s="4">
        <v>10032.657300000001</v>
      </c>
      <c r="H1414" s="5">
        <f t="shared" si="21"/>
        <v>-3.1152277564414272E-3</v>
      </c>
    </row>
    <row r="1415" spans="1:8" ht="13.5" x14ac:dyDescent="0.25">
      <c r="A1415" s="1"/>
      <c r="B1415" s="3">
        <v>44369</v>
      </c>
      <c r="C1415" s="4">
        <v>12.84</v>
      </c>
      <c r="D1415" s="4">
        <v>8.4102999999999994</v>
      </c>
      <c r="E1415" s="4">
        <v>1365</v>
      </c>
      <c r="F1415" s="4">
        <v>12.817600000000001</v>
      </c>
      <c r="G1415" s="4">
        <v>17496.024000000001</v>
      </c>
      <c r="H1415" s="5">
        <f t="shared" ref="H1415:H1478" si="22">(D1415-D1414)/D1414</f>
        <v>3.1249627270666302E-3</v>
      </c>
    </row>
    <row r="1416" spans="1:8" ht="13.5" x14ac:dyDescent="0.25">
      <c r="A1416" s="1"/>
      <c r="B1416" s="3">
        <v>44370</v>
      </c>
      <c r="C1416" s="4">
        <v>12.86</v>
      </c>
      <c r="D1416" s="4">
        <v>8.4234000000000009</v>
      </c>
      <c r="E1416" s="4">
        <v>423</v>
      </c>
      <c r="F1416" s="4">
        <v>12.843400000000001</v>
      </c>
      <c r="G1416" s="4">
        <v>5432.7582000000002</v>
      </c>
      <c r="H1416" s="5">
        <f t="shared" si="22"/>
        <v>1.5576138782209248E-3</v>
      </c>
    </row>
    <row r="1417" spans="1:8" ht="13.5" x14ac:dyDescent="0.25">
      <c r="A1417" s="1"/>
      <c r="B1417" s="3">
        <v>44371</v>
      </c>
      <c r="C1417" s="4">
        <v>12.86</v>
      </c>
      <c r="D1417" s="4">
        <v>8.4234000000000009</v>
      </c>
      <c r="E1417" s="4">
        <v>776</v>
      </c>
      <c r="F1417" s="4">
        <v>12.837</v>
      </c>
      <c r="G1417" s="4">
        <v>9961.5120000000006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13</v>
      </c>
      <c r="D1418" s="4">
        <v>8.5151000000000003</v>
      </c>
      <c r="E1418" s="4">
        <v>247</v>
      </c>
      <c r="F1418" s="4">
        <v>12.8789</v>
      </c>
      <c r="G1418" s="4">
        <v>3181.0882999999999</v>
      </c>
      <c r="H1418" s="5">
        <f t="shared" si="22"/>
        <v>1.0886340432604344E-2</v>
      </c>
    </row>
    <row r="1419" spans="1:8" ht="13.5" x14ac:dyDescent="0.25">
      <c r="A1419" s="1"/>
      <c r="B1419" s="3">
        <v>44375</v>
      </c>
      <c r="C1419" s="4">
        <v>13</v>
      </c>
      <c r="D1419" s="4">
        <v>8.5151000000000003</v>
      </c>
      <c r="E1419" s="4">
        <v>529</v>
      </c>
      <c r="F1419" s="4">
        <v>12.999499999999999</v>
      </c>
      <c r="G1419" s="4">
        <v>6876.7354999999998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12.99</v>
      </c>
      <c r="D1420" s="4">
        <v>8.5085999999999995</v>
      </c>
      <c r="E1420" s="4">
        <v>335</v>
      </c>
      <c r="F1420" s="4">
        <v>12.9025</v>
      </c>
      <c r="G1420" s="4">
        <v>4322.3374999999996</v>
      </c>
      <c r="H1420" s="5">
        <f t="shared" si="22"/>
        <v>-7.6334981386018224E-4</v>
      </c>
    </row>
    <row r="1421" spans="1:8" ht="13.5" x14ac:dyDescent="0.25">
      <c r="A1421" s="1"/>
      <c r="B1421" s="3">
        <v>44377</v>
      </c>
      <c r="C1421" s="4">
        <v>12.95</v>
      </c>
      <c r="D1421" s="4">
        <v>8.4824000000000002</v>
      </c>
      <c r="E1421" s="4">
        <v>140</v>
      </c>
      <c r="F1421" s="4">
        <v>12.95</v>
      </c>
      <c r="G1421" s="4">
        <v>1813</v>
      </c>
      <c r="H1421" s="5">
        <f t="shared" si="22"/>
        <v>-3.0792374773757534E-3</v>
      </c>
    </row>
    <row r="1422" spans="1:8" ht="13.5" x14ac:dyDescent="0.25">
      <c r="A1422" s="1"/>
      <c r="B1422" s="3">
        <v>44378</v>
      </c>
      <c r="C1422" s="4">
        <v>12.95</v>
      </c>
      <c r="D1422" s="4">
        <v>8.4824000000000002</v>
      </c>
      <c r="E1422" s="4">
        <v>953</v>
      </c>
      <c r="F1422" s="4">
        <v>12.948600000000001</v>
      </c>
      <c r="G1422" s="4">
        <v>12340.015799999999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12.9</v>
      </c>
      <c r="D1423" s="4">
        <v>8.4496000000000002</v>
      </c>
      <c r="E1423" s="4">
        <v>230</v>
      </c>
      <c r="F1423" s="4">
        <v>12.922800000000001</v>
      </c>
      <c r="G1423" s="4">
        <v>2972.2440000000001</v>
      </c>
      <c r="H1423" s="5">
        <f t="shared" si="22"/>
        <v>-3.8668301424125175E-3</v>
      </c>
    </row>
    <row r="1424" spans="1:8" ht="13.5" x14ac:dyDescent="0.25">
      <c r="A1424" s="1"/>
      <c r="B1424" s="3">
        <v>44382</v>
      </c>
      <c r="C1424" s="4">
        <v>12.9</v>
      </c>
      <c r="D1424" s="4">
        <v>8.4496000000000002</v>
      </c>
      <c r="E1424" s="4">
        <v>100</v>
      </c>
      <c r="F1424" s="4">
        <v>12.9</v>
      </c>
      <c r="G1424" s="4">
        <v>1290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12.95</v>
      </c>
      <c r="D1425" s="4">
        <v>8.4824000000000002</v>
      </c>
      <c r="E1425" s="4">
        <v>514</v>
      </c>
      <c r="F1425" s="4">
        <v>12.95</v>
      </c>
      <c r="G1425" s="4">
        <v>6656.3</v>
      </c>
      <c r="H1425" s="5">
        <f t="shared" si="22"/>
        <v>3.8818405604998983E-3</v>
      </c>
    </row>
    <row r="1426" spans="1:8" ht="13.5" x14ac:dyDescent="0.25">
      <c r="A1426" s="1"/>
      <c r="B1426" s="3">
        <v>44384</v>
      </c>
      <c r="C1426" s="4">
        <v>13</v>
      </c>
      <c r="D1426" s="4">
        <v>8.5151000000000003</v>
      </c>
      <c r="E1426" s="4">
        <v>10</v>
      </c>
      <c r="F1426" s="4">
        <v>12.994999999999999</v>
      </c>
      <c r="G1426" s="4">
        <v>129.94999999999999</v>
      </c>
      <c r="H1426" s="5">
        <f t="shared" si="22"/>
        <v>3.8550410261247023E-3</v>
      </c>
    </row>
    <row r="1427" spans="1:8" ht="13.5" x14ac:dyDescent="0.25">
      <c r="A1427" s="1"/>
      <c r="B1427" s="3">
        <v>44385</v>
      </c>
      <c r="C1427" s="4">
        <v>13</v>
      </c>
      <c r="D1427" s="4">
        <v>8.5151000000000003</v>
      </c>
      <c r="E1427" s="4">
        <v>800</v>
      </c>
      <c r="F1427" s="4">
        <v>13</v>
      </c>
      <c r="G1427" s="4">
        <v>10400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13</v>
      </c>
      <c r="D1428" s="4">
        <v>8.5151000000000003</v>
      </c>
      <c r="E1428" s="4">
        <v>145</v>
      </c>
      <c r="F1428" s="4">
        <v>13</v>
      </c>
      <c r="G1428" s="4">
        <v>1885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11.95</v>
      </c>
      <c r="D1429" s="4">
        <v>8.5153999999999996</v>
      </c>
      <c r="E1429" s="4">
        <v>15</v>
      </c>
      <c r="F1429" s="4">
        <v>12.05</v>
      </c>
      <c r="G1429" s="4">
        <v>180.75</v>
      </c>
      <c r="H1429" s="5">
        <f t="shared" si="22"/>
        <v>3.5231529870383297E-5</v>
      </c>
    </row>
    <row r="1430" spans="1:8" ht="13.5" x14ac:dyDescent="0.25">
      <c r="A1430" s="1"/>
      <c r="B1430" s="3">
        <v>44390</v>
      </c>
      <c r="C1430" s="4">
        <v>11.95</v>
      </c>
      <c r="D1430" s="4">
        <v>8.5153999999999996</v>
      </c>
      <c r="E1430" s="4">
        <v>65</v>
      </c>
      <c r="F1430" s="4">
        <v>11.9246</v>
      </c>
      <c r="G1430" s="4">
        <v>775.09900000000005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11.95</v>
      </c>
      <c r="D1431" s="4">
        <v>8.5153999999999996</v>
      </c>
      <c r="E1431" s="4">
        <v>252</v>
      </c>
      <c r="F1431" s="4">
        <v>11.951599999999999</v>
      </c>
      <c r="G1431" s="4">
        <v>3011.8031999999998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11.95</v>
      </c>
      <c r="D1432" s="4">
        <v>8.5153999999999996</v>
      </c>
      <c r="E1432" s="4">
        <v>66</v>
      </c>
      <c r="F1432" s="4">
        <v>11.95</v>
      </c>
      <c r="G1432" s="4">
        <v>788.7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12.25</v>
      </c>
      <c r="D1433" s="4">
        <v>8.7292000000000005</v>
      </c>
      <c r="E1433" s="4">
        <v>200</v>
      </c>
      <c r="F1433" s="4">
        <v>11.9945</v>
      </c>
      <c r="G1433" s="4">
        <v>2398.9</v>
      </c>
      <c r="H1433" s="5">
        <f t="shared" si="22"/>
        <v>2.5107452380393275E-2</v>
      </c>
    </row>
    <row r="1434" spans="1:8" ht="13.5" x14ac:dyDescent="0.25">
      <c r="A1434" s="1"/>
      <c r="B1434" s="3">
        <v>44396</v>
      </c>
      <c r="C1434" s="4">
        <v>12.25</v>
      </c>
      <c r="D1434" s="4">
        <v>8.7292000000000005</v>
      </c>
      <c r="E1434" s="4">
        <v>200</v>
      </c>
      <c r="F1434" s="4">
        <v>11.9945</v>
      </c>
      <c r="G1434" s="4">
        <v>2398.9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12.25</v>
      </c>
      <c r="D1435" s="4">
        <v>8.7292000000000005</v>
      </c>
      <c r="E1435" s="4">
        <v>618</v>
      </c>
      <c r="F1435" s="4">
        <v>12.25</v>
      </c>
      <c r="G1435" s="4">
        <v>7570.5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11.89</v>
      </c>
      <c r="D1436" s="4">
        <v>8.4725999999999999</v>
      </c>
      <c r="E1436" s="4">
        <v>675</v>
      </c>
      <c r="F1436" s="4">
        <v>11.8918</v>
      </c>
      <c r="G1436" s="4">
        <v>8026.9650000000001</v>
      </c>
      <c r="H1436" s="5">
        <f t="shared" si="22"/>
        <v>-2.9395591806809396E-2</v>
      </c>
    </row>
    <row r="1437" spans="1:8" ht="13.5" x14ac:dyDescent="0.25">
      <c r="A1437" s="1"/>
      <c r="B1437" s="3">
        <v>44403</v>
      </c>
      <c r="C1437" s="4">
        <v>11.89</v>
      </c>
      <c r="D1437" s="4">
        <v>8.4725999999999999</v>
      </c>
      <c r="E1437" s="4">
        <v>106</v>
      </c>
      <c r="F1437" s="4">
        <v>11.89</v>
      </c>
      <c r="G1437" s="4">
        <v>1260.3399999999999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11.89</v>
      </c>
      <c r="D1438" s="4">
        <v>8.4725999999999999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11.89</v>
      </c>
      <c r="D1439" s="4">
        <v>8.4725999999999999</v>
      </c>
      <c r="E1439" s="4">
        <v>403</v>
      </c>
      <c r="F1439" s="4">
        <v>11.645300000000001</v>
      </c>
      <c r="G1439" s="4">
        <v>4693.0559000000003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11.89</v>
      </c>
      <c r="D1440" s="4">
        <v>8.4725999999999999</v>
      </c>
      <c r="E1440" s="4">
        <v>477</v>
      </c>
      <c r="F1440" s="4">
        <v>11.622299999999999</v>
      </c>
      <c r="G1440" s="4">
        <v>5543.8370999999997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11.64</v>
      </c>
      <c r="D1441" s="4">
        <v>8.2944999999999993</v>
      </c>
      <c r="E1441" s="4">
        <v>290</v>
      </c>
      <c r="F1441" s="4">
        <v>11.6494</v>
      </c>
      <c r="G1441" s="4">
        <v>3378.326</v>
      </c>
      <c r="H1441" s="5">
        <f t="shared" si="22"/>
        <v>-2.1020702027712931E-2</v>
      </c>
    </row>
    <row r="1442" spans="1:8" ht="13.5" x14ac:dyDescent="0.25">
      <c r="A1442" s="1"/>
      <c r="B1442" s="3">
        <v>44410</v>
      </c>
      <c r="C1442" s="4">
        <v>11.89</v>
      </c>
      <c r="D1442" s="4">
        <v>8.4725999999999999</v>
      </c>
      <c r="E1442" s="4">
        <v>5</v>
      </c>
      <c r="F1442" s="4">
        <v>11.89</v>
      </c>
      <c r="G1442" s="4">
        <v>59.45</v>
      </c>
      <c r="H1442" s="5">
        <f t="shared" si="22"/>
        <v>2.1472059798661836E-2</v>
      </c>
    </row>
    <row r="1443" spans="1:8" ht="13.5" x14ac:dyDescent="0.25">
      <c r="A1443" s="1"/>
      <c r="B1443" s="3">
        <v>44411</v>
      </c>
      <c r="C1443" s="4">
        <v>11.61</v>
      </c>
      <c r="D1443" s="4">
        <v>8.2730999999999995</v>
      </c>
      <c r="E1443" s="4">
        <v>64</v>
      </c>
      <c r="F1443" s="4">
        <v>11.6538</v>
      </c>
      <c r="G1443" s="4">
        <v>745.84320000000002</v>
      </c>
      <c r="H1443" s="5">
        <f t="shared" si="22"/>
        <v>-2.3546491041710981E-2</v>
      </c>
    </row>
    <row r="1444" spans="1:8" ht="13.5" x14ac:dyDescent="0.25">
      <c r="A1444" s="1"/>
      <c r="B1444" s="3">
        <v>44412</v>
      </c>
      <c r="C1444" s="4">
        <v>11.95</v>
      </c>
      <c r="D1444" s="4">
        <v>8.5153999999999996</v>
      </c>
      <c r="E1444" s="4">
        <v>20</v>
      </c>
      <c r="F1444" s="4">
        <v>11.935</v>
      </c>
      <c r="G1444" s="4">
        <v>238.7</v>
      </c>
      <c r="H1444" s="5">
        <f t="shared" si="22"/>
        <v>2.9287691433682681E-2</v>
      </c>
    </row>
    <row r="1445" spans="1:8" ht="13.5" x14ac:dyDescent="0.25">
      <c r="A1445" s="1"/>
      <c r="B1445" s="3">
        <v>44413</v>
      </c>
      <c r="C1445" s="4">
        <v>11.95</v>
      </c>
      <c r="D1445" s="4">
        <v>8.5153999999999996</v>
      </c>
      <c r="E1445" s="4">
        <v>15</v>
      </c>
      <c r="F1445" s="4">
        <v>11.95</v>
      </c>
      <c r="G1445" s="4">
        <v>179.25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11.9</v>
      </c>
      <c r="D1446" s="4">
        <v>8.4797999999999991</v>
      </c>
      <c r="E1446" s="4">
        <v>9</v>
      </c>
      <c r="F1446" s="4">
        <v>11.9222</v>
      </c>
      <c r="G1446" s="4">
        <v>107.2998</v>
      </c>
      <c r="H1446" s="5">
        <f t="shared" si="22"/>
        <v>-4.180660920215201E-3</v>
      </c>
    </row>
    <row r="1447" spans="1:8" ht="13.5" x14ac:dyDescent="0.25">
      <c r="A1447" s="1"/>
      <c r="B1447" s="3">
        <v>44417</v>
      </c>
      <c r="C1447" s="4">
        <v>11.9</v>
      </c>
      <c r="D1447" s="4">
        <v>8.4797999999999991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11.95</v>
      </c>
      <c r="D1448" s="4">
        <v>8.5153999999999996</v>
      </c>
      <c r="E1448" s="4">
        <v>895</v>
      </c>
      <c r="F1448" s="4">
        <v>11.9107</v>
      </c>
      <c r="G1448" s="4">
        <v>10660.076499999999</v>
      </c>
      <c r="H1448" s="5">
        <f t="shared" si="22"/>
        <v>4.198212221986429E-3</v>
      </c>
    </row>
    <row r="1449" spans="1:8" ht="13.5" x14ac:dyDescent="0.25">
      <c r="A1449" s="1"/>
      <c r="B1449" s="3">
        <v>44420</v>
      </c>
      <c r="C1449" s="4">
        <v>11.95</v>
      </c>
      <c r="D1449" s="4">
        <v>8.5153999999999996</v>
      </c>
      <c r="E1449" s="4">
        <v>5</v>
      </c>
      <c r="F1449" s="4">
        <v>11.95</v>
      </c>
      <c r="G1449" s="4">
        <v>59.75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11.95</v>
      </c>
      <c r="D1450" s="4">
        <v>8.5153999999999996</v>
      </c>
      <c r="E1450" s="4">
        <v>53</v>
      </c>
      <c r="F1450" s="4">
        <v>11.676399999999999</v>
      </c>
      <c r="G1450" s="4">
        <v>618.8492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11.76</v>
      </c>
      <c r="D1451" s="4">
        <v>8.3800000000000008</v>
      </c>
      <c r="E1451" s="4">
        <v>2104</v>
      </c>
      <c r="F1451" s="4">
        <v>11.8385</v>
      </c>
      <c r="G1451" s="4">
        <v>24908.204000000002</v>
      </c>
      <c r="H1451" s="5">
        <f t="shared" si="22"/>
        <v>-1.5900603612278796E-2</v>
      </c>
    </row>
    <row r="1452" spans="1:8" ht="13.5" x14ac:dyDescent="0.25">
      <c r="A1452" s="1"/>
      <c r="B1452" s="3">
        <v>44426</v>
      </c>
      <c r="C1452" s="4">
        <v>11.65</v>
      </c>
      <c r="D1452" s="4">
        <v>8.3016000000000005</v>
      </c>
      <c r="E1452" s="4">
        <v>2059</v>
      </c>
      <c r="F1452" s="4">
        <v>11.7079</v>
      </c>
      <c r="G1452" s="4">
        <v>24106.5661</v>
      </c>
      <c r="H1452" s="5">
        <f t="shared" si="22"/>
        <v>-9.3556085918854708E-3</v>
      </c>
    </row>
    <row r="1453" spans="1:8" ht="13.5" x14ac:dyDescent="0.25">
      <c r="A1453" s="1"/>
      <c r="B1453" s="3">
        <v>44427</v>
      </c>
      <c r="C1453" s="4">
        <v>11.65</v>
      </c>
      <c r="D1453" s="4">
        <v>8.3016000000000005</v>
      </c>
      <c r="E1453" s="4">
        <v>2272</v>
      </c>
      <c r="F1453" s="4">
        <v>11.6511</v>
      </c>
      <c r="G1453" s="4">
        <v>26471.299200000001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11.9</v>
      </c>
      <c r="D1454" s="4">
        <v>8.4797999999999991</v>
      </c>
      <c r="E1454" s="4">
        <v>34</v>
      </c>
      <c r="F1454" s="4">
        <v>11.6965</v>
      </c>
      <c r="G1454" s="4">
        <v>397.68099999999998</v>
      </c>
      <c r="H1454" s="5">
        <f t="shared" si="22"/>
        <v>2.1465741543798614E-2</v>
      </c>
    </row>
    <row r="1455" spans="1:8" ht="13.5" x14ac:dyDescent="0.25">
      <c r="A1455" s="1"/>
      <c r="B1455" s="3">
        <v>44431</v>
      </c>
      <c r="C1455" s="4">
        <v>11.9</v>
      </c>
      <c r="D1455" s="4">
        <v>8.4797999999999991</v>
      </c>
      <c r="E1455" s="4">
        <v>49</v>
      </c>
      <c r="F1455" s="4">
        <v>11.9</v>
      </c>
      <c r="G1455" s="4">
        <v>583.1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12.24</v>
      </c>
      <c r="D1456" s="4">
        <v>8.7219999999999995</v>
      </c>
      <c r="E1456" s="4">
        <v>107</v>
      </c>
      <c r="F1456" s="4">
        <v>11.9064</v>
      </c>
      <c r="G1456" s="4">
        <v>1273.9848</v>
      </c>
      <c r="H1456" s="5">
        <f t="shared" si="22"/>
        <v>2.8561994386660114E-2</v>
      </c>
    </row>
    <row r="1457" spans="1:8" ht="13.5" x14ac:dyDescent="0.25">
      <c r="A1457" s="1"/>
      <c r="B1457" s="3">
        <v>44433</v>
      </c>
      <c r="C1457" s="4">
        <v>11.97</v>
      </c>
      <c r="D1457" s="4">
        <v>8.5296000000000003</v>
      </c>
      <c r="E1457" s="4">
        <v>509</v>
      </c>
      <c r="F1457" s="4">
        <v>12.172499999999999</v>
      </c>
      <c r="G1457" s="4">
        <v>6195.8024999999998</v>
      </c>
      <c r="H1457" s="5">
        <f t="shared" si="22"/>
        <v>-2.205916074294878E-2</v>
      </c>
    </row>
    <row r="1458" spans="1:8" ht="13.5" x14ac:dyDescent="0.25">
      <c r="A1458" s="1"/>
      <c r="B1458" s="3">
        <v>44434</v>
      </c>
      <c r="C1458" s="4">
        <v>12.24</v>
      </c>
      <c r="D1458" s="4">
        <v>8.7219999999999995</v>
      </c>
      <c r="E1458" s="4">
        <v>1713</v>
      </c>
      <c r="F1458" s="4">
        <v>11.9648</v>
      </c>
      <c r="G1458" s="4">
        <v>20495.702399999998</v>
      </c>
      <c r="H1458" s="5">
        <f t="shared" si="22"/>
        <v>2.2556743575314109E-2</v>
      </c>
    </row>
    <row r="1459" spans="1:8" ht="13.5" x14ac:dyDescent="0.25">
      <c r="A1459" s="1"/>
      <c r="B1459" s="3">
        <v>44435</v>
      </c>
      <c r="C1459" s="4">
        <v>11.96</v>
      </c>
      <c r="D1459" s="4">
        <v>8.5225000000000009</v>
      </c>
      <c r="E1459" s="4">
        <v>124</v>
      </c>
      <c r="F1459" s="4">
        <v>11.96</v>
      </c>
      <c r="G1459" s="4">
        <v>1483.04</v>
      </c>
      <c r="H1459" s="5">
        <f t="shared" si="22"/>
        <v>-2.2873194221508679E-2</v>
      </c>
    </row>
    <row r="1460" spans="1:8" ht="13.5" x14ac:dyDescent="0.25">
      <c r="A1460" s="1"/>
      <c r="B1460" s="3">
        <v>44438</v>
      </c>
      <c r="C1460" s="4">
        <v>11.96</v>
      </c>
      <c r="D1460" s="4">
        <v>8.5225000000000009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11.96</v>
      </c>
      <c r="D1461" s="4">
        <v>8.5225000000000009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11.9</v>
      </c>
      <c r="D1462" s="4">
        <v>8.4797999999999991</v>
      </c>
      <c r="E1462" s="4">
        <v>105</v>
      </c>
      <c r="F1462" s="4">
        <v>11.875999999999999</v>
      </c>
      <c r="G1462" s="4">
        <v>1246.98</v>
      </c>
      <c r="H1462" s="5">
        <f t="shared" si="22"/>
        <v>-5.0102669404519483E-3</v>
      </c>
    </row>
    <row r="1463" spans="1:8" ht="13.5" x14ac:dyDescent="0.25">
      <c r="A1463" s="1"/>
      <c r="B1463" s="3">
        <v>44441</v>
      </c>
      <c r="C1463" s="4">
        <v>11.95</v>
      </c>
      <c r="D1463" s="4">
        <v>8.5153999999999996</v>
      </c>
      <c r="E1463" s="4">
        <v>964</v>
      </c>
      <c r="F1463" s="4">
        <v>11.946</v>
      </c>
      <c r="G1463" s="4">
        <v>11515.944</v>
      </c>
      <c r="H1463" s="5">
        <f t="shared" si="22"/>
        <v>4.198212221986429E-3</v>
      </c>
    </row>
    <row r="1464" spans="1:8" ht="13.5" x14ac:dyDescent="0.25">
      <c r="A1464" s="1"/>
      <c r="B1464" s="3">
        <v>44442</v>
      </c>
      <c r="C1464" s="4">
        <v>11.95</v>
      </c>
      <c r="D1464" s="4">
        <v>8.5153999999999996</v>
      </c>
      <c r="E1464" s="4">
        <v>600</v>
      </c>
      <c r="F1464" s="4">
        <v>11.962</v>
      </c>
      <c r="G1464" s="4">
        <v>7177.2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12.18</v>
      </c>
      <c r="D1465" s="4">
        <v>8.6792999999999996</v>
      </c>
      <c r="E1465" s="4">
        <v>411</v>
      </c>
      <c r="F1465" s="4">
        <v>11.956</v>
      </c>
      <c r="G1465" s="4">
        <v>4913.9160000000002</v>
      </c>
      <c r="H1465" s="5">
        <f t="shared" si="22"/>
        <v>1.9247481034361268E-2</v>
      </c>
    </row>
    <row r="1466" spans="1:8" ht="13.5" x14ac:dyDescent="0.25">
      <c r="A1466" s="1"/>
      <c r="B1466" s="3">
        <v>44446</v>
      </c>
      <c r="C1466" s="4">
        <v>12.18</v>
      </c>
      <c r="D1466" s="4">
        <v>8.6792999999999996</v>
      </c>
      <c r="E1466" s="4">
        <v>1150</v>
      </c>
      <c r="F1466" s="4">
        <v>12.026999999999999</v>
      </c>
      <c r="G1466" s="4">
        <v>13831.05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12.22</v>
      </c>
      <c r="D1467" s="4">
        <v>8.7078000000000007</v>
      </c>
      <c r="E1467" s="4">
        <v>190</v>
      </c>
      <c r="F1467" s="4">
        <v>12.157999999999999</v>
      </c>
      <c r="G1467" s="4">
        <v>2310.02</v>
      </c>
      <c r="H1467" s="5">
        <f t="shared" si="22"/>
        <v>3.2836749507450004E-3</v>
      </c>
    </row>
    <row r="1468" spans="1:8" ht="13.5" x14ac:dyDescent="0.25">
      <c r="A1468" s="1"/>
      <c r="B1468" s="3">
        <v>44448</v>
      </c>
      <c r="C1468" s="4">
        <v>12.49</v>
      </c>
      <c r="D1468" s="4">
        <v>8.9001999999999999</v>
      </c>
      <c r="E1468" s="4">
        <v>535</v>
      </c>
      <c r="F1468" s="4">
        <v>12.231999999999999</v>
      </c>
      <c r="G1468" s="4">
        <v>6544.12</v>
      </c>
      <c r="H1468" s="5">
        <f t="shared" si="22"/>
        <v>2.2095133099060523E-2</v>
      </c>
    </row>
    <row r="1469" spans="1:8" ht="13.5" x14ac:dyDescent="0.25">
      <c r="A1469" s="1"/>
      <c r="B1469" s="3">
        <v>44449</v>
      </c>
      <c r="C1469" s="4">
        <v>12.32</v>
      </c>
      <c r="D1469" s="4">
        <v>8.7790999999999997</v>
      </c>
      <c r="E1469" s="4">
        <v>467</v>
      </c>
      <c r="F1469" s="4">
        <v>12.622999999999999</v>
      </c>
      <c r="G1469" s="4">
        <v>5894.9409999999998</v>
      </c>
      <c r="H1469" s="5">
        <f t="shared" si="22"/>
        <v>-1.360643581043125E-2</v>
      </c>
    </row>
    <row r="1470" spans="1:8" ht="13.5" x14ac:dyDescent="0.25">
      <c r="A1470" s="1"/>
      <c r="B1470" s="3">
        <v>44452</v>
      </c>
      <c r="C1470" s="4">
        <v>12.89</v>
      </c>
      <c r="D1470" s="4">
        <v>9.1852</v>
      </c>
      <c r="E1470" s="4">
        <v>687</v>
      </c>
      <c r="F1470" s="4">
        <v>12.723000000000001</v>
      </c>
      <c r="G1470" s="4">
        <v>8740.7009999999991</v>
      </c>
      <c r="H1470" s="5">
        <f t="shared" si="22"/>
        <v>4.625758904671326E-2</v>
      </c>
    </row>
    <row r="1471" spans="1:8" ht="13.5" x14ac:dyDescent="0.25">
      <c r="A1471" s="1"/>
      <c r="B1471" s="3">
        <v>44453</v>
      </c>
      <c r="C1471" s="4">
        <v>13</v>
      </c>
      <c r="D1471" s="4">
        <v>9.2636000000000003</v>
      </c>
      <c r="E1471" s="4">
        <v>194</v>
      </c>
      <c r="F1471" s="4">
        <v>12.962999999999999</v>
      </c>
      <c r="G1471" s="4">
        <v>2514.8220000000001</v>
      </c>
      <c r="H1471" s="5">
        <f t="shared" si="22"/>
        <v>8.5354701040805045E-3</v>
      </c>
    </row>
    <row r="1472" spans="1:8" ht="13.5" x14ac:dyDescent="0.25">
      <c r="A1472" s="1"/>
      <c r="B1472" s="3">
        <v>44454</v>
      </c>
      <c r="C1472" s="4">
        <v>12.98</v>
      </c>
      <c r="D1472" s="4">
        <v>9.2493999999999996</v>
      </c>
      <c r="E1472" s="4">
        <v>3081</v>
      </c>
      <c r="F1472" s="4">
        <v>12.994999999999999</v>
      </c>
      <c r="G1472" s="4">
        <v>40037.595000000001</v>
      </c>
      <c r="H1472" s="5">
        <f t="shared" si="22"/>
        <v>-1.532881385206686E-3</v>
      </c>
    </row>
    <row r="1473" spans="1:8" ht="13.5" x14ac:dyDescent="0.25">
      <c r="A1473" s="1"/>
      <c r="B1473" s="3">
        <v>44455</v>
      </c>
      <c r="C1473" s="4">
        <v>12.98</v>
      </c>
      <c r="D1473" s="4">
        <v>9.2493999999999996</v>
      </c>
      <c r="E1473" s="4">
        <v>475</v>
      </c>
      <c r="F1473" s="4">
        <v>12.981</v>
      </c>
      <c r="G1473" s="4">
        <v>6165.9750000000004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12.97</v>
      </c>
      <c r="D1474" s="4">
        <v>9.2422000000000004</v>
      </c>
      <c r="E1474" s="4">
        <v>715</v>
      </c>
      <c r="F1474" s="4">
        <v>12.821</v>
      </c>
      <c r="G1474" s="4">
        <v>9167.0149999999994</v>
      </c>
      <c r="H1474" s="5">
        <f t="shared" si="22"/>
        <v>-7.7842887106182104E-4</v>
      </c>
    </row>
    <row r="1475" spans="1:8" ht="13.5" x14ac:dyDescent="0.25">
      <c r="A1475" s="1"/>
      <c r="B1475" s="3">
        <v>44459</v>
      </c>
      <c r="C1475" s="4">
        <v>13</v>
      </c>
      <c r="D1475" s="4">
        <v>9.2636000000000003</v>
      </c>
      <c r="E1475" s="4">
        <v>973</v>
      </c>
      <c r="F1475" s="4">
        <v>12.827</v>
      </c>
      <c r="G1475" s="4">
        <v>12480.671</v>
      </c>
      <c r="H1475" s="5">
        <f t="shared" si="22"/>
        <v>2.315466014585257E-3</v>
      </c>
    </row>
    <row r="1476" spans="1:8" ht="13.5" x14ac:dyDescent="0.25">
      <c r="A1476" s="1"/>
      <c r="B1476" s="3">
        <v>44460</v>
      </c>
      <c r="C1476" s="4">
        <v>13</v>
      </c>
      <c r="D1476" s="4">
        <v>9.2636000000000003</v>
      </c>
      <c r="E1476" s="4">
        <v>5</v>
      </c>
      <c r="F1476" s="4">
        <v>12.994</v>
      </c>
      <c r="G1476" s="4">
        <v>64.97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12.98</v>
      </c>
      <c r="D1477" s="4">
        <v>9.2493999999999996</v>
      </c>
      <c r="E1477" s="4">
        <v>1044</v>
      </c>
      <c r="F1477" s="4">
        <v>12.842000000000001</v>
      </c>
      <c r="G1477" s="4">
        <v>13407.048000000001</v>
      </c>
      <c r="H1477" s="5">
        <f t="shared" si="22"/>
        <v>-1.532881385206686E-3</v>
      </c>
    </row>
    <row r="1478" spans="1:8" ht="13.5" x14ac:dyDescent="0.25">
      <c r="A1478" s="1"/>
      <c r="B1478" s="3">
        <v>44462</v>
      </c>
      <c r="C1478" s="4">
        <v>13.63</v>
      </c>
      <c r="D1478" s="4">
        <v>9.7125000000000004</v>
      </c>
      <c r="E1478" s="4">
        <v>9224</v>
      </c>
      <c r="F1478" s="4">
        <v>13.176</v>
      </c>
      <c r="G1478" s="4">
        <v>121535.424</v>
      </c>
      <c r="H1478" s="5">
        <f t="shared" si="22"/>
        <v>5.0068112526217998E-2</v>
      </c>
    </row>
    <row r="1479" spans="1:8" ht="13.5" x14ac:dyDescent="0.25">
      <c r="A1479" s="1"/>
      <c r="B1479" s="3">
        <v>44463</v>
      </c>
      <c r="C1479" s="4">
        <v>13.5</v>
      </c>
      <c r="D1479" s="4">
        <v>9.6198999999999995</v>
      </c>
      <c r="E1479" s="4">
        <v>170</v>
      </c>
      <c r="F1479" s="4">
        <v>13.359</v>
      </c>
      <c r="G1479" s="4">
        <v>2271.0300000000002</v>
      </c>
      <c r="H1479" s="5">
        <f t="shared" ref="H1479:H1542" si="23">(D1479-D1478)/D1478</f>
        <v>-9.5341055341056271E-3</v>
      </c>
    </row>
    <row r="1480" spans="1:8" ht="13.5" x14ac:dyDescent="0.25">
      <c r="A1480" s="1"/>
      <c r="B1480" s="3">
        <v>44466</v>
      </c>
      <c r="C1480" s="4">
        <v>13.5</v>
      </c>
      <c r="D1480" s="4">
        <v>9.6198999999999995</v>
      </c>
      <c r="E1480" s="4">
        <v>29</v>
      </c>
      <c r="F1480" s="4">
        <v>13.5</v>
      </c>
      <c r="G1480" s="4">
        <v>391.5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13.5</v>
      </c>
      <c r="D1481" s="4">
        <v>9.6198999999999995</v>
      </c>
      <c r="E1481" s="4">
        <v>5</v>
      </c>
      <c r="F1481" s="4">
        <v>13.5</v>
      </c>
      <c r="G1481" s="4">
        <v>67.5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13.45</v>
      </c>
      <c r="D1482" s="4">
        <v>9.5843000000000007</v>
      </c>
      <c r="E1482" s="4">
        <v>20</v>
      </c>
      <c r="F1482" s="4">
        <v>13.395</v>
      </c>
      <c r="G1482" s="4">
        <v>267.89999999999998</v>
      </c>
      <c r="H1482" s="5">
        <f t="shared" si="23"/>
        <v>-3.700662169045286E-3</v>
      </c>
    </row>
    <row r="1483" spans="1:8" ht="13.5" x14ac:dyDescent="0.25">
      <c r="A1483" s="1"/>
      <c r="B1483" s="3">
        <v>44469</v>
      </c>
      <c r="C1483" s="4">
        <v>13.2</v>
      </c>
      <c r="D1483" s="4">
        <v>9.4061000000000003</v>
      </c>
      <c r="E1483" s="4">
        <v>1265</v>
      </c>
      <c r="F1483" s="4">
        <v>13.141999999999999</v>
      </c>
      <c r="G1483" s="4">
        <v>16624.63</v>
      </c>
      <c r="H1483" s="5">
        <f t="shared" si="23"/>
        <v>-1.8592907150235316E-2</v>
      </c>
    </row>
    <row r="1484" spans="1:8" ht="13.5" x14ac:dyDescent="0.25">
      <c r="A1484" s="1"/>
      <c r="B1484" s="3">
        <v>44470</v>
      </c>
      <c r="C1484" s="4">
        <v>13</v>
      </c>
      <c r="D1484" s="4">
        <v>9.2636000000000003</v>
      </c>
      <c r="E1484" s="4">
        <v>2608</v>
      </c>
      <c r="F1484" s="4">
        <v>12.863</v>
      </c>
      <c r="G1484" s="4">
        <v>33546.703999999998</v>
      </c>
      <c r="H1484" s="5">
        <f t="shared" si="23"/>
        <v>-1.5149743251719635E-2</v>
      </c>
    </row>
    <row r="1485" spans="1:8" ht="13.5" x14ac:dyDescent="0.25">
      <c r="A1485" s="1"/>
      <c r="B1485" s="3">
        <v>44473</v>
      </c>
      <c r="C1485" s="4">
        <v>13</v>
      </c>
      <c r="D1485" s="4">
        <v>9.2636000000000003</v>
      </c>
      <c r="E1485" s="4">
        <v>868</v>
      </c>
      <c r="F1485" s="4">
        <v>12.833</v>
      </c>
      <c r="G1485" s="4">
        <v>11139.044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12.99</v>
      </c>
      <c r="D1486" s="4">
        <v>9.2565000000000008</v>
      </c>
      <c r="E1486" s="4">
        <v>2717</v>
      </c>
      <c r="F1486" s="4">
        <v>12.984</v>
      </c>
      <c r="G1486" s="4">
        <v>35277.527999999998</v>
      </c>
      <c r="H1486" s="5">
        <f t="shared" si="23"/>
        <v>-7.6644069260324707E-4</v>
      </c>
    </row>
    <row r="1487" spans="1:8" ht="13.5" x14ac:dyDescent="0.25">
      <c r="A1487" s="1"/>
      <c r="B1487" s="3">
        <v>44475</v>
      </c>
      <c r="C1487" s="4">
        <v>12.99</v>
      </c>
      <c r="D1487" s="4">
        <v>9.2565000000000008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12.99</v>
      </c>
      <c r="D1488" s="4">
        <v>9.2565000000000008</v>
      </c>
      <c r="E1488" s="4">
        <v>152</v>
      </c>
      <c r="F1488" s="4">
        <v>12.866</v>
      </c>
      <c r="G1488" s="4">
        <v>1955.6320000000001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13</v>
      </c>
      <c r="D1489" s="4">
        <v>9.2636000000000003</v>
      </c>
      <c r="E1489" s="4">
        <v>99</v>
      </c>
      <c r="F1489" s="4">
        <v>12.999000000000001</v>
      </c>
      <c r="G1489" s="4">
        <v>1286.9010000000001</v>
      </c>
      <c r="H1489" s="5">
        <f t="shared" si="23"/>
        <v>7.6702857451514499E-4</v>
      </c>
    </row>
    <row r="1490" spans="1:8" ht="13.5" x14ac:dyDescent="0.25">
      <c r="A1490" s="1"/>
      <c r="B1490" s="3">
        <v>44480</v>
      </c>
      <c r="C1490" s="4">
        <v>13</v>
      </c>
      <c r="D1490" s="4">
        <v>9.2636000000000003</v>
      </c>
      <c r="E1490" s="4">
        <v>221</v>
      </c>
      <c r="F1490" s="4">
        <v>12.944000000000001</v>
      </c>
      <c r="G1490" s="4">
        <v>2860.6239999999998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12.8</v>
      </c>
      <c r="D1491" s="4">
        <v>9.1211000000000002</v>
      </c>
      <c r="E1491" s="4">
        <v>143</v>
      </c>
      <c r="F1491" s="4">
        <v>12.802</v>
      </c>
      <c r="G1491" s="4">
        <v>1830.6859999999999</v>
      </c>
      <c r="H1491" s="5">
        <f t="shared" si="23"/>
        <v>-1.5382788548728363E-2</v>
      </c>
    </row>
    <row r="1492" spans="1:8" ht="13.5" x14ac:dyDescent="0.25">
      <c r="A1492" s="1"/>
      <c r="B1492" s="3">
        <v>44482</v>
      </c>
      <c r="C1492" s="4">
        <v>12.8</v>
      </c>
      <c r="D1492" s="4">
        <v>9.1211000000000002</v>
      </c>
      <c r="E1492" s="4">
        <v>2111</v>
      </c>
      <c r="F1492" s="4">
        <v>12.834</v>
      </c>
      <c r="G1492" s="4">
        <v>27092.574000000001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12.79</v>
      </c>
      <c r="D1493" s="4">
        <v>9.1140000000000008</v>
      </c>
      <c r="E1493" s="4">
        <v>1881</v>
      </c>
      <c r="F1493" s="4">
        <v>12.789</v>
      </c>
      <c r="G1493" s="4">
        <v>24056.109</v>
      </c>
      <c r="H1493" s="5">
        <f t="shared" si="23"/>
        <v>-7.7841488416961107E-4</v>
      </c>
    </row>
    <row r="1494" spans="1:8" ht="13.5" x14ac:dyDescent="0.25">
      <c r="A1494" s="1"/>
      <c r="B1494" s="3">
        <v>44488</v>
      </c>
      <c r="C1494" s="4">
        <v>13</v>
      </c>
      <c r="D1494" s="4">
        <v>9.2636000000000003</v>
      </c>
      <c r="E1494" s="4">
        <v>58</v>
      </c>
      <c r="F1494" s="4">
        <v>13</v>
      </c>
      <c r="G1494" s="4">
        <v>754</v>
      </c>
      <c r="H1494" s="5">
        <f t="shared" si="23"/>
        <v>1.6414307658547234E-2</v>
      </c>
    </row>
    <row r="1495" spans="1:8" ht="13.5" x14ac:dyDescent="0.25">
      <c r="A1495" s="1"/>
      <c r="B1495" s="3">
        <v>44489</v>
      </c>
      <c r="C1495" s="4">
        <v>13</v>
      </c>
      <c r="D1495" s="4">
        <v>9.2636000000000003</v>
      </c>
      <c r="E1495" s="4">
        <v>1593</v>
      </c>
      <c r="F1495" s="4">
        <v>12.815</v>
      </c>
      <c r="G1495" s="4">
        <v>20414.294999999998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13.3</v>
      </c>
      <c r="D1496" s="4">
        <v>9.4773999999999994</v>
      </c>
      <c r="E1496" s="4">
        <v>1804</v>
      </c>
      <c r="F1496" s="4">
        <v>13.041</v>
      </c>
      <c r="G1496" s="4">
        <v>23525.964</v>
      </c>
      <c r="H1496" s="5">
        <f t="shared" si="23"/>
        <v>2.3079580292758656E-2</v>
      </c>
    </row>
    <row r="1497" spans="1:8" ht="13.5" x14ac:dyDescent="0.25">
      <c r="A1497" s="1"/>
      <c r="B1497" s="3">
        <v>44491</v>
      </c>
      <c r="C1497" s="4">
        <v>13</v>
      </c>
      <c r="D1497" s="4">
        <v>9.2636000000000003</v>
      </c>
      <c r="E1497" s="4">
        <v>1127</v>
      </c>
      <c r="F1497" s="4">
        <v>12.999000000000001</v>
      </c>
      <c r="G1497" s="4">
        <v>14649.873</v>
      </c>
      <c r="H1497" s="5">
        <f t="shared" si="23"/>
        <v>-2.2558929664253817E-2</v>
      </c>
    </row>
    <row r="1498" spans="1:8" ht="13.5" x14ac:dyDescent="0.25">
      <c r="A1498" s="1"/>
      <c r="B1498" s="3">
        <v>44494</v>
      </c>
      <c r="C1498" s="4">
        <v>13</v>
      </c>
      <c r="D1498" s="4">
        <v>9.2636000000000003</v>
      </c>
      <c r="E1498" s="4">
        <v>306</v>
      </c>
      <c r="F1498" s="4">
        <v>12.848000000000001</v>
      </c>
      <c r="G1498" s="4">
        <v>3931.4879999999998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12.8</v>
      </c>
      <c r="D1499" s="4">
        <v>9.1211000000000002</v>
      </c>
      <c r="E1499" s="4">
        <v>2583</v>
      </c>
      <c r="F1499" s="4">
        <v>12.8</v>
      </c>
      <c r="G1499" s="4">
        <v>33062.400000000001</v>
      </c>
      <c r="H1499" s="5">
        <f t="shared" si="23"/>
        <v>-1.5382788548728363E-2</v>
      </c>
    </row>
    <row r="1500" spans="1:8" ht="13.5" x14ac:dyDescent="0.25">
      <c r="A1500" s="1"/>
      <c r="B1500" s="3">
        <v>44496</v>
      </c>
      <c r="C1500" s="4">
        <v>12.99</v>
      </c>
      <c r="D1500" s="4">
        <v>9.2565000000000008</v>
      </c>
      <c r="E1500" s="4">
        <v>530</v>
      </c>
      <c r="F1500" s="4">
        <v>12.811</v>
      </c>
      <c r="G1500" s="4">
        <v>6789.83</v>
      </c>
      <c r="H1500" s="5">
        <f t="shared" si="23"/>
        <v>1.484470074881326E-2</v>
      </c>
    </row>
    <row r="1501" spans="1:8" ht="13.5" x14ac:dyDescent="0.25">
      <c r="A1501" s="1"/>
      <c r="B1501" s="3">
        <v>44497</v>
      </c>
      <c r="C1501" s="4">
        <v>12.98</v>
      </c>
      <c r="D1501" s="4">
        <v>9.2493999999999996</v>
      </c>
      <c r="E1501" s="4">
        <v>1</v>
      </c>
      <c r="F1501" s="4">
        <v>12.98</v>
      </c>
      <c r="G1501" s="4">
        <v>12.98</v>
      </c>
      <c r="H1501" s="5">
        <f t="shared" si="23"/>
        <v>-7.6702857451533689E-4</v>
      </c>
    </row>
    <row r="1502" spans="1:8" ht="13.5" x14ac:dyDescent="0.25">
      <c r="A1502" s="1"/>
      <c r="B1502" s="3">
        <v>44498</v>
      </c>
      <c r="C1502" s="4">
        <v>12.98</v>
      </c>
      <c r="D1502" s="4">
        <v>9.2493999999999996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12.98</v>
      </c>
      <c r="D1503" s="4">
        <v>9.2493999999999996</v>
      </c>
      <c r="E1503" s="4">
        <v>81</v>
      </c>
      <c r="F1503" s="4">
        <v>12.865</v>
      </c>
      <c r="G1503" s="4">
        <v>1042.0650000000001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12.97</v>
      </c>
      <c r="D1504" s="4">
        <v>9.2422000000000004</v>
      </c>
      <c r="E1504" s="4">
        <v>750</v>
      </c>
      <c r="F1504" s="4">
        <v>12.773999999999999</v>
      </c>
      <c r="G1504" s="4">
        <v>9580.5</v>
      </c>
      <c r="H1504" s="5">
        <f t="shared" si="23"/>
        <v>-7.7842887106182104E-4</v>
      </c>
    </row>
    <row r="1505" spans="1:8" ht="13.5" x14ac:dyDescent="0.25">
      <c r="A1505" s="1"/>
      <c r="B1505" s="3">
        <v>44503</v>
      </c>
      <c r="C1505" s="4">
        <v>12.97</v>
      </c>
      <c r="D1505" s="4">
        <v>9.2422000000000004</v>
      </c>
      <c r="E1505" s="4">
        <v>2</v>
      </c>
      <c r="F1505" s="4">
        <v>12.97</v>
      </c>
      <c r="G1505" s="4">
        <v>25.94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12.97</v>
      </c>
      <c r="D1506" s="4">
        <v>9.2422000000000004</v>
      </c>
      <c r="E1506" s="4">
        <v>0</v>
      </c>
      <c r="F1506" s="4">
        <v>0</v>
      </c>
      <c r="G1506" s="4">
        <v>0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12.98</v>
      </c>
      <c r="D1507" s="4">
        <v>9.2493999999999996</v>
      </c>
      <c r="E1507" s="4">
        <v>7</v>
      </c>
      <c r="F1507" s="4">
        <v>12.943</v>
      </c>
      <c r="G1507" s="4">
        <v>90.600999999999999</v>
      </c>
      <c r="H1507" s="5">
        <f t="shared" si="23"/>
        <v>7.7903529462673466E-4</v>
      </c>
    </row>
    <row r="1508" spans="1:8" ht="13.5" x14ac:dyDescent="0.25">
      <c r="A1508" s="1"/>
      <c r="B1508" s="3">
        <v>44508</v>
      </c>
      <c r="C1508" s="4">
        <v>12.98</v>
      </c>
      <c r="D1508" s="4">
        <v>9.2493999999999996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12.98</v>
      </c>
      <c r="D1509" s="4">
        <v>9.2493999999999996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12.98</v>
      </c>
      <c r="D1510" s="4">
        <v>9.2493999999999996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12.98</v>
      </c>
      <c r="D1511" s="4">
        <v>9.2493999999999996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12.95</v>
      </c>
      <c r="D1512" s="4">
        <v>9.2279999999999998</v>
      </c>
      <c r="E1512" s="4">
        <v>55</v>
      </c>
      <c r="F1512" s="4">
        <v>12.904999999999999</v>
      </c>
      <c r="G1512" s="4">
        <v>709.77499999999998</v>
      </c>
      <c r="H1512" s="5">
        <f t="shared" si="23"/>
        <v>-2.3136635889895413E-3</v>
      </c>
    </row>
    <row r="1513" spans="1:8" ht="13.5" x14ac:dyDescent="0.25">
      <c r="A1513" s="1"/>
      <c r="B1513" s="3">
        <v>44515</v>
      </c>
      <c r="C1513" s="4">
        <v>12.96</v>
      </c>
      <c r="D1513" s="4">
        <v>9.2350999999999992</v>
      </c>
      <c r="E1513" s="4">
        <v>130</v>
      </c>
      <c r="F1513" s="4">
        <v>12.907</v>
      </c>
      <c r="G1513" s="4">
        <v>1677.91</v>
      </c>
      <c r="H1513" s="5">
        <f t="shared" si="23"/>
        <v>7.6939748591237978E-4</v>
      </c>
    </row>
    <row r="1514" spans="1:8" ht="13.5" x14ac:dyDescent="0.25">
      <c r="A1514" s="1"/>
      <c r="B1514" s="3">
        <v>44516</v>
      </c>
      <c r="C1514" s="4">
        <v>12.96</v>
      </c>
      <c r="D1514" s="4">
        <v>9.2350999999999992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12.98</v>
      </c>
      <c r="D1515" s="4">
        <v>9.2493999999999996</v>
      </c>
      <c r="E1515" s="4">
        <v>1990</v>
      </c>
      <c r="F1515" s="4">
        <v>12.914</v>
      </c>
      <c r="G1515" s="4">
        <v>25698.86</v>
      </c>
      <c r="H1515" s="5">
        <f t="shared" si="23"/>
        <v>1.54844019014417E-3</v>
      </c>
    </row>
    <row r="1516" spans="1:8" ht="13.5" x14ac:dyDescent="0.25">
      <c r="A1516" s="1"/>
      <c r="B1516" s="3">
        <v>44518</v>
      </c>
      <c r="C1516" s="4">
        <v>12.98</v>
      </c>
      <c r="D1516" s="4">
        <v>9.2493999999999996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12.98</v>
      </c>
      <c r="D1517" s="4">
        <v>9.2493999999999996</v>
      </c>
      <c r="E1517" s="4">
        <v>1</v>
      </c>
      <c r="F1517" s="4">
        <v>12.98</v>
      </c>
      <c r="G1517" s="4">
        <v>12.98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12.98</v>
      </c>
      <c r="D1518" s="4">
        <v>9.2493999999999996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12.97</v>
      </c>
      <c r="D1519" s="4">
        <v>9.2422000000000004</v>
      </c>
      <c r="E1519" s="4">
        <v>708</v>
      </c>
      <c r="F1519" s="4">
        <v>12.912000000000001</v>
      </c>
      <c r="G1519" s="4">
        <v>9141.6959999999999</v>
      </c>
      <c r="H1519" s="5">
        <f t="shared" si="23"/>
        <v>-7.7842887106182104E-4</v>
      </c>
    </row>
    <row r="1520" spans="1:8" ht="13.5" x14ac:dyDescent="0.25">
      <c r="A1520" s="1"/>
      <c r="B1520" s="3">
        <v>44524</v>
      </c>
      <c r="C1520" s="4">
        <v>12.97</v>
      </c>
      <c r="D1520" s="4">
        <v>9.2422000000000004</v>
      </c>
      <c r="E1520" s="4">
        <v>4</v>
      </c>
      <c r="F1520" s="4">
        <v>12.97</v>
      </c>
      <c r="G1520" s="4">
        <v>51.88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12.94</v>
      </c>
      <c r="D1521" s="4">
        <v>9.2209000000000003</v>
      </c>
      <c r="E1521" s="4">
        <v>283</v>
      </c>
      <c r="F1521" s="4">
        <v>12.94</v>
      </c>
      <c r="G1521" s="4">
        <v>3662.02</v>
      </c>
      <c r="H1521" s="5">
        <f t="shared" si="23"/>
        <v>-2.3046460799376876E-3</v>
      </c>
    </row>
    <row r="1522" spans="1:8" ht="13.5" x14ac:dyDescent="0.25">
      <c r="A1522" s="1"/>
      <c r="B1522" s="3">
        <v>44526</v>
      </c>
      <c r="C1522" s="4">
        <v>12.97</v>
      </c>
      <c r="D1522" s="4">
        <v>9.2422000000000004</v>
      </c>
      <c r="E1522" s="4">
        <v>621</v>
      </c>
      <c r="F1522" s="4">
        <v>12.941000000000001</v>
      </c>
      <c r="G1522" s="4">
        <v>8036.3609999999999</v>
      </c>
      <c r="H1522" s="5">
        <f t="shared" si="23"/>
        <v>2.3099697426498603E-3</v>
      </c>
    </row>
    <row r="1523" spans="1:8" ht="13.5" x14ac:dyDescent="0.25">
      <c r="A1523" s="1"/>
      <c r="B1523" s="3">
        <v>44529</v>
      </c>
      <c r="C1523" s="4">
        <v>12.98</v>
      </c>
      <c r="D1523" s="4">
        <v>9.2493999999999996</v>
      </c>
      <c r="E1523" s="4">
        <v>1605</v>
      </c>
      <c r="F1523" s="4">
        <v>12.946</v>
      </c>
      <c r="G1523" s="4">
        <v>20778.330000000002</v>
      </c>
      <c r="H1523" s="5">
        <f t="shared" si="23"/>
        <v>7.7903529462673466E-4</v>
      </c>
    </row>
    <row r="1524" spans="1:8" ht="13.5" x14ac:dyDescent="0.25">
      <c r="A1524" s="1"/>
      <c r="B1524" s="3">
        <v>44530</v>
      </c>
      <c r="C1524" s="4">
        <v>12.97</v>
      </c>
      <c r="D1524" s="4">
        <v>9.2422000000000004</v>
      </c>
      <c r="E1524" s="4">
        <v>6646</v>
      </c>
      <c r="F1524" s="4">
        <v>12.945</v>
      </c>
      <c r="G1524" s="4">
        <v>86032.47</v>
      </c>
      <c r="H1524" s="5">
        <f t="shared" si="23"/>
        <v>-7.7842887106182104E-4</v>
      </c>
    </row>
    <row r="1525" spans="1:8" ht="13.5" x14ac:dyDescent="0.25">
      <c r="A1525" s="1"/>
      <c r="B1525" s="3">
        <v>44531</v>
      </c>
      <c r="C1525" s="4">
        <v>12.98</v>
      </c>
      <c r="D1525" s="4">
        <v>9.2493999999999996</v>
      </c>
      <c r="E1525" s="4">
        <v>824</v>
      </c>
      <c r="F1525" s="4">
        <v>12.920999999999999</v>
      </c>
      <c r="G1525" s="4">
        <v>10646.904</v>
      </c>
      <c r="H1525" s="5">
        <f t="shared" si="23"/>
        <v>7.7903529462673466E-4</v>
      </c>
    </row>
    <row r="1526" spans="1:8" ht="13.5" x14ac:dyDescent="0.25">
      <c r="A1526" s="1"/>
      <c r="B1526" s="3">
        <v>44532</v>
      </c>
      <c r="C1526" s="4">
        <v>12.9</v>
      </c>
      <c r="D1526" s="4">
        <v>9.1923999999999992</v>
      </c>
      <c r="E1526" s="4">
        <v>1070</v>
      </c>
      <c r="F1526" s="4">
        <v>12.911</v>
      </c>
      <c r="G1526" s="4">
        <v>13814.77</v>
      </c>
      <c r="H1526" s="5">
        <f t="shared" si="23"/>
        <v>-6.1625618959068032E-3</v>
      </c>
    </row>
    <row r="1527" spans="1:8" ht="13.5" x14ac:dyDescent="0.25">
      <c r="A1527" s="1"/>
      <c r="B1527" s="3">
        <v>44533</v>
      </c>
      <c r="C1527" s="4">
        <v>12.95</v>
      </c>
      <c r="D1527" s="4">
        <v>9.2279999999999998</v>
      </c>
      <c r="E1527" s="4">
        <v>11</v>
      </c>
      <c r="F1527" s="4">
        <v>12.95</v>
      </c>
      <c r="G1527" s="4">
        <v>142.44999999999999</v>
      </c>
      <c r="H1527" s="5">
        <f t="shared" si="23"/>
        <v>3.8727644575954619E-3</v>
      </c>
    </row>
    <row r="1528" spans="1:8" ht="13.5" x14ac:dyDescent="0.25">
      <c r="A1528" s="1"/>
      <c r="B1528" s="3">
        <v>44536</v>
      </c>
      <c r="C1528" s="4">
        <v>12.9</v>
      </c>
      <c r="D1528" s="4">
        <v>9.1923999999999992</v>
      </c>
      <c r="E1528" s="4">
        <v>2408</v>
      </c>
      <c r="F1528" s="4">
        <v>12.798</v>
      </c>
      <c r="G1528" s="4">
        <v>30817.583999999999</v>
      </c>
      <c r="H1528" s="5">
        <f t="shared" si="23"/>
        <v>-3.8578240138708842E-3</v>
      </c>
    </row>
    <row r="1529" spans="1:8" ht="13.5" x14ac:dyDescent="0.25">
      <c r="A1529" s="1"/>
      <c r="B1529" s="3">
        <v>44537</v>
      </c>
      <c r="C1529" s="4">
        <v>12.78</v>
      </c>
      <c r="D1529" s="4">
        <v>9.1067999999999998</v>
      </c>
      <c r="E1529" s="4">
        <v>139</v>
      </c>
      <c r="F1529" s="4">
        <v>12.784000000000001</v>
      </c>
      <c r="G1529" s="4">
        <v>1776.9760000000001</v>
      </c>
      <c r="H1529" s="5">
        <f t="shared" si="23"/>
        <v>-9.3120403811843989E-3</v>
      </c>
    </row>
    <row r="1530" spans="1:8" ht="13.5" x14ac:dyDescent="0.25">
      <c r="A1530" s="1"/>
      <c r="B1530" s="3">
        <v>44538</v>
      </c>
      <c r="C1530" s="4">
        <v>12.75</v>
      </c>
      <c r="D1530" s="4">
        <v>9.0854999999999997</v>
      </c>
      <c r="E1530" s="4">
        <v>7962</v>
      </c>
      <c r="F1530" s="4">
        <v>12.750999999999999</v>
      </c>
      <c r="G1530" s="4">
        <v>101523.462</v>
      </c>
      <c r="H1530" s="5">
        <f t="shared" si="23"/>
        <v>-2.3389115825537066E-3</v>
      </c>
    </row>
    <row r="1531" spans="1:8" ht="13.5" x14ac:dyDescent="0.25">
      <c r="A1531" s="1"/>
      <c r="B1531" s="3">
        <v>44539</v>
      </c>
      <c r="C1531" s="4">
        <v>12.5</v>
      </c>
      <c r="D1531" s="4">
        <v>8.9072999999999993</v>
      </c>
      <c r="E1531" s="4">
        <v>1685</v>
      </c>
      <c r="F1531" s="4">
        <v>12.486000000000001</v>
      </c>
      <c r="G1531" s="4">
        <v>21038.91</v>
      </c>
      <c r="H1531" s="5">
        <f t="shared" si="23"/>
        <v>-1.961367013372961E-2</v>
      </c>
    </row>
    <row r="1532" spans="1:8" ht="13.5" x14ac:dyDescent="0.25">
      <c r="A1532" s="1"/>
      <c r="B1532" s="3">
        <v>44540</v>
      </c>
      <c r="C1532" s="4">
        <v>12.21</v>
      </c>
      <c r="D1532" s="4">
        <v>8.7006999999999994</v>
      </c>
      <c r="E1532" s="4">
        <v>22</v>
      </c>
      <c r="F1532" s="4">
        <v>12.782999999999999</v>
      </c>
      <c r="G1532" s="4">
        <v>281.226</v>
      </c>
      <c r="H1532" s="5">
        <f t="shared" si="23"/>
        <v>-2.3194458477877686E-2</v>
      </c>
    </row>
    <row r="1533" spans="1:8" ht="13.5" x14ac:dyDescent="0.25">
      <c r="A1533" s="1"/>
      <c r="B1533" s="3">
        <v>44543</v>
      </c>
      <c r="C1533" s="4">
        <v>12.9</v>
      </c>
      <c r="D1533" s="4">
        <v>9.1923999999999992</v>
      </c>
      <c r="E1533" s="4">
        <v>13</v>
      </c>
      <c r="F1533" s="4">
        <v>12.741</v>
      </c>
      <c r="G1533" s="4">
        <v>165.63300000000001</v>
      </c>
      <c r="H1533" s="5">
        <f t="shared" si="23"/>
        <v>5.651269438091186E-2</v>
      </c>
    </row>
    <row r="1534" spans="1:8" ht="13.5" x14ac:dyDescent="0.25">
      <c r="A1534" s="1"/>
      <c r="B1534" s="3">
        <v>44544</v>
      </c>
      <c r="C1534" s="4">
        <v>12.65</v>
      </c>
      <c r="D1534" s="4">
        <v>9.0142000000000007</v>
      </c>
      <c r="E1534" s="4">
        <v>109</v>
      </c>
      <c r="F1534" s="4">
        <v>12.637</v>
      </c>
      <c r="G1534" s="4">
        <v>1377.433</v>
      </c>
      <c r="H1534" s="5">
        <f t="shared" si="23"/>
        <v>-1.9385579391671227E-2</v>
      </c>
    </row>
    <row r="1535" spans="1:8" ht="13.5" x14ac:dyDescent="0.25">
      <c r="A1535" s="1"/>
      <c r="B1535" s="3">
        <v>44545</v>
      </c>
      <c r="C1535" s="4">
        <v>12.85</v>
      </c>
      <c r="D1535" s="4">
        <v>9.1567000000000007</v>
      </c>
      <c r="E1535" s="4">
        <v>75</v>
      </c>
      <c r="F1535" s="4">
        <v>12.85</v>
      </c>
      <c r="G1535" s="4">
        <v>963.75</v>
      </c>
      <c r="H1535" s="5">
        <f t="shared" si="23"/>
        <v>1.5808391204987692E-2</v>
      </c>
    </row>
    <row r="1536" spans="1:8" ht="13.5" x14ac:dyDescent="0.25">
      <c r="A1536" s="1"/>
      <c r="B1536" s="3">
        <v>44546</v>
      </c>
      <c r="C1536" s="4">
        <v>12.85</v>
      </c>
      <c r="D1536" s="4">
        <v>9.1567000000000007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12.85</v>
      </c>
      <c r="D1537" s="4">
        <v>9.1567000000000007</v>
      </c>
      <c r="E1537" s="4">
        <v>741</v>
      </c>
      <c r="F1537" s="4">
        <v>12.98</v>
      </c>
      <c r="G1537" s="4">
        <v>9618.18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12.85</v>
      </c>
      <c r="D1538" s="4">
        <v>9.1567000000000007</v>
      </c>
      <c r="E1538" s="4">
        <v>1</v>
      </c>
      <c r="F1538" s="4">
        <v>12.85</v>
      </c>
      <c r="G1538" s="4">
        <v>12.85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12.35</v>
      </c>
      <c r="D1539" s="4">
        <v>8.8003999999999998</v>
      </c>
      <c r="E1539" s="4">
        <v>4000</v>
      </c>
      <c r="F1539" s="4">
        <v>12.327999999999999</v>
      </c>
      <c r="G1539" s="4">
        <v>49312</v>
      </c>
      <c r="H1539" s="5">
        <f t="shared" si="23"/>
        <v>-3.8911398211146038E-2</v>
      </c>
    </row>
    <row r="1540" spans="1:8" ht="13.5" x14ac:dyDescent="0.25">
      <c r="A1540" s="1"/>
      <c r="B1540" s="3">
        <v>44553</v>
      </c>
      <c r="C1540" s="4">
        <v>12.25</v>
      </c>
      <c r="D1540" s="4">
        <v>8.7292000000000005</v>
      </c>
      <c r="E1540" s="4">
        <v>3463</v>
      </c>
      <c r="F1540" s="4">
        <v>12.266999999999999</v>
      </c>
      <c r="G1540" s="4">
        <v>42480.620999999999</v>
      </c>
      <c r="H1540" s="5">
        <f t="shared" si="23"/>
        <v>-8.0905413390299601E-3</v>
      </c>
    </row>
    <row r="1541" spans="1:8" ht="13.5" x14ac:dyDescent="0.25">
      <c r="A1541" s="1"/>
      <c r="B1541" s="3">
        <v>44554</v>
      </c>
      <c r="C1541" s="4">
        <v>12.33</v>
      </c>
      <c r="D1541" s="4">
        <v>8.7861999999999991</v>
      </c>
      <c r="E1541" s="4">
        <v>133</v>
      </c>
      <c r="F1541" s="4">
        <v>12.33</v>
      </c>
      <c r="G1541" s="4">
        <v>1639.89</v>
      </c>
      <c r="H1541" s="5">
        <f t="shared" si="23"/>
        <v>6.5298080007330115E-3</v>
      </c>
    </row>
    <row r="1542" spans="1:8" ht="13.5" x14ac:dyDescent="0.25">
      <c r="A1542" s="1"/>
      <c r="B1542" s="3">
        <v>44557</v>
      </c>
      <c r="C1542" s="4">
        <v>12.32</v>
      </c>
      <c r="D1542" s="4">
        <v>8.7790999999999997</v>
      </c>
      <c r="E1542" s="4">
        <v>4497</v>
      </c>
      <c r="F1542" s="4">
        <v>12.253</v>
      </c>
      <c r="G1542" s="4">
        <v>55101.741000000002</v>
      </c>
      <c r="H1542" s="5">
        <f t="shared" si="23"/>
        <v>-8.080854066603811E-4</v>
      </c>
    </row>
    <row r="1543" spans="1:8" ht="13.5" x14ac:dyDescent="0.25">
      <c r="A1543" s="1"/>
      <c r="B1543" s="3">
        <v>44558</v>
      </c>
      <c r="C1543" s="4">
        <v>12.8</v>
      </c>
      <c r="D1543" s="4">
        <v>9.1211000000000002</v>
      </c>
      <c r="E1543" s="4">
        <v>2416</v>
      </c>
      <c r="F1543" s="4">
        <v>12.316000000000001</v>
      </c>
      <c r="G1543" s="4">
        <v>29755.455999999998</v>
      </c>
      <c r="H1543" s="5">
        <f t="shared" ref="H1543:H1606" si="24">(D1543-D1542)/D1542</f>
        <v>3.8956157237074476E-2</v>
      </c>
    </row>
    <row r="1544" spans="1:8" ht="13.5" x14ac:dyDescent="0.25">
      <c r="A1544" s="1"/>
      <c r="B1544" s="3">
        <v>44559</v>
      </c>
      <c r="C1544" s="4">
        <v>12.78</v>
      </c>
      <c r="D1544" s="4">
        <v>9.1067999999999998</v>
      </c>
      <c r="E1544" s="4">
        <v>2311</v>
      </c>
      <c r="F1544" s="4">
        <v>12.313000000000001</v>
      </c>
      <c r="G1544" s="4">
        <v>28455.343000000001</v>
      </c>
      <c r="H1544" s="5">
        <f t="shared" si="24"/>
        <v>-1.5677933582572742E-3</v>
      </c>
    </row>
    <row r="1545" spans="1:8" ht="13.5" x14ac:dyDescent="0.25">
      <c r="A1545" s="1"/>
      <c r="B1545" s="3">
        <v>44560</v>
      </c>
      <c r="C1545" s="4">
        <v>12.85</v>
      </c>
      <c r="D1545" s="4">
        <v>9.1567000000000007</v>
      </c>
      <c r="E1545" s="4">
        <v>15666</v>
      </c>
      <c r="F1545" s="4">
        <v>12.782</v>
      </c>
      <c r="G1545" s="4">
        <v>200242.81200000001</v>
      </c>
      <c r="H1545" s="5">
        <f t="shared" si="24"/>
        <v>5.4794219703958522E-3</v>
      </c>
    </row>
    <row r="1546" spans="1:8" ht="13.5" x14ac:dyDescent="0.25">
      <c r="A1546" s="1"/>
      <c r="B1546" s="3">
        <v>44561</v>
      </c>
      <c r="C1546" s="4">
        <v>12.85</v>
      </c>
      <c r="D1546" s="4">
        <v>9.1567000000000007</v>
      </c>
      <c r="E1546" s="4">
        <v>1120</v>
      </c>
      <c r="F1546" s="4">
        <v>12.845000000000001</v>
      </c>
      <c r="G1546" s="4">
        <v>14386.4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13.5</v>
      </c>
      <c r="D1547" s="4">
        <v>9.6198999999999995</v>
      </c>
      <c r="E1547" s="4">
        <v>160</v>
      </c>
      <c r="F1547" s="4">
        <v>13.420999999999999</v>
      </c>
      <c r="G1547" s="4">
        <v>2147.36</v>
      </c>
      <c r="H1547" s="5">
        <f t="shared" si="24"/>
        <v>5.0585909770987224E-2</v>
      </c>
    </row>
    <row r="1548" spans="1:8" ht="13.5" x14ac:dyDescent="0.25">
      <c r="A1548" s="1"/>
      <c r="B1548" s="3">
        <v>44565</v>
      </c>
      <c r="C1548" s="4">
        <v>13.45</v>
      </c>
      <c r="D1548" s="4">
        <v>9.5843000000000007</v>
      </c>
      <c r="E1548" s="4">
        <v>2349</v>
      </c>
      <c r="F1548" s="4">
        <v>12.875</v>
      </c>
      <c r="G1548" s="4">
        <v>30243.375</v>
      </c>
      <c r="H1548" s="5">
        <f t="shared" si="24"/>
        <v>-3.700662169045286E-3</v>
      </c>
    </row>
    <row r="1549" spans="1:8" ht="13.5" x14ac:dyDescent="0.25">
      <c r="A1549" s="1"/>
      <c r="B1549" s="3">
        <v>44566</v>
      </c>
      <c r="C1549" s="4">
        <v>13.01</v>
      </c>
      <c r="D1549" s="4">
        <v>9.2706999999999997</v>
      </c>
      <c r="E1549" s="4">
        <v>3187</v>
      </c>
      <c r="F1549" s="4">
        <v>13.282999999999999</v>
      </c>
      <c r="G1549" s="4">
        <v>42332.921000000002</v>
      </c>
      <c r="H1549" s="5">
        <f t="shared" si="24"/>
        <v>-3.2720177790762077E-2</v>
      </c>
    </row>
    <row r="1550" spans="1:8" ht="13.5" x14ac:dyDescent="0.25">
      <c r="A1550" s="1"/>
      <c r="B1550" s="3">
        <v>44567</v>
      </c>
      <c r="C1550" s="4">
        <v>12.85</v>
      </c>
      <c r="D1550" s="4">
        <v>9.1567000000000007</v>
      </c>
      <c r="E1550" s="4">
        <v>554</v>
      </c>
      <c r="F1550" s="4">
        <v>12.815</v>
      </c>
      <c r="G1550" s="4">
        <v>7099.51</v>
      </c>
      <c r="H1550" s="5">
        <f t="shared" si="24"/>
        <v>-1.2296806066424217E-2</v>
      </c>
    </row>
    <row r="1551" spans="1:8" ht="13.5" x14ac:dyDescent="0.25">
      <c r="A1551" s="1"/>
      <c r="B1551" s="3">
        <v>44568</v>
      </c>
      <c r="C1551" s="4">
        <v>13</v>
      </c>
      <c r="D1551" s="4">
        <v>9.2636000000000003</v>
      </c>
      <c r="E1551" s="4">
        <v>80</v>
      </c>
      <c r="F1551" s="4">
        <v>12.888</v>
      </c>
      <c r="G1551" s="4">
        <v>1031.04</v>
      </c>
      <c r="H1551" s="5">
        <f t="shared" si="24"/>
        <v>1.1674511559841378E-2</v>
      </c>
    </row>
    <row r="1552" spans="1:8" ht="13.5" x14ac:dyDescent="0.25">
      <c r="A1552" s="1"/>
      <c r="B1552" s="3">
        <v>44571</v>
      </c>
      <c r="C1552" s="4">
        <v>12.84</v>
      </c>
      <c r="D1552" s="4">
        <v>9.1495999999999995</v>
      </c>
      <c r="E1552" s="4">
        <v>1693</v>
      </c>
      <c r="F1552" s="4">
        <v>12.845000000000001</v>
      </c>
      <c r="G1552" s="4">
        <v>21746.584999999999</v>
      </c>
      <c r="H1552" s="5">
        <f t="shared" si="24"/>
        <v>-1.2306230838982767E-2</v>
      </c>
    </row>
    <row r="1553" spans="1:8" ht="13.5" x14ac:dyDescent="0.25">
      <c r="A1553" s="1"/>
      <c r="B1553" s="3">
        <v>44572</v>
      </c>
      <c r="C1553" s="4">
        <v>12.99</v>
      </c>
      <c r="D1553" s="4">
        <v>9.2565000000000008</v>
      </c>
      <c r="E1553" s="4">
        <v>70</v>
      </c>
      <c r="F1553" s="4">
        <v>12.885</v>
      </c>
      <c r="G1553" s="4">
        <v>901.95</v>
      </c>
      <c r="H1553" s="5">
        <f t="shared" si="24"/>
        <v>1.1683570866486113E-2</v>
      </c>
    </row>
    <row r="1554" spans="1:8" ht="13.5" x14ac:dyDescent="0.25">
      <c r="A1554" s="1"/>
      <c r="B1554" s="3">
        <v>44573</v>
      </c>
      <c r="C1554" s="4">
        <v>12.99</v>
      </c>
      <c r="D1554" s="4">
        <v>9.2565000000000008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12.99</v>
      </c>
      <c r="D1555" s="4">
        <v>9.2565000000000008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12.74</v>
      </c>
      <c r="D1556" s="4">
        <v>9.0783000000000005</v>
      </c>
      <c r="E1556" s="4">
        <v>300</v>
      </c>
      <c r="F1556" s="4">
        <v>12.888999999999999</v>
      </c>
      <c r="G1556" s="4">
        <v>3866.7</v>
      </c>
      <c r="H1556" s="5">
        <f t="shared" si="24"/>
        <v>-1.9251336898395758E-2</v>
      </c>
    </row>
    <row r="1557" spans="1:8" ht="13.5" x14ac:dyDescent="0.25">
      <c r="A1557" s="1"/>
      <c r="B1557" s="3">
        <v>44578</v>
      </c>
      <c r="C1557" s="4">
        <v>12.89</v>
      </c>
      <c r="D1557" s="4">
        <v>9.1852</v>
      </c>
      <c r="E1557" s="4">
        <v>150</v>
      </c>
      <c r="F1557" s="4">
        <v>12.84</v>
      </c>
      <c r="G1557" s="4">
        <v>1926</v>
      </c>
      <c r="H1557" s="5">
        <f t="shared" si="24"/>
        <v>1.1775332386019358E-2</v>
      </c>
    </row>
    <row r="1558" spans="1:8" ht="13.5" x14ac:dyDescent="0.25">
      <c r="A1558" s="1"/>
      <c r="B1558" s="3">
        <v>44579</v>
      </c>
      <c r="C1558" s="4">
        <v>12.89</v>
      </c>
      <c r="D1558" s="4">
        <v>9.1852</v>
      </c>
      <c r="E1558" s="4">
        <v>0</v>
      </c>
      <c r="F1558" s="4">
        <v>0</v>
      </c>
      <c r="G1558" s="4">
        <v>0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12.89</v>
      </c>
      <c r="D1559" s="4">
        <v>9.1852</v>
      </c>
      <c r="E1559" s="4">
        <v>438</v>
      </c>
      <c r="F1559" s="4">
        <v>12.891999999999999</v>
      </c>
      <c r="G1559" s="4">
        <v>5646.6959999999999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12.89</v>
      </c>
      <c r="D1560" s="4">
        <v>9.1852</v>
      </c>
      <c r="E1560" s="4">
        <v>167</v>
      </c>
      <c r="F1560" s="4">
        <v>12.89</v>
      </c>
      <c r="G1560" s="4">
        <v>2152.63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12.96</v>
      </c>
      <c r="D1561" s="4">
        <v>9.2350999999999992</v>
      </c>
      <c r="E1561" s="4">
        <v>320</v>
      </c>
      <c r="F1561" s="4">
        <v>12.945</v>
      </c>
      <c r="G1561" s="4">
        <v>4142.3999999999996</v>
      </c>
      <c r="H1561" s="5">
        <f t="shared" si="24"/>
        <v>5.432652527979703E-3</v>
      </c>
    </row>
    <row r="1562" spans="1:8" ht="13.5" x14ac:dyDescent="0.25">
      <c r="A1562" s="1"/>
      <c r="B1562" s="3">
        <v>44585</v>
      </c>
      <c r="C1562" s="4">
        <v>12.96</v>
      </c>
      <c r="D1562" s="4">
        <v>9.2350999999999992</v>
      </c>
      <c r="E1562" s="4">
        <v>346</v>
      </c>
      <c r="F1562" s="4">
        <v>12.964</v>
      </c>
      <c r="G1562" s="4">
        <v>4485.5439999999999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12.85</v>
      </c>
      <c r="D1563" s="4">
        <v>9.1567000000000007</v>
      </c>
      <c r="E1563" s="4">
        <v>100</v>
      </c>
      <c r="F1563" s="4">
        <v>12.851000000000001</v>
      </c>
      <c r="G1563" s="4">
        <v>1285.0999999999999</v>
      </c>
      <c r="H1563" s="5">
        <f t="shared" si="24"/>
        <v>-8.4893504130976894E-3</v>
      </c>
    </row>
    <row r="1564" spans="1:8" ht="13.5" x14ac:dyDescent="0.25">
      <c r="A1564" s="1"/>
      <c r="B1564" s="3">
        <v>44587</v>
      </c>
      <c r="C1564" s="4">
        <v>12.85</v>
      </c>
      <c r="D1564" s="4">
        <v>9.1567000000000007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12.9</v>
      </c>
      <c r="D1565" s="4">
        <v>9.1923999999999992</v>
      </c>
      <c r="E1565" s="4">
        <v>1201</v>
      </c>
      <c r="F1565" s="4">
        <v>12.874000000000001</v>
      </c>
      <c r="G1565" s="4">
        <v>15461.674000000001</v>
      </c>
      <c r="H1565" s="5">
        <f t="shared" si="24"/>
        <v>3.8987844965979565E-3</v>
      </c>
    </row>
    <row r="1566" spans="1:8" ht="13.5" x14ac:dyDescent="0.25">
      <c r="A1566" s="1"/>
      <c r="B1566" s="3">
        <v>44589</v>
      </c>
      <c r="C1566" s="4">
        <v>12.9</v>
      </c>
      <c r="D1566" s="4">
        <v>9.1923999999999992</v>
      </c>
      <c r="E1566" s="4">
        <v>693</v>
      </c>
      <c r="F1566" s="4">
        <v>12.861000000000001</v>
      </c>
      <c r="G1566" s="4">
        <v>8912.6730000000007</v>
      </c>
      <c r="H1566" s="5">
        <f t="shared" si="24"/>
        <v>0</v>
      </c>
    </row>
    <row r="1567" spans="1:8" ht="13.5" x14ac:dyDescent="0.25">
      <c r="A1567" s="1"/>
      <c r="B1567" s="3">
        <v>44592</v>
      </c>
      <c r="C1567" s="4">
        <v>12.95</v>
      </c>
      <c r="D1567" s="4">
        <v>9.2279999999999998</v>
      </c>
      <c r="E1567" s="4">
        <v>795</v>
      </c>
      <c r="F1567" s="4">
        <v>12.916</v>
      </c>
      <c r="G1567" s="4">
        <v>10268.219999999999</v>
      </c>
      <c r="H1567" s="5">
        <f t="shared" si="24"/>
        <v>3.8727644575954619E-3</v>
      </c>
    </row>
    <row r="1568" spans="1:8" ht="13.5" x14ac:dyDescent="0.25">
      <c r="A1568" s="1"/>
      <c r="B1568" s="3">
        <v>44593</v>
      </c>
      <c r="C1568" s="4">
        <v>12.97</v>
      </c>
      <c r="D1568" s="4">
        <v>9.2422000000000004</v>
      </c>
      <c r="E1568" s="4">
        <v>503</v>
      </c>
      <c r="F1568" s="4">
        <v>12.98</v>
      </c>
      <c r="G1568" s="4">
        <v>6528.94</v>
      </c>
      <c r="H1568" s="5">
        <f t="shared" si="24"/>
        <v>1.5387949718249519E-3</v>
      </c>
    </row>
    <row r="1569" spans="1:8" ht="13.5" x14ac:dyDescent="0.25">
      <c r="A1569" s="1"/>
      <c r="B1569" s="3">
        <v>44594</v>
      </c>
      <c r="C1569" s="4">
        <v>13</v>
      </c>
      <c r="D1569" s="4">
        <v>9.2636000000000003</v>
      </c>
      <c r="E1569" s="4">
        <v>823</v>
      </c>
      <c r="F1569" s="4">
        <v>13.112</v>
      </c>
      <c r="G1569" s="4">
        <v>10791.175999999999</v>
      </c>
      <c r="H1569" s="5">
        <f t="shared" si="24"/>
        <v>2.315466014585257E-3</v>
      </c>
    </row>
    <row r="1570" spans="1:8" ht="13.5" x14ac:dyDescent="0.25">
      <c r="A1570" s="1"/>
      <c r="B1570" s="3">
        <v>44595</v>
      </c>
      <c r="C1570" s="4">
        <v>13.01</v>
      </c>
      <c r="D1570" s="4">
        <v>9.2706999999999997</v>
      </c>
      <c r="E1570" s="4">
        <v>653</v>
      </c>
      <c r="F1570" s="4">
        <v>13.010999999999999</v>
      </c>
      <c r="G1570" s="4">
        <v>8496.1830000000009</v>
      </c>
      <c r="H1570" s="5">
        <f t="shared" si="24"/>
        <v>7.6644069260324707E-4</v>
      </c>
    </row>
    <row r="1571" spans="1:8" ht="13.5" x14ac:dyDescent="0.25">
      <c r="A1571" s="1"/>
      <c r="B1571" s="3">
        <v>44596</v>
      </c>
      <c r="C1571" s="4">
        <v>13.27</v>
      </c>
      <c r="D1571" s="4">
        <v>9.4559999999999995</v>
      </c>
      <c r="E1571" s="4">
        <v>575</v>
      </c>
      <c r="F1571" s="4">
        <v>13.112</v>
      </c>
      <c r="G1571" s="4">
        <v>7539.4</v>
      </c>
      <c r="H1571" s="5">
        <f t="shared" si="24"/>
        <v>1.9987703193933556E-2</v>
      </c>
    </row>
    <row r="1572" spans="1:8" ht="13.5" x14ac:dyDescent="0.25">
      <c r="A1572" s="1"/>
      <c r="B1572" s="3">
        <v>44599</v>
      </c>
      <c r="C1572" s="4">
        <v>13.7</v>
      </c>
      <c r="D1572" s="4">
        <v>9.7623999999999995</v>
      </c>
      <c r="E1572" s="4">
        <v>350</v>
      </c>
      <c r="F1572" s="4">
        <v>13.529</v>
      </c>
      <c r="G1572" s="4">
        <v>4735.1499999999996</v>
      </c>
      <c r="H1572" s="5">
        <f t="shared" si="24"/>
        <v>3.2402707275803723E-2</v>
      </c>
    </row>
    <row r="1573" spans="1:8" ht="13.5" x14ac:dyDescent="0.25">
      <c r="A1573" s="1"/>
      <c r="B1573" s="3">
        <v>44600</v>
      </c>
      <c r="C1573" s="4">
        <v>13.68</v>
      </c>
      <c r="D1573" s="4">
        <v>9.7482000000000006</v>
      </c>
      <c r="E1573" s="4">
        <v>181</v>
      </c>
      <c r="F1573" s="4">
        <v>13.561</v>
      </c>
      <c r="G1573" s="4">
        <v>2454.5410000000002</v>
      </c>
      <c r="H1573" s="5">
        <f t="shared" si="24"/>
        <v>-1.454560354011194E-3</v>
      </c>
    </row>
    <row r="1574" spans="1:8" ht="13.5" x14ac:dyDescent="0.25">
      <c r="A1574" s="1"/>
      <c r="B1574" s="3">
        <v>44601</v>
      </c>
      <c r="C1574" s="4">
        <v>13.66</v>
      </c>
      <c r="D1574" s="4">
        <v>9.7339000000000002</v>
      </c>
      <c r="E1574" s="4">
        <v>110</v>
      </c>
      <c r="F1574" s="4">
        <v>13.637</v>
      </c>
      <c r="G1574" s="4">
        <v>1500.07</v>
      </c>
      <c r="H1574" s="5">
        <f t="shared" si="24"/>
        <v>-1.4669374858948753E-3</v>
      </c>
    </row>
    <row r="1575" spans="1:8" ht="13.5" x14ac:dyDescent="0.25">
      <c r="A1575" s="1"/>
      <c r="B1575" s="3">
        <v>44602</v>
      </c>
      <c r="C1575" s="4">
        <v>13.4</v>
      </c>
      <c r="D1575" s="4">
        <v>9.5486000000000004</v>
      </c>
      <c r="E1575" s="4">
        <v>305</v>
      </c>
      <c r="F1575" s="4">
        <v>13.398</v>
      </c>
      <c r="G1575" s="4">
        <v>4086.39</v>
      </c>
      <c r="H1575" s="5">
        <f t="shared" si="24"/>
        <v>-1.9036562939828826E-2</v>
      </c>
    </row>
    <row r="1576" spans="1:8" ht="13.5" x14ac:dyDescent="0.25">
      <c r="A1576" s="1"/>
      <c r="B1576" s="3">
        <v>44603</v>
      </c>
      <c r="C1576" s="4">
        <v>13.4</v>
      </c>
      <c r="D1576" s="4">
        <v>9.5486000000000004</v>
      </c>
      <c r="E1576" s="4">
        <v>2927</v>
      </c>
      <c r="F1576" s="4">
        <v>13.416</v>
      </c>
      <c r="G1576" s="4">
        <v>39268.631999999998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13.64</v>
      </c>
      <c r="D1577" s="4">
        <v>9.7196999999999996</v>
      </c>
      <c r="E1577" s="4">
        <v>1363</v>
      </c>
      <c r="F1577" s="4">
        <v>13.419</v>
      </c>
      <c r="G1577" s="4">
        <v>18290.097000000002</v>
      </c>
      <c r="H1577" s="5">
        <f t="shared" si="24"/>
        <v>1.7918857214670122E-2</v>
      </c>
    </row>
    <row r="1578" spans="1:8" ht="13.5" x14ac:dyDescent="0.25">
      <c r="A1578" s="1"/>
      <c r="B1578" s="3">
        <v>44607</v>
      </c>
      <c r="C1578" s="4">
        <v>13.64</v>
      </c>
      <c r="D1578" s="4">
        <v>9.7196999999999996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13.64</v>
      </c>
      <c r="D1579" s="4">
        <v>9.7196999999999996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13.64</v>
      </c>
      <c r="D1580" s="4">
        <v>9.7196999999999996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13.64</v>
      </c>
      <c r="D1581" s="4">
        <v>9.7196999999999996</v>
      </c>
      <c r="E1581" s="4">
        <v>0</v>
      </c>
      <c r="F1581" s="4">
        <v>0</v>
      </c>
      <c r="G1581" s="4">
        <v>0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13.64</v>
      </c>
      <c r="D1582" s="4">
        <v>9.7196999999999996</v>
      </c>
      <c r="E1582" s="4">
        <v>30</v>
      </c>
      <c r="F1582" s="4">
        <v>13.64</v>
      </c>
      <c r="G1582" s="4">
        <v>409.2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13.5</v>
      </c>
      <c r="D1583" s="4">
        <v>9.6198999999999995</v>
      </c>
      <c r="E1583" s="4">
        <v>380</v>
      </c>
      <c r="F1583" s="4">
        <v>13.574</v>
      </c>
      <c r="G1583" s="4">
        <v>5158.12</v>
      </c>
      <c r="H1583" s="5">
        <f t="shared" si="24"/>
        <v>-1.0267806619545882E-2</v>
      </c>
    </row>
    <row r="1584" spans="1:8" ht="13.5" x14ac:dyDescent="0.25">
      <c r="A1584" s="1"/>
      <c r="B1584" s="3">
        <v>44615</v>
      </c>
      <c r="C1584" s="4">
        <v>13.7</v>
      </c>
      <c r="D1584" s="4">
        <v>9.7623999999999995</v>
      </c>
      <c r="E1584" s="4">
        <v>5433</v>
      </c>
      <c r="F1584" s="4">
        <v>13.667999999999999</v>
      </c>
      <c r="G1584" s="4">
        <v>74258.244000000006</v>
      </c>
      <c r="H1584" s="5">
        <f t="shared" si="24"/>
        <v>1.4813043794634047E-2</v>
      </c>
    </row>
    <row r="1585" spans="1:8" ht="13.5" x14ac:dyDescent="0.25">
      <c r="A1585" s="1"/>
      <c r="B1585" s="3">
        <v>44616</v>
      </c>
      <c r="C1585" s="4">
        <v>13.73</v>
      </c>
      <c r="D1585" s="4">
        <v>9.7837999999999994</v>
      </c>
      <c r="E1585" s="4">
        <v>3</v>
      </c>
      <c r="F1585" s="4">
        <v>13.73</v>
      </c>
      <c r="G1585" s="4">
        <v>41.19</v>
      </c>
      <c r="H1585" s="5">
        <f t="shared" si="24"/>
        <v>2.1920839137916765E-3</v>
      </c>
    </row>
    <row r="1586" spans="1:8" ht="13.5" x14ac:dyDescent="0.25">
      <c r="A1586" s="1"/>
      <c r="B1586" s="3">
        <v>44617</v>
      </c>
      <c r="C1586" s="4">
        <v>13.73</v>
      </c>
      <c r="D1586" s="4">
        <v>9.7837999999999994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13.73</v>
      </c>
      <c r="D1587" s="4">
        <v>9.7837999999999994</v>
      </c>
      <c r="E1587" s="4">
        <v>95</v>
      </c>
      <c r="F1587" s="4">
        <v>13.731999999999999</v>
      </c>
      <c r="G1587" s="4">
        <v>1304.54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13.7</v>
      </c>
      <c r="D1588" s="4">
        <v>9.7623999999999995</v>
      </c>
      <c r="E1588" s="4">
        <v>101</v>
      </c>
      <c r="F1588" s="4">
        <v>13.477</v>
      </c>
      <c r="G1588" s="4">
        <v>1361.1769999999999</v>
      </c>
      <c r="H1588" s="5">
        <f t="shared" si="24"/>
        <v>-2.1872891923383412E-3</v>
      </c>
    </row>
    <row r="1589" spans="1:8" ht="13.5" x14ac:dyDescent="0.25">
      <c r="A1589" s="1"/>
      <c r="B1589" s="3">
        <v>44622</v>
      </c>
      <c r="C1589" s="4">
        <v>13.7</v>
      </c>
      <c r="D1589" s="4">
        <v>9.7623999999999995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13.7</v>
      </c>
      <c r="D1590" s="4">
        <v>9.7623999999999995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13.6</v>
      </c>
      <c r="D1591" s="4">
        <v>9.6912000000000003</v>
      </c>
      <c r="E1591" s="4">
        <v>300</v>
      </c>
      <c r="F1591" s="4">
        <v>13.6</v>
      </c>
      <c r="G1591" s="4">
        <v>4080</v>
      </c>
      <c r="H1591" s="5">
        <f t="shared" si="24"/>
        <v>-7.2932885356059235E-3</v>
      </c>
    </row>
    <row r="1592" spans="1:8" ht="13.5" x14ac:dyDescent="0.25">
      <c r="A1592" s="1"/>
      <c r="B1592" s="3">
        <v>44627</v>
      </c>
      <c r="C1592" s="4">
        <v>13.42</v>
      </c>
      <c r="D1592" s="4">
        <v>9.5629000000000008</v>
      </c>
      <c r="E1592" s="4">
        <v>255</v>
      </c>
      <c r="F1592" s="4">
        <v>13.358000000000001</v>
      </c>
      <c r="G1592" s="4">
        <v>3406.29</v>
      </c>
      <c r="H1592" s="5">
        <f t="shared" si="24"/>
        <v>-1.3238814594683776E-2</v>
      </c>
    </row>
    <row r="1593" spans="1:8" ht="13.5" x14ac:dyDescent="0.25">
      <c r="A1593" s="1"/>
      <c r="B1593" s="3">
        <v>44628</v>
      </c>
      <c r="C1593" s="4">
        <v>13.5</v>
      </c>
      <c r="D1593" s="4">
        <v>9.6198999999999995</v>
      </c>
      <c r="E1593" s="4">
        <v>551</v>
      </c>
      <c r="F1593" s="4">
        <v>13.5</v>
      </c>
      <c r="G1593" s="4">
        <v>7438.5</v>
      </c>
      <c r="H1593" s="5">
        <f t="shared" si="24"/>
        <v>5.9605349841573797E-3</v>
      </c>
    </row>
    <row r="1594" spans="1:8" ht="13.5" x14ac:dyDescent="0.25">
      <c r="A1594" s="1"/>
      <c r="B1594" s="3">
        <v>44629</v>
      </c>
      <c r="C1594" s="4">
        <v>13.5</v>
      </c>
      <c r="D1594" s="4">
        <v>9.6198999999999995</v>
      </c>
      <c r="E1594" s="4">
        <v>60</v>
      </c>
      <c r="F1594" s="4">
        <v>13.5</v>
      </c>
      <c r="G1594" s="4">
        <v>810</v>
      </c>
      <c r="H1594" s="5">
        <f t="shared" si="24"/>
        <v>0</v>
      </c>
    </row>
    <row r="1595" spans="1:8" ht="13.5" x14ac:dyDescent="0.25">
      <c r="A1595" s="1"/>
      <c r="B1595" s="3">
        <v>44630</v>
      </c>
      <c r="C1595" s="4">
        <v>13.73</v>
      </c>
      <c r="D1595" s="4">
        <v>9.7837999999999994</v>
      </c>
      <c r="E1595" s="4">
        <v>7</v>
      </c>
      <c r="F1595" s="4">
        <v>13.73</v>
      </c>
      <c r="G1595" s="4">
        <v>96.11</v>
      </c>
      <c r="H1595" s="5">
        <f t="shared" si="24"/>
        <v>1.7037599143442234E-2</v>
      </c>
    </row>
    <row r="1596" spans="1:8" ht="13.5" x14ac:dyDescent="0.25">
      <c r="A1596" s="1"/>
      <c r="B1596" s="3">
        <v>44631</v>
      </c>
      <c r="C1596" s="4">
        <v>13.73</v>
      </c>
      <c r="D1596" s="4">
        <v>9.7837999999999994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13.5</v>
      </c>
      <c r="D1597" s="4">
        <v>9.6198999999999995</v>
      </c>
      <c r="E1597" s="4">
        <v>311</v>
      </c>
      <c r="F1597" s="4">
        <v>13.42</v>
      </c>
      <c r="G1597" s="4">
        <v>4173.62</v>
      </c>
      <c r="H1597" s="5">
        <f t="shared" si="24"/>
        <v>-1.6752182178703567E-2</v>
      </c>
    </row>
    <row r="1598" spans="1:8" ht="13.5" x14ac:dyDescent="0.25">
      <c r="A1598" s="1"/>
      <c r="B1598" s="3">
        <v>44635</v>
      </c>
      <c r="C1598" s="4">
        <v>13.5</v>
      </c>
      <c r="D1598" s="4">
        <v>9.6198999999999995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13.5</v>
      </c>
      <c r="D1599" s="4">
        <v>9.6198999999999995</v>
      </c>
      <c r="E1599" s="4">
        <v>19</v>
      </c>
      <c r="F1599" s="4">
        <v>13.5</v>
      </c>
      <c r="G1599" s="4">
        <v>256.5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13.5</v>
      </c>
      <c r="D1600" s="4">
        <v>9.6198999999999995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13.5</v>
      </c>
      <c r="D1601" s="4">
        <v>9.6198999999999995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13.6</v>
      </c>
      <c r="D1602" s="4">
        <v>9.6912000000000003</v>
      </c>
      <c r="E1602" s="4">
        <v>2000</v>
      </c>
      <c r="F1602" s="4">
        <v>13.598000000000001</v>
      </c>
      <c r="G1602" s="4">
        <v>27196</v>
      </c>
      <c r="H1602" s="5">
        <f t="shared" si="24"/>
        <v>7.4117194565432917E-3</v>
      </c>
    </row>
    <row r="1603" spans="1:8" ht="13.5" x14ac:dyDescent="0.25">
      <c r="A1603" s="1"/>
      <c r="B1603" s="3">
        <v>44642</v>
      </c>
      <c r="C1603" s="4">
        <v>13.6</v>
      </c>
      <c r="D1603" s="4">
        <v>9.6912000000000003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13.72</v>
      </c>
      <c r="D1604" s="4">
        <v>9.7766999999999999</v>
      </c>
      <c r="E1604" s="4">
        <v>255</v>
      </c>
      <c r="F1604" s="4">
        <v>13.72</v>
      </c>
      <c r="G1604" s="4">
        <v>3498.6</v>
      </c>
      <c r="H1604" s="5">
        <f t="shared" si="24"/>
        <v>8.8224368499256727E-3</v>
      </c>
    </row>
    <row r="1605" spans="1:8" ht="13.5" x14ac:dyDescent="0.25">
      <c r="A1605" s="1"/>
      <c r="B1605" s="3">
        <v>44644</v>
      </c>
      <c r="C1605" s="4">
        <v>13.72</v>
      </c>
      <c r="D1605" s="4">
        <v>9.7766999999999999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13.72</v>
      </c>
      <c r="D1606" s="4">
        <v>9.7766999999999999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13.4</v>
      </c>
      <c r="D1607" s="4">
        <v>9.5486000000000004</v>
      </c>
      <c r="E1607" s="4">
        <v>371</v>
      </c>
      <c r="F1607" s="4">
        <v>13.4</v>
      </c>
      <c r="G1607" s="4">
        <v>4971.3999999999996</v>
      </c>
      <c r="H1607" s="5">
        <f t="shared" ref="H1607:H1670" si="25">(D1607-D1606)/D1606</f>
        <v>-2.3330980801292821E-2</v>
      </c>
    </row>
    <row r="1608" spans="1:8" ht="13.5" x14ac:dyDescent="0.25">
      <c r="A1608" s="1"/>
      <c r="B1608" s="3">
        <v>44649</v>
      </c>
      <c r="C1608" s="4">
        <v>13.5</v>
      </c>
      <c r="D1608" s="4">
        <v>9.6198999999999995</v>
      </c>
      <c r="E1608" s="4">
        <v>820</v>
      </c>
      <c r="F1608" s="4">
        <v>13.260999999999999</v>
      </c>
      <c r="G1608" s="4">
        <v>10874.02</v>
      </c>
      <c r="H1608" s="5">
        <f t="shared" si="25"/>
        <v>7.4670632344007526E-3</v>
      </c>
    </row>
    <row r="1609" spans="1:8" ht="13.5" x14ac:dyDescent="0.25">
      <c r="A1609" s="1"/>
      <c r="B1609" s="3">
        <v>44650</v>
      </c>
      <c r="C1609" s="4">
        <v>13.4</v>
      </c>
      <c r="D1609" s="4">
        <v>9.5486000000000004</v>
      </c>
      <c r="E1609" s="4">
        <v>75</v>
      </c>
      <c r="F1609" s="4">
        <v>13.4</v>
      </c>
      <c r="G1609" s="4">
        <v>1005</v>
      </c>
      <c r="H1609" s="5">
        <f t="shared" si="25"/>
        <v>-7.4117194565431069E-3</v>
      </c>
    </row>
    <row r="1610" spans="1:8" ht="13.5" x14ac:dyDescent="0.25">
      <c r="A1610" s="1"/>
      <c r="B1610" s="3">
        <v>44651</v>
      </c>
      <c r="C1610" s="4">
        <v>13.5</v>
      </c>
      <c r="D1610" s="4">
        <v>9.6198999999999995</v>
      </c>
      <c r="E1610" s="4">
        <v>650</v>
      </c>
      <c r="F1610" s="4">
        <v>13.3</v>
      </c>
      <c r="G1610" s="4">
        <v>8645</v>
      </c>
      <c r="H1610" s="5">
        <f t="shared" si="25"/>
        <v>7.4670632344007526E-3</v>
      </c>
    </row>
    <row r="1611" spans="1:8" ht="13.5" x14ac:dyDescent="0.25">
      <c r="A1611" s="1"/>
      <c r="B1611" s="3">
        <v>44652</v>
      </c>
      <c r="C1611" s="4">
        <v>13.5</v>
      </c>
      <c r="D1611" s="4">
        <v>9.6198999999999995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13.25</v>
      </c>
      <c r="D1612" s="4">
        <v>9.4418000000000006</v>
      </c>
      <c r="E1612" s="4">
        <v>280</v>
      </c>
      <c r="F1612" s="4">
        <v>13.257999999999999</v>
      </c>
      <c r="G1612" s="4">
        <v>3712.24</v>
      </c>
      <c r="H1612" s="5">
        <f t="shared" si="25"/>
        <v>-1.8513705963679333E-2</v>
      </c>
    </row>
    <row r="1613" spans="1:8" ht="13.5" x14ac:dyDescent="0.25">
      <c r="A1613" s="1"/>
      <c r="B1613" s="3">
        <v>44656</v>
      </c>
      <c r="C1613" s="4">
        <v>13.25</v>
      </c>
      <c r="D1613" s="4">
        <v>9.4418000000000006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13.25</v>
      </c>
      <c r="D1614" s="4">
        <v>9.4418000000000006</v>
      </c>
      <c r="E1614" s="4">
        <v>4</v>
      </c>
      <c r="F1614" s="4">
        <v>13.25</v>
      </c>
      <c r="G1614" s="4">
        <v>53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13.25</v>
      </c>
      <c r="D1615" s="4">
        <v>9.4418000000000006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13.5</v>
      </c>
      <c r="D1616" s="4">
        <v>9.6198999999999995</v>
      </c>
      <c r="E1616" s="4">
        <v>252</v>
      </c>
      <c r="F1616" s="4">
        <v>13.252000000000001</v>
      </c>
      <c r="G1616" s="4">
        <v>3339.5039999999999</v>
      </c>
      <c r="H1616" s="5">
        <f t="shared" si="25"/>
        <v>1.8862928678853481E-2</v>
      </c>
    </row>
    <row r="1617" spans="1:8" ht="13.5" x14ac:dyDescent="0.25">
      <c r="A1617" s="1"/>
      <c r="B1617" s="3">
        <v>44662</v>
      </c>
      <c r="C1617" s="4">
        <v>13.49</v>
      </c>
      <c r="D1617" s="4">
        <v>9.6128</v>
      </c>
      <c r="E1617" s="4">
        <v>92</v>
      </c>
      <c r="F1617" s="4">
        <v>13.49</v>
      </c>
      <c r="G1617" s="4">
        <v>1241.08</v>
      </c>
      <c r="H1617" s="5">
        <f t="shared" si="25"/>
        <v>-7.3805341011855014E-4</v>
      </c>
    </row>
    <row r="1618" spans="1:8" ht="13.5" x14ac:dyDescent="0.25">
      <c r="A1618" s="1"/>
      <c r="B1618" s="3">
        <v>44663</v>
      </c>
      <c r="C1618" s="4">
        <v>13.49</v>
      </c>
      <c r="D1618" s="4">
        <v>9.6128</v>
      </c>
      <c r="E1618" s="4">
        <v>200</v>
      </c>
      <c r="F1618" s="4">
        <v>13.49</v>
      </c>
      <c r="G1618" s="4">
        <v>2698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13.49</v>
      </c>
      <c r="D1619" s="4">
        <v>9.6128</v>
      </c>
      <c r="E1619" s="4">
        <v>157</v>
      </c>
      <c r="F1619" s="4">
        <v>13.301</v>
      </c>
      <c r="G1619" s="4">
        <v>2088.2570000000001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13.4</v>
      </c>
      <c r="D1620" s="4">
        <v>9.5486000000000004</v>
      </c>
      <c r="E1620" s="4">
        <v>20</v>
      </c>
      <c r="F1620" s="4">
        <v>13.4</v>
      </c>
      <c r="G1620" s="4">
        <v>268</v>
      </c>
      <c r="H1620" s="5">
        <f t="shared" si="25"/>
        <v>-6.678595206391435E-3</v>
      </c>
    </row>
    <row r="1621" spans="1:8" ht="13.5" x14ac:dyDescent="0.25">
      <c r="A1621" s="1"/>
      <c r="B1621" s="3">
        <v>44666</v>
      </c>
      <c r="C1621" s="4">
        <v>13.49</v>
      </c>
      <c r="D1621" s="4">
        <v>9.6128</v>
      </c>
      <c r="E1621" s="4">
        <v>1601</v>
      </c>
      <c r="F1621" s="4">
        <v>13.4</v>
      </c>
      <c r="G1621" s="4">
        <v>21453.4</v>
      </c>
      <c r="H1621" s="5">
        <f t="shared" si="25"/>
        <v>6.7234987327984821E-3</v>
      </c>
    </row>
    <row r="1622" spans="1:8" ht="13.5" x14ac:dyDescent="0.25">
      <c r="A1622" s="1"/>
      <c r="B1622" s="3">
        <v>44669</v>
      </c>
      <c r="C1622" s="4">
        <v>14.24</v>
      </c>
      <c r="D1622" s="4">
        <v>10.1472</v>
      </c>
      <c r="E1622" s="4">
        <v>874</v>
      </c>
      <c r="F1622" s="4">
        <v>13.602</v>
      </c>
      <c r="G1622" s="4">
        <v>11888.147999999999</v>
      </c>
      <c r="H1622" s="5">
        <f t="shared" si="25"/>
        <v>5.5592543275632463E-2</v>
      </c>
    </row>
    <row r="1623" spans="1:8" ht="13.5" x14ac:dyDescent="0.25">
      <c r="A1623" s="1"/>
      <c r="B1623" s="3">
        <v>44670</v>
      </c>
      <c r="C1623" s="4">
        <v>14.24</v>
      </c>
      <c r="D1623" s="4">
        <v>10.1472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14.24</v>
      </c>
      <c r="D1624" s="4">
        <v>10.1472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14.4</v>
      </c>
      <c r="D1625" s="4">
        <v>10.261200000000001</v>
      </c>
      <c r="E1625" s="4">
        <v>316</v>
      </c>
      <c r="F1625" s="4">
        <v>14.244</v>
      </c>
      <c r="G1625" s="4">
        <v>4501.1040000000003</v>
      </c>
      <c r="H1625" s="5">
        <f t="shared" si="25"/>
        <v>1.1234626300851543E-2</v>
      </c>
    </row>
    <row r="1626" spans="1:8" ht="13.5" x14ac:dyDescent="0.25">
      <c r="A1626" s="1"/>
      <c r="B1626" s="3">
        <v>44673</v>
      </c>
      <c r="C1626" s="4">
        <v>14.52</v>
      </c>
      <c r="D1626" s="4">
        <v>10.3467</v>
      </c>
      <c r="E1626" s="4">
        <v>153</v>
      </c>
      <c r="F1626" s="4">
        <v>14.507</v>
      </c>
      <c r="G1626" s="4">
        <v>2219.5709999999999</v>
      </c>
      <c r="H1626" s="5">
        <f t="shared" si="25"/>
        <v>8.3323587884457651E-3</v>
      </c>
    </row>
    <row r="1627" spans="1:8" ht="13.5" x14ac:dyDescent="0.25">
      <c r="A1627" s="1"/>
      <c r="B1627" s="3">
        <v>44676</v>
      </c>
      <c r="C1627" s="4">
        <v>14.52</v>
      </c>
      <c r="D1627" s="4">
        <v>10.3467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14.52</v>
      </c>
      <c r="D1628" s="4">
        <v>10.3467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14.52</v>
      </c>
      <c r="D1629" s="4">
        <v>10.3467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14.52</v>
      </c>
      <c r="D1630" s="4">
        <v>10.3467</v>
      </c>
      <c r="E1630" s="4">
        <v>0</v>
      </c>
      <c r="F1630" s="4">
        <v>0</v>
      </c>
      <c r="G1630" s="4">
        <v>0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14.52</v>
      </c>
      <c r="D1631" s="4">
        <v>10.3467</v>
      </c>
      <c r="E1631" s="4">
        <v>650</v>
      </c>
      <c r="F1631" s="4">
        <v>14.516999999999999</v>
      </c>
      <c r="G1631" s="4">
        <v>9436.0499999999993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14.49</v>
      </c>
      <c r="D1632" s="4">
        <v>10.3254</v>
      </c>
      <c r="E1632" s="4">
        <v>512</v>
      </c>
      <c r="F1632" s="4">
        <v>14.478999999999999</v>
      </c>
      <c r="G1632" s="4">
        <v>7413.2479999999996</v>
      </c>
      <c r="H1632" s="5">
        <f t="shared" si="25"/>
        <v>-2.0586273884427011E-3</v>
      </c>
    </row>
    <row r="1633" spans="1:8" ht="13.5" x14ac:dyDescent="0.25">
      <c r="A1633" s="1"/>
      <c r="B1633" s="3">
        <v>44686</v>
      </c>
      <c r="C1633" s="4">
        <v>14.5</v>
      </c>
      <c r="D1633" s="4">
        <v>10.3325</v>
      </c>
      <c r="E1633" s="4">
        <v>149</v>
      </c>
      <c r="F1633" s="4">
        <v>14.497</v>
      </c>
      <c r="G1633" s="4">
        <v>2160.0529999999999</v>
      </c>
      <c r="H1633" s="5">
        <f t="shared" si="25"/>
        <v>6.8762469250580505E-4</v>
      </c>
    </row>
    <row r="1634" spans="1:8" ht="13.5" x14ac:dyDescent="0.25">
      <c r="A1634" s="1"/>
      <c r="B1634" s="3">
        <v>44687</v>
      </c>
      <c r="C1634" s="4">
        <v>13.63</v>
      </c>
      <c r="D1634" s="4">
        <v>9.7125000000000004</v>
      </c>
      <c r="E1634" s="4">
        <v>70</v>
      </c>
      <c r="F1634" s="4">
        <v>14.45</v>
      </c>
      <c r="G1634" s="4">
        <v>1011.5</v>
      </c>
      <c r="H1634" s="5">
        <f t="shared" si="25"/>
        <v>-6.0004839099927341E-2</v>
      </c>
    </row>
    <row r="1635" spans="1:8" ht="13.5" x14ac:dyDescent="0.25">
      <c r="A1635" s="1"/>
      <c r="B1635" s="3">
        <v>44690</v>
      </c>
      <c r="C1635" s="4">
        <v>13.95</v>
      </c>
      <c r="D1635" s="4">
        <v>9.9405999999999999</v>
      </c>
      <c r="E1635" s="4">
        <v>50</v>
      </c>
      <c r="F1635" s="4">
        <v>13.99</v>
      </c>
      <c r="G1635" s="4">
        <v>699.5</v>
      </c>
      <c r="H1635" s="5">
        <f t="shared" si="25"/>
        <v>2.3485199485199434E-2</v>
      </c>
    </row>
    <row r="1636" spans="1:8" ht="13.5" x14ac:dyDescent="0.25">
      <c r="A1636" s="1"/>
      <c r="B1636" s="3">
        <v>44691</v>
      </c>
      <c r="C1636" s="4">
        <v>13.94</v>
      </c>
      <c r="D1636" s="4">
        <v>9.9334000000000007</v>
      </c>
      <c r="E1636" s="4">
        <v>20</v>
      </c>
      <c r="F1636" s="4">
        <v>13.94</v>
      </c>
      <c r="G1636" s="4">
        <v>278.8</v>
      </c>
      <c r="H1636" s="5">
        <f t="shared" si="25"/>
        <v>-7.2430235599452825E-4</v>
      </c>
    </row>
    <row r="1637" spans="1:8" ht="13.5" x14ac:dyDescent="0.25">
      <c r="A1637" s="1"/>
      <c r="B1637" s="3">
        <v>44692</v>
      </c>
      <c r="C1637" s="4">
        <v>14</v>
      </c>
      <c r="D1637" s="4">
        <v>9.9762000000000004</v>
      </c>
      <c r="E1637" s="4">
        <v>4</v>
      </c>
      <c r="F1637" s="4">
        <v>14</v>
      </c>
      <c r="G1637" s="4">
        <v>56</v>
      </c>
      <c r="H1637" s="5">
        <f t="shared" si="25"/>
        <v>4.3086959147924904E-3</v>
      </c>
    </row>
    <row r="1638" spans="1:8" ht="13.5" x14ac:dyDescent="0.25">
      <c r="A1638" s="1"/>
      <c r="B1638" s="3">
        <v>44693</v>
      </c>
      <c r="C1638" s="4">
        <v>14</v>
      </c>
      <c r="D1638" s="4">
        <v>9.9762000000000004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13.7</v>
      </c>
      <c r="D1639" s="4">
        <v>9.7623999999999995</v>
      </c>
      <c r="E1639" s="4">
        <v>286</v>
      </c>
      <c r="F1639" s="4">
        <v>13.737</v>
      </c>
      <c r="G1639" s="4">
        <v>3928.7820000000002</v>
      </c>
      <c r="H1639" s="5">
        <f t="shared" si="25"/>
        <v>-2.1431005793789305E-2</v>
      </c>
    </row>
    <row r="1640" spans="1:8" ht="13.5" x14ac:dyDescent="0.25">
      <c r="A1640" s="1"/>
      <c r="B1640" s="3">
        <v>44697</v>
      </c>
      <c r="C1640" s="4">
        <v>13.51</v>
      </c>
      <c r="D1640" s="4">
        <v>9.6270000000000007</v>
      </c>
      <c r="E1640" s="4">
        <v>887</v>
      </c>
      <c r="F1640" s="4">
        <v>13.507</v>
      </c>
      <c r="G1640" s="4">
        <v>11980.709000000001</v>
      </c>
      <c r="H1640" s="5">
        <f t="shared" si="25"/>
        <v>-1.3869540276980953E-2</v>
      </c>
    </row>
    <row r="1641" spans="1:8" ht="13.5" x14ac:dyDescent="0.25">
      <c r="A1641" s="1"/>
      <c r="B1641" s="3">
        <v>44698</v>
      </c>
      <c r="C1641" s="4">
        <v>13.7</v>
      </c>
      <c r="D1641" s="4">
        <v>9.7623999999999995</v>
      </c>
      <c r="E1641" s="4">
        <v>764</v>
      </c>
      <c r="F1641" s="4">
        <v>13.702</v>
      </c>
      <c r="G1641" s="4">
        <v>10468.328</v>
      </c>
      <c r="H1641" s="5">
        <f t="shared" si="25"/>
        <v>1.4064609951178857E-2</v>
      </c>
    </row>
    <row r="1642" spans="1:8" ht="13.5" x14ac:dyDescent="0.25">
      <c r="A1642" s="1"/>
      <c r="B1642" s="3">
        <v>44699</v>
      </c>
      <c r="C1642" s="4">
        <v>13.7</v>
      </c>
      <c r="D1642" s="4">
        <v>9.7623999999999995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13.7</v>
      </c>
      <c r="D1643" s="4">
        <v>9.7623999999999995</v>
      </c>
      <c r="E1643" s="4">
        <v>174</v>
      </c>
      <c r="F1643" s="4">
        <v>13.7</v>
      </c>
      <c r="G1643" s="4">
        <v>2383.8000000000002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13.7</v>
      </c>
      <c r="D1644" s="4">
        <v>9.7623999999999995</v>
      </c>
      <c r="E1644" s="4">
        <v>109</v>
      </c>
      <c r="F1644" s="4">
        <v>13.641999999999999</v>
      </c>
      <c r="G1644" s="4">
        <v>1486.9780000000001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13.7</v>
      </c>
      <c r="D1645" s="4">
        <v>9.7623999999999995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13.6</v>
      </c>
      <c r="D1646" s="4">
        <v>9.6912000000000003</v>
      </c>
      <c r="E1646" s="4">
        <v>108</v>
      </c>
      <c r="F1646" s="4">
        <v>13.601000000000001</v>
      </c>
      <c r="G1646" s="4">
        <v>1468.9079999999999</v>
      </c>
      <c r="H1646" s="5">
        <f t="shared" si="25"/>
        <v>-7.2932885356059235E-3</v>
      </c>
    </row>
    <row r="1647" spans="1:8" ht="13.5" x14ac:dyDescent="0.25">
      <c r="A1647" s="1"/>
      <c r="B1647" s="3">
        <v>44706</v>
      </c>
      <c r="C1647" s="4">
        <v>13.6</v>
      </c>
      <c r="D1647" s="4">
        <v>9.6912000000000003</v>
      </c>
      <c r="E1647" s="4">
        <v>2470</v>
      </c>
      <c r="F1647" s="4">
        <v>13.6</v>
      </c>
      <c r="G1647" s="4">
        <v>33592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13.6</v>
      </c>
      <c r="D1648" s="4">
        <v>9.6912000000000003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13.7</v>
      </c>
      <c r="D1649" s="4">
        <v>9.7623999999999995</v>
      </c>
      <c r="E1649" s="4">
        <v>125</v>
      </c>
      <c r="F1649" s="4">
        <v>13.7</v>
      </c>
      <c r="G1649" s="4">
        <v>1712.5</v>
      </c>
      <c r="H1649" s="5">
        <f t="shared" si="25"/>
        <v>7.3468713884760669E-3</v>
      </c>
    </row>
    <row r="1650" spans="1:8" ht="13.5" x14ac:dyDescent="0.25">
      <c r="A1650" s="1"/>
      <c r="B1650" s="3">
        <v>44711</v>
      </c>
      <c r="C1650" s="4">
        <v>13.7</v>
      </c>
      <c r="D1650" s="4">
        <v>9.7623999999999995</v>
      </c>
      <c r="E1650" s="4">
        <v>17</v>
      </c>
      <c r="F1650" s="4">
        <v>13.7</v>
      </c>
      <c r="G1650" s="4">
        <v>232.9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13.7</v>
      </c>
      <c r="D1651" s="4">
        <v>9.7623999999999995</v>
      </c>
      <c r="E1651" s="4">
        <v>229</v>
      </c>
      <c r="F1651" s="4">
        <v>13.666</v>
      </c>
      <c r="G1651" s="4">
        <v>3129.5140000000001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13.7</v>
      </c>
      <c r="D1652" s="4">
        <v>9.7623999999999995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13.6</v>
      </c>
      <c r="D1653" s="4">
        <v>9.6912000000000003</v>
      </c>
      <c r="E1653" s="4">
        <v>1424</v>
      </c>
      <c r="F1653" s="4">
        <v>13.593999999999999</v>
      </c>
      <c r="G1653" s="4">
        <v>19357.856</v>
      </c>
      <c r="H1653" s="5">
        <f t="shared" si="25"/>
        <v>-7.2932885356059235E-3</v>
      </c>
    </row>
    <row r="1654" spans="1:8" ht="13.5" x14ac:dyDescent="0.25">
      <c r="A1654" s="1"/>
      <c r="B1654" s="3">
        <v>44715</v>
      </c>
      <c r="C1654" s="4">
        <v>13.6</v>
      </c>
      <c r="D1654" s="4">
        <v>9.6912000000000003</v>
      </c>
      <c r="E1654" s="4">
        <v>99</v>
      </c>
      <c r="F1654" s="4">
        <v>13.6</v>
      </c>
      <c r="G1654" s="4">
        <v>1346.4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13.6</v>
      </c>
      <c r="D1655" s="4">
        <v>9.6912000000000003</v>
      </c>
      <c r="E1655" s="4">
        <v>76</v>
      </c>
      <c r="F1655" s="4">
        <v>13.606</v>
      </c>
      <c r="G1655" s="4">
        <v>1034.056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13.6</v>
      </c>
      <c r="D1656" s="4">
        <v>9.6912000000000003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13.6</v>
      </c>
      <c r="D1657" s="4">
        <v>9.6912000000000003</v>
      </c>
      <c r="E1657" s="4">
        <v>86</v>
      </c>
      <c r="F1657" s="4">
        <v>13.6</v>
      </c>
      <c r="G1657" s="4">
        <v>1169.5999999999999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13.5</v>
      </c>
      <c r="D1658" s="4">
        <v>9.6198999999999995</v>
      </c>
      <c r="E1658" s="4">
        <v>1722</v>
      </c>
      <c r="F1658" s="4">
        <v>13.478</v>
      </c>
      <c r="G1658" s="4">
        <v>23209.116000000002</v>
      </c>
      <c r="H1658" s="5">
        <f t="shared" si="25"/>
        <v>-7.3571900280667828E-3</v>
      </c>
    </row>
    <row r="1659" spans="1:8" ht="13.5" x14ac:dyDescent="0.25">
      <c r="A1659" s="1"/>
      <c r="B1659" s="3">
        <v>44722</v>
      </c>
      <c r="C1659" s="4">
        <v>13.3</v>
      </c>
      <c r="D1659" s="4">
        <v>9.4773999999999994</v>
      </c>
      <c r="E1659" s="4">
        <v>11</v>
      </c>
      <c r="F1659" s="4">
        <v>13.3</v>
      </c>
      <c r="G1659" s="4">
        <v>146.30000000000001</v>
      </c>
      <c r="H1659" s="5">
        <f t="shared" si="25"/>
        <v>-1.4813043794634047E-2</v>
      </c>
    </row>
    <row r="1660" spans="1:8" ht="13.5" x14ac:dyDescent="0.25">
      <c r="A1660" s="1"/>
      <c r="B1660" s="3">
        <v>44725</v>
      </c>
      <c r="C1660" s="4">
        <v>13.25</v>
      </c>
      <c r="D1660" s="4">
        <v>9.4418000000000006</v>
      </c>
      <c r="E1660" s="4">
        <v>1342</v>
      </c>
      <c r="F1660" s="4">
        <v>13.265000000000001</v>
      </c>
      <c r="G1660" s="4">
        <v>17801.63</v>
      </c>
      <c r="H1660" s="5">
        <f t="shared" si="25"/>
        <v>-3.7563044716904157E-3</v>
      </c>
    </row>
    <row r="1661" spans="1:8" ht="13.5" x14ac:dyDescent="0.25">
      <c r="A1661" s="1"/>
      <c r="B1661" s="3">
        <v>44726</v>
      </c>
      <c r="C1661" s="4">
        <v>13.25</v>
      </c>
      <c r="D1661" s="4">
        <v>9.4418000000000006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13.58</v>
      </c>
      <c r="D1662" s="4">
        <v>9.6768999999999998</v>
      </c>
      <c r="E1662" s="4">
        <v>211</v>
      </c>
      <c r="F1662" s="4">
        <v>13.287000000000001</v>
      </c>
      <c r="G1662" s="4">
        <v>2803.5569999999998</v>
      </c>
      <c r="H1662" s="5">
        <f t="shared" si="25"/>
        <v>2.4899913152153105E-2</v>
      </c>
    </row>
    <row r="1663" spans="1:8" ht="13.5" x14ac:dyDescent="0.25">
      <c r="A1663" s="1"/>
      <c r="B1663" s="3">
        <v>44728</v>
      </c>
      <c r="C1663" s="4">
        <v>13.59</v>
      </c>
      <c r="D1663" s="4">
        <v>9.6839999999999993</v>
      </c>
      <c r="E1663" s="4">
        <v>730</v>
      </c>
      <c r="F1663" s="4">
        <v>13.59</v>
      </c>
      <c r="G1663" s="4">
        <v>9920.7000000000007</v>
      </c>
      <c r="H1663" s="5">
        <f t="shared" si="25"/>
        <v>7.3370604222420816E-4</v>
      </c>
    </row>
    <row r="1664" spans="1:8" ht="13.5" x14ac:dyDescent="0.25">
      <c r="A1664" s="1"/>
      <c r="B1664" s="3">
        <v>44729</v>
      </c>
      <c r="C1664" s="4">
        <v>13.59</v>
      </c>
      <c r="D1664" s="4">
        <v>9.6839999999999993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13.59</v>
      </c>
      <c r="D1665" s="4">
        <v>9.6839999999999993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13.59</v>
      </c>
      <c r="D1666" s="4">
        <v>9.6839999999999993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13.55</v>
      </c>
      <c r="D1667" s="4">
        <v>9.6555</v>
      </c>
      <c r="E1667" s="4">
        <v>41</v>
      </c>
      <c r="F1667" s="4">
        <v>13.55</v>
      </c>
      <c r="G1667" s="4">
        <v>555.54999999999995</v>
      </c>
      <c r="H1667" s="5">
        <f t="shared" si="25"/>
        <v>-2.9429987608425552E-3</v>
      </c>
    </row>
    <row r="1668" spans="1:8" ht="13.5" x14ac:dyDescent="0.25">
      <c r="A1668" s="1"/>
      <c r="B1668" s="3">
        <v>44735</v>
      </c>
      <c r="C1668" s="4">
        <v>13.55</v>
      </c>
      <c r="D1668" s="4">
        <v>9.6555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13.55</v>
      </c>
      <c r="D1669" s="4">
        <v>9.6555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13.28</v>
      </c>
      <c r="D1670" s="4">
        <v>9.4631000000000007</v>
      </c>
      <c r="E1670" s="4">
        <v>34</v>
      </c>
      <c r="F1670" s="4">
        <v>13.28</v>
      </c>
      <c r="G1670" s="4">
        <v>451.52</v>
      </c>
      <c r="H1670" s="5">
        <f t="shared" si="25"/>
        <v>-1.9926466780591293E-2</v>
      </c>
    </row>
    <row r="1671" spans="1:8" ht="13.5" x14ac:dyDescent="0.25">
      <c r="A1671" s="1"/>
      <c r="B1671" s="3">
        <v>44740</v>
      </c>
      <c r="C1671" s="4">
        <v>13.28</v>
      </c>
      <c r="D1671" s="4">
        <v>9.4631000000000007</v>
      </c>
      <c r="E1671" s="4">
        <v>312</v>
      </c>
      <c r="F1671" s="4">
        <v>13.298999999999999</v>
      </c>
      <c r="G1671" s="4">
        <v>4149.2879999999996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13.55</v>
      </c>
      <c r="D1672" s="4">
        <v>9.6555</v>
      </c>
      <c r="E1672" s="4">
        <v>1058</v>
      </c>
      <c r="F1672" s="4">
        <v>13.502000000000001</v>
      </c>
      <c r="G1672" s="4">
        <v>14285.116</v>
      </c>
      <c r="H1672" s="5">
        <f t="shared" si="26"/>
        <v>2.0331603808477056E-2</v>
      </c>
    </row>
    <row r="1673" spans="1:8" ht="13.5" x14ac:dyDescent="0.25">
      <c r="A1673" s="1"/>
      <c r="B1673" s="3">
        <v>44742</v>
      </c>
      <c r="C1673" s="4">
        <v>13.55</v>
      </c>
      <c r="D1673" s="4">
        <v>9.6555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13.55</v>
      </c>
      <c r="D1674" s="4">
        <v>9.6555</v>
      </c>
      <c r="E1674" s="4">
        <v>370</v>
      </c>
      <c r="F1674" s="4">
        <v>13.55</v>
      </c>
      <c r="G1674" s="4">
        <v>5013.5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13.55</v>
      </c>
      <c r="D1675" s="4">
        <v>9.6555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13.3</v>
      </c>
      <c r="D1676" s="4">
        <v>9.4773999999999994</v>
      </c>
      <c r="E1676" s="4">
        <v>329</v>
      </c>
      <c r="F1676" s="4">
        <v>13.323</v>
      </c>
      <c r="G1676" s="4">
        <v>4383.2669999999998</v>
      </c>
      <c r="H1676" s="5">
        <f t="shared" si="26"/>
        <v>-1.8445445600952886E-2</v>
      </c>
    </row>
    <row r="1677" spans="1:8" ht="13.5" x14ac:dyDescent="0.25">
      <c r="A1677" s="1"/>
      <c r="B1677" s="3">
        <v>44748</v>
      </c>
      <c r="C1677" s="4">
        <v>13.3</v>
      </c>
      <c r="D1677" s="4">
        <v>9.4773999999999994</v>
      </c>
      <c r="E1677" s="4">
        <v>2646</v>
      </c>
      <c r="F1677" s="4">
        <v>13.32</v>
      </c>
      <c r="G1677" s="4">
        <v>35244.720000000001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13.24</v>
      </c>
      <c r="D1678" s="4">
        <v>9.4345999999999997</v>
      </c>
      <c r="E1678" s="4">
        <v>980</v>
      </c>
      <c r="F1678" s="4">
        <v>13.242000000000001</v>
      </c>
      <c r="G1678" s="4">
        <v>12977.16</v>
      </c>
      <c r="H1678" s="5">
        <f t="shared" si="26"/>
        <v>-4.5160064996728772E-3</v>
      </c>
    </row>
    <row r="1679" spans="1:8" ht="13.5" x14ac:dyDescent="0.25">
      <c r="A1679" s="1"/>
      <c r="B1679" s="3">
        <v>44750</v>
      </c>
      <c r="C1679" s="4">
        <v>13.3</v>
      </c>
      <c r="D1679" s="4">
        <v>9.4773999999999994</v>
      </c>
      <c r="E1679" s="4">
        <v>15</v>
      </c>
      <c r="F1679" s="4">
        <v>13.266999999999999</v>
      </c>
      <c r="G1679" s="4">
        <v>199.005</v>
      </c>
      <c r="H1679" s="5">
        <f t="shared" si="26"/>
        <v>4.5364933330506573E-3</v>
      </c>
    </row>
    <row r="1680" spans="1:8" ht="13.5" x14ac:dyDescent="0.25">
      <c r="A1680" s="1"/>
      <c r="B1680" s="3">
        <v>44753</v>
      </c>
      <c r="C1680" s="4">
        <v>13.55</v>
      </c>
      <c r="D1680" s="4">
        <v>9.6555</v>
      </c>
      <c r="E1680" s="4">
        <v>3105</v>
      </c>
      <c r="F1680" s="4">
        <v>13.55</v>
      </c>
      <c r="G1680" s="4">
        <v>42072.75</v>
      </c>
      <c r="H1680" s="5">
        <f t="shared" si="26"/>
        <v>1.8792073775508115E-2</v>
      </c>
    </row>
    <row r="1681" spans="1:8" ht="13.5" x14ac:dyDescent="0.25">
      <c r="A1681" s="1"/>
      <c r="B1681" s="3">
        <v>44754</v>
      </c>
      <c r="C1681" s="4">
        <v>13.55</v>
      </c>
      <c r="D1681" s="4">
        <v>9.6555</v>
      </c>
      <c r="E1681" s="4">
        <v>6000</v>
      </c>
      <c r="F1681" s="4">
        <v>13.55</v>
      </c>
      <c r="G1681" s="4">
        <v>81300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13.5</v>
      </c>
      <c r="D1682" s="4">
        <v>9.6198999999999995</v>
      </c>
      <c r="E1682" s="4">
        <v>350</v>
      </c>
      <c r="F1682" s="4">
        <v>13.5</v>
      </c>
      <c r="G1682" s="4">
        <v>4725</v>
      </c>
      <c r="H1682" s="5">
        <f t="shared" si="26"/>
        <v>-3.6870177618974179E-3</v>
      </c>
    </row>
    <row r="1683" spans="1:8" ht="13.5" x14ac:dyDescent="0.25">
      <c r="A1683" s="1"/>
      <c r="B1683" s="3">
        <v>44756</v>
      </c>
      <c r="C1683" s="4">
        <v>13.55</v>
      </c>
      <c r="D1683" s="4">
        <v>9.6555</v>
      </c>
      <c r="E1683" s="4">
        <v>1076</v>
      </c>
      <c r="F1683" s="4">
        <v>13.515000000000001</v>
      </c>
      <c r="G1683" s="4">
        <v>14542.14</v>
      </c>
      <c r="H1683" s="5">
        <f t="shared" si="26"/>
        <v>3.7006621690454707E-3</v>
      </c>
    </row>
    <row r="1684" spans="1:8" ht="13.5" x14ac:dyDescent="0.25">
      <c r="A1684" s="1"/>
      <c r="B1684" s="3">
        <v>44757</v>
      </c>
      <c r="C1684" s="4">
        <v>12.69</v>
      </c>
      <c r="D1684" s="4">
        <v>9.8451000000000004</v>
      </c>
      <c r="E1684" s="4">
        <v>38</v>
      </c>
      <c r="F1684" s="4">
        <v>12.69</v>
      </c>
      <c r="G1684" s="4">
        <v>482.22</v>
      </c>
      <c r="H1684" s="5">
        <f t="shared" si="26"/>
        <v>1.9636476619543309E-2</v>
      </c>
    </row>
    <row r="1685" spans="1:8" ht="13.5" x14ac:dyDescent="0.25">
      <c r="A1685" s="1"/>
      <c r="B1685" s="3">
        <v>44760</v>
      </c>
      <c r="C1685" s="4">
        <v>12.69</v>
      </c>
      <c r="D1685" s="4">
        <v>9.8451000000000004</v>
      </c>
      <c r="E1685" s="4">
        <v>44</v>
      </c>
      <c r="F1685" s="4">
        <v>12.695</v>
      </c>
      <c r="G1685" s="4">
        <v>558.58000000000004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12.5</v>
      </c>
      <c r="D1686" s="4">
        <v>9.6976999999999993</v>
      </c>
      <c r="E1686" s="4">
        <v>610</v>
      </c>
      <c r="F1686" s="4">
        <v>12.516</v>
      </c>
      <c r="G1686" s="4">
        <v>7634.76</v>
      </c>
      <c r="H1686" s="5">
        <f t="shared" si="26"/>
        <v>-1.497191496277347E-2</v>
      </c>
    </row>
    <row r="1687" spans="1:8" ht="13.5" x14ac:dyDescent="0.25">
      <c r="A1687" s="1"/>
      <c r="B1687" s="3">
        <v>44762</v>
      </c>
      <c r="C1687" s="4">
        <v>12.5</v>
      </c>
      <c r="D1687" s="4">
        <v>9.6976999999999993</v>
      </c>
      <c r="E1687" s="4">
        <v>252</v>
      </c>
      <c r="F1687" s="4">
        <v>12.252000000000001</v>
      </c>
      <c r="G1687" s="4">
        <v>3087.5039999999999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12.25</v>
      </c>
      <c r="D1688" s="4">
        <v>9.5037000000000003</v>
      </c>
      <c r="E1688" s="4">
        <v>657</v>
      </c>
      <c r="F1688" s="4">
        <v>12.25</v>
      </c>
      <c r="G1688" s="4">
        <v>8048.25</v>
      </c>
      <c r="H1688" s="5">
        <f t="shared" si="26"/>
        <v>-2.0004743392763136E-2</v>
      </c>
    </row>
    <row r="1689" spans="1:8" ht="13.5" x14ac:dyDescent="0.25">
      <c r="A1689" s="1"/>
      <c r="B1689" s="3">
        <v>44764</v>
      </c>
      <c r="C1689" s="4">
        <v>12.25</v>
      </c>
      <c r="D1689" s="4">
        <v>9.5037000000000003</v>
      </c>
      <c r="E1689" s="4">
        <v>404</v>
      </c>
      <c r="F1689" s="4">
        <v>12.250999999999999</v>
      </c>
      <c r="G1689" s="4">
        <v>4949.4040000000005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12.2</v>
      </c>
      <c r="D1690" s="4">
        <v>9.4649000000000001</v>
      </c>
      <c r="E1690" s="4">
        <v>3037</v>
      </c>
      <c r="F1690" s="4">
        <v>12.496</v>
      </c>
      <c r="G1690" s="4">
        <v>37950.351999999999</v>
      </c>
      <c r="H1690" s="5">
        <f t="shared" si="26"/>
        <v>-4.08262045308671E-3</v>
      </c>
    </row>
    <row r="1691" spans="1:8" ht="13.5" x14ac:dyDescent="0.25">
      <c r="A1691" s="1"/>
      <c r="B1691" s="3">
        <v>44769</v>
      </c>
      <c r="C1691" s="4">
        <v>12.2</v>
      </c>
      <c r="D1691" s="4">
        <v>9.4649000000000001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12.5</v>
      </c>
      <c r="D1692" s="4">
        <v>9.6976999999999993</v>
      </c>
      <c r="E1692" s="4">
        <v>628</v>
      </c>
      <c r="F1692" s="4">
        <v>12.5</v>
      </c>
      <c r="G1692" s="4">
        <v>7850</v>
      </c>
      <c r="H1692" s="5">
        <f t="shared" si="26"/>
        <v>2.4596139420384709E-2</v>
      </c>
    </row>
    <row r="1693" spans="1:8" ht="13.5" x14ac:dyDescent="0.25">
      <c r="A1693" s="1"/>
      <c r="B1693" s="3">
        <v>44771</v>
      </c>
      <c r="C1693" s="4">
        <v>12.51</v>
      </c>
      <c r="D1693" s="4">
        <v>9.7053999999999991</v>
      </c>
      <c r="E1693" s="4">
        <v>669</v>
      </c>
      <c r="F1693" s="4">
        <v>12.519</v>
      </c>
      <c r="G1693" s="4">
        <v>8375.2109999999993</v>
      </c>
      <c r="H1693" s="5">
        <f t="shared" si="26"/>
        <v>7.9400270167151162E-4</v>
      </c>
    </row>
    <row r="1694" spans="1:8" ht="13.5" x14ac:dyDescent="0.25">
      <c r="A1694" s="1"/>
      <c r="B1694" s="3">
        <v>44774</v>
      </c>
      <c r="C1694" s="4">
        <v>12.7</v>
      </c>
      <c r="D1694" s="4">
        <v>9.8528000000000002</v>
      </c>
      <c r="E1694" s="4">
        <v>5891</v>
      </c>
      <c r="F1694" s="4">
        <v>12.693</v>
      </c>
      <c r="G1694" s="4">
        <v>74774.463000000003</v>
      </c>
      <c r="H1694" s="5">
        <f t="shared" si="26"/>
        <v>1.5187421435489635E-2</v>
      </c>
    </row>
    <row r="1695" spans="1:8" ht="13.5" x14ac:dyDescent="0.25">
      <c r="A1695" s="1"/>
      <c r="B1695" s="3">
        <v>44775</v>
      </c>
      <c r="C1695" s="4">
        <v>12.7</v>
      </c>
      <c r="D1695" s="4">
        <v>9.8528000000000002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12.52</v>
      </c>
      <c r="D1696" s="4">
        <v>9.7132000000000005</v>
      </c>
      <c r="E1696" s="4">
        <v>11570</v>
      </c>
      <c r="F1696" s="4">
        <v>12.52</v>
      </c>
      <c r="G1696" s="4">
        <v>144856.4</v>
      </c>
      <c r="H1696" s="5">
        <f t="shared" si="26"/>
        <v>-1.4168561221175678E-2</v>
      </c>
    </row>
    <row r="1697" spans="1:8" ht="13.5" x14ac:dyDescent="0.25">
      <c r="A1697" s="1"/>
      <c r="B1697" s="3">
        <v>44777</v>
      </c>
      <c r="C1697" s="4">
        <v>12.52</v>
      </c>
      <c r="D1697" s="4">
        <v>9.7132000000000005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12.65</v>
      </c>
      <c r="D1698" s="4">
        <v>9.8140999999999998</v>
      </c>
      <c r="E1698" s="4">
        <v>5</v>
      </c>
      <c r="F1698" s="4">
        <v>12.61</v>
      </c>
      <c r="G1698" s="4">
        <v>63.05</v>
      </c>
      <c r="H1698" s="5">
        <f t="shared" si="26"/>
        <v>1.0387925709343916E-2</v>
      </c>
    </row>
    <row r="1699" spans="1:8" ht="13.5" x14ac:dyDescent="0.25">
      <c r="A1699" s="1"/>
      <c r="B1699" s="3">
        <v>44781</v>
      </c>
      <c r="C1699" s="4">
        <v>12.65</v>
      </c>
      <c r="D1699" s="4">
        <v>9.8140999999999998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12.8</v>
      </c>
      <c r="D1700" s="4">
        <v>9.9304000000000006</v>
      </c>
      <c r="E1700" s="4">
        <v>6</v>
      </c>
      <c r="F1700" s="4">
        <v>12.8</v>
      </c>
      <c r="G1700" s="4">
        <v>76.8</v>
      </c>
      <c r="H1700" s="5">
        <f t="shared" si="26"/>
        <v>1.1850297021632216E-2</v>
      </c>
    </row>
    <row r="1701" spans="1:8" ht="13.5" x14ac:dyDescent="0.25">
      <c r="A1701" s="1"/>
      <c r="B1701" s="3">
        <v>44783</v>
      </c>
      <c r="C1701" s="4">
        <v>12.8</v>
      </c>
      <c r="D1701" s="4">
        <v>9.9304000000000006</v>
      </c>
      <c r="E1701" s="4">
        <v>269</v>
      </c>
      <c r="F1701" s="4">
        <v>12.8</v>
      </c>
      <c r="G1701" s="4">
        <v>3443.2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12.7</v>
      </c>
      <c r="D1702" s="4">
        <v>9.8528000000000002</v>
      </c>
      <c r="E1702" s="4">
        <v>20</v>
      </c>
      <c r="F1702" s="4">
        <v>12.7</v>
      </c>
      <c r="G1702" s="4">
        <v>254</v>
      </c>
      <c r="H1702" s="5">
        <f t="shared" si="26"/>
        <v>-7.8143881414646267E-3</v>
      </c>
    </row>
    <row r="1703" spans="1:8" ht="13.5" x14ac:dyDescent="0.25">
      <c r="A1703" s="1"/>
      <c r="B1703" s="3">
        <v>44785</v>
      </c>
      <c r="C1703" s="4">
        <v>12.7</v>
      </c>
      <c r="D1703" s="4">
        <v>9.8528000000000002</v>
      </c>
      <c r="E1703" s="4">
        <v>24</v>
      </c>
      <c r="F1703" s="4">
        <v>12.692</v>
      </c>
      <c r="G1703" s="4">
        <v>304.608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12.6</v>
      </c>
      <c r="D1704" s="4">
        <v>9.7752999999999997</v>
      </c>
      <c r="E1704" s="4">
        <v>160</v>
      </c>
      <c r="F1704" s="4">
        <v>12.603</v>
      </c>
      <c r="G1704" s="4">
        <v>2016.48</v>
      </c>
      <c r="H1704" s="5">
        <f t="shared" si="26"/>
        <v>-7.8657843455667998E-3</v>
      </c>
    </row>
    <row r="1705" spans="1:8" ht="13.5" x14ac:dyDescent="0.25">
      <c r="A1705" s="1"/>
      <c r="B1705" s="3">
        <v>44789</v>
      </c>
      <c r="C1705" s="4">
        <v>12.65</v>
      </c>
      <c r="D1705" s="4">
        <v>9.8140999999999998</v>
      </c>
      <c r="E1705" s="4">
        <v>355</v>
      </c>
      <c r="F1705" s="4">
        <v>12.65</v>
      </c>
      <c r="G1705" s="4">
        <v>4490.75</v>
      </c>
      <c r="H1705" s="5">
        <f t="shared" si="26"/>
        <v>3.9691876464149614E-3</v>
      </c>
    </row>
    <row r="1706" spans="1:8" ht="13.5" x14ac:dyDescent="0.25">
      <c r="A1706" s="1"/>
      <c r="B1706" s="3">
        <v>44790</v>
      </c>
      <c r="C1706" s="4">
        <v>12.7</v>
      </c>
      <c r="D1706" s="4">
        <v>9.8528000000000002</v>
      </c>
      <c r="E1706" s="4">
        <v>127</v>
      </c>
      <c r="F1706" s="4">
        <v>12.7</v>
      </c>
      <c r="G1706" s="4">
        <v>1612.9</v>
      </c>
      <c r="H1706" s="5">
        <f t="shared" si="26"/>
        <v>3.9433060596489131E-3</v>
      </c>
    </row>
    <row r="1707" spans="1:8" ht="13.5" x14ac:dyDescent="0.25">
      <c r="A1707" s="1"/>
      <c r="B1707" s="3">
        <v>44791</v>
      </c>
      <c r="C1707" s="4">
        <v>12.8</v>
      </c>
      <c r="D1707" s="4">
        <v>9.9304000000000006</v>
      </c>
      <c r="E1707" s="4">
        <v>10</v>
      </c>
      <c r="F1707" s="4">
        <v>12.8</v>
      </c>
      <c r="G1707" s="4">
        <v>128</v>
      </c>
      <c r="H1707" s="5">
        <f t="shared" si="26"/>
        <v>7.8759337447223462E-3</v>
      </c>
    </row>
    <row r="1708" spans="1:8" ht="13.5" x14ac:dyDescent="0.25">
      <c r="A1708" s="1"/>
      <c r="B1708" s="3">
        <v>44792</v>
      </c>
      <c r="C1708" s="4">
        <v>12.8</v>
      </c>
      <c r="D1708" s="4">
        <v>9.9304000000000006</v>
      </c>
      <c r="E1708" s="4">
        <v>175</v>
      </c>
      <c r="F1708" s="4">
        <v>12.723000000000001</v>
      </c>
      <c r="G1708" s="4">
        <v>2226.5250000000001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12.8</v>
      </c>
      <c r="D1709" s="4">
        <v>9.9304000000000006</v>
      </c>
      <c r="E1709" s="4">
        <v>156</v>
      </c>
      <c r="F1709" s="4">
        <v>12.8</v>
      </c>
      <c r="G1709" s="4">
        <v>1996.8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12.8</v>
      </c>
      <c r="D1710" s="4">
        <v>9.9304000000000006</v>
      </c>
      <c r="E1710" s="4">
        <v>10</v>
      </c>
      <c r="F1710" s="4">
        <v>12.8</v>
      </c>
      <c r="G1710" s="4">
        <v>128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12.75</v>
      </c>
      <c r="D1711" s="4">
        <v>9.8916000000000004</v>
      </c>
      <c r="E1711" s="4">
        <v>304</v>
      </c>
      <c r="F1711" s="4">
        <v>12.715999999999999</v>
      </c>
      <c r="G1711" s="4">
        <v>3865.6640000000002</v>
      </c>
      <c r="H1711" s="5">
        <f t="shared" si="26"/>
        <v>-3.9071940707323134E-3</v>
      </c>
    </row>
    <row r="1712" spans="1:8" ht="13.5" x14ac:dyDescent="0.25">
      <c r="A1712" s="1"/>
      <c r="B1712" s="3">
        <v>44798</v>
      </c>
      <c r="C1712" s="4">
        <v>12.75</v>
      </c>
      <c r="D1712" s="4">
        <v>9.8916000000000004</v>
      </c>
      <c r="E1712" s="4">
        <v>127</v>
      </c>
      <c r="F1712" s="4">
        <v>12.728999999999999</v>
      </c>
      <c r="G1712" s="4">
        <v>1616.5830000000001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12.75</v>
      </c>
      <c r="D1713" s="4">
        <v>9.8916000000000004</v>
      </c>
      <c r="E1713" s="4">
        <v>807</v>
      </c>
      <c r="F1713" s="4">
        <v>12.712999999999999</v>
      </c>
      <c r="G1713" s="4">
        <v>10259.391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12.75</v>
      </c>
      <c r="D1714" s="4">
        <v>9.8916000000000004</v>
      </c>
      <c r="E1714" s="4">
        <v>81</v>
      </c>
      <c r="F1714" s="4">
        <v>12.739000000000001</v>
      </c>
      <c r="G1714" s="4">
        <v>1031.8589999999999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12.8</v>
      </c>
      <c r="D1715" s="4">
        <v>9.9304000000000006</v>
      </c>
      <c r="E1715" s="4">
        <v>235</v>
      </c>
      <c r="F1715" s="4">
        <v>12.750999999999999</v>
      </c>
      <c r="G1715" s="4">
        <v>2996.4850000000001</v>
      </c>
      <c r="H1715" s="5">
        <f t="shared" si="26"/>
        <v>3.9225201180800038E-3</v>
      </c>
    </row>
    <row r="1716" spans="1:8" ht="13.5" x14ac:dyDescent="0.25">
      <c r="A1716" s="1"/>
      <c r="B1716" s="3">
        <v>44804</v>
      </c>
      <c r="C1716" s="4">
        <v>12.99</v>
      </c>
      <c r="D1716" s="4">
        <v>10.0778</v>
      </c>
      <c r="E1716" s="4">
        <v>5992</v>
      </c>
      <c r="F1716" s="4">
        <v>12.798999999999999</v>
      </c>
      <c r="G1716" s="4">
        <v>76691.607999999993</v>
      </c>
      <c r="H1716" s="5">
        <f t="shared" si="26"/>
        <v>1.4843309433658192E-2</v>
      </c>
    </row>
    <row r="1717" spans="1:8" ht="13.5" x14ac:dyDescent="0.25">
      <c r="A1717" s="1"/>
      <c r="B1717" s="3">
        <v>44805</v>
      </c>
      <c r="C1717" s="4">
        <v>12.99</v>
      </c>
      <c r="D1717" s="4">
        <v>10.0778</v>
      </c>
      <c r="E1717" s="4">
        <v>106</v>
      </c>
      <c r="F1717" s="4">
        <v>12.967000000000001</v>
      </c>
      <c r="G1717" s="4">
        <v>1374.502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12.99</v>
      </c>
      <c r="D1718" s="4">
        <v>10.0778</v>
      </c>
      <c r="E1718" s="4">
        <v>248</v>
      </c>
      <c r="F1718" s="4">
        <v>12.99</v>
      </c>
      <c r="G1718" s="4">
        <v>3221.52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13.39</v>
      </c>
      <c r="D1719" s="4">
        <v>10.388199999999999</v>
      </c>
      <c r="E1719" s="4">
        <v>1118</v>
      </c>
      <c r="F1719" s="4">
        <v>12.993</v>
      </c>
      <c r="G1719" s="4">
        <v>14526.174000000001</v>
      </c>
      <c r="H1719" s="5">
        <f t="shared" si="26"/>
        <v>3.0800373097302939E-2</v>
      </c>
    </row>
    <row r="1720" spans="1:8" ht="13.5" x14ac:dyDescent="0.25">
      <c r="A1720" s="1"/>
      <c r="B1720" s="3">
        <v>44810</v>
      </c>
      <c r="C1720" s="4">
        <v>13.39</v>
      </c>
      <c r="D1720" s="4">
        <v>10.388199999999999</v>
      </c>
      <c r="E1720" s="4">
        <v>339</v>
      </c>
      <c r="F1720" s="4">
        <v>13.05</v>
      </c>
      <c r="G1720" s="4">
        <v>4423.95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13.4</v>
      </c>
      <c r="D1721" s="4">
        <v>10.395899999999999</v>
      </c>
      <c r="E1721" s="4">
        <v>30</v>
      </c>
      <c r="F1721" s="4">
        <v>13.395</v>
      </c>
      <c r="G1721" s="4">
        <v>401.85</v>
      </c>
      <c r="H1721" s="5">
        <f t="shared" si="26"/>
        <v>7.412256213780846E-4</v>
      </c>
    </row>
    <row r="1722" spans="1:8" ht="13.5" x14ac:dyDescent="0.25">
      <c r="A1722" s="1"/>
      <c r="B1722" s="3">
        <v>44812</v>
      </c>
      <c r="C1722" s="4">
        <v>13.4</v>
      </c>
      <c r="D1722" s="4">
        <v>10.395899999999999</v>
      </c>
      <c r="E1722" s="4">
        <v>24</v>
      </c>
      <c r="F1722" s="4">
        <v>13.4</v>
      </c>
      <c r="G1722" s="4">
        <v>321.60000000000002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13.38</v>
      </c>
      <c r="D1723" s="4">
        <v>10.3804</v>
      </c>
      <c r="E1723" s="4">
        <v>115</v>
      </c>
      <c r="F1723" s="4">
        <v>13.308999999999999</v>
      </c>
      <c r="G1723" s="4">
        <v>1530.5350000000001</v>
      </c>
      <c r="H1723" s="5">
        <f t="shared" si="26"/>
        <v>-1.4909724025817298E-3</v>
      </c>
    </row>
    <row r="1724" spans="1:8" ht="13.5" x14ac:dyDescent="0.25">
      <c r="A1724" s="1"/>
      <c r="B1724" s="3">
        <v>44816</v>
      </c>
      <c r="C1724" s="4">
        <v>13.41</v>
      </c>
      <c r="D1724" s="4">
        <v>10.403700000000001</v>
      </c>
      <c r="E1724" s="4">
        <v>985</v>
      </c>
      <c r="F1724" s="4">
        <v>13.4</v>
      </c>
      <c r="G1724" s="4">
        <v>13199</v>
      </c>
      <c r="H1724" s="5">
        <f t="shared" si="26"/>
        <v>2.2446148510655434E-3</v>
      </c>
    </row>
    <row r="1725" spans="1:8" ht="13.5" x14ac:dyDescent="0.25">
      <c r="A1725" s="1"/>
      <c r="B1725" s="3">
        <v>44817</v>
      </c>
      <c r="C1725" s="4">
        <v>13.39</v>
      </c>
      <c r="D1725" s="4">
        <v>10.388199999999999</v>
      </c>
      <c r="E1725" s="4">
        <v>112</v>
      </c>
      <c r="F1725" s="4">
        <v>13.39</v>
      </c>
      <c r="G1725" s="4">
        <v>1499.68</v>
      </c>
      <c r="H1725" s="5">
        <f t="shared" si="26"/>
        <v>-1.4898545709700567E-3</v>
      </c>
    </row>
    <row r="1726" spans="1:8" ht="13.5" x14ac:dyDescent="0.25">
      <c r="A1726" s="1"/>
      <c r="B1726" s="3">
        <v>44818</v>
      </c>
      <c r="C1726" s="4">
        <v>13.38</v>
      </c>
      <c r="D1726" s="4">
        <v>10.3804</v>
      </c>
      <c r="E1726" s="4">
        <v>6</v>
      </c>
      <c r="F1726" s="4">
        <v>13.38</v>
      </c>
      <c r="G1726" s="4">
        <v>80.28</v>
      </c>
      <c r="H1726" s="5">
        <f t="shared" si="26"/>
        <v>-7.5085192814920633E-4</v>
      </c>
    </row>
    <row r="1727" spans="1:8" ht="13.5" x14ac:dyDescent="0.25">
      <c r="A1727" s="1"/>
      <c r="B1727" s="3">
        <v>44819</v>
      </c>
      <c r="C1727" s="4">
        <v>13.3</v>
      </c>
      <c r="D1727" s="4">
        <v>10.318300000000001</v>
      </c>
      <c r="E1727" s="4">
        <v>20</v>
      </c>
      <c r="F1727" s="4">
        <v>13.3</v>
      </c>
      <c r="G1727" s="4">
        <v>266</v>
      </c>
      <c r="H1727" s="5">
        <f t="shared" si="26"/>
        <v>-5.9824284227967279E-3</v>
      </c>
    </row>
    <row r="1728" spans="1:8" ht="13.5" x14ac:dyDescent="0.25">
      <c r="A1728" s="1"/>
      <c r="B1728" s="3">
        <v>44820</v>
      </c>
      <c r="C1728" s="4">
        <v>13.38</v>
      </c>
      <c r="D1728" s="4">
        <v>10.3804</v>
      </c>
      <c r="E1728" s="4">
        <v>55</v>
      </c>
      <c r="F1728" s="4">
        <v>13.303000000000001</v>
      </c>
      <c r="G1728" s="4">
        <v>731.66499999999996</v>
      </c>
      <c r="H1728" s="5">
        <f t="shared" si="26"/>
        <v>6.0184332690461752E-3</v>
      </c>
    </row>
    <row r="1729" spans="1:8" ht="13.5" x14ac:dyDescent="0.25">
      <c r="A1729" s="1"/>
      <c r="B1729" s="3">
        <v>44823</v>
      </c>
      <c r="C1729" s="4">
        <v>13.38</v>
      </c>
      <c r="D1729" s="4">
        <v>10.3804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13.1</v>
      </c>
      <c r="D1730" s="4">
        <v>10.1632</v>
      </c>
      <c r="E1730" s="4">
        <v>260</v>
      </c>
      <c r="F1730" s="4">
        <v>13.108000000000001</v>
      </c>
      <c r="G1730" s="4">
        <v>3408.08</v>
      </c>
      <c r="H1730" s="5">
        <f t="shared" si="26"/>
        <v>-2.0924049169588847E-2</v>
      </c>
    </row>
    <row r="1731" spans="1:8" ht="13.5" x14ac:dyDescent="0.25">
      <c r="A1731" s="1"/>
      <c r="B1731" s="3">
        <v>44825</v>
      </c>
      <c r="C1731" s="4">
        <v>13.29</v>
      </c>
      <c r="D1731" s="4">
        <v>10.310600000000001</v>
      </c>
      <c r="E1731" s="4">
        <v>10</v>
      </c>
      <c r="F1731" s="4">
        <v>13.29</v>
      </c>
      <c r="G1731" s="4">
        <v>132.9</v>
      </c>
      <c r="H1731" s="5">
        <f t="shared" si="26"/>
        <v>1.4503306045340158E-2</v>
      </c>
    </row>
    <row r="1732" spans="1:8" ht="13.5" x14ac:dyDescent="0.25">
      <c r="A1732" s="1"/>
      <c r="B1732" s="3">
        <v>44826</v>
      </c>
      <c r="C1732" s="4">
        <v>13.2</v>
      </c>
      <c r="D1732" s="4">
        <v>10.2408</v>
      </c>
      <c r="E1732" s="4">
        <v>305</v>
      </c>
      <c r="F1732" s="4">
        <v>13.201000000000001</v>
      </c>
      <c r="G1732" s="4">
        <v>4026.3049999999998</v>
      </c>
      <c r="H1732" s="5">
        <f t="shared" si="26"/>
        <v>-6.7697321203422445E-3</v>
      </c>
    </row>
    <row r="1733" spans="1:8" ht="13.5" x14ac:dyDescent="0.25">
      <c r="A1733" s="1"/>
      <c r="B1733" s="3">
        <v>44827</v>
      </c>
      <c r="C1733" s="4">
        <v>13.15</v>
      </c>
      <c r="D1733" s="4">
        <v>10.202</v>
      </c>
      <c r="E1733" s="4">
        <v>1583</v>
      </c>
      <c r="F1733" s="4">
        <v>13.2</v>
      </c>
      <c r="G1733" s="4">
        <v>20895.599999999999</v>
      </c>
      <c r="H1733" s="5">
        <f t="shared" si="26"/>
        <v>-3.7887665026169995E-3</v>
      </c>
    </row>
    <row r="1734" spans="1:8" ht="13.5" x14ac:dyDescent="0.25">
      <c r="A1734" s="1"/>
      <c r="B1734" s="3">
        <v>44830</v>
      </c>
      <c r="C1734" s="4">
        <v>13.18</v>
      </c>
      <c r="D1734" s="4">
        <v>10.225199999999999</v>
      </c>
      <c r="E1734" s="4">
        <v>6</v>
      </c>
      <c r="F1734" s="4">
        <v>13.18</v>
      </c>
      <c r="G1734" s="4">
        <v>79.08</v>
      </c>
      <c r="H1734" s="5">
        <f t="shared" si="26"/>
        <v>2.2740639090373673E-3</v>
      </c>
    </row>
    <row r="1735" spans="1:8" ht="13.5" x14ac:dyDescent="0.25">
      <c r="A1735" s="1"/>
      <c r="B1735" s="3">
        <v>44831</v>
      </c>
      <c r="C1735" s="4">
        <v>13.2</v>
      </c>
      <c r="D1735" s="4">
        <v>10.2408</v>
      </c>
      <c r="E1735" s="4">
        <v>1385</v>
      </c>
      <c r="F1735" s="4">
        <v>13.122</v>
      </c>
      <c r="G1735" s="4">
        <v>18173.97</v>
      </c>
      <c r="H1735" s="5">
        <f t="shared" ref="H1735:H1798" si="27">(D1735-D1734)/D1734</f>
        <v>1.5256425302195506E-3</v>
      </c>
    </row>
    <row r="1736" spans="1:8" ht="13.5" x14ac:dyDescent="0.25">
      <c r="A1736" s="1"/>
      <c r="B1736" s="3">
        <v>44832</v>
      </c>
      <c r="C1736" s="4">
        <v>13.2</v>
      </c>
      <c r="D1736" s="4">
        <v>10.2408</v>
      </c>
      <c r="E1736" s="4">
        <v>549</v>
      </c>
      <c r="F1736" s="4">
        <v>13.196</v>
      </c>
      <c r="G1736" s="4">
        <v>7244.6040000000003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13.2</v>
      </c>
      <c r="D1737" s="4">
        <v>10.2408</v>
      </c>
      <c r="E1737" s="4">
        <v>346</v>
      </c>
      <c r="F1737" s="4">
        <v>13.16</v>
      </c>
      <c r="G1737" s="4">
        <v>4553.3599999999997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13.15</v>
      </c>
      <c r="D1738" s="4">
        <v>10.202</v>
      </c>
      <c r="E1738" s="4">
        <v>410</v>
      </c>
      <c r="F1738" s="4">
        <v>13.124000000000001</v>
      </c>
      <c r="G1738" s="4">
        <v>5380.84</v>
      </c>
      <c r="H1738" s="5">
        <f t="shared" si="27"/>
        <v>-3.7887665026169995E-3</v>
      </c>
    </row>
    <row r="1739" spans="1:8" ht="13.5" x14ac:dyDescent="0.25">
      <c r="A1739" s="1"/>
      <c r="B1739" s="3">
        <v>44837</v>
      </c>
      <c r="C1739" s="4">
        <v>13.15</v>
      </c>
      <c r="D1739" s="4">
        <v>10.202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13.15</v>
      </c>
      <c r="D1740" s="4">
        <v>10.202</v>
      </c>
      <c r="E1740" s="4">
        <v>825</v>
      </c>
      <c r="F1740" s="4">
        <v>13.106</v>
      </c>
      <c r="G1740" s="4">
        <v>10812.45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13.15</v>
      </c>
      <c r="D1741" s="4">
        <v>10.202</v>
      </c>
      <c r="E1741" s="4">
        <v>1515</v>
      </c>
      <c r="F1741" s="4">
        <v>13.15</v>
      </c>
      <c r="G1741" s="4">
        <v>19922.25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13.18</v>
      </c>
      <c r="D1742" s="4">
        <v>10.225199999999999</v>
      </c>
      <c r="E1742" s="4">
        <v>537</v>
      </c>
      <c r="F1742" s="4">
        <v>13.009</v>
      </c>
      <c r="G1742" s="4">
        <v>6985.8329999999996</v>
      </c>
      <c r="H1742" s="5">
        <f t="shared" si="27"/>
        <v>2.2740639090373673E-3</v>
      </c>
    </row>
    <row r="1743" spans="1:8" ht="13.5" x14ac:dyDescent="0.25">
      <c r="A1743" s="1"/>
      <c r="B1743" s="3">
        <v>44841</v>
      </c>
      <c r="C1743" s="4">
        <v>13.14</v>
      </c>
      <c r="D1743" s="4">
        <v>10.1942</v>
      </c>
      <c r="E1743" s="4">
        <v>157</v>
      </c>
      <c r="F1743" s="4">
        <v>12.959</v>
      </c>
      <c r="G1743" s="4">
        <v>2034.5630000000001</v>
      </c>
      <c r="H1743" s="5">
        <f t="shared" si="27"/>
        <v>-3.0317255408206008E-3</v>
      </c>
    </row>
    <row r="1744" spans="1:8" ht="13.5" x14ac:dyDescent="0.25">
      <c r="A1744" s="1"/>
      <c r="B1744" s="3">
        <v>44844</v>
      </c>
      <c r="C1744" s="4">
        <v>13.15</v>
      </c>
      <c r="D1744" s="4">
        <v>10.202</v>
      </c>
      <c r="E1744" s="4">
        <v>104</v>
      </c>
      <c r="F1744" s="4">
        <v>12.958</v>
      </c>
      <c r="G1744" s="4">
        <v>1347.6320000000001</v>
      </c>
      <c r="H1744" s="5">
        <f t="shared" si="27"/>
        <v>7.6514096250805208E-4</v>
      </c>
    </row>
    <row r="1745" spans="1:8" ht="13.5" x14ac:dyDescent="0.25">
      <c r="A1745" s="1"/>
      <c r="B1745" s="3">
        <v>44845</v>
      </c>
      <c r="C1745" s="4">
        <v>12.95</v>
      </c>
      <c r="D1745" s="4">
        <v>10.046799999999999</v>
      </c>
      <c r="E1745" s="4">
        <v>53</v>
      </c>
      <c r="F1745" s="4">
        <v>12.95</v>
      </c>
      <c r="G1745" s="4">
        <v>686.35</v>
      </c>
      <c r="H1745" s="5">
        <f t="shared" si="27"/>
        <v>-1.521270339149193E-2</v>
      </c>
    </row>
    <row r="1746" spans="1:8" ht="13.5" x14ac:dyDescent="0.25">
      <c r="A1746" s="1"/>
      <c r="B1746" s="3">
        <v>44846</v>
      </c>
      <c r="C1746" s="4">
        <v>13.15</v>
      </c>
      <c r="D1746" s="4">
        <v>10.202</v>
      </c>
      <c r="E1746" s="4">
        <v>245</v>
      </c>
      <c r="F1746" s="4">
        <v>12.958</v>
      </c>
      <c r="G1746" s="4">
        <v>3174.71</v>
      </c>
      <c r="H1746" s="5">
        <f t="shared" si="27"/>
        <v>1.5447704741808404E-2</v>
      </c>
    </row>
    <row r="1747" spans="1:8" ht="13.5" x14ac:dyDescent="0.25">
      <c r="A1747" s="1"/>
      <c r="B1747" s="3">
        <v>44847</v>
      </c>
      <c r="C1747" s="4">
        <v>13.14</v>
      </c>
      <c r="D1747" s="4">
        <v>10.1942</v>
      </c>
      <c r="E1747" s="4">
        <v>502</v>
      </c>
      <c r="F1747" s="4">
        <v>12.955</v>
      </c>
      <c r="G1747" s="4">
        <v>6503.41</v>
      </c>
      <c r="H1747" s="5">
        <f t="shared" si="27"/>
        <v>-7.6455596941772056E-4</v>
      </c>
    </row>
    <row r="1748" spans="1:8" ht="13.5" x14ac:dyDescent="0.25">
      <c r="A1748" s="1"/>
      <c r="B1748" s="3">
        <v>44848</v>
      </c>
      <c r="C1748" s="4">
        <v>12.9</v>
      </c>
      <c r="D1748" s="4">
        <v>10.007999999999999</v>
      </c>
      <c r="E1748" s="4">
        <v>212</v>
      </c>
      <c r="F1748" s="4">
        <v>12.853</v>
      </c>
      <c r="G1748" s="4">
        <v>2724.8359999999998</v>
      </c>
      <c r="H1748" s="5">
        <f t="shared" si="27"/>
        <v>-1.8265288105001005E-2</v>
      </c>
    </row>
    <row r="1749" spans="1:8" ht="13.5" x14ac:dyDescent="0.25">
      <c r="A1749" s="1"/>
      <c r="B1749" s="3">
        <v>44851</v>
      </c>
      <c r="C1749" s="4">
        <v>12.9</v>
      </c>
      <c r="D1749" s="4">
        <v>10.007999999999999</v>
      </c>
      <c r="E1749" s="4">
        <v>94</v>
      </c>
      <c r="F1749" s="4">
        <v>12.9</v>
      </c>
      <c r="G1749" s="4">
        <v>1212.5999999999999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12.8</v>
      </c>
      <c r="D1750" s="4">
        <v>9.9304000000000006</v>
      </c>
      <c r="E1750" s="4">
        <v>2540</v>
      </c>
      <c r="F1750" s="4">
        <v>12.79</v>
      </c>
      <c r="G1750" s="4">
        <v>32486.6</v>
      </c>
      <c r="H1750" s="5">
        <f t="shared" si="27"/>
        <v>-7.753796962429913E-3</v>
      </c>
    </row>
    <row r="1751" spans="1:8" ht="13.5" x14ac:dyDescent="0.25">
      <c r="A1751" s="1"/>
      <c r="B1751" s="3">
        <v>44853</v>
      </c>
      <c r="C1751" s="4">
        <v>12.8</v>
      </c>
      <c r="D1751" s="4">
        <v>9.9304000000000006</v>
      </c>
      <c r="E1751" s="4">
        <v>282</v>
      </c>
      <c r="F1751" s="4">
        <v>12.801</v>
      </c>
      <c r="G1751" s="4">
        <v>3609.8820000000001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12.85</v>
      </c>
      <c r="D1752" s="4">
        <v>9.9692000000000007</v>
      </c>
      <c r="E1752" s="4">
        <v>5</v>
      </c>
      <c r="F1752" s="4">
        <v>12.85</v>
      </c>
      <c r="G1752" s="4">
        <v>64.25</v>
      </c>
      <c r="H1752" s="5">
        <f t="shared" si="27"/>
        <v>3.9071940707323134E-3</v>
      </c>
    </row>
    <row r="1753" spans="1:8" ht="13.5" x14ac:dyDescent="0.25">
      <c r="A1753" s="1"/>
      <c r="B1753" s="3">
        <v>44855</v>
      </c>
      <c r="C1753" s="4">
        <v>12.9</v>
      </c>
      <c r="D1753" s="4">
        <v>10.007999999999999</v>
      </c>
      <c r="E1753" s="4">
        <v>10</v>
      </c>
      <c r="F1753" s="4">
        <v>12.9</v>
      </c>
      <c r="G1753" s="4">
        <v>129</v>
      </c>
      <c r="H1753" s="5">
        <f t="shared" si="27"/>
        <v>3.8919873209483599E-3</v>
      </c>
    </row>
    <row r="1754" spans="1:8" ht="13.5" x14ac:dyDescent="0.25">
      <c r="A1754" s="1"/>
      <c r="B1754" s="3">
        <v>44858</v>
      </c>
      <c r="C1754" s="4">
        <v>13</v>
      </c>
      <c r="D1754" s="4">
        <v>10.085599999999999</v>
      </c>
      <c r="E1754" s="4">
        <v>5</v>
      </c>
      <c r="F1754" s="4">
        <v>13</v>
      </c>
      <c r="G1754" s="4">
        <v>65</v>
      </c>
      <c r="H1754" s="5">
        <f t="shared" si="27"/>
        <v>7.7537969624300899E-3</v>
      </c>
    </row>
    <row r="1755" spans="1:8" ht="13.5" x14ac:dyDescent="0.25">
      <c r="A1755" s="1"/>
      <c r="B1755" s="3">
        <v>44859</v>
      </c>
      <c r="C1755" s="4">
        <v>13</v>
      </c>
      <c r="D1755" s="4">
        <v>10.085599999999999</v>
      </c>
      <c r="E1755" s="4">
        <v>5</v>
      </c>
      <c r="F1755" s="4">
        <v>13</v>
      </c>
      <c r="G1755" s="4">
        <v>65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13</v>
      </c>
      <c r="D1756" s="4">
        <v>10.085599999999999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13</v>
      </c>
      <c r="D1757" s="4">
        <v>10.085599999999999</v>
      </c>
      <c r="E1757" s="4">
        <v>216</v>
      </c>
      <c r="F1757" s="4">
        <v>12.993</v>
      </c>
      <c r="G1757" s="4">
        <v>2806.4879999999998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13</v>
      </c>
      <c r="D1758" s="4">
        <v>10.085599999999999</v>
      </c>
      <c r="E1758" s="4">
        <v>22</v>
      </c>
      <c r="F1758" s="4">
        <v>13</v>
      </c>
      <c r="G1758" s="4">
        <v>286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13</v>
      </c>
      <c r="D1759" s="4">
        <v>10.085599999999999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12.99</v>
      </c>
      <c r="D1760" s="4">
        <v>10.0778</v>
      </c>
      <c r="E1760" s="4">
        <v>4</v>
      </c>
      <c r="F1760" s="4">
        <v>12.99</v>
      </c>
      <c r="G1760" s="4">
        <v>51.96</v>
      </c>
      <c r="H1760" s="5">
        <f t="shared" si="27"/>
        <v>-7.7337986832707879E-4</v>
      </c>
    </row>
    <row r="1761" spans="1:8" ht="13.5" x14ac:dyDescent="0.25">
      <c r="A1761" s="1"/>
      <c r="B1761" s="3">
        <v>44867</v>
      </c>
      <c r="C1761" s="4">
        <v>12.51</v>
      </c>
      <c r="D1761" s="4">
        <v>9.7053999999999991</v>
      </c>
      <c r="E1761" s="4">
        <v>345</v>
      </c>
      <c r="F1761" s="4">
        <v>12.590999999999999</v>
      </c>
      <c r="G1761" s="4">
        <v>4343.8950000000004</v>
      </c>
      <c r="H1761" s="5">
        <f t="shared" si="27"/>
        <v>-3.695250947627466E-2</v>
      </c>
    </row>
    <row r="1762" spans="1:8" ht="13.5" x14ac:dyDescent="0.25">
      <c r="A1762" s="1"/>
      <c r="B1762" s="3">
        <v>44868</v>
      </c>
      <c r="C1762" s="4">
        <v>12.7</v>
      </c>
      <c r="D1762" s="4">
        <v>9.8528000000000002</v>
      </c>
      <c r="E1762" s="4">
        <v>73</v>
      </c>
      <c r="F1762" s="4">
        <v>12.7</v>
      </c>
      <c r="G1762" s="4">
        <v>927.1</v>
      </c>
      <c r="H1762" s="5">
        <f t="shared" si="27"/>
        <v>1.5187421435489635E-2</v>
      </c>
    </row>
    <row r="1763" spans="1:8" ht="13.5" x14ac:dyDescent="0.25">
      <c r="A1763" s="1"/>
      <c r="B1763" s="3">
        <v>44869</v>
      </c>
      <c r="C1763" s="4">
        <v>12.7</v>
      </c>
      <c r="D1763" s="4">
        <v>9.8528000000000002</v>
      </c>
      <c r="E1763" s="4">
        <v>39</v>
      </c>
      <c r="F1763" s="4">
        <v>12.597</v>
      </c>
      <c r="G1763" s="4">
        <v>491.28300000000002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12.6</v>
      </c>
      <c r="D1764" s="4">
        <v>9.7752999999999997</v>
      </c>
      <c r="E1764" s="4">
        <v>717</v>
      </c>
      <c r="F1764" s="4">
        <v>12.625999999999999</v>
      </c>
      <c r="G1764" s="4">
        <v>9052.8420000000006</v>
      </c>
      <c r="H1764" s="5">
        <f t="shared" si="27"/>
        <v>-7.8657843455667998E-3</v>
      </c>
    </row>
    <row r="1765" spans="1:8" ht="13.5" x14ac:dyDescent="0.25">
      <c r="A1765" s="1"/>
      <c r="B1765" s="3">
        <v>44873</v>
      </c>
      <c r="C1765" s="4">
        <v>12.98</v>
      </c>
      <c r="D1765" s="4">
        <v>10.0701</v>
      </c>
      <c r="E1765" s="4">
        <v>100</v>
      </c>
      <c r="F1765" s="4">
        <v>12.701000000000001</v>
      </c>
      <c r="G1765" s="4">
        <v>1270.0999999999999</v>
      </c>
      <c r="H1765" s="5">
        <f t="shared" si="27"/>
        <v>3.0157642220699152E-2</v>
      </c>
    </row>
    <row r="1766" spans="1:8" ht="13.5" x14ac:dyDescent="0.25">
      <c r="A1766" s="1"/>
      <c r="B1766" s="3">
        <v>44874</v>
      </c>
      <c r="C1766" s="4">
        <v>12.98</v>
      </c>
      <c r="D1766" s="4">
        <v>10.0701</v>
      </c>
      <c r="E1766" s="4">
        <v>5013</v>
      </c>
      <c r="F1766" s="4">
        <v>12.551</v>
      </c>
      <c r="G1766" s="4">
        <v>62918.163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12.51</v>
      </c>
      <c r="D1767" s="4">
        <v>9.7053999999999991</v>
      </c>
      <c r="E1767" s="4">
        <v>20913</v>
      </c>
      <c r="F1767" s="4">
        <v>12.273999999999999</v>
      </c>
      <c r="G1767" s="4">
        <v>256686.16200000001</v>
      </c>
      <c r="H1767" s="5">
        <f t="shared" si="27"/>
        <v>-3.6216124964002436E-2</v>
      </c>
    </row>
    <row r="1768" spans="1:8" ht="13.5" x14ac:dyDescent="0.25">
      <c r="A1768" s="1"/>
      <c r="B1768" s="3">
        <v>44876</v>
      </c>
      <c r="C1768" s="4">
        <v>12.65</v>
      </c>
      <c r="D1768" s="4">
        <v>9.8140999999999998</v>
      </c>
      <c r="E1768" s="4">
        <v>10280</v>
      </c>
      <c r="F1768" s="4">
        <v>12.32</v>
      </c>
      <c r="G1768" s="4">
        <v>126649.60000000001</v>
      </c>
      <c r="H1768" s="5">
        <f t="shared" si="27"/>
        <v>1.1199950542996754E-2</v>
      </c>
    </row>
    <row r="1769" spans="1:8" ht="13.5" x14ac:dyDescent="0.25">
      <c r="A1769" s="1"/>
      <c r="B1769" s="3">
        <v>44879</v>
      </c>
      <c r="C1769" s="4">
        <v>12.5</v>
      </c>
      <c r="D1769" s="4">
        <v>9.6976999999999993</v>
      </c>
      <c r="E1769" s="4">
        <v>5468</v>
      </c>
      <c r="F1769" s="4">
        <v>12.265000000000001</v>
      </c>
      <c r="G1769" s="4">
        <v>67065.02</v>
      </c>
      <c r="H1769" s="5">
        <f t="shared" si="27"/>
        <v>-1.1860486442974955E-2</v>
      </c>
    </row>
    <row r="1770" spans="1:8" ht="13.5" x14ac:dyDescent="0.25">
      <c r="A1770" s="1"/>
      <c r="B1770" s="3">
        <v>44880</v>
      </c>
      <c r="C1770" s="4">
        <v>12.5</v>
      </c>
      <c r="D1770" s="4">
        <v>9.6976999999999993</v>
      </c>
      <c r="E1770" s="4">
        <v>2002</v>
      </c>
      <c r="F1770" s="4">
        <v>12.26</v>
      </c>
      <c r="G1770" s="4">
        <v>24544.52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12.22</v>
      </c>
      <c r="D1771" s="4">
        <v>9.4804999999999993</v>
      </c>
      <c r="E1771" s="4">
        <v>761</v>
      </c>
      <c r="F1771" s="4">
        <v>12.259</v>
      </c>
      <c r="G1771" s="4">
        <v>9329.0990000000002</v>
      </c>
      <c r="H1771" s="5">
        <f t="shared" si="27"/>
        <v>-2.2397063221176162E-2</v>
      </c>
    </row>
    <row r="1772" spans="1:8" ht="13.5" x14ac:dyDescent="0.25">
      <c r="A1772" s="1"/>
      <c r="B1772" s="3">
        <v>44882</v>
      </c>
      <c r="C1772" s="4">
        <v>12.22</v>
      </c>
      <c r="D1772" s="4">
        <v>9.4804999999999993</v>
      </c>
      <c r="E1772" s="4">
        <v>2102</v>
      </c>
      <c r="F1772" s="4">
        <v>12.206</v>
      </c>
      <c r="G1772" s="4">
        <v>25657.011999999999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12.4</v>
      </c>
      <c r="D1773" s="4">
        <v>9.6201000000000008</v>
      </c>
      <c r="E1773" s="4">
        <v>101</v>
      </c>
      <c r="F1773" s="4">
        <v>12.183999999999999</v>
      </c>
      <c r="G1773" s="4">
        <v>1230.5840000000001</v>
      </c>
      <c r="H1773" s="5">
        <f t="shared" si="27"/>
        <v>1.4724961763620221E-2</v>
      </c>
    </row>
    <row r="1774" spans="1:8" ht="13.5" x14ac:dyDescent="0.25">
      <c r="A1774" s="1"/>
      <c r="B1774" s="3">
        <v>44886</v>
      </c>
      <c r="C1774" s="4">
        <v>12.4</v>
      </c>
      <c r="D1774" s="4">
        <v>9.6201000000000008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12.4</v>
      </c>
      <c r="D1775" s="4">
        <v>9.6201000000000008</v>
      </c>
      <c r="E1775" s="4">
        <v>668</v>
      </c>
      <c r="F1775" s="4">
        <v>12.2</v>
      </c>
      <c r="G1775" s="4">
        <v>8149.6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12.2</v>
      </c>
      <c r="D1776" s="4">
        <v>9.4649000000000001</v>
      </c>
      <c r="E1776" s="4">
        <v>2041</v>
      </c>
      <c r="F1776" s="4">
        <v>12.106</v>
      </c>
      <c r="G1776" s="4">
        <v>24708.346000000001</v>
      </c>
      <c r="H1776" s="5">
        <f t="shared" si="27"/>
        <v>-1.6132888431513254E-2</v>
      </c>
    </row>
    <row r="1777" spans="1:8" ht="13.5" x14ac:dyDescent="0.25">
      <c r="A1777" s="1"/>
      <c r="B1777" s="3">
        <v>44889</v>
      </c>
      <c r="C1777" s="4">
        <v>12.2</v>
      </c>
      <c r="D1777" s="4">
        <v>9.4649000000000001</v>
      </c>
      <c r="E1777" s="4">
        <v>60</v>
      </c>
      <c r="F1777" s="4">
        <v>12.2</v>
      </c>
      <c r="G1777" s="4">
        <v>732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12.25</v>
      </c>
      <c r="D1778" s="4">
        <v>9.5037000000000003</v>
      </c>
      <c r="E1778" s="4">
        <v>1108</v>
      </c>
      <c r="F1778" s="4">
        <v>12.25</v>
      </c>
      <c r="G1778" s="4">
        <v>13573</v>
      </c>
      <c r="H1778" s="5">
        <f t="shared" si="27"/>
        <v>4.0993565700641497E-3</v>
      </c>
    </row>
    <row r="1779" spans="1:8" ht="13.5" x14ac:dyDescent="0.25">
      <c r="A1779" s="1"/>
      <c r="B1779" s="3">
        <v>44893</v>
      </c>
      <c r="C1779" s="4">
        <v>12.44</v>
      </c>
      <c r="D1779" s="4">
        <v>9.6510999999999996</v>
      </c>
      <c r="E1779" s="4">
        <v>3001</v>
      </c>
      <c r="F1779" s="4">
        <v>12.2</v>
      </c>
      <c r="G1779" s="4">
        <v>36612.199999999997</v>
      </c>
      <c r="H1779" s="5">
        <f t="shared" si="27"/>
        <v>1.5509748834664321E-2</v>
      </c>
    </row>
    <row r="1780" spans="1:8" ht="13.5" x14ac:dyDescent="0.25">
      <c r="A1780" s="1"/>
      <c r="B1780" s="3">
        <v>44894</v>
      </c>
      <c r="C1780" s="4">
        <v>12.2</v>
      </c>
      <c r="D1780" s="4">
        <v>9.4649000000000001</v>
      </c>
      <c r="E1780" s="4">
        <v>3022</v>
      </c>
      <c r="F1780" s="4">
        <v>12.2</v>
      </c>
      <c r="G1780" s="4">
        <v>36868.400000000001</v>
      </c>
      <c r="H1780" s="5">
        <f t="shared" si="27"/>
        <v>-1.9293137569810642E-2</v>
      </c>
    </row>
    <row r="1781" spans="1:8" ht="13.5" x14ac:dyDescent="0.25">
      <c r="A1781" s="1"/>
      <c r="B1781" s="3">
        <v>44895</v>
      </c>
      <c r="C1781" s="4">
        <v>12.2</v>
      </c>
      <c r="D1781" s="4">
        <v>9.4649000000000001</v>
      </c>
      <c r="E1781" s="4">
        <v>3956</v>
      </c>
      <c r="F1781" s="4">
        <v>12.201000000000001</v>
      </c>
      <c r="G1781" s="4">
        <v>48267.156000000003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12.2</v>
      </c>
      <c r="D1782" s="4">
        <v>9.4649000000000001</v>
      </c>
      <c r="E1782" s="4">
        <v>1209</v>
      </c>
      <c r="F1782" s="4">
        <v>12.2</v>
      </c>
      <c r="G1782" s="4">
        <v>14749.8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12.2</v>
      </c>
      <c r="D1783" s="4">
        <v>9.4649000000000001</v>
      </c>
      <c r="E1783" s="4">
        <v>245</v>
      </c>
      <c r="F1783" s="4">
        <v>12.2</v>
      </c>
      <c r="G1783" s="4">
        <v>2989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12.16</v>
      </c>
      <c r="D1784" s="4">
        <v>9.4338999999999995</v>
      </c>
      <c r="E1784" s="4">
        <v>594</v>
      </c>
      <c r="F1784" s="4">
        <v>12.170999999999999</v>
      </c>
      <c r="G1784" s="4">
        <v>7229.5739999999996</v>
      </c>
      <c r="H1784" s="5">
        <f t="shared" si="27"/>
        <v>-3.2752591152574863E-3</v>
      </c>
    </row>
    <row r="1785" spans="1:8" ht="13.5" x14ac:dyDescent="0.25">
      <c r="A1785" s="1"/>
      <c r="B1785" s="3">
        <v>44901</v>
      </c>
      <c r="C1785" s="4">
        <v>12.09</v>
      </c>
      <c r="D1785" s="4">
        <v>9.3795999999999999</v>
      </c>
      <c r="E1785" s="4">
        <v>10848</v>
      </c>
      <c r="F1785" s="4">
        <v>12.082000000000001</v>
      </c>
      <c r="G1785" s="4">
        <v>131065.53599999999</v>
      </c>
      <c r="H1785" s="5">
        <f t="shared" si="27"/>
        <v>-5.7558379885306789E-3</v>
      </c>
    </row>
    <row r="1786" spans="1:8" ht="13.5" x14ac:dyDescent="0.25">
      <c r="A1786" s="1"/>
      <c r="B1786" s="3">
        <v>44902</v>
      </c>
      <c r="C1786" s="4">
        <v>12.15</v>
      </c>
      <c r="D1786" s="4">
        <v>9.4260999999999999</v>
      </c>
      <c r="E1786" s="4">
        <v>573</v>
      </c>
      <c r="F1786" s="4">
        <v>12.148</v>
      </c>
      <c r="G1786" s="4">
        <v>6960.8040000000001</v>
      </c>
      <c r="H1786" s="5">
        <f t="shared" si="27"/>
        <v>4.9575674868864326E-3</v>
      </c>
    </row>
    <row r="1787" spans="1:8" ht="13.5" x14ac:dyDescent="0.25">
      <c r="A1787" s="1"/>
      <c r="B1787" s="3">
        <v>44903</v>
      </c>
      <c r="C1787" s="4">
        <v>12.2</v>
      </c>
      <c r="D1787" s="4">
        <v>9.4649000000000001</v>
      </c>
      <c r="E1787" s="4">
        <v>1241</v>
      </c>
      <c r="F1787" s="4">
        <v>12.092000000000001</v>
      </c>
      <c r="G1787" s="4">
        <v>15006.172</v>
      </c>
      <c r="H1787" s="5">
        <f t="shared" si="27"/>
        <v>4.1162304664707746E-3</v>
      </c>
    </row>
    <row r="1788" spans="1:8" ht="13.5" x14ac:dyDescent="0.25">
      <c r="A1788" s="1"/>
      <c r="B1788" s="3">
        <v>44904</v>
      </c>
      <c r="C1788" s="4">
        <v>12.1</v>
      </c>
      <c r="D1788" s="4">
        <v>9.3873999999999995</v>
      </c>
      <c r="E1788" s="4">
        <v>34</v>
      </c>
      <c r="F1788" s="4">
        <v>12.1</v>
      </c>
      <c r="G1788" s="4">
        <v>411.4</v>
      </c>
      <c r="H1788" s="5">
        <f t="shared" si="27"/>
        <v>-8.1881477881436213E-3</v>
      </c>
    </row>
    <row r="1789" spans="1:8" ht="13.5" x14ac:dyDescent="0.25">
      <c r="A1789" s="1"/>
      <c r="B1789" s="3">
        <v>44907</v>
      </c>
      <c r="C1789" s="4">
        <v>12.11</v>
      </c>
      <c r="D1789" s="4">
        <v>9.3950999999999993</v>
      </c>
      <c r="E1789" s="4">
        <v>1699</v>
      </c>
      <c r="F1789" s="4">
        <v>12.11</v>
      </c>
      <c r="G1789" s="4">
        <v>20574.89</v>
      </c>
      <c r="H1789" s="5">
        <f t="shared" si="27"/>
        <v>8.2024841809231715E-4</v>
      </c>
    </row>
    <row r="1790" spans="1:8" ht="13.5" x14ac:dyDescent="0.25">
      <c r="A1790" s="1"/>
      <c r="B1790" s="3">
        <v>44908</v>
      </c>
      <c r="C1790" s="4">
        <v>12.42</v>
      </c>
      <c r="D1790" s="4">
        <v>9.6356000000000002</v>
      </c>
      <c r="E1790" s="4">
        <v>1706</v>
      </c>
      <c r="F1790" s="4">
        <v>12.121</v>
      </c>
      <c r="G1790" s="4">
        <v>20678.425999999999</v>
      </c>
      <c r="H1790" s="5">
        <f t="shared" si="27"/>
        <v>2.5598450255984593E-2</v>
      </c>
    </row>
    <row r="1791" spans="1:8" ht="13.5" x14ac:dyDescent="0.25">
      <c r="A1791" s="1"/>
      <c r="B1791" s="3">
        <v>44909</v>
      </c>
      <c r="C1791" s="4">
        <v>12.44</v>
      </c>
      <c r="D1791" s="4">
        <v>9.6510999999999996</v>
      </c>
      <c r="E1791" s="4">
        <v>2571</v>
      </c>
      <c r="F1791" s="4">
        <v>12.323</v>
      </c>
      <c r="G1791" s="4">
        <v>31682.433000000001</v>
      </c>
      <c r="H1791" s="5">
        <f t="shared" si="27"/>
        <v>1.6086180414296362E-3</v>
      </c>
    </row>
    <row r="1792" spans="1:8" ht="13.5" x14ac:dyDescent="0.25">
      <c r="A1792" s="1"/>
      <c r="B1792" s="3">
        <v>44910</v>
      </c>
      <c r="C1792" s="4">
        <v>12.44</v>
      </c>
      <c r="D1792" s="4">
        <v>9.6510999999999996</v>
      </c>
      <c r="E1792" s="4">
        <v>68</v>
      </c>
      <c r="F1792" s="4">
        <v>12.430999999999999</v>
      </c>
      <c r="G1792" s="4">
        <v>845.30799999999999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12.44</v>
      </c>
      <c r="D1793" s="4">
        <v>9.6510999999999996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12.42</v>
      </c>
      <c r="D1794" s="4">
        <v>9.6356000000000002</v>
      </c>
      <c r="E1794" s="4">
        <v>10</v>
      </c>
      <c r="F1794" s="4">
        <v>12.42</v>
      </c>
      <c r="G1794" s="4">
        <v>124.2</v>
      </c>
      <c r="H1794" s="5">
        <f t="shared" si="27"/>
        <v>-1.6060345452849317E-3</v>
      </c>
    </row>
    <row r="1795" spans="1:8" ht="13.5" x14ac:dyDescent="0.25">
      <c r="A1795" s="1"/>
      <c r="B1795" s="3">
        <v>44915</v>
      </c>
      <c r="C1795" s="4">
        <v>12.3</v>
      </c>
      <c r="D1795" s="4">
        <v>9.5425000000000004</v>
      </c>
      <c r="E1795" s="4">
        <v>20040</v>
      </c>
      <c r="F1795" s="4">
        <v>12.3</v>
      </c>
      <c r="G1795" s="4">
        <v>246492</v>
      </c>
      <c r="H1795" s="5">
        <f t="shared" si="27"/>
        <v>-9.6620864294906118E-3</v>
      </c>
    </row>
    <row r="1796" spans="1:8" ht="13.5" x14ac:dyDescent="0.25">
      <c r="A1796" s="1"/>
      <c r="B1796" s="3">
        <v>44916</v>
      </c>
      <c r="C1796" s="4">
        <v>12.2</v>
      </c>
      <c r="D1796" s="4">
        <v>9.4649000000000001</v>
      </c>
      <c r="E1796" s="4">
        <v>1709</v>
      </c>
      <c r="F1796" s="4">
        <v>12.2</v>
      </c>
      <c r="G1796" s="4">
        <v>20849.8</v>
      </c>
      <c r="H1796" s="5">
        <f t="shared" si="27"/>
        <v>-8.1320408697930658E-3</v>
      </c>
    </row>
    <row r="1797" spans="1:8" ht="13.5" x14ac:dyDescent="0.25">
      <c r="A1797" s="1"/>
      <c r="B1797" s="3">
        <v>44917</v>
      </c>
      <c r="C1797" s="4">
        <v>12.2</v>
      </c>
      <c r="D1797" s="4">
        <v>9.4649000000000001</v>
      </c>
      <c r="E1797" s="4">
        <v>34</v>
      </c>
      <c r="F1797" s="4">
        <v>12.231999999999999</v>
      </c>
      <c r="G1797" s="4">
        <v>415.88799999999998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12.17</v>
      </c>
      <c r="D1798" s="4">
        <v>9.4417000000000009</v>
      </c>
      <c r="E1798" s="4">
        <v>1110</v>
      </c>
      <c r="F1798" s="4">
        <v>12.182</v>
      </c>
      <c r="G1798" s="4">
        <v>13522.02</v>
      </c>
      <c r="H1798" s="5">
        <f t="shared" si="27"/>
        <v>-2.4511616604506355E-3</v>
      </c>
    </row>
    <row r="1799" spans="1:8" ht="13.5" x14ac:dyDescent="0.25">
      <c r="A1799" s="1"/>
      <c r="B1799" s="3">
        <v>44921</v>
      </c>
      <c r="C1799" s="4">
        <v>12.15</v>
      </c>
      <c r="D1799" s="4">
        <v>9.4260999999999999</v>
      </c>
      <c r="E1799" s="4">
        <v>647</v>
      </c>
      <c r="F1799" s="4">
        <v>12.151</v>
      </c>
      <c r="G1799" s="4">
        <v>7861.6970000000001</v>
      </c>
      <c r="H1799" s="5">
        <f t="shared" ref="H1799:H1862" si="28">(D1799-D1798)/D1798</f>
        <v>-1.6522448287915254E-3</v>
      </c>
    </row>
    <row r="1800" spans="1:8" ht="13.5" x14ac:dyDescent="0.25">
      <c r="A1800" s="1"/>
      <c r="B1800" s="3">
        <v>44922</v>
      </c>
      <c r="C1800" s="4">
        <v>12.42</v>
      </c>
      <c r="D1800" s="4">
        <v>9.6356000000000002</v>
      </c>
      <c r="E1800" s="4">
        <v>1523</v>
      </c>
      <c r="F1800" s="4">
        <v>12.141999999999999</v>
      </c>
      <c r="G1800" s="4">
        <v>18492.266</v>
      </c>
      <c r="H1800" s="5">
        <f t="shared" si="28"/>
        <v>2.2225522750660427E-2</v>
      </c>
    </row>
    <row r="1801" spans="1:8" ht="13.5" x14ac:dyDescent="0.25">
      <c r="A1801" s="1"/>
      <c r="B1801" s="3">
        <v>44923</v>
      </c>
      <c r="C1801" s="4">
        <v>12.42</v>
      </c>
      <c r="D1801" s="4">
        <v>9.6356000000000002</v>
      </c>
      <c r="E1801" s="4">
        <v>3</v>
      </c>
      <c r="F1801" s="4">
        <v>12.42</v>
      </c>
      <c r="G1801" s="4">
        <v>37.26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12.41</v>
      </c>
      <c r="D1802" s="4">
        <v>9.6279000000000003</v>
      </c>
      <c r="E1802" s="4">
        <v>55</v>
      </c>
      <c r="F1802" s="4">
        <v>12.231</v>
      </c>
      <c r="G1802" s="4">
        <v>672.70500000000004</v>
      </c>
      <c r="H1802" s="5">
        <f t="shared" si="28"/>
        <v>-7.9911993025860533E-4</v>
      </c>
    </row>
    <row r="1803" spans="1:8" ht="13.5" x14ac:dyDescent="0.25">
      <c r="A1803" s="1"/>
      <c r="B1803" s="3">
        <v>44925</v>
      </c>
      <c r="C1803" s="4">
        <v>12.41</v>
      </c>
      <c r="D1803" s="4">
        <v>9.6279000000000003</v>
      </c>
      <c r="E1803" s="4">
        <v>87</v>
      </c>
      <c r="F1803" s="4">
        <v>12.41</v>
      </c>
      <c r="G1803" s="4">
        <v>1079.67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12.42</v>
      </c>
      <c r="D1804" s="4">
        <v>9.6356000000000002</v>
      </c>
      <c r="E1804" s="4">
        <v>16</v>
      </c>
      <c r="F1804" s="4">
        <v>12.42</v>
      </c>
      <c r="G1804" s="4">
        <v>198.72</v>
      </c>
      <c r="H1804" s="5">
        <f t="shared" si="28"/>
        <v>7.9975903364179295E-4</v>
      </c>
    </row>
    <row r="1805" spans="1:8" ht="13.5" x14ac:dyDescent="0.25">
      <c r="A1805" s="1"/>
      <c r="B1805" s="3">
        <v>44929</v>
      </c>
      <c r="C1805" s="4">
        <v>12.4</v>
      </c>
      <c r="D1805" s="4">
        <v>9.6201000000000008</v>
      </c>
      <c r="E1805" s="4">
        <v>661</v>
      </c>
      <c r="F1805" s="4">
        <v>12.4</v>
      </c>
      <c r="G1805" s="4">
        <v>8196.4</v>
      </c>
      <c r="H1805" s="5">
        <f t="shared" si="28"/>
        <v>-1.6086180414296362E-3</v>
      </c>
    </row>
    <row r="1806" spans="1:8" ht="13.5" x14ac:dyDescent="0.25">
      <c r="A1806" s="1"/>
      <c r="B1806" s="3">
        <v>44930</v>
      </c>
      <c r="C1806" s="4">
        <v>12.15</v>
      </c>
      <c r="D1806" s="4">
        <v>9.4260999999999999</v>
      </c>
      <c r="E1806" s="4">
        <v>5479</v>
      </c>
      <c r="F1806" s="4">
        <v>12.180999999999999</v>
      </c>
      <c r="G1806" s="4">
        <v>66739.698999999993</v>
      </c>
      <c r="H1806" s="5">
        <f t="shared" si="28"/>
        <v>-2.0166110539391567E-2</v>
      </c>
    </row>
    <row r="1807" spans="1:8" ht="13.5" x14ac:dyDescent="0.25">
      <c r="A1807" s="1"/>
      <c r="B1807" s="3">
        <v>44931</v>
      </c>
      <c r="C1807" s="4">
        <v>12.15</v>
      </c>
      <c r="D1807" s="4">
        <v>9.4260999999999999</v>
      </c>
      <c r="E1807" s="4">
        <v>1698</v>
      </c>
      <c r="F1807" s="4">
        <v>12.179</v>
      </c>
      <c r="G1807" s="4">
        <v>20679.941999999999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12.2</v>
      </c>
      <c r="D1808" s="4">
        <v>9.4649000000000001</v>
      </c>
      <c r="E1808" s="4">
        <v>1923</v>
      </c>
      <c r="F1808" s="4">
        <v>12.209</v>
      </c>
      <c r="G1808" s="4">
        <v>23477.906999999999</v>
      </c>
      <c r="H1808" s="5">
        <f t="shared" si="28"/>
        <v>4.1162304664707746E-3</v>
      </c>
    </row>
    <row r="1809" spans="1:8" ht="13.5" x14ac:dyDescent="0.25">
      <c r="A1809" s="1"/>
      <c r="B1809" s="3">
        <v>44935</v>
      </c>
      <c r="C1809" s="4">
        <v>12.3</v>
      </c>
      <c r="D1809" s="4">
        <v>9.5425000000000004</v>
      </c>
      <c r="E1809" s="4">
        <v>3916</v>
      </c>
      <c r="F1809" s="4">
        <v>12.15</v>
      </c>
      <c r="G1809" s="4">
        <v>47579.4</v>
      </c>
      <c r="H1809" s="5">
        <f t="shared" si="28"/>
        <v>8.1987131401282994E-3</v>
      </c>
    </row>
    <row r="1810" spans="1:8" ht="13.5" x14ac:dyDescent="0.25">
      <c r="A1810" s="1"/>
      <c r="B1810" s="3">
        <v>44936</v>
      </c>
      <c r="C1810" s="4">
        <v>12.4</v>
      </c>
      <c r="D1810" s="4">
        <v>9.6201000000000008</v>
      </c>
      <c r="E1810" s="4">
        <v>784</v>
      </c>
      <c r="F1810" s="4">
        <v>12.157999999999999</v>
      </c>
      <c r="G1810" s="4">
        <v>9531.8719999999994</v>
      </c>
      <c r="H1810" s="5">
        <f t="shared" si="28"/>
        <v>8.1320408697930658E-3</v>
      </c>
    </row>
    <row r="1811" spans="1:8" ht="13.5" x14ac:dyDescent="0.25">
      <c r="A1811" s="1"/>
      <c r="B1811" s="3">
        <v>44937</v>
      </c>
      <c r="C1811" s="4">
        <v>12.39</v>
      </c>
      <c r="D1811" s="4">
        <v>9.6122999999999994</v>
      </c>
      <c r="E1811" s="4">
        <v>368</v>
      </c>
      <c r="F1811" s="4">
        <v>12.301</v>
      </c>
      <c r="G1811" s="4">
        <v>4526.768</v>
      </c>
      <c r="H1811" s="5">
        <f t="shared" si="28"/>
        <v>-8.1080238251175774E-4</v>
      </c>
    </row>
    <row r="1812" spans="1:8" ht="13.5" x14ac:dyDescent="0.25">
      <c r="A1812" s="1"/>
      <c r="B1812" s="3">
        <v>44938</v>
      </c>
      <c r="C1812" s="4">
        <v>12.39</v>
      </c>
      <c r="D1812" s="4">
        <v>9.6122999999999994</v>
      </c>
      <c r="E1812" s="4">
        <v>1609</v>
      </c>
      <c r="F1812" s="4">
        <v>12.38</v>
      </c>
      <c r="G1812" s="4">
        <v>19919.419999999998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12.39</v>
      </c>
      <c r="D1813" s="4">
        <v>9.6122999999999994</v>
      </c>
      <c r="E1813" s="4">
        <v>170</v>
      </c>
      <c r="F1813" s="4">
        <v>12.39</v>
      </c>
      <c r="G1813" s="4">
        <v>2106.3000000000002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12.39</v>
      </c>
      <c r="D1814" s="4">
        <v>9.6122999999999994</v>
      </c>
      <c r="E1814" s="4">
        <v>882</v>
      </c>
      <c r="F1814" s="4">
        <v>12.353</v>
      </c>
      <c r="G1814" s="4">
        <v>10895.346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12.3</v>
      </c>
      <c r="D1815" s="4">
        <v>9.5425000000000004</v>
      </c>
      <c r="E1815" s="4">
        <v>601</v>
      </c>
      <c r="F1815" s="4">
        <v>12.368</v>
      </c>
      <c r="G1815" s="4">
        <v>7433.1679999999997</v>
      </c>
      <c r="H1815" s="5">
        <f t="shared" si="28"/>
        <v>-7.2615294986630649E-3</v>
      </c>
    </row>
    <row r="1816" spans="1:8" ht="13.5" x14ac:dyDescent="0.25">
      <c r="A1816" s="1"/>
      <c r="B1816" s="3">
        <v>44944</v>
      </c>
      <c r="C1816" s="4">
        <v>12.39</v>
      </c>
      <c r="D1816" s="4">
        <v>9.6122999999999994</v>
      </c>
      <c r="E1816" s="4">
        <v>1</v>
      </c>
      <c r="F1816" s="4">
        <v>12.39</v>
      </c>
      <c r="G1816" s="4">
        <v>12.39</v>
      </c>
      <c r="H1816" s="5">
        <f t="shared" si="28"/>
        <v>7.3146450091693968E-3</v>
      </c>
    </row>
    <row r="1817" spans="1:8" ht="13.5" x14ac:dyDescent="0.25">
      <c r="A1817" s="1"/>
      <c r="B1817" s="3">
        <v>44945</v>
      </c>
      <c r="C1817" s="4">
        <v>12.7</v>
      </c>
      <c r="D1817" s="4">
        <v>9.8528000000000002</v>
      </c>
      <c r="E1817" s="4">
        <v>1817</v>
      </c>
      <c r="F1817" s="4">
        <v>12.43</v>
      </c>
      <c r="G1817" s="4">
        <v>22585.31</v>
      </c>
      <c r="H1817" s="5">
        <f t="shared" si="28"/>
        <v>2.5020026424477058E-2</v>
      </c>
    </row>
    <row r="1818" spans="1:8" ht="13.5" x14ac:dyDescent="0.25">
      <c r="A1818" s="1"/>
      <c r="B1818" s="3">
        <v>44946</v>
      </c>
      <c r="C1818" s="4">
        <v>12.9</v>
      </c>
      <c r="D1818" s="4">
        <v>10.007999999999999</v>
      </c>
      <c r="E1818" s="4">
        <v>3994</v>
      </c>
      <c r="F1818" s="4">
        <v>12.734</v>
      </c>
      <c r="G1818" s="4">
        <v>50859.595999999998</v>
      </c>
      <c r="H1818" s="5">
        <f t="shared" si="28"/>
        <v>1.5751867489444512E-2</v>
      </c>
    </row>
    <row r="1819" spans="1:8" ht="13.5" x14ac:dyDescent="0.25">
      <c r="A1819" s="1"/>
      <c r="B1819" s="3">
        <v>44949</v>
      </c>
      <c r="C1819" s="4">
        <v>13.1</v>
      </c>
      <c r="D1819" s="4">
        <v>10.1632</v>
      </c>
      <c r="E1819" s="4">
        <v>537</v>
      </c>
      <c r="F1819" s="4">
        <v>12.882999999999999</v>
      </c>
      <c r="G1819" s="4">
        <v>6918.1710000000003</v>
      </c>
      <c r="H1819" s="5">
        <f t="shared" si="28"/>
        <v>1.550759392486018E-2</v>
      </c>
    </row>
    <row r="1820" spans="1:8" ht="13.5" x14ac:dyDescent="0.25">
      <c r="A1820" s="1"/>
      <c r="B1820" s="3">
        <v>44950</v>
      </c>
      <c r="C1820" s="4">
        <v>13.09</v>
      </c>
      <c r="D1820" s="4">
        <v>10.1554</v>
      </c>
      <c r="E1820" s="4">
        <v>126</v>
      </c>
      <c r="F1820" s="4">
        <v>13.000999999999999</v>
      </c>
      <c r="G1820" s="4">
        <v>1638.126</v>
      </c>
      <c r="H1820" s="5">
        <f t="shared" si="28"/>
        <v>-7.6747481108308262E-4</v>
      </c>
    </row>
    <row r="1821" spans="1:8" ht="13.5" x14ac:dyDescent="0.25">
      <c r="A1821" s="1"/>
      <c r="B1821" s="3">
        <v>44951</v>
      </c>
      <c r="C1821" s="4">
        <v>12.95</v>
      </c>
      <c r="D1821" s="4">
        <v>10.046799999999999</v>
      </c>
      <c r="E1821" s="4">
        <v>1313</v>
      </c>
      <c r="F1821" s="4">
        <v>12.798999999999999</v>
      </c>
      <c r="G1821" s="4">
        <v>16805.087</v>
      </c>
      <c r="H1821" s="5">
        <f t="shared" si="28"/>
        <v>-1.0693818067235256E-2</v>
      </c>
    </row>
    <row r="1822" spans="1:8" ht="13.5" x14ac:dyDescent="0.25">
      <c r="A1822" s="1"/>
      <c r="B1822" s="3">
        <v>44952</v>
      </c>
      <c r="C1822" s="4">
        <v>12.95</v>
      </c>
      <c r="D1822" s="4">
        <v>10.046799999999999</v>
      </c>
      <c r="E1822" s="4">
        <v>163</v>
      </c>
      <c r="F1822" s="4">
        <v>12.754</v>
      </c>
      <c r="G1822" s="4">
        <v>2078.902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12.78</v>
      </c>
      <c r="D1823" s="4">
        <v>9.9148999999999994</v>
      </c>
      <c r="E1823" s="4">
        <v>2062</v>
      </c>
      <c r="F1823" s="4">
        <v>12.762</v>
      </c>
      <c r="G1823" s="4">
        <v>26315.243999999999</v>
      </c>
      <c r="H1823" s="5">
        <f t="shared" si="28"/>
        <v>-1.3128558346936329E-2</v>
      </c>
    </row>
    <row r="1824" spans="1:8" ht="13.5" x14ac:dyDescent="0.25">
      <c r="A1824" s="1"/>
      <c r="B1824" s="3">
        <v>44956</v>
      </c>
      <c r="C1824" s="4">
        <v>12.78</v>
      </c>
      <c r="D1824" s="4">
        <v>9.9148999999999994</v>
      </c>
      <c r="E1824" s="4">
        <v>592</v>
      </c>
      <c r="F1824" s="4">
        <v>12.738</v>
      </c>
      <c r="G1824" s="4">
        <v>7540.8959999999997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12.84</v>
      </c>
      <c r="D1825" s="4">
        <v>9.9614999999999991</v>
      </c>
      <c r="E1825" s="4">
        <v>1361</v>
      </c>
      <c r="F1825" s="4">
        <v>12.831</v>
      </c>
      <c r="G1825" s="4">
        <v>17462.991000000002</v>
      </c>
      <c r="H1825" s="5">
        <f t="shared" si="28"/>
        <v>4.6999969742508507E-3</v>
      </c>
    </row>
    <row r="1826" spans="1:8" ht="13.5" x14ac:dyDescent="0.25">
      <c r="A1826" s="1"/>
      <c r="B1826" s="3">
        <v>44958</v>
      </c>
      <c r="C1826" s="4">
        <v>12.84</v>
      </c>
      <c r="D1826" s="4">
        <v>9.9614999999999991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12.83</v>
      </c>
      <c r="D1827" s="4">
        <v>9.9536999999999995</v>
      </c>
      <c r="E1827" s="4">
        <v>351</v>
      </c>
      <c r="F1827" s="4">
        <v>12.672000000000001</v>
      </c>
      <c r="G1827" s="4">
        <v>4447.8720000000003</v>
      </c>
      <c r="H1827" s="5">
        <f t="shared" si="28"/>
        <v>-7.8301460623395936E-4</v>
      </c>
    </row>
    <row r="1828" spans="1:8" ht="13.5" x14ac:dyDescent="0.25">
      <c r="A1828" s="1"/>
      <c r="B1828" s="3">
        <v>44960</v>
      </c>
      <c r="C1828" s="4">
        <v>12.82</v>
      </c>
      <c r="D1828" s="4">
        <v>9.9459</v>
      </c>
      <c r="E1828" s="4">
        <v>1</v>
      </c>
      <c r="F1828" s="4">
        <v>12.82</v>
      </c>
      <c r="G1828" s="4">
        <v>12.82</v>
      </c>
      <c r="H1828" s="5">
        <f t="shared" si="28"/>
        <v>-7.8362819855928802E-4</v>
      </c>
    </row>
    <row r="1829" spans="1:8" ht="13.5" x14ac:dyDescent="0.25">
      <c r="A1829" s="1"/>
      <c r="B1829" s="3">
        <v>44963</v>
      </c>
      <c r="C1829" s="4">
        <v>12.82</v>
      </c>
      <c r="D1829" s="4">
        <v>9.9459</v>
      </c>
      <c r="E1829" s="4">
        <v>9</v>
      </c>
      <c r="F1829" s="4">
        <v>12.704000000000001</v>
      </c>
      <c r="G1829" s="4">
        <v>114.336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12.65</v>
      </c>
      <c r="D1830" s="4">
        <v>9.8140999999999998</v>
      </c>
      <c r="E1830" s="4">
        <v>1389</v>
      </c>
      <c r="F1830" s="4">
        <v>12.683</v>
      </c>
      <c r="G1830" s="4">
        <v>17616.687000000002</v>
      </c>
      <c r="H1830" s="5">
        <f t="shared" si="28"/>
        <v>-1.3251691651836449E-2</v>
      </c>
    </row>
    <row r="1831" spans="1:8" ht="13.5" x14ac:dyDescent="0.25">
      <c r="A1831" s="1"/>
      <c r="B1831" s="3">
        <v>44965</v>
      </c>
      <c r="C1831" s="4">
        <v>12.88</v>
      </c>
      <c r="D1831" s="4">
        <v>9.9924999999999997</v>
      </c>
      <c r="E1831" s="4">
        <v>886</v>
      </c>
      <c r="F1831" s="4">
        <v>12.879</v>
      </c>
      <c r="G1831" s="4">
        <v>11410.794</v>
      </c>
      <c r="H1831" s="5">
        <f t="shared" si="28"/>
        <v>1.8177927675487298E-2</v>
      </c>
    </row>
    <row r="1832" spans="1:8" ht="13.5" x14ac:dyDescent="0.25">
      <c r="A1832" s="1"/>
      <c r="B1832" s="3">
        <v>44966</v>
      </c>
      <c r="C1832" s="4">
        <v>12.79</v>
      </c>
      <c r="D1832" s="4">
        <v>9.9227000000000007</v>
      </c>
      <c r="E1832" s="4">
        <v>100</v>
      </c>
      <c r="F1832" s="4">
        <v>12.79</v>
      </c>
      <c r="G1832" s="4">
        <v>1279</v>
      </c>
      <c r="H1832" s="5">
        <f t="shared" si="28"/>
        <v>-6.9852389291967954E-3</v>
      </c>
    </row>
    <row r="1833" spans="1:8" ht="13.5" x14ac:dyDescent="0.25">
      <c r="A1833" s="1"/>
      <c r="B1833" s="3">
        <v>44967</v>
      </c>
      <c r="C1833" s="4">
        <v>12.79</v>
      </c>
      <c r="D1833" s="4">
        <v>9.9227000000000007</v>
      </c>
      <c r="E1833" s="4">
        <v>1151</v>
      </c>
      <c r="F1833" s="4">
        <v>12.79</v>
      </c>
      <c r="G1833" s="4">
        <v>14721.29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12.79</v>
      </c>
      <c r="D1834" s="4">
        <v>9.9227000000000007</v>
      </c>
      <c r="E1834" s="4">
        <v>3539</v>
      </c>
      <c r="F1834" s="4">
        <v>12.65</v>
      </c>
      <c r="G1834" s="4">
        <v>44768.35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12.6</v>
      </c>
      <c r="D1835" s="4">
        <v>9.7752999999999997</v>
      </c>
      <c r="E1835" s="4">
        <v>4835</v>
      </c>
      <c r="F1835" s="4">
        <v>12.6</v>
      </c>
      <c r="G1835" s="4">
        <v>60921</v>
      </c>
      <c r="H1835" s="5">
        <f t="shared" si="28"/>
        <v>-1.4854827819041296E-2</v>
      </c>
    </row>
    <row r="1836" spans="1:8" ht="13.5" x14ac:dyDescent="0.25">
      <c r="A1836" s="1"/>
      <c r="B1836" s="3">
        <v>44972</v>
      </c>
      <c r="C1836" s="4">
        <v>12.78</v>
      </c>
      <c r="D1836" s="4">
        <v>9.9148999999999994</v>
      </c>
      <c r="E1836" s="4">
        <v>6</v>
      </c>
      <c r="F1836" s="4">
        <v>12.78</v>
      </c>
      <c r="G1836" s="4">
        <v>76.680000000000007</v>
      </c>
      <c r="H1836" s="5">
        <f t="shared" si="28"/>
        <v>1.4280891635039306E-2</v>
      </c>
    </row>
    <row r="1837" spans="1:8" ht="13.5" x14ac:dyDescent="0.25">
      <c r="A1837" s="1"/>
      <c r="B1837" s="3">
        <v>44973</v>
      </c>
      <c r="C1837" s="4">
        <v>12.6</v>
      </c>
      <c r="D1837" s="4">
        <v>9.7752999999999997</v>
      </c>
      <c r="E1837" s="4">
        <v>168</v>
      </c>
      <c r="F1837" s="4">
        <v>12.648999999999999</v>
      </c>
      <c r="G1837" s="4">
        <v>2125.0320000000002</v>
      </c>
      <c r="H1837" s="5">
        <f t="shared" si="28"/>
        <v>-1.4079819261918904E-2</v>
      </c>
    </row>
    <row r="1838" spans="1:8" ht="13.5" x14ac:dyDescent="0.25">
      <c r="A1838" s="1"/>
      <c r="B1838" s="3">
        <v>44974</v>
      </c>
      <c r="C1838" s="4">
        <v>12.79</v>
      </c>
      <c r="D1838" s="4">
        <v>9.9227000000000007</v>
      </c>
      <c r="E1838" s="4">
        <v>547</v>
      </c>
      <c r="F1838" s="4">
        <v>12.784000000000001</v>
      </c>
      <c r="G1838" s="4">
        <v>6992.848</v>
      </c>
      <c r="H1838" s="5">
        <f t="shared" si="28"/>
        <v>1.5078821110349666E-2</v>
      </c>
    </row>
    <row r="1839" spans="1:8" ht="13.5" x14ac:dyDescent="0.25">
      <c r="A1839" s="1"/>
      <c r="B1839" s="3">
        <v>44977</v>
      </c>
      <c r="C1839" s="4">
        <v>12.7</v>
      </c>
      <c r="D1839" s="4">
        <v>9.8528000000000002</v>
      </c>
      <c r="E1839" s="4">
        <v>2216</v>
      </c>
      <c r="F1839" s="4">
        <v>12.7</v>
      </c>
      <c r="G1839" s="4">
        <v>28143.200000000001</v>
      </c>
      <c r="H1839" s="5">
        <f t="shared" si="28"/>
        <v>-7.0444536265331526E-3</v>
      </c>
    </row>
    <row r="1840" spans="1:8" ht="13.5" x14ac:dyDescent="0.25">
      <c r="A1840" s="1"/>
      <c r="B1840" s="3">
        <v>44978</v>
      </c>
      <c r="C1840" s="4">
        <v>12.7</v>
      </c>
      <c r="D1840" s="4">
        <v>9.8528000000000002</v>
      </c>
      <c r="E1840" s="4">
        <v>2562</v>
      </c>
      <c r="F1840" s="4">
        <v>12.7</v>
      </c>
      <c r="G1840" s="4">
        <v>32537.4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12.6</v>
      </c>
      <c r="D1841" s="4">
        <v>9.7752999999999997</v>
      </c>
      <c r="E1841" s="4">
        <v>705</v>
      </c>
      <c r="F1841" s="4">
        <v>12.65</v>
      </c>
      <c r="G1841" s="4">
        <v>8918.25</v>
      </c>
      <c r="H1841" s="5">
        <f t="shared" si="28"/>
        <v>-7.8657843455667998E-3</v>
      </c>
    </row>
    <row r="1842" spans="1:8" ht="13.5" x14ac:dyDescent="0.25">
      <c r="A1842" s="1"/>
      <c r="B1842" s="3">
        <v>44980</v>
      </c>
      <c r="C1842" s="4">
        <v>12.75</v>
      </c>
      <c r="D1842" s="4">
        <v>9.8916000000000004</v>
      </c>
      <c r="E1842" s="4">
        <v>1071</v>
      </c>
      <c r="F1842" s="4">
        <v>12.698</v>
      </c>
      <c r="G1842" s="4">
        <v>13599.558000000001</v>
      </c>
      <c r="H1842" s="5">
        <f t="shared" si="28"/>
        <v>1.1897333074176827E-2</v>
      </c>
    </row>
    <row r="1843" spans="1:8" ht="13.5" x14ac:dyDescent="0.25">
      <c r="A1843" s="1"/>
      <c r="B1843" s="3">
        <v>44981</v>
      </c>
      <c r="C1843" s="4">
        <v>12.7</v>
      </c>
      <c r="D1843" s="4">
        <v>9.8528000000000002</v>
      </c>
      <c r="E1843" s="4">
        <v>173</v>
      </c>
      <c r="F1843" s="4">
        <v>12.698</v>
      </c>
      <c r="G1843" s="4">
        <v>2196.7539999999999</v>
      </c>
      <c r="H1843" s="5">
        <f t="shared" si="28"/>
        <v>-3.9225201180800038E-3</v>
      </c>
    </row>
    <row r="1844" spans="1:8" ht="13.5" x14ac:dyDescent="0.25">
      <c r="A1844" s="1"/>
      <c r="B1844" s="3">
        <v>44984</v>
      </c>
      <c r="C1844" s="4">
        <v>12.7</v>
      </c>
      <c r="D1844" s="4">
        <v>9.8528000000000002</v>
      </c>
      <c r="E1844" s="4">
        <v>511</v>
      </c>
      <c r="F1844" s="4">
        <v>12.698</v>
      </c>
      <c r="G1844" s="4">
        <v>6488.6779999999999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12.7</v>
      </c>
      <c r="D1845" s="4">
        <v>9.8528000000000002</v>
      </c>
      <c r="E1845" s="4">
        <v>681</v>
      </c>
      <c r="F1845" s="4">
        <v>12.7</v>
      </c>
      <c r="G1845" s="4">
        <v>8648.7000000000007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12.7</v>
      </c>
      <c r="D1846" s="4">
        <v>9.8528000000000002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12.69</v>
      </c>
      <c r="D1847" s="4">
        <v>9.8451000000000004</v>
      </c>
      <c r="E1847" s="4">
        <v>146</v>
      </c>
      <c r="F1847" s="4">
        <v>12.662000000000001</v>
      </c>
      <c r="G1847" s="4">
        <v>1848.652</v>
      </c>
      <c r="H1847" s="5">
        <f t="shared" si="28"/>
        <v>-7.8150373497887075E-4</v>
      </c>
    </row>
    <row r="1848" spans="1:8" ht="13.5" x14ac:dyDescent="0.25">
      <c r="A1848" s="1"/>
      <c r="B1848" s="3">
        <v>44988</v>
      </c>
      <c r="C1848" s="4">
        <v>12.7</v>
      </c>
      <c r="D1848" s="4">
        <v>9.8528000000000002</v>
      </c>
      <c r="E1848" s="4">
        <v>803</v>
      </c>
      <c r="F1848" s="4">
        <v>12.7</v>
      </c>
      <c r="G1848" s="4">
        <v>10198.1</v>
      </c>
      <c r="H1848" s="5">
        <f t="shared" si="28"/>
        <v>7.8211496074187341E-4</v>
      </c>
    </row>
    <row r="1849" spans="1:8" ht="13.5" x14ac:dyDescent="0.25">
      <c r="A1849" s="1"/>
      <c r="B1849" s="3">
        <v>44991</v>
      </c>
      <c r="C1849" s="4">
        <v>12.75</v>
      </c>
      <c r="D1849" s="4">
        <v>9.8916000000000004</v>
      </c>
      <c r="E1849" s="4">
        <v>102</v>
      </c>
      <c r="F1849" s="4">
        <v>12.74</v>
      </c>
      <c r="G1849" s="4">
        <v>1299.48</v>
      </c>
      <c r="H1849" s="5">
        <f t="shared" si="28"/>
        <v>3.9379668723611731E-3</v>
      </c>
    </row>
    <row r="1850" spans="1:8" ht="13.5" x14ac:dyDescent="0.25">
      <c r="A1850" s="1"/>
      <c r="B1850" s="3">
        <v>44992</v>
      </c>
      <c r="C1850" s="4">
        <v>12.7</v>
      </c>
      <c r="D1850" s="4">
        <v>9.8528000000000002</v>
      </c>
      <c r="E1850" s="4">
        <v>1456</v>
      </c>
      <c r="F1850" s="4">
        <v>12.701000000000001</v>
      </c>
      <c r="G1850" s="4">
        <v>18492.655999999999</v>
      </c>
      <c r="H1850" s="5">
        <f t="shared" si="28"/>
        <v>-3.9225201180800038E-3</v>
      </c>
    </row>
    <row r="1851" spans="1:8" ht="13.5" x14ac:dyDescent="0.25">
      <c r="A1851" s="1"/>
      <c r="B1851" s="3">
        <v>44993</v>
      </c>
      <c r="C1851" s="4">
        <v>12.8</v>
      </c>
      <c r="D1851" s="4">
        <v>9.9304000000000006</v>
      </c>
      <c r="E1851" s="4">
        <v>482</v>
      </c>
      <c r="F1851" s="4">
        <v>12.805999999999999</v>
      </c>
      <c r="G1851" s="4">
        <v>6172.4920000000002</v>
      </c>
      <c r="H1851" s="5">
        <f t="shared" si="28"/>
        <v>7.8759337447223462E-3</v>
      </c>
    </row>
    <row r="1852" spans="1:8" ht="13.5" x14ac:dyDescent="0.25">
      <c r="A1852" s="1"/>
      <c r="B1852" s="3">
        <v>44994</v>
      </c>
      <c r="C1852" s="4">
        <v>12.9</v>
      </c>
      <c r="D1852" s="4">
        <v>10.007999999999999</v>
      </c>
      <c r="E1852" s="4">
        <v>6</v>
      </c>
      <c r="F1852" s="4">
        <v>12.907999999999999</v>
      </c>
      <c r="G1852" s="4">
        <v>77.447999999999993</v>
      </c>
      <c r="H1852" s="5">
        <f t="shared" si="28"/>
        <v>7.814388141464448E-3</v>
      </c>
    </row>
    <row r="1853" spans="1:8" ht="13.5" x14ac:dyDescent="0.25">
      <c r="A1853" s="1"/>
      <c r="B1853" s="3">
        <v>44995</v>
      </c>
      <c r="C1853" s="4">
        <v>12.85</v>
      </c>
      <c r="D1853" s="4">
        <v>9.9692000000000007</v>
      </c>
      <c r="E1853" s="4">
        <v>295</v>
      </c>
      <c r="F1853" s="4">
        <v>12.79</v>
      </c>
      <c r="G1853" s="4">
        <v>3773.05</v>
      </c>
      <c r="H1853" s="5">
        <f t="shared" si="28"/>
        <v>-3.8768984812148676E-3</v>
      </c>
    </row>
    <row r="1854" spans="1:8" ht="13.5" x14ac:dyDescent="0.25">
      <c r="A1854" s="1"/>
      <c r="B1854" s="3">
        <v>44998</v>
      </c>
      <c r="C1854" s="4">
        <v>12.9</v>
      </c>
      <c r="D1854" s="4">
        <v>10.007999999999999</v>
      </c>
      <c r="E1854" s="4">
        <v>1</v>
      </c>
      <c r="F1854" s="4">
        <v>12.9</v>
      </c>
      <c r="G1854" s="4">
        <v>12.9</v>
      </c>
      <c r="H1854" s="5">
        <f t="shared" si="28"/>
        <v>3.8919873209483599E-3</v>
      </c>
    </row>
    <row r="1855" spans="1:8" ht="13.5" x14ac:dyDescent="0.25">
      <c r="A1855" s="1"/>
      <c r="B1855" s="3">
        <v>44999</v>
      </c>
      <c r="C1855" s="4">
        <v>12.71</v>
      </c>
      <c r="D1855" s="4">
        <v>9.8605999999999998</v>
      </c>
      <c r="E1855" s="4">
        <v>41</v>
      </c>
      <c r="F1855" s="4">
        <v>12.759</v>
      </c>
      <c r="G1855" s="4">
        <v>523.11900000000003</v>
      </c>
      <c r="H1855" s="5">
        <f t="shared" si="28"/>
        <v>-1.4728217426059086E-2</v>
      </c>
    </row>
    <row r="1856" spans="1:8" ht="13.5" x14ac:dyDescent="0.25">
      <c r="A1856" s="1"/>
      <c r="B1856" s="3">
        <v>45000</v>
      </c>
      <c r="C1856" s="4">
        <v>12.9</v>
      </c>
      <c r="D1856" s="4">
        <v>10.007999999999999</v>
      </c>
      <c r="E1856" s="4">
        <v>615</v>
      </c>
      <c r="F1856" s="4">
        <v>12.9</v>
      </c>
      <c r="G1856" s="4">
        <v>7933.5</v>
      </c>
      <c r="H1856" s="5">
        <f t="shared" si="28"/>
        <v>1.4948380423097917E-2</v>
      </c>
    </row>
    <row r="1857" spans="1:8" ht="13.5" x14ac:dyDescent="0.25">
      <c r="A1857" s="1"/>
      <c r="B1857" s="3">
        <v>45001</v>
      </c>
      <c r="C1857" s="4">
        <v>12.9</v>
      </c>
      <c r="D1857" s="4">
        <v>10.007999999999999</v>
      </c>
      <c r="E1857" s="4">
        <v>49</v>
      </c>
      <c r="F1857" s="4">
        <v>12.901</v>
      </c>
      <c r="G1857" s="4">
        <v>632.149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12.95</v>
      </c>
      <c r="D1858" s="4">
        <v>10.046799999999999</v>
      </c>
      <c r="E1858" s="4">
        <v>5127</v>
      </c>
      <c r="F1858" s="4">
        <v>12.901</v>
      </c>
      <c r="G1858" s="4">
        <v>66143.426999999996</v>
      </c>
      <c r="H1858" s="5">
        <f t="shared" si="28"/>
        <v>3.876898481215045E-3</v>
      </c>
    </row>
    <row r="1859" spans="1:8" ht="13.5" x14ac:dyDescent="0.25">
      <c r="A1859" s="1"/>
      <c r="B1859" s="3">
        <v>45006</v>
      </c>
      <c r="C1859" s="4">
        <v>13.4</v>
      </c>
      <c r="D1859" s="4">
        <v>10.395899999999999</v>
      </c>
      <c r="E1859" s="4">
        <v>1520</v>
      </c>
      <c r="F1859" s="4">
        <v>12.994</v>
      </c>
      <c r="G1859" s="4">
        <v>19750.88</v>
      </c>
      <c r="H1859" s="5">
        <f t="shared" si="28"/>
        <v>3.4747382251065016E-2</v>
      </c>
    </row>
    <row r="1860" spans="1:8" ht="13.5" x14ac:dyDescent="0.25">
      <c r="A1860" s="1"/>
      <c r="B1860" s="3">
        <v>45007</v>
      </c>
      <c r="C1860" s="4">
        <v>13.2</v>
      </c>
      <c r="D1860" s="4">
        <v>10.2408</v>
      </c>
      <c r="E1860" s="4">
        <v>272</v>
      </c>
      <c r="F1860" s="4">
        <v>13.201000000000001</v>
      </c>
      <c r="G1860" s="4">
        <v>3590.672</v>
      </c>
      <c r="H1860" s="5">
        <f t="shared" si="28"/>
        <v>-1.4919343202608638E-2</v>
      </c>
    </row>
    <row r="1861" spans="1:8" ht="13.5" x14ac:dyDescent="0.25">
      <c r="A1861" s="1"/>
      <c r="B1861" s="3">
        <v>45008</v>
      </c>
      <c r="C1861" s="4">
        <v>13.3</v>
      </c>
      <c r="D1861" s="4">
        <v>10.318300000000001</v>
      </c>
      <c r="E1861" s="4">
        <v>3</v>
      </c>
      <c r="F1861" s="4">
        <v>13.367000000000001</v>
      </c>
      <c r="G1861" s="4">
        <v>40.100999999999999</v>
      </c>
      <c r="H1861" s="5">
        <f t="shared" si="28"/>
        <v>7.5677681431138748E-3</v>
      </c>
    </row>
    <row r="1862" spans="1:8" ht="13.5" x14ac:dyDescent="0.25">
      <c r="A1862" s="1"/>
      <c r="B1862" s="3">
        <v>45009</v>
      </c>
      <c r="C1862" s="4">
        <v>13.36</v>
      </c>
      <c r="D1862" s="4">
        <v>10.3649</v>
      </c>
      <c r="E1862" s="4">
        <v>35</v>
      </c>
      <c r="F1862" s="4">
        <v>13.345000000000001</v>
      </c>
      <c r="G1862" s="4">
        <v>467.07499999999999</v>
      </c>
      <c r="H1862" s="5">
        <f t="shared" si="28"/>
        <v>4.5162478315226105E-3</v>
      </c>
    </row>
    <row r="1863" spans="1:8" ht="13.5" x14ac:dyDescent="0.25">
      <c r="A1863" s="1"/>
      <c r="B1863" s="3">
        <v>45012</v>
      </c>
      <c r="C1863" s="4">
        <v>13.66</v>
      </c>
      <c r="D1863" s="4">
        <v>10.5976</v>
      </c>
      <c r="E1863" s="4">
        <v>121</v>
      </c>
      <c r="F1863" s="4">
        <v>13.391</v>
      </c>
      <c r="G1863" s="4">
        <v>1620.3109999999999</v>
      </c>
      <c r="H1863" s="5">
        <f t="shared" ref="H1863:H1926" si="29">(D1863-D1862)/D1862</f>
        <v>2.2450771353317394E-2</v>
      </c>
    </row>
    <row r="1864" spans="1:8" ht="13.5" x14ac:dyDescent="0.25">
      <c r="A1864" s="1"/>
      <c r="B1864" s="3">
        <v>45013</v>
      </c>
      <c r="C1864" s="4">
        <v>13.5</v>
      </c>
      <c r="D1864" s="4">
        <v>10.4735</v>
      </c>
      <c r="E1864" s="4">
        <v>10</v>
      </c>
      <c r="F1864" s="4">
        <v>13.55</v>
      </c>
      <c r="G1864" s="4">
        <v>135.5</v>
      </c>
      <c r="H1864" s="5">
        <f t="shared" si="29"/>
        <v>-1.1710198535517507E-2</v>
      </c>
    </row>
    <row r="1865" spans="1:8" ht="13.5" x14ac:dyDescent="0.25">
      <c r="A1865" s="1"/>
      <c r="B1865" s="3">
        <v>45014</v>
      </c>
      <c r="C1865" s="4">
        <v>13.5</v>
      </c>
      <c r="D1865" s="4">
        <v>10.4735</v>
      </c>
      <c r="E1865" s="4">
        <v>5</v>
      </c>
      <c r="F1865" s="4">
        <v>13.5</v>
      </c>
      <c r="G1865" s="4">
        <v>67.5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13.5</v>
      </c>
      <c r="D1866" s="4">
        <v>10.4735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13.49</v>
      </c>
      <c r="D1867" s="4">
        <v>10.4657</v>
      </c>
      <c r="E1867" s="4">
        <v>241</v>
      </c>
      <c r="F1867" s="4">
        <v>13.076000000000001</v>
      </c>
      <c r="G1867" s="4">
        <v>3151.3159999999998</v>
      </c>
      <c r="H1867" s="5">
        <f t="shared" si="29"/>
        <v>-7.4473671647487332E-4</v>
      </c>
    </row>
    <row r="1868" spans="1:8" ht="13.5" x14ac:dyDescent="0.25">
      <c r="A1868" s="1"/>
      <c r="B1868" s="3">
        <v>45019</v>
      </c>
      <c r="C1868" s="4">
        <v>13.5</v>
      </c>
      <c r="D1868" s="4">
        <v>10.4735</v>
      </c>
      <c r="E1868" s="4">
        <v>1</v>
      </c>
      <c r="F1868" s="4">
        <v>13.5</v>
      </c>
      <c r="G1868" s="4">
        <v>13.5</v>
      </c>
      <c r="H1868" s="5">
        <f t="shared" si="29"/>
        <v>7.452917626149789E-4</v>
      </c>
    </row>
    <row r="1869" spans="1:8" ht="13.5" x14ac:dyDescent="0.25">
      <c r="A1869" s="1"/>
      <c r="B1869" s="3">
        <v>45020</v>
      </c>
      <c r="C1869" s="4">
        <v>13.45</v>
      </c>
      <c r="D1869" s="4">
        <v>10.434699999999999</v>
      </c>
      <c r="E1869" s="4">
        <v>10</v>
      </c>
      <c r="F1869" s="4">
        <v>13.234999999999999</v>
      </c>
      <c r="G1869" s="4">
        <v>132.35</v>
      </c>
      <c r="H1869" s="5">
        <f t="shared" si="29"/>
        <v>-3.7045877691316339E-3</v>
      </c>
    </row>
    <row r="1870" spans="1:8" ht="13.5" x14ac:dyDescent="0.25">
      <c r="A1870" s="1"/>
      <c r="B1870" s="3">
        <v>45021</v>
      </c>
      <c r="C1870" s="4">
        <v>13.4</v>
      </c>
      <c r="D1870" s="4">
        <v>10.395899999999999</v>
      </c>
      <c r="E1870" s="4">
        <v>418</v>
      </c>
      <c r="F1870" s="4">
        <v>13.401</v>
      </c>
      <c r="G1870" s="4">
        <v>5601.6180000000004</v>
      </c>
      <c r="H1870" s="5">
        <f t="shared" si="29"/>
        <v>-3.7183627703719483E-3</v>
      </c>
    </row>
    <row r="1871" spans="1:8" ht="13.5" x14ac:dyDescent="0.25">
      <c r="A1871" s="1"/>
      <c r="B1871" s="3">
        <v>45022</v>
      </c>
      <c r="C1871" s="4">
        <v>13.25</v>
      </c>
      <c r="D1871" s="4">
        <v>10.279500000000001</v>
      </c>
      <c r="E1871" s="4">
        <v>125</v>
      </c>
      <c r="F1871" s="4">
        <v>13.11</v>
      </c>
      <c r="G1871" s="4">
        <v>1638.75</v>
      </c>
      <c r="H1871" s="5">
        <f t="shared" si="29"/>
        <v>-1.1196721784549557E-2</v>
      </c>
    </row>
    <row r="1872" spans="1:8" ht="13.5" x14ac:dyDescent="0.25">
      <c r="A1872" s="1"/>
      <c r="B1872" s="3">
        <v>45023</v>
      </c>
      <c r="C1872" s="4">
        <v>13.25</v>
      </c>
      <c r="D1872" s="4">
        <v>10.279500000000001</v>
      </c>
      <c r="E1872" s="4">
        <v>597</v>
      </c>
      <c r="F1872" s="4">
        <v>13.09</v>
      </c>
      <c r="G1872" s="4">
        <v>7814.73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13.3</v>
      </c>
      <c r="D1873" s="4">
        <v>10.318300000000001</v>
      </c>
      <c r="E1873" s="4">
        <v>114</v>
      </c>
      <c r="F1873" s="4">
        <v>13.112</v>
      </c>
      <c r="G1873" s="4">
        <v>1494.768</v>
      </c>
      <c r="H1873" s="5">
        <f t="shared" si="29"/>
        <v>3.7745026509071614E-3</v>
      </c>
    </row>
    <row r="1874" spans="1:8" ht="13.5" x14ac:dyDescent="0.25">
      <c r="A1874" s="1"/>
      <c r="B1874" s="3">
        <v>45027</v>
      </c>
      <c r="C1874" s="4">
        <v>13.1</v>
      </c>
      <c r="D1874" s="4">
        <v>10.1632</v>
      </c>
      <c r="E1874" s="4">
        <v>2068</v>
      </c>
      <c r="F1874" s="4">
        <v>13.032</v>
      </c>
      <c r="G1874" s="4">
        <v>26950.175999999999</v>
      </c>
      <c r="H1874" s="5">
        <f t="shared" si="29"/>
        <v>-1.5031545894188083E-2</v>
      </c>
    </row>
    <row r="1875" spans="1:8" ht="13.5" x14ac:dyDescent="0.25">
      <c r="A1875" s="1"/>
      <c r="B1875" s="3">
        <v>45028</v>
      </c>
      <c r="C1875" s="4">
        <v>12.86</v>
      </c>
      <c r="D1875" s="4">
        <v>9.9770000000000003</v>
      </c>
      <c r="E1875" s="4">
        <v>21</v>
      </c>
      <c r="F1875" s="4">
        <v>12.881</v>
      </c>
      <c r="G1875" s="4">
        <v>270.50099999999998</v>
      </c>
      <c r="H1875" s="5">
        <f t="shared" si="29"/>
        <v>-1.8321001259445791E-2</v>
      </c>
    </row>
    <row r="1876" spans="1:8" ht="13.5" x14ac:dyDescent="0.25">
      <c r="A1876" s="1"/>
      <c r="B1876" s="3">
        <v>45029</v>
      </c>
      <c r="C1876" s="4">
        <v>12.82</v>
      </c>
      <c r="D1876" s="4">
        <v>9.9459</v>
      </c>
      <c r="E1876" s="4">
        <v>82</v>
      </c>
      <c r="F1876" s="4">
        <v>12.819000000000001</v>
      </c>
      <c r="G1876" s="4">
        <v>1051.1579999999999</v>
      </c>
      <c r="H1876" s="5">
        <f t="shared" si="29"/>
        <v>-3.1171694898266362E-3</v>
      </c>
    </row>
    <row r="1877" spans="1:8" ht="13.5" x14ac:dyDescent="0.25">
      <c r="A1877" s="1"/>
      <c r="B1877" s="3">
        <v>45030</v>
      </c>
      <c r="C1877" s="4">
        <v>12.82</v>
      </c>
      <c r="D1877" s="4">
        <v>9.9459</v>
      </c>
      <c r="E1877" s="4">
        <v>374</v>
      </c>
      <c r="F1877" s="4">
        <v>12.885</v>
      </c>
      <c r="G1877" s="4">
        <v>4818.99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12.9</v>
      </c>
      <c r="D1878" s="4">
        <v>10.007999999999999</v>
      </c>
      <c r="E1878" s="4">
        <v>353</v>
      </c>
      <c r="F1878" s="4">
        <v>12.901</v>
      </c>
      <c r="G1878" s="4">
        <v>4554.0529999999999</v>
      </c>
      <c r="H1878" s="5">
        <f t="shared" si="29"/>
        <v>6.2437788435434861E-3</v>
      </c>
    </row>
    <row r="1879" spans="1:8" ht="13.5" x14ac:dyDescent="0.25">
      <c r="A1879" s="1"/>
      <c r="B1879" s="3">
        <v>45034</v>
      </c>
      <c r="C1879" s="4">
        <v>12.9</v>
      </c>
      <c r="D1879" s="4">
        <v>10.007999999999999</v>
      </c>
      <c r="E1879" s="4">
        <v>54</v>
      </c>
      <c r="F1879" s="4">
        <v>12.9</v>
      </c>
      <c r="G1879" s="4">
        <v>696.6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13.1</v>
      </c>
      <c r="D1880" s="4">
        <v>10.1632</v>
      </c>
      <c r="E1880" s="4">
        <v>727</v>
      </c>
      <c r="F1880" s="4">
        <v>12.907</v>
      </c>
      <c r="G1880" s="4">
        <v>9383.3889999999992</v>
      </c>
      <c r="H1880" s="5">
        <f t="shared" si="29"/>
        <v>1.550759392486018E-2</v>
      </c>
    </row>
    <row r="1881" spans="1:8" ht="13.5" x14ac:dyDescent="0.25">
      <c r="A1881" s="1"/>
      <c r="B1881" s="3">
        <v>45036</v>
      </c>
      <c r="C1881" s="4">
        <v>13.09</v>
      </c>
      <c r="D1881" s="4">
        <v>10.1554</v>
      </c>
      <c r="E1881" s="4">
        <v>576</v>
      </c>
      <c r="F1881" s="4">
        <v>13.052</v>
      </c>
      <c r="G1881" s="4">
        <v>7517.9520000000002</v>
      </c>
      <c r="H1881" s="5">
        <f t="shared" si="29"/>
        <v>-7.6747481108308262E-4</v>
      </c>
    </row>
    <row r="1882" spans="1:8" ht="13.5" x14ac:dyDescent="0.25">
      <c r="A1882" s="1"/>
      <c r="B1882" s="3">
        <v>45040</v>
      </c>
      <c r="C1882" s="4">
        <v>12.85</v>
      </c>
      <c r="D1882" s="4">
        <v>9.9692000000000007</v>
      </c>
      <c r="E1882" s="4">
        <v>94</v>
      </c>
      <c r="F1882" s="4">
        <v>12.85</v>
      </c>
      <c r="G1882" s="4">
        <v>1207.9000000000001</v>
      </c>
      <c r="H1882" s="5">
        <f t="shared" si="29"/>
        <v>-1.833507296610665E-2</v>
      </c>
    </row>
    <row r="1883" spans="1:8" ht="13.5" x14ac:dyDescent="0.25">
      <c r="A1883" s="1"/>
      <c r="B1883" s="3">
        <v>45041</v>
      </c>
      <c r="C1883" s="4">
        <v>13.05</v>
      </c>
      <c r="D1883" s="4">
        <v>10.1244</v>
      </c>
      <c r="E1883" s="4">
        <v>249</v>
      </c>
      <c r="F1883" s="4">
        <v>13.05</v>
      </c>
      <c r="G1883" s="4">
        <v>3249.45</v>
      </c>
      <c r="H1883" s="5">
        <f t="shared" si="29"/>
        <v>1.5567949283793974E-2</v>
      </c>
    </row>
    <row r="1884" spans="1:8" ht="13.5" x14ac:dyDescent="0.25">
      <c r="A1884" s="1"/>
      <c r="B1884" s="3">
        <v>45042</v>
      </c>
      <c r="C1884" s="4">
        <v>12.92</v>
      </c>
      <c r="D1884" s="4">
        <v>10.0235</v>
      </c>
      <c r="E1884" s="4">
        <v>103</v>
      </c>
      <c r="F1884" s="4">
        <v>12.904</v>
      </c>
      <c r="G1884" s="4">
        <v>1329.1120000000001</v>
      </c>
      <c r="H1884" s="5">
        <f t="shared" si="29"/>
        <v>-9.9660226778870188E-3</v>
      </c>
    </row>
    <row r="1885" spans="1:8" ht="13.5" x14ac:dyDescent="0.25">
      <c r="A1885" s="1"/>
      <c r="B1885" s="3">
        <v>45043</v>
      </c>
      <c r="C1885" s="4">
        <v>13.05</v>
      </c>
      <c r="D1885" s="4">
        <v>10.1244</v>
      </c>
      <c r="E1885" s="4">
        <v>1</v>
      </c>
      <c r="F1885" s="4">
        <v>13.05</v>
      </c>
      <c r="G1885" s="4">
        <v>13.05</v>
      </c>
      <c r="H1885" s="5">
        <f t="shared" si="29"/>
        <v>1.0066344091385177E-2</v>
      </c>
    </row>
    <row r="1886" spans="1:8" ht="13.5" x14ac:dyDescent="0.25">
      <c r="A1886" s="1"/>
      <c r="B1886" s="3">
        <v>45044</v>
      </c>
      <c r="C1886" s="4">
        <v>13.1</v>
      </c>
      <c r="D1886" s="4">
        <v>10.1632</v>
      </c>
      <c r="E1886" s="4">
        <v>1140</v>
      </c>
      <c r="F1886" s="4">
        <v>12.977</v>
      </c>
      <c r="G1886" s="4">
        <v>14793.78</v>
      </c>
      <c r="H1886" s="5">
        <f t="shared" si="29"/>
        <v>3.832325866224188E-3</v>
      </c>
    </row>
    <row r="1887" spans="1:8" ht="13.5" x14ac:dyDescent="0.25">
      <c r="A1887" s="1"/>
      <c r="B1887" s="3">
        <v>45048</v>
      </c>
      <c r="C1887" s="4">
        <v>13.1</v>
      </c>
      <c r="D1887" s="4">
        <v>10.1632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13.08</v>
      </c>
      <c r="D1888" s="4">
        <v>10.1477</v>
      </c>
      <c r="E1888" s="4">
        <v>242</v>
      </c>
      <c r="F1888" s="4">
        <v>12.993</v>
      </c>
      <c r="G1888" s="4">
        <v>3144.306</v>
      </c>
      <c r="H1888" s="5">
        <f t="shared" si="29"/>
        <v>-1.5251102015112763E-3</v>
      </c>
    </row>
    <row r="1889" spans="1:8" ht="13.5" x14ac:dyDescent="0.25">
      <c r="A1889" s="1"/>
      <c r="B1889" s="3">
        <v>45050</v>
      </c>
      <c r="C1889" s="4">
        <v>13.1</v>
      </c>
      <c r="D1889" s="4">
        <v>10.1632</v>
      </c>
      <c r="E1889" s="4">
        <v>2911</v>
      </c>
      <c r="F1889" s="4">
        <v>13.071</v>
      </c>
      <c r="G1889" s="4">
        <v>38049.680999999997</v>
      </c>
      <c r="H1889" s="5">
        <f t="shared" si="29"/>
        <v>1.5274397154034316E-3</v>
      </c>
    </row>
    <row r="1890" spans="1:8" ht="13.5" x14ac:dyDescent="0.25">
      <c r="A1890" s="1"/>
      <c r="B1890" s="3">
        <v>45051</v>
      </c>
      <c r="C1890" s="4">
        <v>13.08</v>
      </c>
      <c r="D1890" s="4">
        <v>10.1477</v>
      </c>
      <c r="E1890" s="4">
        <v>41</v>
      </c>
      <c r="F1890" s="4">
        <v>13.002000000000001</v>
      </c>
      <c r="G1890" s="4">
        <v>533.08199999999999</v>
      </c>
      <c r="H1890" s="5">
        <f t="shared" si="29"/>
        <v>-1.5251102015112763E-3</v>
      </c>
    </row>
    <row r="1891" spans="1:8" ht="13.5" x14ac:dyDescent="0.25">
      <c r="A1891" s="1"/>
      <c r="B1891" s="3">
        <v>45054</v>
      </c>
      <c r="C1891" s="4">
        <v>13.85</v>
      </c>
      <c r="D1891" s="4">
        <v>10.744999999999999</v>
      </c>
      <c r="E1891" s="4">
        <v>2717</v>
      </c>
      <c r="F1891" s="4">
        <v>13.663</v>
      </c>
      <c r="G1891" s="4">
        <v>37122.370999999999</v>
      </c>
      <c r="H1891" s="5">
        <f t="shared" si="29"/>
        <v>5.8860628516806644E-2</v>
      </c>
    </row>
    <row r="1892" spans="1:8" ht="13.5" x14ac:dyDescent="0.25">
      <c r="A1892" s="1"/>
      <c r="B1892" s="3">
        <v>45055</v>
      </c>
      <c r="C1892" s="4">
        <v>13.9</v>
      </c>
      <c r="D1892" s="4">
        <v>10.783799999999999</v>
      </c>
      <c r="E1892" s="4">
        <v>5417</v>
      </c>
      <c r="F1892" s="4">
        <v>13.881</v>
      </c>
      <c r="G1892" s="4">
        <v>75193.376999999993</v>
      </c>
      <c r="H1892" s="5">
        <f t="shared" si="29"/>
        <v>3.610981852024213E-3</v>
      </c>
    </row>
    <row r="1893" spans="1:8" ht="13.5" x14ac:dyDescent="0.25">
      <c r="A1893" s="1"/>
      <c r="B1893" s="3">
        <v>45056</v>
      </c>
      <c r="C1893" s="4">
        <v>14</v>
      </c>
      <c r="D1893" s="4">
        <v>10.8614</v>
      </c>
      <c r="E1893" s="4">
        <v>1774</v>
      </c>
      <c r="F1893" s="4">
        <v>13.935</v>
      </c>
      <c r="G1893" s="4">
        <v>24720.69</v>
      </c>
      <c r="H1893" s="5">
        <f t="shared" si="29"/>
        <v>7.1959791539160907E-3</v>
      </c>
    </row>
    <row r="1894" spans="1:8" ht="13.5" x14ac:dyDescent="0.25">
      <c r="A1894" s="1"/>
      <c r="B1894" s="3">
        <v>45057</v>
      </c>
      <c r="C1894" s="4">
        <v>14</v>
      </c>
      <c r="D1894" s="4">
        <v>10.8614</v>
      </c>
      <c r="E1894" s="4">
        <v>325</v>
      </c>
      <c r="F1894" s="4">
        <v>13.988</v>
      </c>
      <c r="G1894" s="4">
        <v>4546.1000000000004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14</v>
      </c>
      <c r="D1895" s="4">
        <v>10.8614</v>
      </c>
      <c r="E1895" s="4">
        <v>1371</v>
      </c>
      <c r="F1895" s="4">
        <v>13.989000000000001</v>
      </c>
      <c r="G1895" s="4">
        <v>19178.919000000002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14</v>
      </c>
      <c r="D1896" s="4">
        <v>10.8614</v>
      </c>
      <c r="E1896" s="4">
        <v>9170</v>
      </c>
      <c r="F1896" s="4">
        <v>14.006</v>
      </c>
      <c r="G1896" s="4">
        <v>128435.02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14.1</v>
      </c>
      <c r="D1897" s="4">
        <v>10.939</v>
      </c>
      <c r="E1897" s="4">
        <v>9467</v>
      </c>
      <c r="F1897" s="4">
        <v>14</v>
      </c>
      <c r="G1897" s="4">
        <v>132538</v>
      </c>
      <c r="H1897" s="5">
        <f t="shared" si="29"/>
        <v>7.1445669987294765E-3</v>
      </c>
    </row>
    <row r="1898" spans="1:8" ht="13.5" x14ac:dyDescent="0.25">
      <c r="A1898" s="1"/>
      <c r="B1898" s="3">
        <v>45063</v>
      </c>
      <c r="C1898" s="4">
        <v>14</v>
      </c>
      <c r="D1898" s="4">
        <v>10.8614</v>
      </c>
      <c r="E1898" s="4">
        <v>46196</v>
      </c>
      <c r="F1898" s="4">
        <v>14</v>
      </c>
      <c r="G1898" s="4">
        <v>646744</v>
      </c>
      <c r="H1898" s="5">
        <f t="shared" si="29"/>
        <v>-7.093884267300515E-3</v>
      </c>
    </row>
    <row r="1899" spans="1:8" ht="13.5" x14ac:dyDescent="0.25">
      <c r="A1899" s="1"/>
      <c r="B1899" s="3">
        <v>45064</v>
      </c>
      <c r="C1899" s="4">
        <v>13.99</v>
      </c>
      <c r="D1899" s="4">
        <v>10.8536</v>
      </c>
      <c r="E1899" s="4">
        <v>1376</v>
      </c>
      <c r="F1899" s="4">
        <v>14</v>
      </c>
      <c r="G1899" s="4">
        <v>19264</v>
      </c>
      <c r="H1899" s="5">
        <f t="shared" si="29"/>
        <v>-7.1813946636709676E-4</v>
      </c>
    </row>
    <row r="1900" spans="1:8" ht="13.5" x14ac:dyDescent="0.25">
      <c r="A1900" s="1"/>
      <c r="B1900" s="3">
        <v>45065</v>
      </c>
      <c r="C1900" s="4">
        <v>14</v>
      </c>
      <c r="D1900" s="4">
        <v>10.8614</v>
      </c>
      <c r="E1900" s="4">
        <v>755</v>
      </c>
      <c r="F1900" s="4">
        <v>14</v>
      </c>
      <c r="G1900" s="4">
        <v>10570</v>
      </c>
      <c r="H1900" s="5">
        <f t="shared" si="29"/>
        <v>7.1865556128838221E-4</v>
      </c>
    </row>
    <row r="1901" spans="1:8" ht="13.5" x14ac:dyDescent="0.25">
      <c r="A1901" s="1"/>
      <c r="B1901" s="3">
        <v>45068</v>
      </c>
      <c r="C1901" s="4">
        <v>14</v>
      </c>
      <c r="D1901" s="4">
        <v>10.8614</v>
      </c>
      <c r="E1901" s="4">
        <v>1068</v>
      </c>
      <c r="F1901" s="4">
        <v>14</v>
      </c>
      <c r="G1901" s="4">
        <v>14952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14</v>
      </c>
      <c r="D1902" s="4">
        <v>10.8614</v>
      </c>
      <c r="E1902" s="4">
        <v>4662</v>
      </c>
      <c r="F1902" s="4">
        <v>14</v>
      </c>
      <c r="G1902" s="4">
        <v>65268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14</v>
      </c>
      <c r="D1903" s="4">
        <v>10.8614</v>
      </c>
      <c r="E1903" s="4">
        <v>1340</v>
      </c>
      <c r="F1903" s="4">
        <v>13.991</v>
      </c>
      <c r="G1903" s="4">
        <v>18747.939999999999</v>
      </c>
      <c r="H1903" s="5">
        <f t="shared" si="29"/>
        <v>0</v>
      </c>
    </row>
    <row r="1904" spans="1:8" ht="13.5" x14ac:dyDescent="0.25">
      <c r="A1904" s="1"/>
      <c r="B1904" s="3">
        <v>45071</v>
      </c>
      <c r="C1904" s="4">
        <v>14</v>
      </c>
      <c r="D1904" s="4">
        <v>10.8614</v>
      </c>
      <c r="E1904" s="4">
        <v>1076</v>
      </c>
      <c r="F1904" s="4">
        <v>14.000999999999999</v>
      </c>
      <c r="G1904" s="4">
        <v>15065.075999999999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13.95</v>
      </c>
      <c r="D1905" s="4">
        <v>10.8226</v>
      </c>
      <c r="E1905" s="4">
        <v>2868</v>
      </c>
      <c r="F1905" s="4">
        <v>13.991</v>
      </c>
      <c r="G1905" s="4">
        <v>40126.188000000002</v>
      </c>
      <c r="H1905" s="5">
        <f t="shared" si="29"/>
        <v>-3.5722834993647382E-3</v>
      </c>
    </row>
    <row r="1906" spans="1:8" ht="13.5" x14ac:dyDescent="0.25">
      <c r="A1906" s="1"/>
      <c r="B1906" s="3">
        <v>45075</v>
      </c>
      <c r="C1906" s="4">
        <v>13.92</v>
      </c>
      <c r="D1906" s="4">
        <v>10.799300000000001</v>
      </c>
      <c r="E1906" s="4">
        <v>105</v>
      </c>
      <c r="F1906" s="4">
        <v>13.932</v>
      </c>
      <c r="G1906" s="4">
        <v>1462.86</v>
      </c>
      <c r="H1906" s="5">
        <f t="shared" si="29"/>
        <v>-2.1529022600852835E-3</v>
      </c>
    </row>
    <row r="1907" spans="1:8" ht="13.5" x14ac:dyDescent="0.25">
      <c r="A1907" s="1"/>
      <c r="B1907" s="3">
        <v>45076</v>
      </c>
      <c r="C1907" s="4">
        <v>14</v>
      </c>
      <c r="D1907" s="4">
        <v>10.8614</v>
      </c>
      <c r="E1907" s="4">
        <v>745</v>
      </c>
      <c r="F1907" s="4">
        <v>13.99</v>
      </c>
      <c r="G1907" s="4">
        <v>10422.549999999999</v>
      </c>
      <c r="H1907" s="5">
        <f t="shared" si="29"/>
        <v>5.7503727093421936E-3</v>
      </c>
    </row>
    <row r="1908" spans="1:8" ht="13.5" x14ac:dyDescent="0.25">
      <c r="A1908" s="1"/>
      <c r="B1908" s="3">
        <v>45077</v>
      </c>
      <c r="C1908" s="4">
        <v>14</v>
      </c>
      <c r="D1908" s="4">
        <v>10.8614</v>
      </c>
      <c r="E1908" s="4">
        <v>432</v>
      </c>
      <c r="F1908" s="4">
        <v>13.968999999999999</v>
      </c>
      <c r="G1908" s="4">
        <v>6034.6080000000002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14</v>
      </c>
      <c r="D1909" s="4">
        <v>10.8614</v>
      </c>
      <c r="E1909" s="4">
        <v>195</v>
      </c>
      <c r="F1909" s="4">
        <v>13.993</v>
      </c>
      <c r="G1909" s="4">
        <v>2728.6350000000002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14</v>
      </c>
      <c r="D1910" s="4">
        <v>10.8614</v>
      </c>
      <c r="E1910" s="4">
        <v>2659</v>
      </c>
      <c r="F1910" s="4">
        <v>13.996</v>
      </c>
      <c r="G1910" s="4">
        <v>37215.364000000001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14</v>
      </c>
      <c r="D1911" s="4">
        <v>10.8614</v>
      </c>
      <c r="E1911" s="4">
        <v>2761</v>
      </c>
      <c r="F1911" s="4">
        <v>14</v>
      </c>
      <c r="G1911" s="4">
        <v>38654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14.09</v>
      </c>
      <c r="D1912" s="4">
        <v>10.9312</v>
      </c>
      <c r="E1912" s="4">
        <v>6381</v>
      </c>
      <c r="F1912" s="4">
        <v>13.997999999999999</v>
      </c>
      <c r="G1912" s="4">
        <v>89321.237999999998</v>
      </c>
      <c r="H1912" s="5">
        <f t="shared" si="29"/>
        <v>6.4264275323623801E-3</v>
      </c>
    </row>
    <row r="1913" spans="1:8" ht="13.5" x14ac:dyDescent="0.25">
      <c r="A1913" s="1"/>
      <c r="B1913" s="3">
        <v>45084</v>
      </c>
      <c r="C1913" s="4">
        <v>13.9</v>
      </c>
      <c r="D1913" s="4">
        <v>10.783799999999999</v>
      </c>
      <c r="E1913" s="4">
        <v>114</v>
      </c>
      <c r="F1913" s="4">
        <v>13.944000000000001</v>
      </c>
      <c r="G1913" s="4">
        <v>1589.616</v>
      </c>
      <c r="H1913" s="5">
        <f t="shared" si="29"/>
        <v>-1.3484338407494243E-2</v>
      </c>
    </row>
    <row r="1914" spans="1:8" ht="13.5" x14ac:dyDescent="0.25">
      <c r="A1914" s="1"/>
      <c r="B1914" s="3">
        <v>45085</v>
      </c>
      <c r="C1914" s="4">
        <v>14.04</v>
      </c>
      <c r="D1914" s="4">
        <v>10.8924</v>
      </c>
      <c r="E1914" s="4">
        <v>15</v>
      </c>
      <c r="F1914" s="4">
        <v>13.909000000000001</v>
      </c>
      <c r="G1914" s="4">
        <v>208.63499999999999</v>
      </c>
      <c r="H1914" s="5">
        <f t="shared" si="29"/>
        <v>1.0070661547877457E-2</v>
      </c>
    </row>
    <row r="1915" spans="1:8" ht="13.5" x14ac:dyDescent="0.25">
      <c r="A1915" s="1"/>
      <c r="B1915" s="3">
        <v>45086</v>
      </c>
      <c r="C1915" s="4">
        <v>14</v>
      </c>
      <c r="D1915" s="4">
        <v>10.8614</v>
      </c>
      <c r="E1915" s="4">
        <v>2779</v>
      </c>
      <c r="F1915" s="4">
        <v>14</v>
      </c>
      <c r="G1915" s="4">
        <v>38906</v>
      </c>
      <c r="H1915" s="5">
        <f t="shared" si="29"/>
        <v>-2.8460210789174635E-3</v>
      </c>
    </row>
    <row r="1916" spans="1:8" ht="13.5" x14ac:dyDescent="0.25">
      <c r="A1916" s="1"/>
      <c r="B1916" s="3">
        <v>45089</v>
      </c>
      <c r="C1916" s="4">
        <v>14</v>
      </c>
      <c r="D1916" s="4">
        <v>10.8614</v>
      </c>
      <c r="E1916" s="4">
        <v>2769</v>
      </c>
      <c r="F1916" s="4">
        <v>14</v>
      </c>
      <c r="G1916" s="4">
        <v>38766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14</v>
      </c>
      <c r="D1917" s="4">
        <v>10.8614</v>
      </c>
      <c r="E1917" s="4">
        <v>8278</v>
      </c>
      <c r="F1917" s="4">
        <v>14</v>
      </c>
      <c r="G1917" s="4">
        <v>115892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14</v>
      </c>
      <c r="D1918" s="4">
        <v>10.8614</v>
      </c>
      <c r="E1918" s="4">
        <v>831</v>
      </c>
      <c r="F1918" s="4">
        <v>14</v>
      </c>
      <c r="G1918" s="4">
        <v>11634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14</v>
      </c>
      <c r="D1919" s="4">
        <v>10.8614</v>
      </c>
      <c r="E1919" s="4">
        <v>7365</v>
      </c>
      <c r="F1919" s="4">
        <v>14</v>
      </c>
      <c r="G1919" s="4">
        <v>103110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14.65</v>
      </c>
      <c r="D1920" s="4">
        <v>11.3657</v>
      </c>
      <c r="E1920" s="4">
        <v>10210</v>
      </c>
      <c r="F1920" s="4">
        <v>14.287000000000001</v>
      </c>
      <c r="G1920" s="4">
        <v>145870.26999999999</v>
      </c>
      <c r="H1920" s="5">
        <f t="shared" si="29"/>
        <v>4.643047857550598E-2</v>
      </c>
    </row>
    <row r="1921" spans="1:8" ht="13.5" x14ac:dyDescent="0.25">
      <c r="A1921" s="1"/>
      <c r="B1921" s="3">
        <v>45096</v>
      </c>
      <c r="C1921" s="4">
        <v>14.57</v>
      </c>
      <c r="D1921" s="4">
        <v>11.303599999999999</v>
      </c>
      <c r="E1921" s="4">
        <v>775</v>
      </c>
      <c r="F1921" s="4">
        <v>14.632999999999999</v>
      </c>
      <c r="G1921" s="4">
        <v>11340.575000000001</v>
      </c>
      <c r="H1921" s="5">
        <f t="shared" si="29"/>
        <v>-5.4638077725085946E-3</v>
      </c>
    </row>
    <row r="1922" spans="1:8" ht="13.5" x14ac:dyDescent="0.25">
      <c r="A1922" s="1"/>
      <c r="B1922" s="3">
        <v>45097</v>
      </c>
      <c r="C1922" s="4">
        <v>14.57</v>
      </c>
      <c r="D1922" s="4">
        <v>11.303599999999999</v>
      </c>
      <c r="E1922" s="4">
        <v>49</v>
      </c>
      <c r="F1922" s="4">
        <v>14.500999999999999</v>
      </c>
      <c r="G1922" s="4">
        <v>710.54899999999998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14.4</v>
      </c>
      <c r="D1923" s="4">
        <v>11.1717</v>
      </c>
      <c r="E1923" s="4">
        <v>4480</v>
      </c>
      <c r="F1923" s="4">
        <v>14.526</v>
      </c>
      <c r="G1923" s="4">
        <v>65076.480000000003</v>
      </c>
      <c r="H1923" s="5">
        <f t="shared" si="29"/>
        <v>-1.1668848862309344E-2</v>
      </c>
    </row>
    <row r="1924" spans="1:8" ht="13.5" x14ac:dyDescent="0.25">
      <c r="A1924" s="1"/>
      <c r="B1924" s="3">
        <v>45099</v>
      </c>
      <c r="C1924" s="4">
        <v>14.66</v>
      </c>
      <c r="D1924" s="4">
        <v>11.3734</v>
      </c>
      <c r="E1924" s="4">
        <v>1525</v>
      </c>
      <c r="F1924" s="4">
        <v>14.547000000000001</v>
      </c>
      <c r="G1924" s="4">
        <v>22184.174999999999</v>
      </c>
      <c r="H1924" s="5">
        <f t="shared" si="29"/>
        <v>1.8054548546774497E-2</v>
      </c>
    </row>
    <row r="1925" spans="1:8" ht="13.5" x14ac:dyDescent="0.25">
      <c r="A1925" s="1"/>
      <c r="B1925" s="3">
        <v>45100</v>
      </c>
      <c r="C1925" s="4">
        <v>14.95</v>
      </c>
      <c r="D1925" s="4">
        <v>11.5984</v>
      </c>
      <c r="E1925" s="4">
        <v>3859</v>
      </c>
      <c r="F1925" s="4">
        <v>14.84</v>
      </c>
      <c r="G1925" s="4">
        <v>57267.56</v>
      </c>
      <c r="H1925" s="5">
        <f t="shared" si="29"/>
        <v>1.9783002444299827E-2</v>
      </c>
    </row>
    <row r="1926" spans="1:8" ht="13.5" x14ac:dyDescent="0.25">
      <c r="A1926" s="1"/>
      <c r="B1926" s="3">
        <v>45103</v>
      </c>
      <c r="C1926" s="4">
        <v>14.99</v>
      </c>
      <c r="D1926" s="4">
        <v>11.6295</v>
      </c>
      <c r="E1926" s="4">
        <v>917</v>
      </c>
      <c r="F1926" s="4">
        <v>14.999000000000001</v>
      </c>
      <c r="G1926" s="4">
        <v>13754.083000000001</v>
      </c>
      <c r="H1926" s="5">
        <f t="shared" si="29"/>
        <v>2.6814043316319793E-3</v>
      </c>
    </row>
    <row r="1927" spans="1:8" ht="13.5" x14ac:dyDescent="0.25">
      <c r="A1927" s="1"/>
      <c r="B1927" s="3">
        <v>45104</v>
      </c>
      <c r="C1927" s="4">
        <v>15.19</v>
      </c>
      <c r="D1927" s="4">
        <v>11.784599999999999</v>
      </c>
      <c r="E1927" s="4">
        <v>613</v>
      </c>
      <c r="F1927" s="4">
        <v>14.755000000000001</v>
      </c>
      <c r="G1927" s="4">
        <v>9044.8150000000005</v>
      </c>
      <c r="H1927" s="5">
        <f t="shared" ref="H1927:H1990" si="30">(D1927-D1926)/D1926</f>
        <v>1.3336772862117815E-2</v>
      </c>
    </row>
    <row r="1928" spans="1:8" ht="13.5" x14ac:dyDescent="0.25">
      <c r="A1928" s="1"/>
      <c r="B1928" s="3">
        <v>45107</v>
      </c>
      <c r="C1928" s="4">
        <v>15.18</v>
      </c>
      <c r="D1928" s="4">
        <v>11.776899999999999</v>
      </c>
      <c r="E1928" s="4">
        <v>4</v>
      </c>
      <c r="F1928" s="4">
        <v>15.185</v>
      </c>
      <c r="G1928" s="4">
        <v>60.74</v>
      </c>
      <c r="H1928" s="5">
        <f t="shared" si="30"/>
        <v>-6.5339510887088396E-4</v>
      </c>
    </row>
    <row r="1929" spans="1:8" ht="13.5" x14ac:dyDescent="0.25">
      <c r="A1929" s="1"/>
      <c r="B1929" s="3">
        <v>45110</v>
      </c>
      <c r="C1929" s="4">
        <v>14.91</v>
      </c>
      <c r="D1929" s="4">
        <v>11.567399999999999</v>
      </c>
      <c r="E1929" s="4">
        <v>287</v>
      </c>
      <c r="F1929" s="4">
        <v>14.91</v>
      </c>
      <c r="G1929" s="4">
        <v>4279.17</v>
      </c>
      <c r="H1929" s="5">
        <f t="shared" si="30"/>
        <v>-1.7789061637612635E-2</v>
      </c>
    </row>
    <row r="1930" spans="1:8" ht="13.5" x14ac:dyDescent="0.25">
      <c r="A1930" s="1"/>
      <c r="B1930" s="3">
        <v>45111</v>
      </c>
      <c r="C1930" s="4">
        <v>14.91</v>
      </c>
      <c r="D1930" s="4">
        <v>11.567399999999999</v>
      </c>
      <c r="E1930" s="4">
        <v>11</v>
      </c>
      <c r="F1930" s="4">
        <v>14.901</v>
      </c>
      <c r="G1930" s="4">
        <v>163.911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14.99</v>
      </c>
      <c r="D1931" s="4">
        <v>11.6295</v>
      </c>
      <c r="E1931" s="4">
        <v>1</v>
      </c>
      <c r="F1931" s="4">
        <v>14.99</v>
      </c>
      <c r="G1931" s="4">
        <v>14.99</v>
      </c>
      <c r="H1931" s="5">
        <f t="shared" si="30"/>
        <v>5.3685357124332988E-3</v>
      </c>
    </row>
    <row r="1932" spans="1:8" ht="13.5" x14ac:dyDescent="0.25">
      <c r="A1932" s="1"/>
      <c r="B1932" s="3">
        <v>45113</v>
      </c>
      <c r="C1932" s="4">
        <v>14.9</v>
      </c>
      <c r="D1932" s="4">
        <v>11.5596</v>
      </c>
      <c r="E1932" s="4">
        <v>1811</v>
      </c>
      <c r="F1932" s="4">
        <v>14.949</v>
      </c>
      <c r="G1932" s="4">
        <v>27072.638999999999</v>
      </c>
      <c r="H1932" s="5">
        <f t="shared" si="30"/>
        <v>-6.010576551012556E-3</v>
      </c>
    </row>
    <row r="1933" spans="1:8" ht="13.5" x14ac:dyDescent="0.25">
      <c r="A1933" s="1"/>
      <c r="B1933" s="3">
        <v>45114</v>
      </c>
      <c r="C1933" s="4">
        <v>14.95</v>
      </c>
      <c r="D1933" s="4">
        <v>11.5984</v>
      </c>
      <c r="E1933" s="4">
        <v>599</v>
      </c>
      <c r="F1933" s="4">
        <v>14.901</v>
      </c>
      <c r="G1933" s="4">
        <v>8925.6990000000005</v>
      </c>
      <c r="H1933" s="5">
        <f t="shared" si="30"/>
        <v>3.356517526558027E-3</v>
      </c>
    </row>
    <row r="1934" spans="1:8" ht="13.5" x14ac:dyDescent="0.25">
      <c r="A1934" s="1"/>
      <c r="B1934" s="3">
        <v>45117</v>
      </c>
      <c r="C1934" s="4">
        <v>14.95</v>
      </c>
      <c r="D1934" s="4">
        <v>11.5984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14.65</v>
      </c>
      <c r="D1935" s="4">
        <v>11.3657</v>
      </c>
      <c r="E1935" s="4">
        <v>460</v>
      </c>
      <c r="F1935" s="4">
        <v>14.702</v>
      </c>
      <c r="G1935" s="4">
        <v>6762.92</v>
      </c>
      <c r="H1935" s="5">
        <f t="shared" si="30"/>
        <v>-2.0063112153400422E-2</v>
      </c>
    </row>
    <row r="1936" spans="1:8" ht="13.5" x14ac:dyDescent="0.25">
      <c r="A1936" s="1"/>
      <c r="B1936" s="3">
        <v>45119</v>
      </c>
      <c r="C1936" s="4">
        <v>14.65</v>
      </c>
      <c r="D1936" s="4">
        <v>11.3657</v>
      </c>
      <c r="E1936" s="4">
        <v>2078</v>
      </c>
      <c r="F1936" s="4">
        <v>14.484</v>
      </c>
      <c r="G1936" s="4">
        <v>30097.752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14.85</v>
      </c>
      <c r="D1937" s="4">
        <v>11.520799999999999</v>
      </c>
      <c r="E1937" s="4">
        <v>111</v>
      </c>
      <c r="F1937" s="4">
        <v>14.696999999999999</v>
      </c>
      <c r="G1937" s="4">
        <v>1631.367</v>
      </c>
      <c r="H1937" s="5">
        <f t="shared" si="30"/>
        <v>1.3646321827955965E-2</v>
      </c>
    </row>
    <row r="1938" spans="1:8" ht="13.5" x14ac:dyDescent="0.25">
      <c r="A1938" s="1"/>
      <c r="B1938" s="3">
        <v>45121</v>
      </c>
      <c r="C1938" s="4">
        <v>14.85</v>
      </c>
      <c r="D1938" s="4">
        <v>11.520799999999999</v>
      </c>
      <c r="E1938" s="4">
        <v>141</v>
      </c>
      <c r="F1938" s="4">
        <v>14.8</v>
      </c>
      <c r="G1938" s="4">
        <v>2086.8000000000002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14.8</v>
      </c>
      <c r="D1939" s="4">
        <v>11.482100000000001</v>
      </c>
      <c r="E1939" s="4">
        <v>302</v>
      </c>
      <c r="F1939" s="4">
        <v>14.675000000000001</v>
      </c>
      <c r="G1939" s="4">
        <v>4431.8500000000004</v>
      </c>
      <c r="H1939" s="5">
        <f t="shared" si="30"/>
        <v>-3.35914172626889E-3</v>
      </c>
    </row>
    <row r="1940" spans="1:8" ht="13.5" x14ac:dyDescent="0.25">
      <c r="A1940" s="1"/>
      <c r="B1940" s="3">
        <v>45125</v>
      </c>
      <c r="C1940" s="4">
        <v>14.9</v>
      </c>
      <c r="D1940" s="4">
        <v>11.5596</v>
      </c>
      <c r="E1940" s="4">
        <v>4084</v>
      </c>
      <c r="F1940" s="4">
        <v>14.866</v>
      </c>
      <c r="G1940" s="4">
        <v>60712.743999999999</v>
      </c>
      <c r="H1940" s="5">
        <f t="shared" si="30"/>
        <v>6.7496363905556285E-3</v>
      </c>
    </row>
    <row r="1941" spans="1:8" ht="13.5" x14ac:dyDescent="0.25">
      <c r="A1941" s="1"/>
      <c r="B1941" s="3">
        <v>45127</v>
      </c>
      <c r="C1941" s="4">
        <v>15.19</v>
      </c>
      <c r="D1941" s="4">
        <v>11.784599999999999</v>
      </c>
      <c r="E1941" s="4">
        <v>2673</v>
      </c>
      <c r="F1941" s="4">
        <v>15.000999999999999</v>
      </c>
      <c r="G1941" s="4">
        <v>40097.673000000003</v>
      </c>
      <c r="H1941" s="5">
        <f t="shared" si="30"/>
        <v>1.9464341326689474E-2</v>
      </c>
    </row>
    <row r="1942" spans="1:8" ht="13.5" x14ac:dyDescent="0.25">
      <c r="A1942" s="1"/>
      <c r="B1942" s="3">
        <v>45128</v>
      </c>
      <c r="C1942" s="4">
        <v>15.01</v>
      </c>
      <c r="D1942" s="4">
        <v>11.645</v>
      </c>
      <c r="E1942" s="4">
        <v>1734</v>
      </c>
      <c r="F1942" s="4">
        <v>15.074</v>
      </c>
      <c r="G1942" s="4">
        <v>26138.315999999999</v>
      </c>
      <c r="H1942" s="5">
        <f t="shared" si="30"/>
        <v>-1.1845968467321737E-2</v>
      </c>
    </row>
    <row r="1943" spans="1:8" ht="13.5" x14ac:dyDescent="0.25">
      <c r="A1943" s="1"/>
      <c r="B1943" s="3">
        <v>45131</v>
      </c>
      <c r="C1943" s="4">
        <v>14.11</v>
      </c>
      <c r="D1943" s="4">
        <v>12.014900000000001</v>
      </c>
      <c r="E1943" s="4">
        <v>5</v>
      </c>
      <c r="F1943" s="4">
        <v>14.11</v>
      </c>
      <c r="G1943" s="4">
        <v>70.55</v>
      </c>
      <c r="H1943" s="5">
        <f t="shared" si="30"/>
        <v>3.1764705882353049E-2</v>
      </c>
    </row>
    <row r="1944" spans="1:8" ht="13.5" x14ac:dyDescent="0.25">
      <c r="A1944" s="1"/>
      <c r="B1944" s="3">
        <v>45133</v>
      </c>
      <c r="C1944" s="4">
        <v>13.79</v>
      </c>
      <c r="D1944" s="4">
        <v>11.7424</v>
      </c>
      <c r="E1944" s="4">
        <v>963</v>
      </c>
      <c r="F1944" s="4">
        <v>13.614000000000001</v>
      </c>
      <c r="G1944" s="4">
        <v>13110.281999999999</v>
      </c>
      <c r="H1944" s="5">
        <f t="shared" si="30"/>
        <v>-2.268017211961821E-2</v>
      </c>
    </row>
    <row r="1945" spans="1:8" ht="13.5" x14ac:dyDescent="0.25">
      <c r="A1945" s="1"/>
      <c r="B1945" s="3">
        <v>45134</v>
      </c>
      <c r="C1945" s="4">
        <v>13.9</v>
      </c>
      <c r="D1945" s="4">
        <v>11.836</v>
      </c>
      <c r="E1945" s="4">
        <v>1503</v>
      </c>
      <c r="F1945" s="4">
        <v>13.701000000000001</v>
      </c>
      <c r="G1945" s="4">
        <v>20592.602999999999</v>
      </c>
      <c r="H1945" s="5">
        <f t="shared" si="30"/>
        <v>7.9711132306854084E-3</v>
      </c>
    </row>
    <row r="1946" spans="1:8" ht="13.5" x14ac:dyDescent="0.25">
      <c r="A1946" s="1"/>
      <c r="B1946" s="3">
        <v>45135</v>
      </c>
      <c r="C1946" s="4">
        <v>13.8</v>
      </c>
      <c r="D1946" s="4">
        <v>11.7509</v>
      </c>
      <c r="E1946" s="4">
        <v>93</v>
      </c>
      <c r="F1946" s="4">
        <v>13.801</v>
      </c>
      <c r="G1946" s="4">
        <v>1283.4929999999999</v>
      </c>
      <c r="H1946" s="5">
        <f t="shared" si="30"/>
        <v>-7.1899290300777808E-3</v>
      </c>
    </row>
    <row r="1947" spans="1:8" ht="13.5" x14ac:dyDescent="0.25">
      <c r="A1947" s="1"/>
      <c r="B1947" s="3">
        <v>45138</v>
      </c>
      <c r="C1947" s="4">
        <v>13.8</v>
      </c>
      <c r="D1947" s="4">
        <v>11.7509</v>
      </c>
      <c r="E1947" s="4">
        <v>0</v>
      </c>
      <c r="F1947" s="4">
        <v>0</v>
      </c>
      <c r="G1947" s="4">
        <v>0</v>
      </c>
      <c r="H1947" s="5">
        <f t="shared" si="30"/>
        <v>0</v>
      </c>
    </row>
    <row r="1948" spans="1:8" ht="13.5" x14ac:dyDescent="0.25">
      <c r="A1948" s="1"/>
      <c r="B1948" s="3">
        <v>45139</v>
      </c>
      <c r="C1948" s="4">
        <v>13.75</v>
      </c>
      <c r="D1948" s="4">
        <v>11.708299999999999</v>
      </c>
      <c r="E1948" s="4">
        <v>633</v>
      </c>
      <c r="F1948" s="4">
        <v>13.612</v>
      </c>
      <c r="G1948" s="4">
        <v>8616.3960000000006</v>
      </c>
      <c r="H1948" s="5">
        <f t="shared" si="30"/>
        <v>-3.6252542358457813E-3</v>
      </c>
    </row>
    <row r="1949" spans="1:8" ht="13.5" x14ac:dyDescent="0.25">
      <c r="A1949" s="1"/>
      <c r="B1949" s="3">
        <v>45140</v>
      </c>
      <c r="C1949" s="4">
        <v>13.8</v>
      </c>
      <c r="D1949" s="4">
        <v>11.7509</v>
      </c>
      <c r="E1949" s="4">
        <v>10</v>
      </c>
      <c r="F1949" s="4">
        <v>13.8</v>
      </c>
      <c r="G1949" s="4">
        <v>138</v>
      </c>
      <c r="H1949" s="5">
        <f t="shared" si="30"/>
        <v>3.6384445222620017E-3</v>
      </c>
    </row>
    <row r="1950" spans="1:8" ht="13.5" x14ac:dyDescent="0.25">
      <c r="A1950" s="1"/>
      <c r="B1950" s="3">
        <v>45141</v>
      </c>
      <c r="C1950" s="4">
        <v>13.73</v>
      </c>
      <c r="D1950" s="4">
        <v>11.6913</v>
      </c>
      <c r="E1950" s="4">
        <v>1055</v>
      </c>
      <c r="F1950" s="4">
        <v>13.515000000000001</v>
      </c>
      <c r="G1950" s="4">
        <v>14258.325000000001</v>
      </c>
      <c r="H1950" s="5">
        <f t="shared" si="30"/>
        <v>-5.0719519355963928E-3</v>
      </c>
    </row>
    <row r="1951" spans="1:8" ht="13.5" x14ac:dyDescent="0.25">
      <c r="A1951" s="1"/>
      <c r="B1951" s="3">
        <v>45142</v>
      </c>
      <c r="C1951" s="4">
        <v>13.39</v>
      </c>
      <c r="D1951" s="4">
        <v>11.4018</v>
      </c>
      <c r="E1951" s="4">
        <v>236</v>
      </c>
      <c r="F1951" s="4">
        <v>13.39</v>
      </c>
      <c r="G1951" s="4">
        <v>3160.04</v>
      </c>
      <c r="H1951" s="5">
        <f t="shared" si="30"/>
        <v>-2.4762002514690438E-2</v>
      </c>
    </row>
    <row r="1952" spans="1:8" ht="13.5" x14ac:dyDescent="0.25">
      <c r="A1952" s="1"/>
      <c r="B1952" s="3">
        <v>45145</v>
      </c>
      <c r="C1952" s="4">
        <v>13.39</v>
      </c>
      <c r="D1952" s="4">
        <v>11.4018</v>
      </c>
      <c r="E1952" s="4">
        <v>904</v>
      </c>
      <c r="F1952" s="4">
        <v>13.391</v>
      </c>
      <c r="G1952" s="4">
        <v>12105.464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13.39</v>
      </c>
      <c r="D1953" s="4">
        <v>11.4018</v>
      </c>
      <c r="E1953" s="4">
        <v>1082</v>
      </c>
      <c r="F1953" s="4">
        <v>13.39</v>
      </c>
      <c r="G1953" s="4">
        <v>14487.98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13.6</v>
      </c>
      <c r="D1954" s="4">
        <v>11.5806</v>
      </c>
      <c r="E1954" s="4">
        <v>1246</v>
      </c>
      <c r="F1954" s="4">
        <v>13.263999999999999</v>
      </c>
      <c r="G1954" s="4">
        <v>16526.944</v>
      </c>
      <c r="H1954" s="5">
        <f t="shared" si="30"/>
        <v>1.5681734462979595E-2</v>
      </c>
    </row>
    <row r="1955" spans="1:8" ht="13.5" x14ac:dyDescent="0.25">
      <c r="A1955" s="1"/>
      <c r="B1955" s="3">
        <v>45148</v>
      </c>
      <c r="C1955" s="4">
        <v>13.6</v>
      </c>
      <c r="D1955" s="4">
        <v>11.5806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13.66</v>
      </c>
      <c r="D1956" s="4">
        <v>11.6317</v>
      </c>
      <c r="E1956" s="4">
        <v>203</v>
      </c>
      <c r="F1956" s="4">
        <v>13.413</v>
      </c>
      <c r="G1956" s="4">
        <v>2722.8389999999999</v>
      </c>
      <c r="H1956" s="5">
        <f t="shared" si="30"/>
        <v>4.4125520266652786E-3</v>
      </c>
    </row>
    <row r="1957" spans="1:8" ht="13.5" x14ac:dyDescent="0.25">
      <c r="A1957" s="1"/>
      <c r="B1957" s="3">
        <v>45152</v>
      </c>
      <c r="C1957" s="4">
        <v>13.5</v>
      </c>
      <c r="D1957" s="4">
        <v>11.4954</v>
      </c>
      <c r="E1957" s="4">
        <v>42</v>
      </c>
      <c r="F1957" s="4">
        <v>13.474</v>
      </c>
      <c r="G1957" s="4">
        <v>565.90800000000002</v>
      </c>
      <c r="H1957" s="5">
        <f t="shared" si="30"/>
        <v>-1.1717977595708307E-2</v>
      </c>
    </row>
    <row r="1958" spans="1:8" ht="13.5" x14ac:dyDescent="0.25">
      <c r="A1958" s="1"/>
      <c r="B1958" s="3">
        <v>45153</v>
      </c>
      <c r="C1958" s="4">
        <v>13.66</v>
      </c>
      <c r="D1958" s="4">
        <v>11.6317</v>
      </c>
      <c r="E1958" s="4">
        <v>5</v>
      </c>
      <c r="F1958" s="4">
        <v>13.66</v>
      </c>
      <c r="G1958" s="4">
        <v>68.3</v>
      </c>
      <c r="H1958" s="5">
        <f t="shared" si="30"/>
        <v>1.1856916679715392E-2</v>
      </c>
    </row>
    <row r="1959" spans="1:8" ht="13.5" x14ac:dyDescent="0.25">
      <c r="A1959" s="1"/>
      <c r="B1959" s="3">
        <v>45154</v>
      </c>
      <c r="C1959" s="4">
        <v>13.66</v>
      </c>
      <c r="D1959" s="4">
        <v>11.6317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13.66</v>
      </c>
      <c r="D1960" s="4">
        <v>11.6317</v>
      </c>
      <c r="E1960" s="4">
        <v>80</v>
      </c>
      <c r="F1960" s="4">
        <v>13.66</v>
      </c>
      <c r="G1960" s="4">
        <v>1092.8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13.66</v>
      </c>
      <c r="D1961" s="4">
        <v>11.6317</v>
      </c>
      <c r="E1961" s="4">
        <v>10</v>
      </c>
      <c r="F1961" s="4">
        <v>13.66</v>
      </c>
      <c r="G1961" s="4">
        <v>136.6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13.9</v>
      </c>
      <c r="D1962" s="4">
        <v>11.836</v>
      </c>
      <c r="E1962" s="4">
        <v>610</v>
      </c>
      <c r="F1962" s="4">
        <v>13.85</v>
      </c>
      <c r="G1962" s="4">
        <v>8448.5</v>
      </c>
      <c r="H1962" s="5">
        <f t="shared" si="30"/>
        <v>1.7564070600170217E-2</v>
      </c>
    </row>
    <row r="1963" spans="1:8" ht="13.5" x14ac:dyDescent="0.25">
      <c r="A1963" s="1"/>
      <c r="B1963" s="3">
        <v>45160</v>
      </c>
      <c r="C1963" s="4">
        <v>13.88</v>
      </c>
      <c r="D1963" s="4">
        <v>11.819000000000001</v>
      </c>
      <c r="E1963" s="4">
        <v>735</v>
      </c>
      <c r="F1963" s="4">
        <v>13.88</v>
      </c>
      <c r="G1963" s="4">
        <v>10201.799999999999</v>
      </c>
      <c r="H1963" s="5">
        <f t="shared" si="30"/>
        <v>-1.4362960459614279E-3</v>
      </c>
    </row>
    <row r="1964" spans="1:8" ht="13.5" x14ac:dyDescent="0.25">
      <c r="A1964" s="1"/>
      <c r="B1964" s="3">
        <v>45161</v>
      </c>
      <c r="C1964" s="4">
        <v>13.84</v>
      </c>
      <c r="D1964" s="4">
        <v>11.785</v>
      </c>
      <c r="E1964" s="4">
        <v>1580</v>
      </c>
      <c r="F1964" s="4">
        <v>13.611000000000001</v>
      </c>
      <c r="G1964" s="4">
        <v>21505.38</v>
      </c>
      <c r="H1964" s="5">
        <f t="shared" si="30"/>
        <v>-2.8767239191133508E-3</v>
      </c>
    </row>
    <row r="1965" spans="1:8" ht="13.5" x14ac:dyDescent="0.25">
      <c r="A1965" s="1"/>
      <c r="B1965" s="3">
        <v>45162</v>
      </c>
      <c r="C1965" s="4">
        <v>13.85</v>
      </c>
      <c r="D1965" s="4">
        <v>11.7935</v>
      </c>
      <c r="E1965" s="4">
        <v>496</v>
      </c>
      <c r="F1965" s="4">
        <v>13.85</v>
      </c>
      <c r="G1965" s="4">
        <v>6869.6</v>
      </c>
      <c r="H1965" s="5">
        <f t="shared" si="30"/>
        <v>7.2125583368686723E-4</v>
      </c>
    </row>
    <row r="1966" spans="1:8" ht="13.5" x14ac:dyDescent="0.25">
      <c r="A1966" s="1"/>
      <c r="B1966" s="3">
        <v>45163</v>
      </c>
      <c r="C1966" s="4">
        <v>13.87</v>
      </c>
      <c r="D1966" s="4">
        <v>11.810499999999999</v>
      </c>
      <c r="E1966" s="4">
        <v>47</v>
      </c>
      <c r="F1966" s="4">
        <v>13.853999999999999</v>
      </c>
      <c r="G1966" s="4">
        <v>651.13800000000003</v>
      </c>
      <c r="H1966" s="5">
        <f t="shared" si="30"/>
        <v>1.4414719972865953E-3</v>
      </c>
    </row>
    <row r="1967" spans="1:8" ht="13.5" x14ac:dyDescent="0.25">
      <c r="A1967" s="1"/>
      <c r="B1967" s="3">
        <v>45166</v>
      </c>
      <c r="C1967" s="4">
        <v>14.1</v>
      </c>
      <c r="D1967" s="4">
        <v>12.0063</v>
      </c>
      <c r="E1967" s="4">
        <v>646</v>
      </c>
      <c r="F1967" s="4">
        <v>13.87</v>
      </c>
      <c r="G1967" s="4">
        <v>8960.02</v>
      </c>
      <c r="H1967" s="5">
        <f t="shared" si="30"/>
        <v>1.6578468312095185E-2</v>
      </c>
    </row>
    <row r="1968" spans="1:8" ht="13.5" x14ac:dyDescent="0.25">
      <c r="A1968" s="1"/>
      <c r="B1968" s="3">
        <v>45167</v>
      </c>
      <c r="C1968" s="4">
        <v>14.09</v>
      </c>
      <c r="D1968" s="4">
        <v>11.9978</v>
      </c>
      <c r="E1968" s="4">
        <v>96</v>
      </c>
      <c r="F1968" s="4">
        <v>14.09</v>
      </c>
      <c r="G1968" s="4">
        <v>1352.64</v>
      </c>
      <c r="H1968" s="5">
        <f t="shared" si="30"/>
        <v>-7.0796165346524156E-4</v>
      </c>
    </row>
    <row r="1969" spans="1:8" ht="13.5" x14ac:dyDescent="0.25">
      <c r="A1969" s="1"/>
      <c r="B1969" s="3">
        <v>45168</v>
      </c>
      <c r="C1969" s="4">
        <v>14.1</v>
      </c>
      <c r="D1969" s="4">
        <v>12.0063</v>
      </c>
      <c r="E1969" s="4">
        <v>954</v>
      </c>
      <c r="F1969" s="4">
        <v>14.099</v>
      </c>
      <c r="G1969" s="4">
        <v>13450.446</v>
      </c>
      <c r="H1969" s="5">
        <f t="shared" si="30"/>
        <v>7.0846321825665786E-4</v>
      </c>
    </row>
    <row r="1970" spans="1:8" ht="13.5" x14ac:dyDescent="0.25">
      <c r="A1970" s="1"/>
      <c r="B1970" s="3">
        <v>45169</v>
      </c>
      <c r="C1970" s="4">
        <v>14.3</v>
      </c>
      <c r="D1970" s="4">
        <v>12.1767</v>
      </c>
      <c r="E1970" s="4">
        <v>55</v>
      </c>
      <c r="F1970" s="4">
        <v>14.3</v>
      </c>
      <c r="G1970" s="4">
        <v>786.5</v>
      </c>
      <c r="H1970" s="5">
        <f t="shared" si="30"/>
        <v>1.4192548911821359E-2</v>
      </c>
    </row>
    <row r="1971" spans="1:8" ht="13.5" x14ac:dyDescent="0.25">
      <c r="A1971" s="1"/>
      <c r="B1971" s="3">
        <v>45170</v>
      </c>
      <c r="C1971" s="4">
        <v>14.27</v>
      </c>
      <c r="D1971" s="4">
        <v>12.1511</v>
      </c>
      <c r="E1971" s="4">
        <v>400</v>
      </c>
      <c r="F1971" s="4">
        <v>14.029</v>
      </c>
      <c r="G1971" s="4">
        <v>5611.6</v>
      </c>
      <c r="H1971" s="5">
        <f t="shared" si="30"/>
        <v>-2.1023758489574951E-3</v>
      </c>
    </row>
    <row r="1972" spans="1:8" ht="13.5" x14ac:dyDescent="0.25">
      <c r="A1972" s="1"/>
      <c r="B1972" s="3">
        <v>45173</v>
      </c>
      <c r="C1972" s="4">
        <v>14.27</v>
      </c>
      <c r="D1972" s="4">
        <v>12.1511</v>
      </c>
      <c r="E1972" s="4">
        <v>111</v>
      </c>
      <c r="F1972" s="4">
        <v>14.269</v>
      </c>
      <c r="G1972" s="4">
        <v>1583.8589999999999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14.27</v>
      </c>
      <c r="D1973" s="4">
        <v>12.1511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14.29</v>
      </c>
      <c r="D1974" s="4">
        <v>12.168100000000001</v>
      </c>
      <c r="E1974" s="4">
        <v>24</v>
      </c>
      <c r="F1974" s="4">
        <v>14.278</v>
      </c>
      <c r="G1974" s="4">
        <v>342.67200000000003</v>
      </c>
      <c r="H1974" s="5">
        <f t="shared" si="30"/>
        <v>1.3990502917432361E-3</v>
      </c>
    </row>
    <row r="1975" spans="1:8" ht="13.5" x14ac:dyDescent="0.25">
      <c r="A1975" s="1"/>
      <c r="B1975" s="3">
        <v>45176</v>
      </c>
      <c r="C1975" s="4">
        <v>14.29</v>
      </c>
      <c r="D1975" s="4">
        <v>12.168100000000001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14.29</v>
      </c>
      <c r="D1976" s="4">
        <v>12.168100000000001</v>
      </c>
      <c r="E1976" s="4">
        <v>175</v>
      </c>
      <c r="F1976" s="4">
        <v>14.205</v>
      </c>
      <c r="G1976" s="4">
        <v>2485.875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14.67</v>
      </c>
      <c r="D1977" s="4">
        <v>12.4917</v>
      </c>
      <c r="E1977" s="4">
        <v>2927</v>
      </c>
      <c r="F1977" s="4">
        <v>14.319000000000001</v>
      </c>
      <c r="G1977" s="4">
        <v>41911.713000000003</v>
      </c>
      <c r="H1977" s="5">
        <f t="shared" si="30"/>
        <v>2.6594127267198574E-2</v>
      </c>
    </row>
    <row r="1978" spans="1:8" ht="13.5" x14ac:dyDescent="0.25">
      <c r="A1978" s="1"/>
      <c r="B1978" s="3">
        <v>45181</v>
      </c>
      <c r="C1978" s="4">
        <v>15.11</v>
      </c>
      <c r="D1978" s="4">
        <v>12.866400000000001</v>
      </c>
      <c r="E1978" s="4">
        <v>3915</v>
      </c>
      <c r="F1978" s="4">
        <v>14.821999999999999</v>
      </c>
      <c r="G1978" s="4">
        <v>58028.13</v>
      </c>
      <c r="H1978" s="5">
        <f t="shared" si="30"/>
        <v>2.9995917289080007E-2</v>
      </c>
    </row>
    <row r="1979" spans="1:8" ht="13.5" x14ac:dyDescent="0.25">
      <c r="A1979" s="1"/>
      <c r="B1979" s="3">
        <v>45182</v>
      </c>
      <c r="C1979" s="4">
        <v>15</v>
      </c>
      <c r="D1979" s="4">
        <v>12.7727</v>
      </c>
      <c r="E1979" s="4">
        <v>2775</v>
      </c>
      <c r="F1979" s="4">
        <v>14.840999999999999</v>
      </c>
      <c r="G1979" s="4">
        <v>41183.775000000001</v>
      </c>
      <c r="H1979" s="5">
        <f t="shared" si="30"/>
        <v>-7.2825343530435955E-3</v>
      </c>
    </row>
    <row r="1980" spans="1:8" ht="13.5" x14ac:dyDescent="0.25">
      <c r="A1980" s="1"/>
      <c r="B1980" s="3">
        <v>45183</v>
      </c>
      <c r="C1980" s="4">
        <v>15.09</v>
      </c>
      <c r="D1980" s="4">
        <v>12.849299999999999</v>
      </c>
      <c r="E1980" s="4">
        <v>1601</v>
      </c>
      <c r="F1980" s="4">
        <v>14.805</v>
      </c>
      <c r="G1980" s="4">
        <v>23702.805</v>
      </c>
      <c r="H1980" s="5">
        <f t="shared" si="30"/>
        <v>5.9971658302472551E-3</v>
      </c>
    </row>
    <row r="1981" spans="1:8" ht="13.5" x14ac:dyDescent="0.25">
      <c r="A1981" s="1"/>
      <c r="B1981" s="3">
        <v>45184</v>
      </c>
      <c r="C1981" s="4">
        <v>15.07</v>
      </c>
      <c r="D1981" s="4">
        <v>12.8323</v>
      </c>
      <c r="E1981" s="4">
        <v>151</v>
      </c>
      <c r="F1981" s="4">
        <v>14.804</v>
      </c>
      <c r="G1981" s="4">
        <v>2235.404</v>
      </c>
      <c r="H1981" s="5">
        <f t="shared" si="30"/>
        <v>-1.3230292700769273E-3</v>
      </c>
    </row>
    <row r="1982" spans="1:8" ht="13.5" x14ac:dyDescent="0.25">
      <c r="A1982" s="1"/>
      <c r="B1982" s="3">
        <v>45187</v>
      </c>
      <c r="C1982" s="4">
        <v>15.02</v>
      </c>
      <c r="D1982" s="4">
        <v>12.7897</v>
      </c>
      <c r="E1982" s="4">
        <v>240</v>
      </c>
      <c r="F1982" s="4">
        <v>15.035</v>
      </c>
      <c r="G1982" s="4">
        <v>3608.4</v>
      </c>
      <c r="H1982" s="5">
        <f t="shared" si="30"/>
        <v>-3.3197478238507667E-3</v>
      </c>
    </row>
    <row r="1983" spans="1:8" ht="13.5" x14ac:dyDescent="0.25">
      <c r="A1983" s="1"/>
      <c r="B1983" s="3">
        <v>45188</v>
      </c>
      <c r="C1983" s="4">
        <v>15</v>
      </c>
      <c r="D1983" s="4">
        <v>12.7727</v>
      </c>
      <c r="E1983" s="4">
        <v>2332</v>
      </c>
      <c r="F1983" s="4">
        <v>15.01</v>
      </c>
      <c r="G1983" s="4">
        <v>35003.32</v>
      </c>
      <c r="H1983" s="5">
        <f t="shared" si="30"/>
        <v>-1.3291945862685959E-3</v>
      </c>
    </row>
    <row r="1984" spans="1:8" ht="13.5" x14ac:dyDescent="0.25">
      <c r="A1984" s="1"/>
      <c r="B1984" s="3">
        <v>45189</v>
      </c>
      <c r="C1984" s="4">
        <v>15.26</v>
      </c>
      <c r="D1984" s="4">
        <v>12.9941</v>
      </c>
      <c r="E1984" s="4">
        <v>433</v>
      </c>
      <c r="F1984" s="4">
        <v>15.000999999999999</v>
      </c>
      <c r="G1984" s="4">
        <v>6495.433</v>
      </c>
      <c r="H1984" s="5">
        <f t="shared" si="30"/>
        <v>1.7333844840949773E-2</v>
      </c>
    </row>
    <row r="1985" spans="1:8" ht="13.5" x14ac:dyDescent="0.25">
      <c r="A1985" s="1"/>
      <c r="B1985" s="3">
        <v>45190</v>
      </c>
      <c r="C1985" s="4">
        <v>15</v>
      </c>
      <c r="D1985" s="4">
        <v>12.7727</v>
      </c>
      <c r="E1985" s="4">
        <v>5486</v>
      </c>
      <c r="F1985" s="4">
        <v>15.082000000000001</v>
      </c>
      <c r="G1985" s="4">
        <v>82739.851999999999</v>
      </c>
      <c r="H1985" s="5">
        <f t="shared" si="30"/>
        <v>-1.7038502089409744E-2</v>
      </c>
    </row>
    <row r="1986" spans="1:8" ht="13.5" x14ac:dyDescent="0.25">
      <c r="A1986" s="1"/>
      <c r="B1986" s="3">
        <v>45191</v>
      </c>
      <c r="C1986" s="4">
        <v>14.87</v>
      </c>
      <c r="D1986" s="4">
        <v>12.662000000000001</v>
      </c>
      <c r="E1986" s="4">
        <v>97</v>
      </c>
      <c r="F1986" s="4">
        <v>15.053000000000001</v>
      </c>
      <c r="G1986" s="4">
        <v>1460.1410000000001</v>
      </c>
      <c r="H1986" s="5">
        <f t="shared" si="30"/>
        <v>-8.6669224204748863E-3</v>
      </c>
    </row>
    <row r="1987" spans="1:8" ht="13.5" x14ac:dyDescent="0.25">
      <c r="A1987" s="1"/>
      <c r="B1987" s="3">
        <v>45194</v>
      </c>
      <c r="C1987" s="4">
        <v>15.25</v>
      </c>
      <c r="D1987" s="4">
        <v>12.9856</v>
      </c>
      <c r="E1987" s="4">
        <v>4256</v>
      </c>
      <c r="F1987" s="4">
        <v>14.8</v>
      </c>
      <c r="G1987" s="4">
        <v>62988.800000000003</v>
      </c>
      <c r="H1987" s="5">
        <f t="shared" si="30"/>
        <v>2.5556784078344573E-2</v>
      </c>
    </row>
    <row r="1988" spans="1:8" ht="13.5" x14ac:dyDescent="0.25">
      <c r="A1988" s="1"/>
      <c r="B1988" s="3">
        <v>45195</v>
      </c>
      <c r="C1988" s="4">
        <v>14.9</v>
      </c>
      <c r="D1988" s="4">
        <v>12.6876</v>
      </c>
      <c r="E1988" s="4">
        <v>39</v>
      </c>
      <c r="F1988" s="4">
        <v>15.208</v>
      </c>
      <c r="G1988" s="4">
        <v>593.11199999999997</v>
      </c>
      <c r="H1988" s="5">
        <f t="shared" si="30"/>
        <v>-2.2948496796451459E-2</v>
      </c>
    </row>
    <row r="1989" spans="1:8" ht="13.5" x14ac:dyDescent="0.25">
      <c r="A1989" s="1"/>
      <c r="B1989" s="3">
        <v>45197</v>
      </c>
      <c r="C1989" s="4">
        <v>15</v>
      </c>
      <c r="D1989" s="4">
        <v>12.7727</v>
      </c>
      <c r="E1989" s="4">
        <v>505</v>
      </c>
      <c r="F1989" s="4">
        <v>15.002000000000001</v>
      </c>
      <c r="G1989" s="4">
        <v>7576.01</v>
      </c>
      <c r="H1989" s="5">
        <f t="shared" si="30"/>
        <v>6.7073362968568225E-3</v>
      </c>
    </row>
    <row r="1990" spans="1:8" ht="13.5" x14ac:dyDescent="0.25">
      <c r="A1990" s="1"/>
      <c r="B1990" s="3">
        <v>45198</v>
      </c>
      <c r="C1990" s="4">
        <v>15.2</v>
      </c>
      <c r="D1990" s="4">
        <v>12.943</v>
      </c>
      <c r="E1990" s="4">
        <v>247</v>
      </c>
      <c r="F1990" s="4">
        <v>14.97</v>
      </c>
      <c r="G1990" s="4">
        <v>3697.59</v>
      </c>
      <c r="H1990" s="5">
        <f t="shared" si="30"/>
        <v>1.333312455471429E-2</v>
      </c>
    </row>
    <row r="1991" spans="1:8" ht="13.5" x14ac:dyDescent="0.25">
      <c r="A1991" s="1"/>
      <c r="B1991" s="3">
        <v>45201</v>
      </c>
      <c r="C1991" s="4">
        <v>15.2</v>
      </c>
      <c r="D1991" s="4">
        <v>12.943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15.15</v>
      </c>
      <c r="D1992" s="4">
        <v>12.900399999999999</v>
      </c>
      <c r="E1992" s="4">
        <v>420</v>
      </c>
      <c r="F1992" s="4">
        <v>14.901</v>
      </c>
      <c r="G1992" s="4">
        <v>6258.42</v>
      </c>
      <c r="H1992" s="5">
        <f t="shared" si="31"/>
        <v>-3.2913544000618246E-3</v>
      </c>
    </row>
    <row r="1993" spans="1:8" ht="13.5" x14ac:dyDescent="0.25">
      <c r="A1993" s="1"/>
      <c r="B1993" s="3">
        <v>45203</v>
      </c>
      <c r="C1993" s="4">
        <v>15.2</v>
      </c>
      <c r="D1993" s="4">
        <v>12.943</v>
      </c>
      <c r="E1993" s="4">
        <v>1032</v>
      </c>
      <c r="F1993" s="4">
        <v>15.000999999999999</v>
      </c>
      <c r="G1993" s="4">
        <v>15481.031999999999</v>
      </c>
      <c r="H1993" s="5">
        <f t="shared" si="31"/>
        <v>3.3022231868779415E-3</v>
      </c>
    </row>
    <row r="1994" spans="1:8" ht="13.5" x14ac:dyDescent="0.25">
      <c r="A1994" s="1"/>
      <c r="B1994" s="3">
        <v>45204</v>
      </c>
      <c r="C1994" s="4">
        <v>14.95</v>
      </c>
      <c r="D1994" s="4">
        <v>12.7301</v>
      </c>
      <c r="E1994" s="4">
        <v>311</v>
      </c>
      <c r="F1994" s="4">
        <v>14.967000000000001</v>
      </c>
      <c r="G1994" s="4">
        <v>4654.7370000000001</v>
      </c>
      <c r="H1994" s="5">
        <f t="shared" si="31"/>
        <v>-1.6449045816271299E-2</v>
      </c>
    </row>
    <row r="1995" spans="1:8" ht="13.5" x14ac:dyDescent="0.25">
      <c r="A1995" s="1"/>
      <c r="B1995" s="3">
        <v>45205</v>
      </c>
      <c r="C1995" s="4">
        <v>15</v>
      </c>
      <c r="D1995" s="4">
        <v>12.7727</v>
      </c>
      <c r="E1995" s="4">
        <v>1356</v>
      </c>
      <c r="F1995" s="4">
        <v>14.938000000000001</v>
      </c>
      <c r="G1995" s="4">
        <v>20255.928</v>
      </c>
      <c r="H1995" s="5">
        <f t="shared" si="31"/>
        <v>3.3463994784015986E-3</v>
      </c>
    </row>
    <row r="1996" spans="1:8" ht="13.5" x14ac:dyDescent="0.25">
      <c r="A1996" s="1"/>
      <c r="B1996" s="3">
        <v>45208</v>
      </c>
      <c r="C1996" s="4">
        <v>15</v>
      </c>
      <c r="D1996" s="4">
        <v>12.7727</v>
      </c>
      <c r="E1996" s="4">
        <v>8836</v>
      </c>
      <c r="F1996" s="4">
        <v>15</v>
      </c>
      <c r="G1996" s="4">
        <v>132540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14.96</v>
      </c>
      <c r="D1997" s="4">
        <v>12.7387</v>
      </c>
      <c r="E1997" s="4">
        <v>54</v>
      </c>
      <c r="F1997" s="4">
        <v>14.989000000000001</v>
      </c>
      <c r="G1997" s="4">
        <v>809.40599999999995</v>
      </c>
      <c r="H1997" s="5">
        <f t="shared" si="31"/>
        <v>-2.6619273920158379E-3</v>
      </c>
    </row>
    <row r="1998" spans="1:8" ht="13.5" x14ac:dyDescent="0.25">
      <c r="A1998" s="1"/>
      <c r="B1998" s="3">
        <v>45210</v>
      </c>
      <c r="C1998" s="4">
        <v>14.95</v>
      </c>
      <c r="D1998" s="4">
        <v>12.7301</v>
      </c>
      <c r="E1998" s="4">
        <v>51</v>
      </c>
      <c r="F1998" s="4">
        <v>14.95</v>
      </c>
      <c r="G1998" s="4">
        <v>762.45</v>
      </c>
      <c r="H1998" s="5">
        <f t="shared" si="31"/>
        <v>-6.7510813505298789E-4</v>
      </c>
    </row>
    <row r="1999" spans="1:8" ht="13.5" x14ac:dyDescent="0.25">
      <c r="A1999" s="1"/>
      <c r="B1999" s="3">
        <v>45211</v>
      </c>
      <c r="C1999" s="4">
        <v>14.98</v>
      </c>
      <c r="D1999" s="4">
        <v>12.755699999999999</v>
      </c>
      <c r="E1999" s="4">
        <v>522</v>
      </c>
      <c r="F1999" s="4">
        <v>14.803000000000001</v>
      </c>
      <c r="G1999" s="4">
        <v>7727.1660000000002</v>
      </c>
      <c r="H1999" s="5">
        <f t="shared" si="31"/>
        <v>2.0109818461755175E-3</v>
      </c>
    </row>
    <row r="2000" spans="1:8" ht="13.5" x14ac:dyDescent="0.25">
      <c r="A2000" s="1"/>
      <c r="B2000" s="3">
        <v>45212</v>
      </c>
      <c r="C2000" s="4">
        <v>14.97</v>
      </c>
      <c r="D2000" s="4">
        <v>12.747199999999999</v>
      </c>
      <c r="E2000" s="4">
        <v>383</v>
      </c>
      <c r="F2000" s="4">
        <v>14.711</v>
      </c>
      <c r="G2000" s="4">
        <v>5634.3130000000001</v>
      </c>
      <c r="H2000" s="5">
        <f t="shared" si="31"/>
        <v>-6.6636876063248048E-4</v>
      </c>
    </row>
    <row r="2001" spans="1:8" ht="13.5" x14ac:dyDescent="0.25">
      <c r="A2001" s="1"/>
      <c r="B2001" s="3">
        <v>45215</v>
      </c>
      <c r="C2001" s="4">
        <v>14.75</v>
      </c>
      <c r="D2001" s="4">
        <v>12.559799999999999</v>
      </c>
      <c r="E2001" s="4">
        <v>772</v>
      </c>
      <c r="F2001" s="4">
        <v>14.792999999999999</v>
      </c>
      <c r="G2001" s="4">
        <v>11420.196</v>
      </c>
      <c r="H2001" s="5">
        <f t="shared" si="31"/>
        <v>-1.4701267729383728E-2</v>
      </c>
    </row>
    <row r="2002" spans="1:8" ht="13.5" x14ac:dyDescent="0.25">
      <c r="A2002" s="1"/>
      <c r="B2002" s="3">
        <v>45216</v>
      </c>
      <c r="C2002" s="4">
        <v>14.75</v>
      </c>
      <c r="D2002" s="4">
        <v>12.559799999999999</v>
      </c>
      <c r="E2002" s="4">
        <v>0</v>
      </c>
      <c r="F2002" s="4">
        <v>0</v>
      </c>
      <c r="G2002" s="4">
        <v>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14.8</v>
      </c>
      <c r="D2003" s="4">
        <v>12.602399999999999</v>
      </c>
      <c r="E2003" s="4">
        <v>1</v>
      </c>
      <c r="F2003" s="4">
        <v>14.8</v>
      </c>
      <c r="G2003" s="4">
        <v>14.8</v>
      </c>
      <c r="H2003" s="5">
        <f t="shared" si="31"/>
        <v>3.3917737543591613E-3</v>
      </c>
    </row>
    <row r="2004" spans="1:8" ht="13.5" x14ac:dyDescent="0.25">
      <c r="A2004" s="1"/>
      <c r="B2004" s="3">
        <v>45218</v>
      </c>
      <c r="C2004" s="4">
        <v>14.8</v>
      </c>
      <c r="D2004" s="4">
        <v>12.602399999999999</v>
      </c>
      <c r="E2004" s="4">
        <v>840</v>
      </c>
      <c r="F2004" s="4">
        <v>14.75</v>
      </c>
      <c r="G2004" s="4">
        <v>12390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14.7</v>
      </c>
      <c r="D2005" s="4">
        <v>12.517300000000001</v>
      </c>
      <c r="E2005" s="4">
        <v>180</v>
      </c>
      <c r="F2005" s="4">
        <v>14.7</v>
      </c>
      <c r="G2005" s="4">
        <v>2646</v>
      </c>
      <c r="H2005" s="5">
        <f t="shared" si="31"/>
        <v>-6.7526820288198158E-3</v>
      </c>
    </row>
    <row r="2006" spans="1:8" ht="13.5" x14ac:dyDescent="0.25">
      <c r="A2006" s="1"/>
      <c r="B2006" s="3">
        <v>45222</v>
      </c>
      <c r="C2006" s="4">
        <v>14.51</v>
      </c>
      <c r="D2006" s="4">
        <v>12.355499999999999</v>
      </c>
      <c r="E2006" s="4">
        <v>596</v>
      </c>
      <c r="F2006" s="4">
        <v>14.526999999999999</v>
      </c>
      <c r="G2006" s="4">
        <v>8658.0920000000006</v>
      </c>
      <c r="H2006" s="5">
        <f t="shared" si="31"/>
        <v>-1.2926110263395562E-2</v>
      </c>
    </row>
    <row r="2007" spans="1:8" ht="13.5" x14ac:dyDescent="0.25">
      <c r="A2007" s="1"/>
      <c r="B2007" s="3">
        <v>45223</v>
      </c>
      <c r="C2007" s="4">
        <v>14.55</v>
      </c>
      <c r="D2007" s="4">
        <v>12.3895</v>
      </c>
      <c r="E2007" s="4">
        <v>214</v>
      </c>
      <c r="F2007" s="4">
        <v>14.510999999999999</v>
      </c>
      <c r="G2007" s="4">
        <v>3105.3539999999998</v>
      </c>
      <c r="H2007" s="5">
        <f t="shared" si="31"/>
        <v>2.7518109344017399E-3</v>
      </c>
    </row>
    <row r="2008" spans="1:8" ht="13.5" x14ac:dyDescent="0.25">
      <c r="A2008" s="1"/>
      <c r="B2008" s="3">
        <v>45224</v>
      </c>
      <c r="C2008" s="4">
        <v>14.3</v>
      </c>
      <c r="D2008" s="4">
        <v>12.1767</v>
      </c>
      <c r="E2008" s="4">
        <v>157</v>
      </c>
      <c r="F2008" s="4">
        <v>14.303000000000001</v>
      </c>
      <c r="G2008" s="4">
        <v>2245.5709999999999</v>
      </c>
      <c r="H2008" s="5">
        <f t="shared" si="31"/>
        <v>-1.7175834375882777E-2</v>
      </c>
    </row>
    <row r="2009" spans="1:8" ht="13.5" x14ac:dyDescent="0.25">
      <c r="A2009" s="1"/>
      <c r="B2009" s="3">
        <v>45225</v>
      </c>
      <c r="C2009" s="4">
        <v>14.55</v>
      </c>
      <c r="D2009" s="4">
        <v>12.3895</v>
      </c>
      <c r="E2009" s="4">
        <v>40</v>
      </c>
      <c r="F2009" s="4">
        <v>14.55</v>
      </c>
      <c r="G2009" s="4">
        <v>582</v>
      </c>
      <c r="H2009" s="5">
        <f t="shared" si="31"/>
        <v>1.747599924445865E-2</v>
      </c>
    </row>
    <row r="2010" spans="1:8" ht="13.5" x14ac:dyDescent="0.25">
      <c r="A2010" s="1"/>
      <c r="B2010" s="3">
        <v>45226</v>
      </c>
      <c r="C2010" s="4">
        <v>14.28</v>
      </c>
      <c r="D2010" s="4">
        <v>12.159599999999999</v>
      </c>
      <c r="E2010" s="4">
        <v>455</v>
      </c>
      <c r="F2010" s="4">
        <v>14.461</v>
      </c>
      <c r="G2010" s="4">
        <v>6579.7550000000001</v>
      </c>
      <c r="H2010" s="5">
        <f t="shared" si="31"/>
        <v>-1.8556035352516296E-2</v>
      </c>
    </row>
    <row r="2011" spans="1:8" ht="13.5" x14ac:dyDescent="0.25">
      <c r="A2011" s="1"/>
      <c r="B2011" s="3">
        <v>45229</v>
      </c>
      <c r="C2011" s="4">
        <v>14.54</v>
      </c>
      <c r="D2011" s="4">
        <v>12.381</v>
      </c>
      <c r="E2011" s="4">
        <v>186</v>
      </c>
      <c r="F2011" s="4">
        <v>14.113</v>
      </c>
      <c r="G2011" s="4">
        <v>2625.018</v>
      </c>
      <c r="H2011" s="5">
        <f t="shared" si="31"/>
        <v>1.8207835784071921E-2</v>
      </c>
    </row>
    <row r="2012" spans="1:8" ht="13.5" x14ac:dyDescent="0.25">
      <c r="A2012" s="1"/>
      <c r="B2012" s="3">
        <v>45230</v>
      </c>
      <c r="C2012" s="4">
        <v>14.54</v>
      </c>
      <c r="D2012" s="4">
        <v>12.381</v>
      </c>
      <c r="E2012" s="4">
        <v>0</v>
      </c>
      <c r="F2012" s="4">
        <v>0</v>
      </c>
      <c r="G2012" s="4">
        <v>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14.4</v>
      </c>
      <c r="D2013" s="4">
        <v>12.261799999999999</v>
      </c>
      <c r="E2013" s="4">
        <v>140</v>
      </c>
      <c r="F2013" s="4">
        <v>14.423999999999999</v>
      </c>
      <c r="G2013" s="4">
        <v>2019.36</v>
      </c>
      <c r="H2013" s="5">
        <f t="shared" si="31"/>
        <v>-9.6276552782490164E-3</v>
      </c>
    </row>
    <row r="2014" spans="1:8" ht="13.5" x14ac:dyDescent="0.25">
      <c r="A2014" s="1"/>
      <c r="B2014" s="3">
        <v>45232</v>
      </c>
      <c r="C2014" s="4">
        <v>14.2</v>
      </c>
      <c r="D2014" s="4">
        <v>12.0915</v>
      </c>
      <c r="E2014" s="4">
        <v>66</v>
      </c>
      <c r="F2014" s="4">
        <v>14.316000000000001</v>
      </c>
      <c r="G2014" s="4">
        <v>944.85599999999999</v>
      </c>
      <c r="H2014" s="5">
        <f t="shared" si="31"/>
        <v>-1.3888662349736519E-2</v>
      </c>
    </row>
    <row r="2015" spans="1:8" ht="13.5" x14ac:dyDescent="0.25">
      <c r="A2015" s="1"/>
      <c r="B2015" s="3">
        <v>45233</v>
      </c>
      <c r="C2015" s="4">
        <v>14.45</v>
      </c>
      <c r="D2015" s="4">
        <v>12.304399999999999</v>
      </c>
      <c r="E2015" s="4">
        <v>775</v>
      </c>
      <c r="F2015" s="4">
        <v>14.407999999999999</v>
      </c>
      <c r="G2015" s="4">
        <v>11166.2</v>
      </c>
      <c r="H2015" s="5">
        <f t="shared" si="31"/>
        <v>1.7607410164164863E-2</v>
      </c>
    </row>
    <row r="2016" spans="1:8" ht="13.5" x14ac:dyDescent="0.25">
      <c r="A2016" s="1"/>
      <c r="B2016" s="3">
        <v>45236</v>
      </c>
      <c r="C2016" s="4">
        <v>14.32</v>
      </c>
      <c r="D2016" s="4">
        <v>12.1937</v>
      </c>
      <c r="E2016" s="4">
        <v>71</v>
      </c>
      <c r="F2016" s="4">
        <v>14.371</v>
      </c>
      <c r="G2016" s="4">
        <v>1020.341</v>
      </c>
      <c r="H2016" s="5">
        <f t="shared" si="31"/>
        <v>-8.9967816390884216E-3</v>
      </c>
    </row>
    <row r="2017" spans="1:8" ht="13.5" x14ac:dyDescent="0.25">
      <c r="A2017" s="1"/>
      <c r="B2017" s="3">
        <v>45237</v>
      </c>
      <c r="C2017" s="4">
        <v>14.3</v>
      </c>
      <c r="D2017" s="4">
        <v>12.1767</v>
      </c>
      <c r="E2017" s="4">
        <v>115</v>
      </c>
      <c r="F2017" s="4">
        <v>14.3</v>
      </c>
      <c r="G2017" s="4">
        <v>1644.5</v>
      </c>
      <c r="H2017" s="5">
        <f t="shared" si="31"/>
        <v>-1.3941625593543764E-3</v>
      </c>
    </row>
    <row r="2018" spans="1:8" ht="13.5" x14ac:dyDescent="0.25">
      <c r="A2018" s="1"/>
      <c r="B2018" s="3">
        <v>45238</v>
      </c>
      <c r="C2018" s="4">
        <v>14.4</v>
      </c>
      <c r="D2018" s="4">
        <v>12.261799999999999</v>
      </c>
      <c r="E2018" s="4">
        <v>235</v>
      </c>
      <c r="F2018" s="4">
        <v>14.303000000000001</v>
      </c>
      <c r="G2018" s="4">
        <v>3361.2049999999999</v>
      </c>
      <c r="H2018" s="5">
        <f t="shared" si="31"/>
        <v>6.9887572166513782E-3</v>
      </c>
    </row>
    <row r="2019" spans="1:8" ht="13.5" x14ac:dyDescent="0.25">
      <c r="A2019" s="1"/>
      <c r="B2019" s="3">
        <v>45239</v>
      </c>
      <c r="C2019" s="4">
        <v>14.5</v>
      </c>
      <c r="D2019" s="4">
        <v>12.347</v>
      </c>
      <c r="E2019" s="4">
        <v>2159</v>
      </c>
      <c r="F2019" s="4">
        <v>14.5</v>
      </c>
      <c r="G2019" s="4">
        <v>31305.5</v>
      </c>
      <c r="H2019" s="5">
        <f t="shared" si="31"/>
        <v>6.9484088796098768E-3</v>
      </c>
    </row>
    <row r="2020" spans="1:8" ht="13.5" x14ac:dyDescent="0.25">
      <c r="A2020" s="1"/>
      <c r="B2020" s="3">
        <v>45240</v>
      </c>
      <c r="C2020" s="4">
        <v>14.5</v>
      </c>
      <c r="D2020" s="4">
        <v>12.347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14.4</v>
      </c>
      <c r="D2021" s="4">
        <v>12.261799999999999</v>
      </c>
      <c r="E2021" s="4">
        <v>806</v>
      </c>
      <c r="F2021" s="4">
        <v>14.4</v>
      </c>
      <c r="G2021" s="4">
        <v>11606.4</v>
      </c>
      <c r="H2021" s="5">
        <f t="shared" si="31"/>
        <v>-6.9004616506034167E-3</v>
      </c>
    </row>
    <row r="2022" spans="1:8" ht="13.5" x14ac:dyDescent="0.25">
      <c r="A2022" s="1"/>
      <c r="B2022" s="3">
        <v>45244</v>
      </c>
      <c r="C2022" s="4">
        <v>14.58</v>
      </c>
      <c r="D2022" s="4">
        <v>12.415100000000001</v>
      </c>
      <c r="E2022" s="4">
        <v>58</v>
      </c>
      <c r="F2022" s="4">
        <v>14.393000000000001</v>
      </c>
      <c r="G2022" s="4">
        <v>834.79399999999998</v>
      </c>
      <c r="H2022" s="5">
        <f t="shared" si="31"/>
        <v>1.2502242737607982E-2</v>
      </c>
    </row>
    <row r="2023" spans="1:8" ht="13.5" x14ac:dyDescent="0.25">
      <c r="A2023" s="1"/>
      <c r="B2023" s="3">
        <v>45245</v>
      </c>
      <c r="C2023" s="4">
        <v>14.58</v>
      </c>
      <c r="D2023" s="4">
        <v>12.415100000000001</v>
      </c>
      <c r="E2023" s="4">
        <v>16</v>
      </c>
      <c r="F2023" s="4">
        <v>14.587999999999999</v>
      </c>
      <c r="G2023" s="4">
        <v>233.40799999999999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14.58</v>
      </c>
      <c r="D2024" s="4">
        <v>12.415100000000001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14.4</v>
      </c>
      <c r="D2025" s="4">
        <v>12.261799999999999</v>
      </c>
      <c r="E2025" s="4">
        <v>58</v>
      </c>
      <c r="F2025" s="4">
        <v>14.337999999999999</v>
      </c>
      <c r="G2025" s="4">
        <v>831.60400000000004</v>
      </c>
      <c r="H2025" s="5">
        <f t="shared" si="31"/>
        <v>-1.2347866710699191E-2</v>
      </c>
    </row>
    <row r="2026" spans="1:8" ht="13.5" x14ac:dyDescent="0.25">
      <c r="A2026" s="1"/>
      <c r="B2026" s="3">
        <v>45250</v>
      </c>
      <c r="C2026" s="4">
        <v>14.4</v>
      </c>
      <c r="D2026" s="4">
        <v>12.261799999999999</v>
      </c>
      <c r="E2026" s="4">
        <v>403</v>
      </c>
      <c r="F2026" s="4">
        <v>14.246</v>
      </c>
      <c r="G2026" s="4">
        <v>5741.1379999999999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14.49</v>
      </c>
      <c r="D2027" s="4">
        <v>12.3384</v>
      </c>
      <c r="E2027" s="4">
        <v>1030</v>
      </c>
      <c r="F2027" s="4">
        <v>14.484</v>
      </c>
      <c r="G2027" s="4">
        <v>14918.52</v>
      </c>
      <c r="H2027" s="5">
        <f t="shared" si="31"/>
        <v>6.2470436640624455E-3</v>
      </c>
    </row>
    <row r="2028" spans="1:8" ht="13.5" x14ac:dyDescent="0.25">
      <c r="A2028" s="1"/>
      <c r="B2028" s="3">
        <v>45252</v>
      </c>
      <c r="C2028" s="4">
        <v>14.49</v>
      </c>
      <c r="D2028" s="4">
        <v>12.3384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14.45</v>
      </c>
      <c r="D2029" s="4">
        <v>12.304399999999999</v>
      </c>
      <c r="E2029" s="4">
        <v>293</v>
      </c>
      <c r="F2029" s="4">
        <v>14.401999999999999</v>
      </c>
      <c r="G2029" s="4">
        <v>4219.7860000000001</v>
      </c>
      <c r="H2029" s="5">
        <f t="shared" si="31"/>
        <v>-2.7556247163328064E-3</v>
      </c>
    </row>
    <row r="2030" spans="1:8" ht="13.5" x14ac:dyDescent="0.25">
      <c r="A2030" s="1"/>
      <c r="B2030" s="3">
        <v>45254</v>
      </c>
      <c r="C2030" s="4">
        <v>14.45</v>
      </c>
      <c r="D2030" s="4">
        <v>12.304399999999999</v>
      </c>
      <c r="E2030" s="4">
        <v>3010</v>
      </c>
      <c r="F2030" s="4">
        <v>14.45</v>
      </c>
      <c r="G2030" s="4">
        <v>43494.5</v>
      </c>
      <c r="H2030" s="5">
        <f t="shared" si="31"/>
        <v>0</v>
      </c>
    </row>
    <row r="2031" spans="1:8" ht="13.5" x14ac:dyDescent="0.25">
      <c r="A2031" s="1"/>
      <c r="B2031" s="3">
        <v>45257</v>
      </c>
      <c r="C2031" s="4">
        <v>14.24</v>
      </c>
      <c r="D2031" s="4">
        <v>12.1256</v>
      </c>
      <c r="E2031" s="4">
        <v>200</v>
      </c>
      <c r="F2031" s="4">
        <v>14.23</v>
      </c>
      <c r="G2031" s="4">
        <v>2846</v>
      </c>
      <c r="H2031" s="5">
        <f t="shared" si="31"/>
        <v>-1.4531387146061487E-2</v>
      </c>
    </row>
    <row r="2032" spans="1:8" ht="13.5" x14ac:dyDescent="0.25">
      <c r="A2032" s="1"/>
      <c r="B2032" s="3">
        <v>45258</v>
      </c>
      <c r="C2032" s="4">
        <v>14.4</v>
      </c>
      <c r="D2032" s="4">
        <v>12.261799999999999</v>
      </c>
      <c r="E2032" s="4">
        <v>1272</v>
      </c>
      <c r="F2032" s="4">
        <v>14.391999999999999</v>
      </c>
      <c r="G2032" s="4">
        <v>18306.624</v>
      </c>
      <c r="H2032" s="5">
        <f t="shared" si="31"/>
        <v>1.123243385894296E-2</v>
      </c>
    </row>
    <row r="2033" spans="1:8" ht="13.5" x14ac:dyDescent="0.25">
      <c r="A2033" s="1"/>
      <c r="B2033" s="3">
        <v>45259</v>
      </c>
      <c r="C2033" s="4">
        <v>14.4</v>
      </c>
      <c r="D2033" s="4">
        <v>12.261799999999999</v>
      </c>
      <c r="E2033" s="4">
        <v>921</v>
      </c>
      <c r="F2033" s="4">
        <v>14.428000000000001</v>
      </c>
      <c r="G2033" s="4">
        <v>13288.188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14.56</v>
      </c>
      <c r="D2034" s="4">
        <v>12.398</v>
      </c>
      <c r="E2034" s="4">
        <v>655</v>
      </c>
      <c r="F2034" s="4">
        <v>14.532999999999999</v>
      </c>
      <c r="G2034" s="4">
        <v>9519.1149999999998</v>
      </c>
      <c r="H2034" s="5">
        <f t="shared" si="31"/>
        <v>1.1107667715996064E-2</v>
      </c>
    </row>
    <row r="2035" spans="1:8" ht="13.5" x14ac:dyDescent="0.25">
      <c r="A2035" s="1"/>
      <c r="B2035" s="3">
        <v>45261</v>
      </c>
      <c r="C2035" s="4">
        <v>14.65</v>
      </c>
      <c r="D2035" s="4">
        <v>12.4747</v>
      </c>
      <c r="E2035" s="4">
        <v>557</v>
      </c>
      <c r="F2035" s="4">
        <v>14.651</v>
      </c>
      <c r="G2035" s="4">
        <v>8160.607</v>
      </c>
      <c r="H2035" s="5">
        <f t="shared" si="31"/>
        <v>6.1864816905953107E-3</v>
      </c>
    </row>
    <row r="2036" spans="1:8" ht="13.5" x14ac:dyDescent="0.25">
      <c r="A2036" s="1"/>
      <c r="B2036" s="3">
        <v>45264</v>
      </c>
      <c r="C2036" s="4">
        <v>14.75</v>
      </c>
      <c r="D2036" s="4">
        <v>12.559799999999999</v>
      </c>
      <c r="E2036" s="4">
        <v>405</v>
      </c>
      <c r="F2036" s="4">
        <v>14.685</v>
      </c>
      <c r="G2036" s="4">
        <v>5947.4250000000002</v>
      </c>
      <c r="H2036" s="5">
        <f t="shared" si="31"/>
        <v>6.8218073380521245E-3</v>
      </c>
    </row>
    <row r="2037" spans="1:8" ht="13.5" x14ac:dyDescent="0.25">
      <c r="A2037" s="1"/>
      <c r="B2037" s="3">
        <v>45265</v>
      </c>
      <c r="C2037" s="4">
        <v>14.78</v>
      </c>
      <c r="D2037" s="4">
        <v>12.5854</v>
      </c>
      <c r="E2037" s="4">
        <v>520</v>
      </c>
      <c r="F2037" s="4">
        <v>14.79</v>
      </c>
      <c r="G2037" s="4">
        <v>7690.8</v>
      </c>
      <c r="H2037" s="5">
        <f t="shared" si="31"/>
        <v>2.0382490167041461E-3</v>
      </c>
    </row>
    <row r="2038" spans="1:8" ht="13.5" x14ac:dyDescent="0.25">
      <c r="A2038" s="1"/>
      <c r="B2038" s="3">
        <v>45266</v>
      </c>
      <c r="C2038" s="4">
        <v>14.7</v>
      </c>
      <c r="D2038" s="4">
        <v>12.517300000000001</v>
      </c>
      <c r="E2038" s="4">
        <v>599</v>
      </c>
      <c r="F2038" s="4">
        <v>14.563000000000001</v>
      </c>
      <c r="G2038" s="4">
        <v>8723.2369999999992</v>
      </c>
      <c r="H2038" s="5">
        <f t="shared" si="31"/>
        <v>-5.4110318305337444E-3</v>
      </c>
    </row>
    <row r="2039" spans="1:8" ht="13.5" x14ac:dyDescent="0.25">
      <c r="A2039" s="1"/>
      <c r="B2039" s="3">
        <v>45267</v>
      </c>
      <c r="C2039" s="4">
        <v>14.79</v>
      </c>
      <c r="D2039" s="4">
        <v>12.5939</v>
      </c>
      <c r="E2039" s="4">
        <v>614</v>
      </c>
      <c r="F2039" s="4">
        <v>14.509</v>
      </c>
      <c r="G2039" s="4">
        <v>8908.5259999999998</v>
      </c>
      <c r="H2039" s="5">
        <f t="shared" si="31"/>
        <v>6.119530569691476E-3</v>
      </c>
    </row>
    <row r="2040" spans="1:8" ht="13.5" x14ac:dyDescent="0.25">
      <c r="A2040" s="1"/>
      <c r="B2040" s="3">
        <v>45268</v>
      </c>
      <c r="C2040" s="4">
        <v>14.78</v>
      </c>
      <c r="D2040" s="4">
        <v>12.5854</v>
      </c>
      <c r="E2040" s="4">
        <v>64</v>
      </c>
      <c r="F2040" s="4">
        <v>14.611000000000001</v>
      </c>
      <c r="G2040" s="4">
        <v>935.10400000000004</v>
      </c>
      <c r="H2040" s="5">
        <f t="shared" si="31"/>
        <v>-6.7492992639291486E-4</v>
      </c>
    </row>
    <row r="2041" spans="1:8" ht="13.5" x14ac:dyDescent="0.25">
      <c r="A2041" s="1"/>
      <c r="B2041" s="3">
        <v>45271</v>
      </c>
      <c r="C2041" s="4">
        <v>14.78</v>
      </c>
      <c r="D2041" s="4">
        <v>12.5854</v>
      </c>
      <c r="E2041" s="4">
        <v>1113</v>
      </c>
      <c r="F2041" s="4">
        <v>14.78</v>
      </c>
      <c r="G2041" s="4">
        <v>16450.14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14.82</v>
      </c>
      <c r="D2042" s="4">
        <v>12.619400000000001</v>
      </c>
      <c r="E2042" s="4">
        <v>851</v>
      </c>
      <c r="F2042" s="4">
        <v>14.773</v>
      </c>
      <c r="G2042" s="4">
        <v>12571.823</v>
      </c>
      <c r="H2042" s="5">
        <f t="shared" si="31"/>
        <v>2.701543057828968E-3</v>
      </c>
    </row>
    <row r="2043" spans="1:8" ht="13.5" x14ac:dyDescent="0.25">
      <c r="A2043" s="1"/>
      <c r="B2043" s="3">
        <v>45273</v>
      </c>
      <c r="C2043" s="4">
        <v>14.82</v>
      </c>
      <c r="D2043" s="4">
        <v>12.619400000000001</v>
      </c>
      <c r="E2043" s="4">
        <v>338</v>
      </c>
      <c r="F2043" s="4">
        <v>14.606999999999999</v>
      </c>
      <c r="G2043" s="4">
        <v>4937.1660000000002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14.95</v>
      </c>
      <c r="D2044" s="4">
        <v>12.7301</v>
      </c>
      <c r="E2044" s="4">
        <v>384</v>
      </c>
      <c r="F2044" s="4">
        <v>14.916</v>
      </c>
      <c r="G2044" s="4">
        <v>5727.7439999999997</v>
      </c>
      <c r="H2044" s="5">
        <f t="shared" si="31"/>
        <v>8.7722078704216971E-3</v>
      </c>
    </row>
    <row r="2045" spans="1:8" ht="13.5" x14ac:dyDescent="0.25">
      <c r="A2045" s="1"/>
      <c r="B2045" s="3">
        <v>45275</v>
      </c>
      <c r="C2045" s="4">
        <v>14.95</v>
      </c>
      <c r="D2045" s="4">
        <v>12.7301</v>
      </c>
      <c r="E2045" s="4">
        <v>84</v>
      </c>
      <c r="F2045" s="4">
        <v>14.755000000000001</v>
      </c>
      <c r="G2045" s="4">
        <v>1239.42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14.8</v>
      </c>
      <c r="D2046" s="4">
        <v>12.602399999999999</v>
      </c>
      <c r="E2046" s="4">
        <v>383</v>
      </c>
      <c r="F2046" s="4">
        <v>14.756</v>
      </c>
      <c r="G2046" s="4">
        <v>5651.5479999999998</v>
      </c>
      <c r="H2046" s="5">
        <f t="shared" si="31"/>
        <v>-1.0031343037368192E-2</v>
      </c>
    </row>
    <row r="2047" spans="1:8" ht="13.5" x14ac:dyDescent="0.25">
      <c r="A2047" s="1"/>
      <c r="B2047" s="3">
        <v>45279</v>
      </c>
      <c r="C2047" s="4">
        <v>14.7</v>
      </c>
      <c r="D2047" s="4">
        <v>12.517300000000001</v>
      </c>
      <c r="E2047" s="4">
        <v>392</v>
      </c>
      <c r="F2047" s="4">
        <v>14.792</v>
      </c>
      <c r="G2047" s="4">
        <v>5798.4639999999999</v>
      </c>
      <c r="H2047" s="5">
        <f t="shared" si="31"/>
        <v>-6.7526820288198158E-3</v>
      </c>
    </row>
    <row r="2048" spans="1:8" ht="13.5" x14ac:dyDescent="0.25">
      <c r="A2048" s="1"/>
      <c r="B2048" s="3">
        <v>45280</v>
      </c>
      <c r="C2048" s="4">
        <v>14.85</v>
      </c>
      <c r="D2048" s="4">
        <v>12.645</v>
      </c>
      <c r="E2048" s="4">
        <v>696</v>
      </c>
      <c r="F2048" s="4">
        <v>14.723000000000001</v>
      </c>
      <c r="G2048" s="4">
        <v>10247.208000000001</v>
      </c>
      <c r="H2048" s="5">
        <f t="shared" si="31"/>
        <v>1.0201880597253323E-2</v>
      </c>
    </row>
    <row r="2049" spans="1:8" ht="13.5" x14ac:dyDescent="0.25">
      <c r="A2049" s="1"/>
      <c r="B2049" s="3">
        <v>45281</v>
      </c>
      <c r="C2049" s="4">
        <v>14.76</v>
      </c>
      <c r="D2049" s="4">
        <v>12.568300000000001</v>
      </c>
      <c r="E2049" s="4">
        <v>10</v>
      </c>
      <c r="F2049" s="4">
        <v>14.769</v>
      </c>
      <c r="G2049" s="4">
        <v>147.69</v>
      </c>
      <c r="H2049" s="5">
        <f t="shared" si="31"/>
        <v>-6.0656385923288951E-3</v>
      </c>
    </row>
    <row r="2050" spans="1:8" ht="13.5" x14ac:dyDescent="0.25">
      <c r="A2050" s="1"/>
      <c r="B2050" s="3">
        <v>45282</v>
      </c>
      <c r="C2050" s="4">
        <v>14.9</v>
      </c>
      <c r="D2050" s="4">
        <v>12.6876</v>
      </c>
      <c r="E2050" s="4">
        <v>765</v>
      </c>
      <c r="F2050" s="4">
        <v>14.773999999999999</v>
      </c>
      <c r="G2050" s="4">
        <v>11302.11</v>
      </c>
      <c r="H2050" s="5">
        <f t="shared" si="31"/>
        <v>9.4921349744992618E-3</v>
      </c>
    </row>
    <row r="2051" spans="1:8" ht="13.5" x14ac:dyDescent="0.25">
      <c r="A2051" s="1"/>
      <c r="B2051" s="3">
        <v>45285</v>
      </c>
      <c r="C2051" s="4">
        <v>14.73</v>
      </c>
      <c r="D2051" s="4">
        <v>12.5428</v>
      </c>
      <c r="E2051" s="4">
        <v>964</v>
      </c>
      <c r="F2051" s="4">
        <v>14.827</v>
      </c>
      <c r="G2051" s="4">
        <v>14293.227999999999</v>
      </c>
      <c r="H2051" s="5">
        <f t="shared" si="31"/>
        <v>-1.1412717929316817E-2</v>
      </c>
    </row>
    <row r="2052" spans="1:8" ht="13.5" x14ac:dyDescent="0.25">
      <c r="A2052" s="1"/>
      <c r="B2052" s="3">
        <v>45286</v>
      </c>
      <c r="C2052" s="4">
        <v>14.89</v>
      </c>
      <c r="D2052" s="4">
        <v>12.679</v>
      </c>
      <c r="E2052" s="4">
        <v>960</v>
      </c>
      <c r="F2052" s="4">
        <v>14.746</v>
      </c>
      <c r="G2052" s="4">
        <v>14156.16</v>
      </c>
      <c r="H2052" s="5">
        <f t="shared" si="31"/>
        <v>1.0858819402366342E-2</v>
      </c>
    </row>
    <row r="2053" spans="1:8" ht="13.5" x14ac:dyDescent="0.25">
      <c r="A2053" s="1"/>
      <c r="B2053" s="3">
        <v>45287</v>
      </c>
      <c r="C2053" s="4">
        <v>14.89</v>
      </c>
      <c r="D2053" s="4">
        <v>12.679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14.88</v>
      </c>
      <c r="D2054" s="4">
        <v>12.670500000000001</v>
      </c>
      <c r="E2054" s="4">
        <v>7706</v>
      </c>
      <c r="F2054" s="4">
        <v>14.597</v>
      </c>
      <c r="G2054" s="4">
        <v>112484.482</v>
      </c>
      <c r="H2054" s="5">
        <f t="shared" si="31"/>
        <v>-6.7039987380706123E-4</v>
      </c>
    </row>
    <row r="2055" spans="1:8" ht="13.5" x14ac:dyDescent="0.25">
      <c r="A2055" s="1"/>
      <c r="B2055" s="3">
        <v>45289</v>
      </c>
      <c r="C2055" s="4">
        <v>14.95</v>
      </c>
      <c r="D2055" s="4">
        <v>12.7301</v>
      </c>
      <c r="E2055" s="4">
        <v>2213</v>
      </c>
      <c r="F2055" s="4">
        <v>14.743</v>
      </c>
      <c r="G2055" s="4">
        <v>32626.258999999998</v>
      </c>
      <c r="H2055" s="5">
        <f t="shared" ref="H2055:H2118" si="32">(D2055-D2054)/D2054</f>
        <v>4.7038396274811291E-3</v>
      </c>
    </row>
    <row r="2056" spans="1:8" ht="13.5" x14ac:dyDescent="0.25">
      <c r="A2056" s="1"/>
      <c r="B2056" s="3">
        <v>45293</v>
      </c>
      <c r="C2056" s="4">
        <v>14.9</v>
      </c>
      <c r="D2056" s="4">
        <v>12.6876</v>
      </c>
      <c r="E2056" s="4">
        <v>197</v>
      </c>
      <c r="F2056" s="4">
        <v>14.911</v>
      </c>
      <c r="G2056" s="4">
        <v>2937.4670000000001</v>
      </c>
      <c r="H2056" s="5">
        <f t="shared" si="32"/>
        <v>-3.3385440805649936E-3</v>
      </c>
    </row>
    <row r="2057" spans="1:8" ht="13.5" x14ac:dyDescent="0.25">
      <c r="A2057" s="1"/>
      <c r="B2057" s="3">
        <v>45294</v>
      </c>
      <c r="C2057" s="4">
        <v>14.73</v>
      </c>
      <c r="D2057" s="4">
        <v>12.5428</v>
      </c>
      <c r="E2057" s="4">
        <v>796</v>
      </c>
      <c r="F2057" s="4">
        <v>14.896000000000001</v>
      </c>
      <c r="G2057" s="4">
        <v>11857.216</v>
      </c>
      <c r="H2057" s="5">
        <f t="shared" si="32"/>
        <v>-1.1412717929316817E-2</v>
      </c>
    </row>
    <row r="2058" spans="1:8" ht="13.5" x14ac:dyDescent="0.25">
      <c r="A2058" s="1"/>
      <c r="B2058" s="3">
        <v>45295</v>
      </c>
      <c r="C2058" s="4">
        <v>14.8</v>
      </c>
      <c r="D2058" s="4">
        <v>12.602399999999999</v>
      </c>
      <c r="E2058" s="4">
        <v>1102</v>
      </c>
      <c r="F2058" s="4">
        <v>14.749000000000001</v>
      </c>
      <c r="G2058" s="4">
        <v>16253.397999999999</v>
      </c>
      <c r="H2058" s="5">
        <f t="shared" si="32"/>
        <v>4.7517300762189981E-3</v>
      </c>
    </row>
    <row r="2059" spans="1:8" ht="13.5" x14ac:dyDescent="0.25">
      <c r="A2059" s="1"/>
      <c r="B2059" s="3">
        <v>45296</v>
      </c>
      <c r="C2059" s="4">
        <v>15</v>
      </c>
      <c r="D2059" s="4">
        <v>12.7727</v>
      </c>
      <c r="E2059" s="4">
        <v>987</v>
      </c>
      <c r="F2059" s="4">
        <v>14.865</v>
      </c>
      <c r="G2059" s="4">
        <v>14671.754999999999</v>
      </c>
      <c r="H2059" s="5">
        <f t="shared" si="32"/>
        <v>1.3513299054148496E-2</v>
      </c>
    </row>
    <row r="2060" spans="1:8" ht="13.5" x14ac:dyDescent="0.25">
      <c r="A2060" s="1"/>
      <c r="B2060" s="3">
        <v>45299</v>
      </c>
      <c r="C2060" s="4">
        <v>15.14</v>
      </c>
      <c r="D2060" s="4">
        <v>12.8919</v>
      </c>
      <c r="E2060" s="4">
        <v>3831</v>
      </c>
      <c r="F2060" s="4">
        <v>14.989000000000001</v>
      </c>
      <c r="G2060" s="4">
        <v>57422.858999999997</v>
      </c>
      <c r="H2060" s="5">
        <f t="shared" si="32"/>
        <v>9.3324042684788111E-3</v>
      </c>
    </row>
    <row r="2061" spans="1:8" ht="13.5" x14ac:dyDescent="0.25">
      <c r="A2061" s="1"/>
      <c r="B2061" s="3">
        <v>45300</v>
      </c>
      <c r="C2061" s="4">
        <v>15.4</v>
      </c>
      <c r="D2061" s="4">
        <v>13.113300000000001</v>
      </c>
      <c r="E2061" s="4">
        <v>4196</v>
      </c>
      <c r="F2061" s="4">
        <v>15.208</v>
      </c>
      <c r="G2061" s="4">
        <v>63812.767999999996</v>
      </c>
      <c r="H2061" s="5">
        <f t="shared" si="32"/>
        <v>1.7173574104670446E-2</v>
      </c>
    </row>
    <row r="2062" spans="1:8" ht="13.5" x14ac:dyDescent="0.25">
      <c r="A2062" s="1"/>
      <c r="B2062" s="3">
        <v>45301</v>
      </c>
      <c r="C2062" s="4">
        <v>15.12</v>
      </c>
      <c r="D2062" s="4">
        <v>12.8749</v>
      </c>
      <c r="E2062" s="4">
        <v>1027</v>
      </c>
      <c r="F2062" s="4">
        <v>15.307</v>
      </c>
      <c r="G2062" s="4">
        <v>15720.289000000001</v>
      </c>
      <c r="H2062" s="5">
        <f t="shared" si="32"/>
        <v>-1.8180015709241791E-2</v>
      </c>
    </row>
    <row r="2063" spans="1:8" ht="13.5" x14ac:dyDescent="0.25">
      <c r="A2063" s="1"/>
      <c r="B2063" s="3">
        <v>45302</v>
      </c>
      <c r="C2063" s="4">
        <v>15.8</v>
      </c>
      <c r="D2063" s="4">
        <v>13.453900000000001</v>
      </c>
      <c r="E2063" s="4">
        <v>1507</v>
      </c>
      <c r="F2063" s="4">
        <v>15.497</v>
      </c>
      <c r="G2063" s="4">
        <v>23353.978999999999</v>
      </c>
      <c r="H2063" s="5">
        <f t="shared" si="32"/>
        <v>4.4971223077460841E-2</v>
      </c>
    </row>
    <row r="2064" spans="1:8" ht="13.5" x14ac:dyDescent="0.25">
      <c r="A2064" s="1"/>
      <c r="B2064" s="3">
        <v>45303</v>
      </c>
      <c r="C2064" s="4">
        <v>15.79</v>
      </c>
      <c r="D2064" s="4">
        <v>13.445399999999999</v>
      </c>
      <c r="E2064" s="4">
        <v>4</v>
      </c>
      <c r="F2064" s="4">
        <v>15.79</v>
      </c>
      <c r="G2064" s="4">
        <v>63.16</v>
      </c>
      <c r="H2064" s="5">
        <f t="shared" si="32"/>
        <v>-6.317870654606847E-4</v>
      </c>
    </row>
    <row r="2065" spans="1:8" ht="13.5" x14ac:dyDescent="0.25">
      <c r="A2065" s="1"/>
      <c r="B2065" s="3">
        <v>45306</v>
      </c>
      <c r="C2065" s="4">
        <v>15.49</v>
      </c>
      <c r="D2065" s="4">
        <v>13.19</v>
      </c>
      <c r="E2065" s="4">
        <v>2898</v>
      </c>
      <c r="F2065" s="4">
        <v>15.488</v>
      </c>
      <c r="G2065" s="4">
        <v>44884.224000000002</v>
      </c>
      <c r="H2065" s="5">
        <f t="shared" si="32"/>
        <v>-1.8995344132565775E-2</v>
      </c>
    </row>
    <row r="2066" spans="1:8" ht="13.5" x14ac:dyDescent="0.25">
      <c r="A2066" s="1"/>
      <c r="B2066" s="3">
        <v>45307</v>
      </c>
      <c r="C2066" s="4">
        <v>15.48</v>
      </c>
      <c r="D2066" s="4">
        <v>13.1814</v>
      </c>
      <c r="E2066" s="4">
        <v>2812</v>
      </c>
      <c r="F2066" s="4">
        <v>15.49</v>
      </c>
      <c r="G2066" s="4">
        <v>43557.88</v>
      </c>
      <c r="H2066" s="5">
        <f t="shared" si="32"/>
        <v>-6.5200909780132655E-4</v>
      </c>
    </row>
    <row r="2067" spans="1:8" ht="13.5" x14ac:dyDescent="0.25">
      <c r="A2067" s="1"/>
      <c r="B2067" s="3">
        <v>45308</v>
      </c>
      <c r="C2067" s="4">
        <v>15.69</v>
      </c>
      <c r="D2067" s="4">
        <v>13.360300000000001</v>
      </c>
      <c r="E2067" s="4">
        <v>1065</v>
      </c>
      <c r="F2067" s="4">
        <v>15.49</v>
      </c>
      <c r="G2067" s="4">
        <v>16496.849999999999</v>
      </c>
      <c r="H2067" s="5">
        <f t="shared" si="32"/>
        <v>1.3572154702838887E-2</v>
      </c>
    </row>
    <row r="2068" spans="1:8" ht="13.5" x14ac:dyDescent="0.25">
      <c r="A2068" s="1"/>
      <c r="B2068" s="3">
        <v>45309</v>
      </c>
      <c r="C2068" s="4">
        <v>15.38</v>
      </c>
      <c r="D2068" s="4">
        <v>13.096299999999999</v>
      </c>
      <c r="E2068" s="4">
        <v>1187</v>
      </c>
      <c r="F2068" s="4">
        <v>15.382999999999999</v>
      </c>
      <c r="G2068" s="4">
        <v>18259.620999999999</v>
      </c>
      <c r="H2068" s="5">
        <f t="shared" si="32"/>
        <v>-1.9760035328548094E-2</v>
      </c>
    </row>
    <row r="2069" spans="1:8" ht="13.5" x14ac:dyDescent="0.25">
      <c r="A2069" s="1"/>
      <c r="B2069" s="3">
        <v>45310</v>
      </c>
      <c r="C2069" s="4">
        <v>14.69</v>
      </c>
      <c r="D2069" s="4">
        <v>12.508699999999999</v>
      </c>
      <c r="E2069" s="4">
        <v>4547</v>
      </c>
      <c r="F2069" s="4">
        <v>14.725</v>
      </c>
      <c r="G2069" s="4">
        <v>66954.574999999997</v>
      </c>
      <c r="H2069" s="5">
        <f t="shared" si="32"/>
        <v>-4.4867634370012913E-2</v>
      </c>
    </row>
    <row r="2070" spans="1:8" ht="13.5" x14ac:dyDescent="0.25">
      <c r="A2070" s="1"/>
      <c r="B2070" s="3">
        <v>45313</v>
      </c>
      <c r="C2070" s="4">
        <v>14.68</v>
      </c>
      <c r="D2070" s="4">
        <v>12.5002</v>
      </c>
      <c r="E2070" s="4">
        <v>7649</v>
      </c>
      <c r="F2070" s="4">
        <v>14.513</v>
      </c>
      <c r="G2070" s="4">
        <v>111009.93700000001</v>
      </c>
      <c r="H2070" s="5">
        <f t="shared" si="32"/>
        <v>-6.7952704917375348E-4</v>
      </c>
    </row>
    <row r="2071" spans="1:8" ht="13.5" x14ac:dyDescent="0.25">
      <c r="A2071" s="1"/>
      <c r="B2071" s="3">
        <v>45314</v>
      </c>
      <c r="C2071" s="4">
        <v>14.7</v>
      </c>
      <c r="D2071" s="4">
        <v>12.517300000000001</v>
      </c>
      <c r="E2071" s="4">
        <v>600</v>
      </c>
      <c r="F2071" s="4">
        <v>14.673999999999999</v>
      </c>
      <c r="G2071" s="4">
        <v>8804.4</v>
      </c>
      <c r="H2071" s="5">
        <f t="shared" si="32"/>
        <v>1.3679781123502827E-3</v>
      </c>
    </row>
    <row r="2072" spans="1:8" ht="13.5" x14ac:dyDescent="0.25">
      <c r="A2072" s="1"/>
      <c r="B2072" s="3">
        <v>45315</v>
      </c>
      <c r="C2072" s="4">
        <v>14.68</v>
      </c>
      <c r="D2072" s="4">
        <v>12.5002</v>
      </c>
      <c r="E2072" s="4">
        <v>693</v>
      </c>
      <c r="F2072" s="4">
        <v>14.686</v>
      </c>
      <c r="G2072" s="4">
        <v>10177.397999999999</v>
      </c>
      <c r="H2072" s="5">
        <f t="shared" si="32"/>
        <v>-1.3661093047223445E-3</v>
      </c>
    </row>
    <row r="2073" spans="1:8" ht="13.5" x14ac:dyDescent="0.25">
      <c r="A2073" s="1"/>
      <c r="B2073" s="3">
        <v>45316</v>
      </c>
      <c r="C2073" s="4">
        <v>14.74</v>
      </c>
      <c r="D2073" s="4">
        <v>12.551299999999999</v>
      </c>
      <c r="E2073" s="4">
        <v>925</v>
      </c>
      <c r="F2073" s="4">
        <v>14.586</v>
      </c>
      <c r="G2073" s="4">
        <v>13492.05</v>
      </c>
      <c r="H2073" s="5">
        <f t="shared" si="32"/>
        <v>4.0879345930465057E-3</v>
      </c>
    </row>
    <row r="2074" spans="1:8" ht="13.5" x14ac:dyDescent="0.25">
      <c r="A2074" s="1"/>
      <c r="B2074" s="3">
        <v>45317</v>
      </c>
      <c r="C2074" s="4">
        <v>15</v>
      </c>
      <c r="D2074" s="4">
        <v>12.7727</v>
      </c>
      <c r="E2074" s="4">
        <v>119</v>
      </c>
      <c r="F2074" s="4">
        <v>14.836</v>
      </c>
      <c r="G2074" s="4">
        <v>1765.4839999999999</v>
      </c>
      <c r="H2074" s="5">
        <f t="shared" si="32"/>
        <v>1.7639607052655975E-2</v>
      </c>
    </row>
    <row r="2075" spans="1:8" ht="13.5" x14ac:dyDescent="0.25">
      <c r="A2075" s="1"/>
      <c r="B2075" s="3">
        <v>45320</v>
      </c>
      <c r="C2075" s="4">
        <v>15</v>
      </c>
      <c r="D2075" s="4">
        <v>12.7727</v>
      </c>
      <c r="E2075" s="4">
        <v>1</v>
      </c>
      <c r="F2075" s="4">
        <v>15</v>
      </c>
      <c r="G2075" s="4">
        <v>15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15</v>
      </c>
      <c r="D2076" s="4">
        <v>12.7727</v>
      </c>
      <c r="E2076" s="4">
        <v>250</v>
      </c>
      <c r="F2076" s="4">
        <v>15</v>
      </c>
      <c r="G2076" s="4">
        <v>3750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15</v>
      </c>
      <c r="D2077" s="4">
        <v>12.7727</v>
      </c>
      <c r="E2077" s="4">
        <v>400</v>
      </c>
      <c r="F2077" s="4">
        <v>15</v>
      </c>
      <c r="G2077" s="4">
        <v>6000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15</v>
      </c>
      <c r="D2078" s="4">
        <v>12.7727</v>
      </c>
      <c r="E2078" s="4">
        <v>490</v>
      </c>
      <c r="F2078" s="4">
        <v>14.865</v>
      </c>
      <c r="G2078" s="4">
        <v>7283.85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15</v>
      </c>
      <c r="D2079" s="4">
        <v>12.7727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15.19</v>
      </c>
      <c r="D2080" s="4">
        <v>12.9345</v>
      </c>
      <c r="E2080" s="4">
        <v>1030</v>
      </c>
      <c r="F2080" s="4">
        <v>15</v>
      </c>
      <c r="G2080" s="4">
        <v>15450</v>
      </c>
      <c r="H2080" s="5">
        <f t="shared" si="32"/>
        <v>1.2667642706710367E-2</v>
      </c>
    </row>
    <row r="2081" spans="1:8" ht="13.5" x14ac:dyDescent="0.25">
      <c r="A2081" s="1"/>
      <c r="B2081" s="3">
        <v>45328</v>
      </c>
      <c r="C2081" s="4">
        <v>15</v>
      </c>
      <c r="D2081" s="4">
        <v>12.7727</v>
      </c>
      <c r="E2081" s="4">
        <v>571</v>
      </c>
      <c r="F2081" s="4">
        <v>14.891</v>
      </c>
      <c r="G2081" s="4">
        <v>8502.7610000000004</v>
      </c>
      <c r="H2081" s="5">
        <f t="shared" si="32"/>
        <v>-1.2509180872859368E-2</v>
      </c>
    </row>
    <row r="2082" spans="1:8" ht="13.5" x14ac:dyDescent="0.25">
      <c r="A2082" s="1"/>
      <c r="B2082" s="3">
        <v>45329</v>
      </c>
      <c r="C2082" s="4">
        <v>14.9</v>
      </c>
      <c r="D2082" s="4">
        <v>12.6876</v>
      </c>
      <c r="E2082" s="4">
        <v>163</v>
      </c>
      <c r="F2082" s="4">
        <v>14.903</v>
      </c>
      <c r="G2082" s="4">
        <v>2429.1889999999999</v>
      </c>
      <c r="H2082" s="5">
        <f t="shared" si="32"/>
        <v>-6.6626476782513187E-3</v>
      </c>
    </row>
    <row r="2083" spans="1:8" ht="13.5" x14ac:dyDescent="0.25">
      <c r="A2083" s="1"/>
      <c r="B2083" s="3">
        <v>45330</v>
      </c>
      <c r="C2083" s="4">
        <v>14.9</v>
      </c>
      <c r="D2083" s="4">
        <v>12.6876</v>
      </c>
      <c r="E2083" s="4">
        <v>427</v>
      </c>
      <c r="F2083" s="4">
        <v>14.9</v>
      </c>
      <c r="G2083" s="4">
        <v>6362.3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14.89</v>
      </c>
      <c r="D2084" s="4">
        <v>12.679</v>
      </c>
      <c r="E2084" s="4">
        <v>808</v>
      </c>
      <c r="F2084" s="4">
        <v>14.805999999999999</v>
      </c>
      <c r="G2084" s="4">
        <v>11963.248</v>
      </c>
      <c r="H2084" s="5">
        <f t="shared" si="32"/>
        <v>-6.7782716983507492E-4</v>
      </c>
    </row>
    <row r="2085" spans="1:8" ht="13.5" x14ac:dyDescent="0.25">
      <c r="A2085" s="1"/>
      <c r="B2085" s="3">
        <v>45334</v>
      </c>
      <c r="C2085" s="4">
        <v>14.82</v>
      </c>
      <c r="D2085" s="4">
        <v>12.619400000000001</v>
      </c>
      <c r="E2085" s="4">
        <v>922</v>
      </c>
      <c r="F2085" s="4">
        <v>14.82</v>
      </c>
      <c r="G2085" s="4">
        <v>13664.04</v>
      </c>
      <c r="H2085" s="5">
        <f t="shared" si="32"/>
        <v>-4.7006861739884572E-3</v>
      </c>
    </row>
    <row r="2086" spans="1:8" ht="13.5" x14ac:dyDescent="0.25">
      <c r="A2086" s="1"/>
      <c r="B2086" s="3">
        <v>45335</v>
      </c>
      <c r="C2086" s="4">
        <v>14.82</v>
      </c>
      <c r="D2086" s="4">
        <v>12.619400000000001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14.95</v>
      </c>
      <c r="D2087" s="4">
        <v>12.7301</v>
      </c>
      <c r="E2087" s="4">
        <v>795</v>
      </c>
      <c r="F2087" s="4">
        <v>14.833</v>
      </c>
      <c r="G2087" s="4">
        <v>11792.235000000001</v>
      </c>
      <c r="H2087" s="5">
        <f t="shared" si="32"/>
        <v>8.7722078704216971E-3</v>
      </c>
    </row>
    <row r="2088" spans="1:8" ht="13.5" x14ac:dyDescent="0.25">
      <c r="A2088" s="1"/>
      <c r="B2088" s="3">
        <v>45337</v>
      </c>
      <c r="C2088" s="4">
        <v>15</v>
      </c>
      <c r="D2088" s="4">
        <v>12.7727</v>
      </c>
      <c r="E2088" s="4">
        <v>1700</v>
      </c>
      <c r="F2088" s="4">
        <v>14.999000000000001</v>
      </c>
      <c r="G2088" s="4">
        <v>25498.3</v>
      </c>
      <c r="H2088" s="5">
        <f t="shared" si="32"/>
        <v>3.3463994784015986E-3</v>
      </c>
    </row>
    <row r="2089" spans="1:8" ht="13.5" x14ac:dyDescent="0.25">
      <c r="A2089" s="1"/>
      <c r="B2089" s="3">
        <v>45338</v>
      </c>
      <c r="C2089" s="4">
        <v>15.1</v>
      </c>
      <c r="D2089" s="4">
        <v>12.857900000000001</v>
      </c>
      <c r="E2089" s="4">
        <v>1</v>
      </c>
      <c r="F2089" s="4">
        <v>15.1</v>
      </c>
      <c r="G2089" s="4">
        <v>15.1</v>
      </c>
      <c r="H2089" s="5">
        <f t="shared" si="32"/>
        <v>6.6704768764631111E-3</v>
      </c>
    </row>
    <row r="2090" spans="1:8" ht="13.5" x14ac:dyDescent="0.25">
      <c r="A2090" s="1"/>
      <c r="B2090" s="3">
        <v>45341</v>
      </c>
      <c r="C2090" s="4">
        <v>15</v>
      </c>
      <c r="D2090" s="4">
        <v>12.7727</v>
      </c>
      <c r="E2090" s="4">
        <v>2294</v>
      </c>
      <c r="F2090" s="4">
        <v>15</v>
      </c>
      <c r="G2090" s="4">
        <v>34410</v>
      </c>
      <c r="H2090" s="5">
        <f t="shared" si="32"/>
        <v>-6.6262764526089316E-3</v>
      </c>
    </row>
    <row r="2091" spans="1:8" ht="13.5" x14ac:dyDescent="0.25">
      <c r="A2091" s="1"/>
      <c r="B2091" s="3">
        <v>45342</v>
      </c>
      <c r="C2091" s="4">
        <v>15</v>
      </c>
      <c r="D2091" s="4">
        <v>12.7727</v>
      </c>
      <c r="E2091" s="4">
        <v>595</v>
      </c>
      <c r="F2091" s="4">
        <v>15</v>
      </c>
      <c r="G2091" s="4">
        <v>8925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15.1</v>
      </c>
      <c r="D2092" s="4">
        <v>12.857900000000001</v>
      </c>
      <c r="E2092" s="4">
        <v>1206</v>
      </c>
      <c r="F2092" s="4">
        <v>15</v>
      </c>
      <c r="G2092" s="4">
        <v>18090</v>
      </c>
      <c r="H2092" s="5">
        <f t="shared" si="32"/>
        <v>6.6704768764631111E-3</v>
      </c>
    </row>
    <row r="2093" spans="1:8" ht="13.5" x14ac:dyDescent="0.25">
      <c r="A2093" s="1"/>
      <c r="B2093" s="3">
        <v>45344</v>
      </c>
      <c r="C2093" s="4">
        <v>15.1</v>
      </c>
      <c r="D2093" s="4">
        <v>12.857900000000001</v>
      </c>
      <c r="E2093" s="4">
        <v>10215</v>
      </c>
      <c r="F2093" s="4">
        <v>15.074999999999999</v>
      </c>
      <c r="G2093" s="4">
        <v>153991.125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15.3</v>
      </c>
      <c r="D2094" s="4">
        <v>13.0282</v>
      </c>
      <c r="E2094" s="4">
        <v>1</v>
      </c>
      <c r="F2094" s="4">
        <v>15.3</v>
      </c>
      <c r="G2094" s="4">
        <v>15.3</v>
      </c>
      <c r="H2094" s="5">
        <f t="shared" si="32"/>
        <v>1.3244775585437686E-2</v>
      </c>
    </row>
    <row r="2095" spans="1:8" ht="13.5" x14ac:dyDescent="0.25">
      <c r="A2095" s="1"/>
      <c r="B2095" s="3">
        <v>45348</v>
      </c>
      <c r="C2095" s="4">
        <v>15.2</v>
      </c>
      <c r="D2095" s="4">
        <v>12.943</v>
      </c>
      <c r="E2095" s="4">
        <v>5193</v>
      </c>
      <c r="F2095" s="4">
        <v>15.02</v>
      </c>
      <c r="G2095" s="4">
        <v>77998.86</v>
      </c>
      <c r="H2095" s="5">
        <f t="shared" si="32"/>
        <v>-6.5396601218894691E-3</v>
      </c>
    </row>
    <row r="2096" spans="1:8" ht="13.5" x14ac:dyDescent="0.25">
      <c r="A2096" s="1"/>
      <c r="B2096" s="3">
        <v>45349</v>
      </c>
      <c r="C2096" s="4">
        <v>15.3</v>
      </c>
      <c r="D2096" s="4">
        <v>13.0282</v>
      </c>
      <c r="E2096" s="4">
        <v>2474</v>
      </c>
      <c r="F2096" s="4">
        <v>15.278</v>
      </c>
      <c r="G2096" s="4">
        <v>37797.771999999997</v>
      </c>
      <c r="H2096" s="5">
        <f t="shared" si="32"/>
        <v>6.5827088001236492E-3</v>
      </c>
    </row>
    <row r="2097" spans="1:8" ht="13.5" x14ac:dyDescent="0.25">
      <c r="A2097" s="1"/>
      <c r="B2097" s="3">
        <v>45350</v>
      </c>
      <c r="C2097" s="4">
        <v>15.48</v>
      </c>
      <c r="D2097" s="4">
        <v>13.1814</v>
      </c>
      <c r="E2097" s="4">
        <v>1985</v>
      </c>
      <c r="F2097" s="4">
        <v>15.422000000000001</v>
      </c>
      <c r="G2097" s="4">
        <v>30612.67</v>
      </c>
      <c r="H2097" s="5">
        <f t="shared" si="32"/>
        <v>1.1759107167528898E-2</v>
      </c>
    </row>
    <row r="2098" spans="1:8" ht="13.5" x14ac:dyDescent="0.25">
      <c r="A2098" s="1"/>
      <c r="B2098" s="3">
        <v>45351</v>
      </c>
      <c r="C2098" s="4">
        <v>15.48</v>
      </c>
      <c r="D2098" s="4">
        <v>13.1814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15.38</v>
      </c>
      <c r="D2099" s="4">
        <v>13.096299999999999</v>
      </c>
      <c r="E2099" s="4">
        <v>262</v>
      </c>
      <c r="F2099" s="4">
        <v>15.308</v>
      </c>
      <c r="G2099" s="4">
        <v>4010.6959999999999</v>
      </c>
      <c r="H2099" s="5">
        <f t="shared" si="32"/>
        <v>-6.4560668821218243E-3</v>
      </c>
    </row>
    <row r="2100" spans="1:8" ht="13.5" x14ac:dyDescent="0.25">
      <c r="A2100" s="1"/>
      <c r="B2100" s="3">
        <v>45355</v>
      </c>
      <c r="C2100" s="4">
        <v>15.4</v>
      </c>
      <c r="D2100" s="4">
        <v>13.113300000000001</v>
      </c>
      <c r="E2100" s="4">
        <v>1278</v>
      </c>
      <c r="F2100" s="4">
        <v>15.332000000000001</v>
      </c>
      <c r="G2100" s="4">
        <v>19594.295999999998</v>
      </c>
      <c r="H2100" s="5">
        <f t="shared" si="32"/>
        <v>1.298076555973919E-3</v>
      </c>
    </row>
    <row r="2101" spans="1:8" ht="13.5" x14ac:dyDescent="0.25">
      <c r="A2101" s="1"/>
      <c r="B2101" s="3">
        <v>45356</v>
      </c>
      <c r="C2101" s="4">
        <v>15.4</v>
      </c>
      <c r="D2101" s="4">
        <v>13.113300000000001</v>
      </c>
      <c r="E2101" s="4">
        <v>61</v>
      </c>
      <c r="F2101" s="4">
        <v>15.326000000000001</v>
      </c>
      <c r="G2101" s="4">
        <v>934.88599999999997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15.4</v>
      </c>
      <c r="D2102" s="4">
        <v>13.113300000000001</v>
      </c>
      <c r="E2102" s="4">
        <v>2299</v>
      </c>
      <c r="F2102" s="4">
        <v>15.31</v>
      </c>
      <c r="G2102" s="4">
        <v>35197.69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15.35</v>
      </c>
      <c r="D2103" s="4">
        <v>13.0707</v>
      </c>
      <c r="E2103" s="4">
        <v>1340</v>
      </c>
      <c r="F2103" s="4">
        <v>15.313000000000001</v>
      </c>
      <c r="G2103" s="4">
        <v>20519.419999999998</v>
      </c>
      <c r="H2103" s="5">
        <f t="shared" si="32"/>
        <v>-3.2486101896547926E-3</v>
      </c>
    </row>
    <row r="2104" spans="1:8" ht="13.5" x14ac:dyDescent="0.25">
      <c r="A2104" s="1"/>
      <c r="B2104" s="3">
        <v>45359</v>
      </c>
      <c r="C2104" s="4">
        <v>15.35</v>
      </c>
      <c r="D2104" s="4">
        <v>13.0707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15.35</v>
      </c>
      <c r="D2105" s="4">
        <v>13.0707</v>
      </c>
      <c r="E2105" s="4">
        <v>4</v>
      </c>
      <c r="F2105" s="4">
        <v>15.35</v>
      </c>
      <c r="G2105" s="4">
        <v>61.4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15.35</v>
      </c>
      <c r="D2106" s="4">
        <v>13.0707</v>
      </c>
      <c r="E2106" s="4">
        <v>501</v>
      </c>
      <c r="F2106" s="4">
        <v>15.35</v>
      </c>
      <c r="G2106" s="4">
        <v>7690.35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15.31</v>
      </c>
      <c r="D2107" s="4">
        <v>13.0367</v>
      </c>
      <c r="E2107" s="4">
        <v>201</v>
      </c>
      <c r="F2107" s="4">
        <v>15.238</v>
      </c>
      <c r="G2107" s="4">
        <v>3062.8380000000002</v>
      </c>
      <c r="H2107" s="5">
        <f t="shared" si="32"/>
        <v>-2.6012378832044724E-3</v>
      </c>
    </row>
    <row r="2108" spans="1:8" ht="13.5" x14ac:dyDescent="0.25">
      <c r="A2108" s="1"/>
      <c r="B2108" s="3">
        <v>45365</v>
      </c>
      <c r="C2108" s="4">
        <v>15.35</v>
      </c>
      <c r="D2108" s="4">
        <v>13.0707</v>
      </c>
      <c r="E2108" s="4">
        <v>571</v>
      </c>
      <c r="F2108" s="4">
        <v>15.35</v>
      </c>
      <c r="G2108" s="4">
        <v>8764.85</v>
      </c>
      <c r="H2108" s="5">
        <f t="shared" si="32"/>
        <v>2.6080219687498137E-3</v>
      </c>
    </row>
    <row r="2109" spans="1:8" ht="13.5" x14ac:dyDescent="0.25">
      <c r="A2109" s="1"/>
      <c r="B2109" s="3">
        <v>45366</v>
      </c>
      <c r="C2109" s="4">
        <v>15.3</v>
      </c>
      <c r="D2109" s="4">
        <v>13.0282</v>
      </c>
      <c r="E2109" s="4">
        <v>203</v>
      </c>
      <c r="F2109" s="4">
        <v>15.31</v>
      </c>
      <c r="G2109" s="4">
        <v>3107.93</v>
      </c>
      <c r="H2109" s="5">
        <f t="shared" si="32"/>
        <v>-3.2515473540055562E-3</v>
      </c>
    </row>
    <row r="2110" spans="1:8" ht="13.5" x14ac:dyDescent="0.25">
      <c r="A2110" s="1"/>
      <c r="B2110" s="3">
        <v>45369</v>
      </c>
      <c r="C2110" s="4">
        <v>15.25</v>
      </c>
      <c r="D2110" s="4">
        <v>12.9856</v>
      </c>
      <c r="E2110" s="4">
        <v>505</v>
      </c>
      <c r="F2110" s="4">
        <v>15.25</v>
      </c>
      <c r="G2110" s="4">
        <v>7701.25</v>
      </c>
      <c r="H2110" s="5">
        <f t="shared" si="32"/>
        <v>-3.2698300609447345E-3</v>
      </c>
    </row>
    <row r="2111" spans="1:8" ht="13.5" x14ac:dyDescent="0.25">
      <c r="A2111" s="1"/>
      <c r="B2111" s="3">
        <v>45370</v>
      </c>
      <c r="C2111" s="4">
        <v>15.25</v>
      </c>
      <c r="D2111" s="4">
        <v>12.9856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15.1</v>
      </c>
      <c r="D2112" s="4">
        <v>12.857900000000001</v>
      </c>
      <c r="E2112" s="4">
        <v>500</v>
      </c>
      <c r="F2112" s="4">
        <v>15.1</v>
      </c>
      <c r="G2112" s="4">
        <v>7550</v>
      </c>
      <c r="H2112" s="5">
        <f t="shared" si="32"/>
        <v>-9.8339699359289556E-3</v>
      </c>
    </row>
    <row r="2113" spans="1:8" ht="13.5" x14ac:dyDescent="0.25">
      <c r="A2113" s="1"/>
      <c r="B2113" s="3">
        <v>45373</v>
      </c>
      <c r="C2113" s="4">
        <v>15</v>
      </c>
      <c r="D2113" s="4">
        <v>12.7727</v>
      </c>
      <c r="E2113" s="4">
        <v>120</v>
      </c>
      <c r="F2113" s="4">
        <v>15.000999999999999</v>
      </c>
      <c r="G2113" s="4">
        <v>1800.12</v>
      </c>
      <c r="H2113" s="5">
        <f t="shared" si="32"/>
        <v>-6.6262764526089316E-3</v>
      </c>
    </row>
    <row r="2114" spans="1:8" ht="13.5" x14ac:dyDescent="0.25">
      <c r="A2114" s="1"/>
      <c r="B2114" s="3">
        <v>45376</v>
      </c>
      <c r="C2114" s="4">
        <v>15</v>
      </c>
      <c r="D2114" s="4">
        <v>12.7727</v>
      </c>
      <c r="E2114" s="4">
        <v>45</v>
      </c>
      <c r="F2114" s="4">
        <v>15</v>
      </c>
      <c r="G2114" s="4">
        <v>675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15.35</v>
      </c>
      <c r="D2115" s="4">
        <v>13.0707</v>
      </c>
      <c r="E2115" s="4">
        <v>13</v>
      </c>
      <c r="F2115" s="4">
        <v>15.119</v>
      </c>
      <c r="G2115" s="4">
        <v>196.547</v>
      </c>
      <c r="H2115" s="5">
        <f t="shared" si="32"/>
        <v>2.3331010671197167E-2</v>
      </c>
    </row>
    <row r="2116" spans="1:8" ht="13.5" x14ac:dyDescent="0.25">
      <c r="A2116" s="1"/>
      <c r="B2116" s="3">
        <v>45378</v>
      </c>
      <c r="C2116" s="4">
        <v>15.02</v>
      </c>
      <c r="D2116" s="4">
        <v>12.7897</v>
      </c>
      <c r="E2116" s="4">
        <v>783</v>
      </c>
      <c r="F2116" s="4">
        <v>15.27</v>
      </c>
      <c r="G2116" s="4">
        <v>11956.41</v>
      </c>
      <c r="H2116" s="5">
        <f t="shared" si="32"/>
        <v>-2.149846603471892E-2</v>
      </c>
    </row>
    <row r="2117" spans="1:8" ht="13.5" x14ac:dyDescent="0.25">
      <c r="A2117" s="1"/>
      <c r="B2117" s="3">
        <v>45379</v>
      </c>
      <c r="C2117" s="4">
        <v>15.34</v>
      </c>
      <c r="D2117" s="4">
        <v>13.062200000000001</v>
      </c>
      <c r="E2117" s="4">
        <v>1</v>
      </c>
      <c r="F2117" s="4">
        <v>15.34</v>
      </c>
      <c r="G2117" s="4">
        <v>15.34</v>
      </c>
      <c r="H2117" s="5">
        <f t="shared" si="32"/>
        <v>2.130620733871794E-2</v>
      </c>
    </row>
    <row r="2118" spans="1:8" ht="13.5" x14ac:dyDescent="0.25">
      <c r="A2118" s="1"/>
      <c r="B2118" s="3">
        <v>45380</v>
      </c>
      <c r="C2118" s="4">
        <v>15.1</v>
      </c>
      <c r="D2118" s="4">
        <v>12.857900000000001</v>
      </c>
      <c r="E2118" s="4">
        <v>2248</v>
      </c>
      <c r="F2118" s="4">
        <v>14.861000000000001</v>
      </c>
      <c r="G2118" s="4">
        <v>33407.527999999998</v>
      </c>
      <c r="H2118" s="5">
        <f t="shared" si="32"/>
        <v>-1.5640550596377326E-2</v>
      </c>
    </row>
    <row r="2119" spans="1:8" ht="13.5" x14ac:dyDescent="0.25">
      <c r="A2119" s="1"/>
      <c r="B2119" s="3">
        <v>45383</v>
      </c>
      <c r="C2119" s="4">
        <v>15.1</v>
      </c>
      <c r="D2119" s="4">
        <v>12.857900000000001</v>
      </c>
      <c r="E2119" s="4">
        <v>32</v>
      </c>
      <c r="F2119" s="4">
        <v>15.1</v>
      </c>
      <c r="G2119" s="4">
        <v>483.2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14.97</v>
      </c>
      <c r="D2120" s="4">
        <v>12.747199999999999</v>
      </c>
      <c r="E2120" s="4">
        <v>336</v>
      </c>
      <c r="F2120" s="4">
        <v>14.97</v>
      </c>
      <c r="G2120" s="4">
        <v>5029.92</v>
      </c>
      <c r="H2120" s="5">
        <f t="shared" si="33"/>
        <v>-8.609492996523643E-3</v>
      </c>
    </row>
    <row r="2121" spans="1:8" ht="13.5" x14ac:dyDescent="0.25">
      <c r="A2121" s="1"/>
      <c r="B2121" s="3">
        <v>45385</v>
      </c>
      <c r="C2121" s="4">
        <v>15</v>
      </c>
      <c r="D2121" s="4">
        <v>12.7727</v>
      </c>
      <c r="E2121" s="4">
        <v>46</v>
      </c>
      <c r="F2121" s="4">
        <v>15</v>
      </c>
      <c r="G2121" s="4">
        <v>690</v>
      </c>
      <c r="H2121" s="5">
        <f t="shared" si="33"/>
        <v>2.0004393121627467E-3</v>
      </c>
    </row>
    <row r="2122" spans="1:8" ht="13.5" x14ac:dyDescent="0.25">
      <c r="A2122" s="1"/>
      <c r="B2122" s="3">
        <v>45386</v>
      </c>
      <c r="C2122" s="4">
        <v>14.97</v>
      </c>
      <c r="D2122" s="4">
        <v>12.747199999999999</v>
      </c>
      <c r="E2122" s="4">
        <v>229</v>
      </c>
      <c r="F2122" s="4">
        <v>14.97</v>
      </c>
      <c r="G2122" s="4">
        <v>3428.13</v>
      </c>
      <c r="H2122" s="5">
        <f t="shared" si="33"/>
        <v>-1.9964455440119135E-3</v>
      </c>
    </row>
    <row r="2123" spans="1:8" ht="13.5" x14ac:dyDescent="0.25">
      <c r="A2123" s="1"/>
      <c r="B2123" s="3">
        <v>45387</v>
      </c>
      <c r="C2123" s="4">
        <v>15.3</v>
      </c>
      <c r="D2123" s="4">
        <v>13.0282</v>
      </c>
      <c r="E2123" s="4">
        <v>11</v>
      </c>
      <c r="F2123" s="4">
        <v>15.3</v>
      </c>
      <c r="G2123" s="4">
        <v>168.3</v>
      </c>
      <c r="H2123" s="5">
        <f t="shared" si="33"/>
        <v>2.2044056734027911E-2</v>
      </c>
    </row>
    <row r="2124" spans="1:8" ht="13.5" x14ac:dyDescent="0.25">
      <c r="A2124" s="1"/>
      <c r="B2124" s="3">
        <v>45390</v>
      </c>
      <c r="C2124" s="4">
        <v>15.3</v>
      </c>
      <c r="D2124" s="4">
        <v>13.0282</v>
      </c>
      <c r="E2124" s="4">
        <v>551</v>
      </c>
      <c r="F2124" s="4">
        <v>14.981</v>
      </c>
      <c r="G2124" s="4">
        <v>8254.5310000000009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15.4</v>
      </c>
      <c r="D2125" s="4">
        <v>13.113300000000001</v>
      </c>
      <c r="E2125" s="4">
        <v>694</v>
      </c>
      <c r="F2125" s="4">
        <v>15.266999999999999</v>
      </c>
      <c r="G2125" s="4">
        <v>10595.298000000001</v>
      </c>
      <c r="H2125" s="5">
        <f t="shared" si="33"/>
        <v>6.5319844644694293E-3</v>
      </c>
    </row>
    <row r="2126" spans="1:8" ht="13.5" x14ac:dyDescent="0.25">
      <c r="A2126" s="1"/>
      <c r="B2126" s="3">
        <v>45397</v>
      </c>
      <c r="C2126" s="4">
        <v>15.39</v>
      </c>
      <c r="D2126" s="4">
        <v>13.104799999999999</v>
      </c>
      <c r="E2126" s="4">
        <v>1052</v>
      </c>
      <c r="F2126" s="4">
        <v>15.304</v>
      </c>
      <c r="G2126" s="4">
        <v>16099.808000000001</v>
      </c>
      <c r="H2126" s="5">
        <f t="shared" si="33"/>
        <v>-6.4819686882794608E-4</v>
      </c>
    </row>
    <row r="2127" spans="1:8" ht="13.5" x14ac:dyDescent="0.25">
      <c r="A2127" s="1"/>
      <c r="B2127" s="3">
        <v>45398</v>
      </c>
      <c r="C2127" s="4">
        <v>15.39</v>
      </c>
      <c r="D2127" s="4">
        <v>13.104799999999999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15.3</v>
      </c>
      <c r="D2128" s="4">
        <v>13.0282</v>
      </c>
      <c r="E2128" s="4">
        <v>874</v>
      </c>
      <c r="F2128" s="4">
        <v>15.077</v>
      </c>
      <c r="G2128" s="4">
        <v>13177.298000000001</v>
      </c>
      <c r="H2128" s="5">
        <f t="shared" si="33"/>
        <v>-5.8451864965508148E-3</v>
      </c>
    </row>
    <row r="2129" spans="1:8" ht="13.5" x14ac:dyDescent="0.25">
      <c r="A2129" s="1"/>
      <c r="B2129" s="3">
        <v>45400</v>
      </c>
      <c r="C2129" s="4">
        <v>15.4</v>
      </c>
      <c r="D2129" s="4">
        <v>13.113300000000001</v>
      </c>
      <c r="E2129" s="4">
        <v>7081</v>
      </c>
      <c r="F2129" s="4">
        <v>15.379</v>
      </c>
      <c r="G2129" s="4">
        <v>108898.69899999999</v>
      </c>
      <c r="H2129" s="5">
        <f t="shared" si="33"/>
        <v>6.5319844644694293E-3</v>
      </c>
    </row>
    <row r="2130" spans="1:8" ht="13.5" x14ac:dyDescent="0.25">
      <c r="A2130" s="1"/>
      <c r="B2130" s="3">
        <v>45401</v>
      </c>
      <c r="C2130" s="4">
        <v>15.4</v>
      </c>
      <c r="D2130" s="4">
        <v>13.113300000000001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15.09</v>
      </c>
      <c r="D2131" s="4">
        <v>12.849299999999999</v>
      </c>
      <c r="E2131" s="4">
        <v>2305</v>
      </c>
      <c r="F2131" s="4">
        <v>14.805</v>
      </c>
      <c r="G2131" s="4">
        <v>34125.525000000001</v>
      </c>
      <c r="H2131" s="5">
        <f t="shared" si="33"/>
        <v>-2.0132232161240961E-2</v>
      </c>
    </row>
    <row r="2132" spans="1:8" ht="13.5" x14ac:dyDescent="0.25">
      <c r="A2132" s="1"/>
      <c r="B2132" s="3">
        <v>45405</v>
      </c>
      <c r="C2132" s="4">
        <v>15.09</v>
      </c>
      <c r="D2132" s="4">
        <v>12.849299999999999</v>
      </c>
      <c r="E2132" s="4">
        <v>247</v>
      </c>
      <c r="F2132" s="4">
        <v>14.840999999999999</v>
      </c>
      <c r="G2132" s="4">
        <v>3665.7269999999999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15</v>
      </c>
      <c r="D2133" s="4">
        <v>12.7727</v>
      </c>
      <c r="E2133" s="4">
        <v>842</v>
      </c>
      <c r="F2133" s="4">
        <v>14.9</v>
      </c>
      <c r="G2133" s="4">
        <v>12545.8</v>
      </c>
      <c r="H2133" s="5">
        <f t="shared" si="33"/>
        <v>-5.9614142404643923E-3</v>
      </c>
    </row>
    <row r="2134" spans="1:8" ht="13.5" x14ac:dyDescent="0.25">
      <c r="A2134" s="1"/>
      <c r="B2134" s="3">
        <v>45407</v>
      </c>
      <c r="C2134" s="4">
        <v>15</v>
      </c>
      <c r="D2134" s="4">
        <v>12.7727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15</v>
      </c>
      <c r="D2135" s="4">
        <v>12.7727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15.29</v>
      </c>
      <c r="D2136" s="4">
        <v>13.019600000000001</v>
      </c>
      <c r="E2136" s="4">
        <v>1391</v>
      </c>
      <c r="F2136" s="4">
        <v>14.999000000000001</v>
      </c>
      <c r="G2136" s="4">
        <v>20863.609</v>
      </c>
      <c r="H2136" s="5">
        <f t="shared" si="33"/>
        <v>1.9330290384961684E-2</v>
      </c>
    </row>
    <row r="2137" spans="1:8" ht="13.5" x14ac:dyDescent="0.25">
      <c r="A2137" s="1"/>
      <c r="B2137" s="3">
        <v>45412</v>
      </c>
      <c r="C2137" s="4">
        <v>14.96</v>
      </c>
      <c r="D2137" s="4">
        <v>12.7387</v>
      </c>
      <c r="E2137" s="4">
        <v>1980</v>
      </c>
      <c r="F2137" s="4">
        <v>14.996</v>
      </c>
      <c r="G2137" s="4">
        <v>29692.080000000002</v>
      </c>
      <c r="H2137" s="5">
        <f t="shared" si="33"/>
        <v>-2.1575163599496208E-2</v>
      </c>
    </row>
    <row r="2138" spans="1:8" ht="13.5" x14ac:dyDescent="0.25">
      <c r="A2138" s="1"/>
      <c r="B2138" s="3">
        <v>45414</v>
      </c>
      <c r="C2138" s="4">
        <v>14.97</v>
      </c>
      <c r="D2138" s="4">
        <v>12.747199999999999</v>
      </c>
      <c r="E2138" s="4">
        <v>520</v>
      </c>
      <c r="F2138" s="4">
        <v>15.079000000000001</v>
      </c>
      <c r="G2138" s="4">
        <v>7841.08</v>
      </c>
      <c r="H2138" s="5">
        <f t="shared" si="33"/>
        <v>6.6725804045936633E-4</v>
      </c>
    </row>
    <row r="2139" spans="1:8" ht="13.5" x14ac:dyDescent="0.25">
      <c r="A2139" s="1"/>
      <c r="B2139" s="3">
        <v>45415</v>
      </c>
      <c r="C2139" s="4">
        <v>14.97</v>
      </c>
      <c r="D2139" s="4">
        <v>12.747199999999999</v>
      </c>
      <c r="E2139" s="4">
        <v>1510</v>
      </c>
      <c r="F2139" s="4">
        <v>14.978999999999999</v>
      </c>
      <c r="G2139" s="4">
        <v>22618.29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14.95</v>
      </c>
      <c r="D2140" s="4">
        <v>12.7301</v>
      </c>
      <c r="E2140" s="4">
        <v>1717</v>
      </c>
      <c r="F2140" s="4">
        <v>14.976000000000001</v>
      </c>
      <c r="G2140" s="4">
        <v>25713.792000000001</v>
      </c>
      <c r="H2140" s="5">
        <f t="shared" si="33"/>
        <v>-1.3414710681560835E-3</v>
      </c>
    </row>
    <row r="2141" spans="1:8" ht="13.5" x14ac:dyDescent="0.25">
      <c r="A2141" s="1"/>
      <c r="B2141" s="3">
        <v>45419</v>
      </c>
      <c r="C2141" s="4">
        <v>14.95</v>
      </c>
      <c r="D2141" s="4">
        <v>12.7301</v>
      </c>
      <c r="E2141" s="4">
        <v>694</v>
      </c>
      <c r="F2141" s="4">
        <v>14.952</v>
      </c>
      <c r="G2141" s="4">
        <v>10376.688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14.95</v>
      </c>
      <c r="D2142" s="4">
        <v>12.7301</v>
      </c>
      <c r="E2142" s="4">
        <v>1148</v>
      </c>
      <c r="F2142" s="4">
        <v>14.904999999999999</v>
      </c>
      <c r="G2142" s="4">
        <v>17110.939999999999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14.95</v>
      </c>
      <c r="D2143" s="4">
        <v>12.7301</v>
      </c>
      <c r="E2143" s="4">
        <v>3642</v>
      </c>
      <c r="F2143" s="4">
        <v>14.91</v>
      </c>
      <c r="G2143" s="4">
        <v>54302.22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14.9</v>
      </c>
      <c r="D2144" s="4">
        <v>12.6876</v>
      </c>
      <c r="E2144" s="4">
        <v>68</v>
      </c>
      <c r="F2144" s="4">
        <v>14.9</v>
      </c>
      <c r="G2144" s="4">
        <v>1013.2</v>
      </c>
      <c r="H2144" s="5">
        <f t="shared" si="33"/>
        <v>-3.3385440805649936E-3</v>
      </c>
    </row>
    <row r="2145" spans="1:8" ht="13.5" x14ac:dyDescent="0.25">
      <c r="A2145" s="1"/>
      <c r="B2145" s="3">
        <v>45425</v>
      </c>
      <c r="C2145" s="4">
        <v>14.94</v>
      </c>
      <c r="D2145" s="4">
        <v>12.7216</v>
      </c>
      <c r="E2145" s="4">
        <v>3009</v>
      </c>
      <c r="F2145" s="4">
        <v>14.936999999999999</v>
      </c>
      <c r="G2145" s="4">
        <v>44945.432999999997</v>
      </c>
      <c r="H2145" s="5">
        <f t="shared" si="33"/>
        <v>2.6797818342319032E-3</v>
      </c>
    </row>
    <row r="2146" spans="1:8" ht="13.5" x14ac:dyDescent="0.25">
      <c r="A2146" s="1"/>
      <c r="B2146" s="3">
        <v>45426</v>
      </c>
      <c r="C2146" s="4">
        <v>14.95</v>
      </c>
      <c r="D2146" s="4">
        <v>12.7301</v>
      </c>
      <c r="E2146" s="4">
        <v>861</v>
      </c>
      <c r="F2146" s="4">
        <v>14.946999999999999</v>
      </c>
      <c r="G2146" s="4">
        <v>12869.367</v>
      </c>
      <c r="H2146" s="5">
        <f t="shared" si="33"/>
        <v>6.6815494906298967E-4</v>
      </c>
    </row>
    <row r="2147" spans="1:8" ht="13.5" x14ac:dyDescent="0.25">
      <c r="A2147" s="1"/>
      <c r="B2147" s="3">
        <v>45427</v>
      </c>
      <c r="C2147" s="4">
        <v>15</v>
      </c>
      <c r="D2147" s="4">
        <v>12.7727</v>
      </c>
      <c r="E2147" s="4">
        <v>4825</v>
      </c>
      <c r="F2147" s="4">
        <v>14.967000000000001</v>
      </c>
      <c r="G2147" s="4">
        <v>72215.774999999994</v>
      </c>
      <c r="H2147" s="5">
        <f t="shared" si="33"/>
        <v>3.3463994784015986E-3</v>
      </c>
    </row>
    <row r="2148" spans="1:8" ht="13.5" x14ac:dyDescent="0.25">
      <c r="A2148" s="1"/>
      <c r="B2148" s="3">
        <v>45428</v>
      </c>
      <c r="C2148" s="4">
        <v>15.3</v>
      </c>
      <c r="D2148" s="4">
        <v>13.0282</v>
      </c>
      <c r="E2148" s="4">
        <v>1979</v>
      </c>
      <c r="F2148" s="4">
        <v>15.244</v>
      </c>
      <c r="G2148" s="4">
        <v>30167.876</v>
      </c>
      <c r="H2148" s="5">
        <f t="shared" si="33"/>
        <v>2.0003601431177402E-2</v>
      </c>
    </row>
    <row r="2149" spans="1:8" ht="13.5" x14ac:dyDescent="0.25">
      <c r="A2149" s="1"/>
      <c r="B2149" s="3">
        <v>45429</v>
      </c>
      <c r="C2149" s="4">
        <v>15.29</v>
      </c>
      <c r="D2149" s="4">
        <v>13.019600000000001</v>
      </c>
      <c r="E2149" s="4">
        <v>301</v>
      </c>
      <c r="F2149" s="4">
        <v>15.000999999999999</v>
      </c>
      <c r="G2149" s="4">
        <v>4515.3010000000004</v>
      </c>
      <c r="H2149" s="5">
        <f t="shared" si="33"/>
        <v>-6.6010653812495176E-4</v>
      </c>
    </row>
    <row r="2150" spans="1:8" ht="13.5" x14ac:dyDescent="0.25">
      <c r="A2150" s="1"/>
      <c r="B2150" s="3">
        <v>45432</v>
      </c>
      <c r="C2150" s="4">
        <v>15</v>
      </c>
      <c r="D2150" s="4">
        <v>12.7727</v>
      </c>
      <c r="E2150" s="4">
        <v>2721</v>
      </c>
      <c r="F2150" s="4">
        <v>14.981999999999999</v>
      </c>
      <c r="G2150" s="4">
        <v>40766.021999999997</v>
      </c>
      <c r="H2150" s="5">
        <f t="shared" si="33"/>
        <v>-1.8963716243202564E-2</v>
      </c>
    </row>
    <row r="2151" spans="1:8" ht="13.5" x14ac:dyDescent="0.25">
      <c r="A2151" s="1"/>
      <c r="B2151" s="3">
        <v>45433</v>
      </c>
      <c r="C2151" s="4">
        <v>15.25</v>
      </c>
      <c r="D2151" s="4">
        <v>12.9856</v>
      </c>
      <c r="E2151" s="4">
        <v>2156</v>
      </c>
      <c r="F2151" s="4">
        <v>15.16</v>
      </c>
      <c r="G2151" s="4">
        <v>32684.959999999999</v>
      </c>
      <c r="H2151" s="5">
        <f t="shared" si="33"/>
        <v>1.6668362992945846E-2</v>
      </c>
    </row>
    <row r="2152" spans="1:8" ht="13.5" x14ac:dyDescent="0.25">
      <c r="A2152" s="1"/>
      <c r="B2152" s="3">
        <v>45434</v>
      </c>
      <c r="C2152" s="4">
        <v>15.15</v>
      </c>
      <c r="D2152" s="4">
        <v>12.900399999999999</v>
      </c>
      <c r="E2152" s="4">
        <v>2863</v>
      </c>
      <c r="F2152" s="4">
        <v>15</v>
      </c>
      <c r="G2152" s="4">
        <v>42945</v>
      </c>
      <c r="H2152" s="5">
        <f t="shared" si="33"/>
        <v>-6.561113849186821E-3</v>
      </c>
    </row>
    <row r="2153" spans="1:8" ht="13.5" x14ac:dyDescent="0.25">
      <c r="A2153" s="1"/>
      <c r="B2153" s="3">
        <v>45435</v>
      </c>
      <c r="C2153" s="4">
        <v>15.1</v>
      </c>
      <c r="D2153" s="4">
        <v>12.857900000000001</v>
      </c>
      <c r="E2153" s="4">
        <v>1327</v>
      </c>
      <c r="F2153" s="4">
        <v>15.026999999999999</v>
      </c>
      <c r="G2153" s="4">
        <v>19940.829000000002</v>
      </c>
      <c r="H2153" s="5">
        <f t="shared" si="33"/>
        <v>-3.2944714892560426E-3</v>
      </c>
    </row>
    <row r="2154" spans="1:8" ht="13.5" x14ac:dyDescent="0.25">
      <c r="A2154" s="1"/>
      <c r="B2154" s="3">
        <v>45436</v>
      </c>
      <c r="C2154" s="4">
        <v>15.2</v>
      </c>
      <c r="D2154" s="4">
        <v>12.943</v>
      </c>
      <c r="E2154" s="4">
        <v>4192</v>
      </c>
      <c r="F2154" s="4">
        <v>15.013</v>
      </c>
      <c r="G2154" s="4">
        <v>62934.495999999999</v>
      </c>
      <c r="H2154" s="5">
        <f t="shared" si="33"/>
        <v>6.618499132828754E-3</v>
      </c>
    </row>
    <row r="2155" spans="1:8" ht="13.5" x14ac:dyDescent="0.25">
      <c r="A2155" s="1"/>
      <c r="B2155" s="3">
        <v>45439</v>
      </c>
      <c r="C2155" s="4">
        <v>15.2</v>
      </c>
      <c r="D2155" s="4">
        <v>12.943</v>
      </c>
      <c r="E2155" s="4">
        <v>158</v>
      </c>
      <c r="F2155" s="4">
        <v>15.198</v>
      </c>
      <c r="G2155" s="4">
        <v>2401.2840000000001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15.25</v>
      </c>
      <c r="D2156" s="4">
        <v>12.9856</v>
      </c>
      <c r="E2156" s="4">
        <v>452</v>
      </c>
      <c r="F2156" s="4">
        <v>15.074</v>
      </c>
      <c r="G2156" s="4">
        <v>6813.4480000000003</v>
      </c>
      <c r="H2156" s="5">
        <f t="shared" si="33"/>
        <v>3.2913544000618246E-3</v>
      </c>
    </row>
    <row r="2157" spans="1:8" ht="13.5" x14ac:dyDescent="0.25">
      <c r="A2157" s="1"/>
      <c r="B2157" s="3">
        <v>45441</v>
      </c>
      <c r="C2157" s="4">
        <v>15.24</v>
      </c>
      <c r="D2157" s="4">
        <v>12.9771</v>
      </c>
      <c r="E2157" s="4">
        <v>748</v>
      </c>
      <c r="F2157" s="4">
        <v>15.247999999999999</v>
      </c>
      <c r="G2157" s="4">
        <v>11405.504000000001</v>
      </c>
      <c r="H2157" s="5">
        <f t="shared" si="33"/>
        <v>-6.5457121734842675E-4</v>
      </c>
    </row>
    <row r="2158" spans="1:8" ht="13.5" x14ac:dyDescent="0.25">
      <c r="A2158" s="1"/>
      <c r="B2158" s="3">
        <v>45442</v>
      </c>
      <c r="C2158" s="4">
        <v>15.24</v>
      </c>
      <c r="D2158" s="4">
        <v>12.9771</v>
      </c>
      <c r="E2158" s="4">
        <v>961</v>
      </c>
      <c r="F2158" s="4">
        <v>15.178000000000001</v>
      </c>
      <c r="G2158" s="4">
        <v>14586.058000000001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15.24</v>
      </c>
      <c r="D2159" s="4">
        <v>12.9771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15.24</v>
      </c>
      <c r="D2160" s="4">
        <v>12.9771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15</v>
      </c>
      <c r="D2161" s="4">
        <v>12.7727</v>
      </c>
      <c r="E2161" s="4">
        <v>1720</v>
      </c>
      <c r="F2161" s="4">
        <v>15.000999999999999</v>
      </c>
      <c r="G2161" s="4">
        <v>25801.72</v>
      </c>
      <c r="H2161" s="5">
        <f t="shared" si="33"/>
        <v>-1.5750822602892765E-2</v>
      </c>
    </row>
    <row r="2162" spans="1:8" ht="13.5" x14ac:dyDescent="0.25">
      <c r="A2162" s="1"/>
      <c r="B2162" s="3">
        <v>45448</v>
      </c>
      <c r="C2162" s="4">
        <v>15.2</v>
      </c>
      <c r="D2162" s="4">
        <v>12.943</v>
      </c>
      <c r="E2162" s="4">
        <v>44</v>
      </c>
      <c r="F2162" s="4">
        <v>15.2</v>
      </c>
      <c r="G2162" s="4">
        <v>668.8</v>
      </c>
      <c r="H2162" s="5">
        <f t="shared" si="33"/>
        <v>1.333312455471429E-2</v>
      </c>
    </row>
    <row r="2163" spans="1:8" ht="13.5" x14ac:dyDescent="0.25">
      <c r="A2163" s="1"/>
      <c r="B2163" s="3">
        <v>45449</v>
      </c>
      <c r="C2163" s="4">
        <v>15.17</v>
      </c>
      <c r="D2163" s="4">
        <v>12.9175</v>
      </c>
      <c r="E2163" s="4">
        <v>111</v>
      </c>
      <c r="F2163" s="4">
        <v>15.077</v>
      </c>
      <c r="G2163" s="4">
        <v>1673.547</v>
      </c>
      <c r="H2163" s="5">
        <f t="shared" si="33"/>
        <v>-1.9701769296144008E-3</v>
      </c>
    </row>
    <row r="2164" spans="1:8" ht="13.5" x14ac:dyDescent="0.25">
      <c r="A2164" s="1"/>
      <c r="B2164" s="3">
        <v>45450</v>
      </c>
      <c r="C2164" s="4">
        <v>15.2</v>
      </c>
      <c r="D2164" s="4">
        <v>12.943</v>
      </c>
      <c r="E2164" s="4">
        <v>638</v>
      </c>
      <c r="F2164" s="4">
        <v>15.189</v>
      </c>
      <c r="G2164" s="4">
        <v>9690.5820000000003</v>
      </c>
      <c r="H2164" s="5">
        <f t="shared" si="33"/>
        <v>1.9740661892780481E-3</v>
      </c>
    </row>
    <row r="2165" spans="1:8" ht="13.5" x14ac:dyDescent="0.25">
      <c r="A2165" s="1"/>
      <c r="B2165" s="3">
        <v>45453</v>
      </c>
      <c r="C2165" s="4">
        <v>15.19</v>
      </c>
      <c r="D2165" s="4">
        <v>12.9345</v>
      </c>
      <c r="E2165" s="4">
        <v>500</v>
      </c>
      <c r="F2165" s="4">
        <v>15.19</v>
      </c>
      <c r="G2165" s="4">
        <v>7595</v>
      </c>
      <c r="H2165" s="5">
        <f t="shared" si="33"/>
        <v>-6.5672564320480033E-4</v>
      </c>
    </row>
    <row r="2166" spans="1:8" ht="13.5" x14ac:dyDescent="0.25">
      <c r="A2166" s="1"/>
      <c r="B2166" s="3">
        <v>45454</v>
      </c>
      <c r="C2166" s="4">
        <v>15.2</v>
      </c>
      <c r="D2166" s="4">
        <v>12.943</v>
      </c>
      <c r="E2166" s="4">
        <v>560</v>
      </c>
      <c r="F2166" s="4">
        <v>15.135999999999999</v>
      </c>
      <c r="G2166" s="4">
        <v>8476.16</v>
      </c>
      <c r="H2166" s="5">
        <f t="shared" si="33"/>
        <v>6.5715721519963894E-4</v>
      </c>
    </row>
    <row r="2167" spans="1:8" ht="13.5" x14ac:dyDescent="0.25">
      <c r="A2167" s="1"/>
      <c r="B2167" s="3">
        <v>45455</v>
      </c>
      <c r="C2167" s="4">
        <v>15.2</v>
      </c>
      <c r="D2167" s="4">
        <v>12.943</v>
      </c>
      <c r="E2167" s="4">
        <v>5</v>
      </c>
      <c r="F2167" s="4">
        <v>15.064</v>
      </c>
      <c r="G2167" s="4">
        <v>75.319999999999993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15.25</v>
      </c>
      <c r="D2168" s="4">
        <v>12.9856</v>
      </c>
      <c r="E2168" s="4">
        <v>1362</v>
      </c>
      <c r="F2168" s="4">
        <v>15.035</v>
      </c>
      <c r="G2168" s="4">
        <v>20477.669999999998</v>
      </c>
      <c r="H2168" s="5">
        <f t="shared" si="33"/>
        <v>3.2913544000618246E-3</v>
      </c>
    </row>
    <row r="2169" spans="1:8" ht="13.5" x14ac:dyDescent="0.25">
      <c r="A2169" s="1"/>
      <c r="B2169" s="3">
        <v>45457</v>
      </c>
      <c r="C2169" s="4">
        <v>15.25</v>
      </c>
      <c r="D2169" s="4">
        <v>12.9856</v>
      </c>
      <c r="E2169" s="4">
        <v>1249</v>
      </c>
      <c r="F2169" s="4">
        <v>15.222</v>
      </c>
      <c r="G2169" s="4">
        <v>19012.277999999998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15.28</v>
      </c>
      <c r="D2170" s="4">
        <v>13.011100000000001</v>
      </c>
      <c r="E2170" s="4">
        <v>341</v>
      </c>
      <c r="F2170" s="4">
        <v>15.28</v>
      </c>
      <c r="G2170" s="4">
        <v>5210.4799999999996</v>
      </c>
      <c r="H2170" s="5">
        <f t="shared" si="33"/>
        <v>1.963713652045417E-3</v>
      </c>
    </row>
    <row r="2171" spans="1:8" ht="13.5" x14ac:dyDescent="0.25">
      <c r="A2171" s="1"/>
      <c r="B2171" s="3">
        <v>45462</v>
      </c>
      <c r="C2171" s="4">
        <v>15.28</v>
      </c>
      <c r="D2171" s="4">
        <v>13.011100000000001</v>
      </c>
      <c r="E2171" s="4">
        <v>1897</v>
      </c>
      <c r="F2171" s="4">
        <v>15.206</v>
      </c>
      <c r="G2171" s="4">
        <v>28845.781999999999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15.32</v>
      </c>
      <c r="D2172" s="4">
        <v>13.045199999999999</v>
      </c>
      <c r="E2172" s="4">
        <v>1192</v>
      </c>
      <c r="F2172" s="4">
        <v>15.308</v>
      </c>
      <c r="G2172" s="4">
        <v>18247.135999999999</v>
      </c>
      <c r="H2172" s="5">
        <f t="shared" si="33"/>
        <v>2.6208391296661071E-3</v>
      </c>
    </row>
    <row r="2173" spans="1:8" ht="13.5" x14ac:dyDescent="0.25">
      <c r="A2173" s="1"/>
      <c r="B2173" s="3">
        <v>45464</v>
      </c>
      <c r="C2173" s="4">
        <v>15.35</v>
      </c>
      <c r="D2173" s="4">
        <v>13.0707</v>
      </c>
      <c r="E2173" s="4">
        <v>2965</v>
      </c>
      <c r="F2173" s="4">
        <v>15.324</v>
      </c>
      <c r="G2173" s="4">
        <v>45435.66</v>
      </c>
      <c r="H2173" s="5">
        <f t="shared" si="33"/>
        <v>1.9547419740594983E-3</v>
      </c>
    </row>
    <row r="2174" spans="1:8" ht="13.5" x14ac:dyDescent="0.25">
      <c r="A2174" s="1"/>
      <c r="B2174" s="3">
        <v>45467</v>
      </c>
      <c r="C2174" s="4">
        <v>15.34</v>
      </c>
      <c r="D2174" s="4">
        <v>13.062200000000001</v>
      </c>
      <c r="E2174" s="4">
        <v>250</v>
      </c>
      <c r="F2174" s="4">
        <v>15.311</v>
      </c>
      <c r="G2174" s="4">
        <v>3827.75</v>
      </c>
      <c r="H2174" s="5">
        <f t="shared" si="33"/>
        <v>-6.5030947080108406E-4</v>
      </c>
    </row>
    <row r="2175" spans="1:8" ht="13.5" x14ac:dyDescent="0.25">
      <c r="A2175" s="1"/>
      <c r="B2175" s="3">
        <v>45468</v>
      </c>
      <c r="C2175" s="4">
        <v>15.34</v>
      </c>
      <c r="D2175" s="4">
        <v>13.062200000000001</v>
      </c>
      <c r="E2175" s="4">
        <v>127</v>
      </c>
      <c r="F2175" s="4">
        <v>15.33</v>
      </c>
      <c r="G2175" s="4">
        <v>1946.91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15.6</v>
      </c>
      <c r="D2176" s="4">
        <v>13.2836</v>
      </c>
      <c r="E2176" s="4">
        <v>2323</v>
      </c>
      <c r="F2176" s="4">
        <v>15.4</v>
      </c>
      <c r="G2176" s="4">
        <v>35774.199999999997</v>
      </c>
      <c r="H2176" s="5">
        <f t="shared" si="33"/>
        <v>1.6949671571404444E-2</v>
      </c>
    </row>
    <row r="2177" spans="1:8" ht="13.5" x14ac:dyDescent="0.25">
      <c r="A2177" s="1"/>
      <c r="B2177" s="3">
        <v>45470</v>
      </c>
      <c r="C2177" s="4">
        <v>15.59</v>
      </c>
      <c r="D2177" s="4">
        <v>13.2751</v>
      </c>
      <c r="E2177" s="4">
        <v>735</v>
      </c>
      <c r="F2177" s="4">
        <v>15.314</v>
      </c>
      <c r="G2177" s="4">
        <v>11255.79</v>
      </c>
      <c r="H2177" s="5">
        <f t="shared" si="33"/>
        <v>-6.3988677768072883E-4</v>
      </c>
    </row>
    <row r="2178" spans="1:8" ht="13.5" x14ac:dyDescent="0.25">
      <c r="A2178" s="1"/>
      <c r="B2178" s="3">
        <v>45471</v>
      </c>
      <c r="C2178" s="4">
        <v>15.89</v>
      </c>
      <c r="D2178" s="4">
        <v>13.5306</v>
      </c>
      <c r="E2178" s="4">
        <v>436</v>
      </c>
      <c r="F2178" s="4">
        <v>15.677</v>
      </c>
      <c r="G2178" s="4">
        <v>6835.1719999999996</v>
      </c>
      <c r="H2178" s="5">
        <f t="shared" si="33"/>
        <v>1.9246559347952153E-2</v>
      </c>
    </row>
    <row r="2179" spans="1:8" ht="13.5" x14ac:dyDescent="0.25">
      <c r="A2179" s="1"/>
      <c r="B2179" s="3">
        <v>45474</v>
      </c>
      <c r="C2179" s="4">
        <v>15.89</v>
      </c>
      <c r="D2179" s="4">
        <v>13.5306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15.87</v>
      </c>
      <c r="D2180" s="4">
        <v>13.513500000000001</v>
      </c>
      <c r="E2180" s="4">
        <v>1</v>
      </c>
      <c r="F2180" s="4">
        <v>15.87</v>
      </c>
      <c r="G2180" s="4">
        <v>15.87</v>
      </c>
      <c r="H2180" s="5">
        <f t="shared" si="33"/>
        <v>-1.2638020486895798E-3</v>
      </c>
    </row>
    <row r="2181" spans="1:8" ht="13.5" x14ac:dyDescent="0.25">
      <c r="A2181" s="1"/>
      <c r="B2181" s="3">
        <v>45476</v>
      </c>
      <c r="C2181" s="4">
        <v>15.5</v>
      </c>
      <c r="D2181" s="4">
        <v>13.198499999999999</v>
      </c>
      <c r="E2181" s="4">
        <v>274</v>
      </c>
      <c r="F2181" s="4">
        <v>15.244999999999999</v>
      </c>
      <c r="G2181" s="4">
        <v>4177.13</v>
      </c>
      <c r="H2181" s="5">
        <f t="shared" si="33"/>
        <v>-2.3310023310023405E-2</v>
      </c>
    </row>
    <row r="2182" spans="1:8" ht="13.5" x14ac:dyDescent="0.25">
      <c r="A2182" s="1"/>
      <c r="B2182" s="3">
        <v>45477</v>
      </c>
      <c r="C2182" s="4">
        <v>15.8</v>
      </c>
      <c r="D2182" s="4">
        <v>13.453900000000001</v>
      </c>
      <c r="E2182" s="4">
        <v>68</v>
      </c>
      <c r="F2182" s="4">
        <v>15.77</v>
      </c>
      <c r="G2182" s="4">
        <v>1072.3599999999999</v>
      </c>
      <c r="H2182" s="5">
        <f t="shared" si="33"/>
        <v>1.9350683789824727E-2</v>
      </c>
    </row>
    <row r="2183" spans="1:8" ht="13.5" x14ac:dyDescent="0.25">
      <c r="A2183" s="1"/>
      <c r="B2183" s="3">
        <v>45478</v>
      </c>
      <c r="C2183" s="4">
        <v>15.74</v>
      </c>
      <c r="D2183" s="4">
        <v>13.402799999999999</v>
      </c>
      <c r="E2183" s="4">
        <v>1670</v>
      </c>
      <c r="F2183" s="4">
        <v>15.538</v>
      </c>
      <c r="G2183" s="4">
        <v>25948.46</v>
      </c>
      <c r="H2183" s="5">
        <f t="shared" ref="H2183:H2246" si="34">(D2183-D2182)/D2182</f>
        <v>-3.7981551817689811E-3</v>
      </c>
    </row>
    <row r="2184" spans="1:8" ht="13.5" x14ac:dyDescent="0.25">
      <c r="A2184" s="1"/>
      <c r="B2184" s="3">
        <v>45481</v>
      </c>
      <c r="C2184" s="4">
        <v>15.5</v>
      </c>
      <c r="D2184" s="4">
        <v>13.198499999999999</v>
      </c>
      <c r="E2184" s="4">
        <v>1567</v>
      </c>
      <c r="F2184" s="4">
        <v>15.537000000000001</v>
      </c>
      <c r="G2184" s="4">
        <v>24346.478999999999</v>
      </c>
      <c r="H2184" s="5">
        <f t="shared" si="34"/>
        <v>-1.5243083534783772E-2</v>
      </c>
    </row>
    <row r="2185" spans="1:8" ht="13.5" x14ac:dyDescent="0.25">
      <c r="A2185" s="1"/>
      <c r="B2185" s="3">
        <v>45482</v>
      </c>
      <c r="C2185" s="4">
        <v>15.6</v>
      </c>
      <c r="D2185" s="4">
        <v>13.2836</v>
      </c>
      <c r="E2185" s="4">
        <v>1198</v>
      </c>
      <c r="F2185" s="4">
        <v>15.587999999999999</v>
      </c>
      <c r="G2185" s="4">
        <v>18674.423999999999</v>
      </c>
      <c r="H2185" s="5">
        <f t="shared" si="34"/>
        <v>6.4477023904232012E-3</v>
      </c>
    </row>
    <row r="2186" spans="1:8" ht="13.5" x14ac:dyDescent="0.25">
      <c r="A2186" s="1"/>
      <c r="B2186" s="3">
        <v>45483</v>
      </c>
      <c r="C2186" s="4">
        <v>15.7</v>
      </c>
      <c r="D2186" s="4">
        <v>13.3688</v>
      </c>
      <c r="E2186" s="4">
        <v>322</v>
      </c>
      <c r="F2186" s="4">
        <v>15.7</v>
      </c>
      <c r="G2186" s="4">
        <v>5055.3999999999996</v>
      </c>
      <c r="H2186" s="5">
        <f t="shared" si="34"/>
        <v>6.4139239362823626E-3</v>
      </c>
    </row>
    <row r="2187" spans="1:8" ht="13.5" x14ac:dyDescent="0.25">
      <c r="A2187" s="1"/>
      <c r="B2187" s="3">
        <v>45484</v>
      </c>
      <c r="C2187" s="4">
        <v>15.75</v>
      </c>
      <c r="D2187" s="4">
        <v>13.411300000000001</v>
      </c>
      <c r="E2187" s="4">
        <v>1196</v>
      </c>
      <c r="F2187" s="4">
        <v>15.742000000000001</v>
      </c>
      <c r="G2187" s="4">
        <v>18827.432000000001</v>
      </c>
      <c r="H2187" s="5">
        <f t="shared" si="34"/>
        <v>3.1790437436419444E-3</v>
      </c>
    </row>
    <row r="2188" spans="1:8" ht="13.5" x14ac:dyDescent="0.25">
      <c r="A2188" s="1"/>
      <c r="B2188" s="3">
        <v>45485</v>
      </c>
      <c r="C2188" s="4">
        <v>15.8</v>
      </c>
      <c r="D2188" s="4">
        <v>13.453900000000001</v>
      </c>
      <c r="E2188" s="4">
        <v>2087</v>
      </c>
      <c r="F2188" s="4">
        <v>15.772</v>
      </c>
      <c r="G2188" s="4">
        <v>32916.163999999997</v>
      </c>
      <c r="H2188" s="5">
        <f t="shared" si="34"/>
        <v>3.1764258498430571E-3</v>
      </c>
    </row>
    <row r="2189" spans="1:8" ht="13.5" x14ac:dyDescent="0.25">
      <c r="A2189" s="1"/>
      <c r="B2189" s="3">
        <v>45488</v>
      </c>
      <c r="C2189" s="4">
        <v>14.69</v>
      </c>
      <c r="D2189" s="4">
        <v>13.7293</v>
      </c>
      <c r="E2189" s="4">
        <v>668</v>
      </c>
      <c r="F2189" s="4">
        <v>14.717000000000001</v>
      </c>
      <c r="G2189" s="4">
        <v>9830.9560000000001</v>
      </c>
      <c r="H2189" s="5">
        <f t="shared" si="34"/>
        <v>2.0469900920922515E-2</v>
      </c>
    </row>
    <row r="2190" spans="1:8" ht="13.5" x14ac:dyDescent="0.25">
      <c r="A2190" s="1"/>
      <c r="B2190" s="3">
        <v>45489</v>
      </c>
      <c r="C2190" s="4">
        <v>14.6</v>
      </c>
      <c r="D2190" s="4">
        <v>13.645200000000001</v>
      </c>
      <c r="E2190" s="4">
        <v>523</v>
      </c>
      <c r="F2190" s="4">
        <v>14.670999999999999</v>
      </c>
      <c r="G2190" s="4">
        <v>7672.933</v>
      </c>
      <c r="H2190" s="5">
        <f t="shared" si="34"/>
        <v>-6.1255854267879203E-3</v>
      </c>
    </row>
    <row r="2191" spans="1:8" ht="13.5" x14ac:dyDescent="0.25">
      <c r="A2191" s="1"/>
      <c r="B2191" s="3">
        <v>45490</v>
      </c>
      <c r="C2191" s="4">
        <v>14.5</v>
      </c>
      <c r="D2191" s="4">
        <v>13.5517</v>
      </c>
      <c r="E2191" s="4">
        <v>1010</v>
      </c>
      <c r="F2191" s="4">
        <v>14.531000000000001</v>
      </c>
      <c r="G2191" s="4">
        <v>14676.31</v>
      </c>
      <c r="H2191" s="5">
        <f t="shared" si="34"/>
        <v>-6.8522264239439931E-3</v>
      </c>
    </row>
    <row r="2192" spans="1:8" ht="13.5" x14ac:dyDescent="0.25">
      <c r="A2192" s="1"/>
      <c r="B2192" s="3">
        <v>45491</v>
      </c>
      <c r="C2192" s="4">
        <v>14.42</v>
      </c>
      <c r="D2192" s="4">
        <v>13.476900000000001</v>
      </c>
      <c r="E2192" s="4">
        <v>660</v>
      </c>
      <c r="F2192" s="4">
        <v>14.42</v>
      </c>
      <c r="G2192" s="4">
        <v>9517.2000000000007</v>
      </c>
      <c r="H2192" s="5">
        <f t="shared" si="34"/>
        <v>-5.5196027066714698E-3</v>
      </c>
    </row>
    <row r="2193" spans="1:8" ht="13.5" x14ac:dyDescent="0.25">
      <c r="A2193" s="1"/>
      <c r="B2193" s="3">
        <v>45492</v>
      </c>
      <c r="C2193" s="4">
        <v>14.42</v>
      </c>
      <c r="D2193" s="4">
        <v>13.476900000000001</v>
      </c>
      <c r="E2193" s="4">
        <v>1127</v>
      </c>
      <c r="F2193" s="4">
        <v>14.417</v>
      </c>
      <c r="G2193" s="4">
        <v>16247.959000000001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14.42</v>
      </c>
      <c r="D2194" s="4">
        <v>13.476900000000001</v>
      </c>
      <c r="E2194" s="4">
        <v>176</v>
      </c>
      <c r="F2194" s="4">
        <v>14.42</v>
      </c>
      <c r="G2194" s="4">
        <v>2537.92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14.5</v>
      </c>
      <c r="D2195" s="4">
        <v>13.5517</v>
      </c>
      <c r="E2195" s="4">
        <v>3181</v>
      </c>
      <c r="F2195" s="4">
        <v>14.39</v>
      </c>
      <c r="G2195" s="4">
        <v>45774.59</v>
      </c>
      <c r="H2195" s="5">
        <f t="shared" si="34"/>
        <v>5.5502378143341387E-3</v>
      </c>
    </row>
    <row r="2196" spans="1:8" ht="13.5" x14ac:dyDescent="0.25">
      <c r="A2196" s="1"/>
      <c r="B2196" s="3">
        <v>45497</v>
      </c>
      <c r="C2196" s="4">
        <v>14.5</v>
      </c>
      <c r="D2196" s="4">
        <v>13.5517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14.5</v>
      </c>
      <c r="D2197" s="4">
        <v>13.5517</v>
      </c>
      <c r="E2197" s="4">
        <v>1019</v>
      </c>
      <c r="F2197" s="4">
        <v>14.481999999999999</v>
      </c>
      <c r="G2197" s="4">
        <v>14757.157999999999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14.63</v>
      </c>
      <c r="D2198" s="4">
        <v>13.6732</v>
      </c>
      <c r="E2198" s="4">
        <v>446</v>
      </c>
      <c r="F2198" s="4">
        <v>14.449</v>
      </c>
      <c r="G2198" s="4">
        <v>6444.2539999999999</v>
      </c>
      <c r="H2198" s="5">
        <f t="shared" si="34"/>
        <v>8.9656648243393276E-3</v>
      </c>
    </row>
    <row r="2199" spans="1:8" ht="13.5" x14ac:dyDescent="0.25">
      <c r="A2199" s="1"/>
      <c r="B2199" s="3">
        <v>45503</v>
      </c>
      <c r="C2199" s="4">
        <v>14.4</v>
      </c>
      <c r="D2199" s="4">
        <v>13.4582</v>
      </c>
      <c r="E2199" s="4">
        <v>2604</v>
      </c>
      <c r="F2199" s="4">
        <v>14.423999999999999</v>
      </c>
      <c r="G2199" s="4">
        <v>37560.095999999998</v>
      </c>
      <c r="H2199" s="5">
        <f t="shared" si="34"/>
        <v>-1.572419038703448E-2</v>
      </c>
    </row>
    <row r="2200" spans="1:8" ht="13.5" x14ac:dyDescent="0.25">
      <c r="A2200" s="1"/>
      <c r="B2200" s="3">
        <v>45504</v>
      </c>
      <c r="C2200" s="4">
        <v>14.48</v>
      </c>
      <c r="D2200" s="4">
        <v>13.532999999999999</v>
      </c>
      <c r="E2200" s="4">
        <v>65</v>
      </c>
      <c r="F2200" s="4">
        <v>14.324999999999999</v>
      </c>
      <c r="G2200" s="4">
        <v>931.125</v>
      </c>
      <c r="H2200" s="5">
        <f t="shared" si="34"/>
        <v>5.5579498001218407E-3</v>
      </c>
    </row>
    <row r="2201" spans="1:8" ht="13.5" x14ac:dyDescent="0.25">
      <c r="A2201" s="1"/>
      <c r="B2201" s="3">
        <v>45505</v>
      </c>
      <c r="C2201" s="4">
        <v>14.69</v>
      </c>
      <c r="D2201" s="4">
        <v>13.7293</v>
      </c>
      <c r="E2201" s="4">
        <v>513</v>
      </c>
      <c r="F2201" s="4">
        <v>14.5</v>
      </c>
      <c r="G2201" s="4">
        <v>7438.5</v>
      </c>
      <c r="H2201" s="5">
        <f t="shared" si="34"/>
        <v>1.4505283381364134E-2</v>
      </c>
    </row>
    <row r="2202" spans="1:8" ht="13.5" x14ac:dyDescent="0.25">
      <c r="A2202" s="1"/>
      <c r="B2202" s="3">
        <v>45506</v>
      </c>
      <c r="C2202" s="4">
        <v>14.79</v>
      </c>
      <c r="D2202" s="4">
        <v>13.822699999999999</v>
      </c>
      <c r="E2202" s="4">
        <v>158</v>
      </c>
      <c r="F2202" s="4">
        <v>14.787000000000001</v>
      </c>
      <c r="G2202" s="4">
        <v>2336.346</v>
      </c>
      <c r="H2202" s="5">
        <f t="shared" si="34"/>
        <v>6.8029688330795476E-3</v>
      </c>
    </row>
    <row r="2203" spans="1:8" ht="13.5" x14ac:dyDescent="0.25">
      <c r="A2203" s="1"/>
      <c r="B2203" s="3">
        <v>45509</v>
      </c>
      <c r="C2203" s="4">
        <v>14.69</v>
      </c>
      <c r="D2203" s="4">
        <v>13.7293</v>
      </c>
      <c r="E2203" s="4">
        <v>817</v>
      </c>
      <c r="F2203" s="4">
        <v>14.587999999999999</v>
      </c>
      <c r="G2203" s="4">
        <v>11918.396000000001</v>
      </c>
      <c r="H2203" s="5">
        <f t="shared" si="34"/>
        <v>-6.7570011647506666E-3</v>
      </c>
    </row>
    <row r="2204" spans="1:8" ht="13.5" x14ac:dyDescent="0.25">
      <c r="A2204" s="1"/>
      <c r="B2204" s="3">
        <v>45510</v>
      </c>
      <c r="C2204" s="4">
        <v>14.75</v>
      </c>
      <c r="D2204" s="4">
        <v>13.785399999999999</v>
      </c>
      <c r="E2204" s="4">
        <v>1</v>
      </c>
      <c r="F2204" s="4">
        <v>14.75</v>
      </c>
      <c r="G2204" s="4">
        <v>14.75</v>
      </c>
      <c r="H2204" s="5">
        <f t="shared" si="34"/>
        <v>4.0861515153721552E-3</v>
      </c>
    </row>
    <row r="2205" spans="1:8" ht="13.5" x14ac:dyDescent="0.25">
      <c r="A2205" s="1"/>
      <c r="B2205" s="3">
        <v>45511</v>
      </c>
      <c r="C2205" s="4">
        <v>14.74</v>
      </c>
      <c r="D2205" s="4">
        <v>13.776</v>
      </c>
      <c r="E2205" s="4">
        <v>13</v>
      </c>
      <c r="F2205" s="4">
        <v>14.74</v>
      </c>
      <c r="G2205" s="4">
        <v>191.62</v>
      </c>
      <c r="H2205" s="5">
        <f t="shared" si="34"/>
        <v>-6.8188083044376003E-4</v>
      </c>
    </row>
    <row r="2206" spans="1:8" ht="13.5" x14ac:dyDescent="0.25">
      <c r="A2206" s="1"/>
      <c r="B2206" s="3">
        <v>45512</v>
      </c>
      <c r="C2206" s="4">
        <v>14.68</v>
      </c>
      <c r="D2206" s="4">
        <v>13.719900000000001</v>
      </c>
      <c r="E2206" s="4">
        <v>2021</v>
      </c>
      <c r="F2206" s="4">
        <v>14.42</v>
      </c>
      <c r="G2206" s="4">
        <v>29142.82</v>
      </c>
      <c r="H2206" s="5">
        <f t="shared" si="34"/>
        <v>-4.0722996515678662E-3</v>
      </c>
    </row>
    <row r="2207" spans="1:8" ht="13.5" x14ac:dyDescent="0.25">
      <c r="A2207" s="1"/>
      <c r="B2207" s="3">
        <v>45513</v>
      </c>
      <c r="C2207" s="4">
        <v>14.49</v>
      </c>
      <c r="D2207" s="4">
        <v>13.542400000000001</v>
      </c>
      <c r="E2207" s="4">
        <v>1612</v>
      </c>
      <c r="F2207" s="4">
        <v>14.321</v>
      </c>
      <c r="G2207" s="4">
        <v>23085.452000000001</v>
      </c>
      <c r="H2207" s="5">
        <f t="shared" si="34"/>
        <v>-1.293741208026299E-2</v>
      </c>
    </row>
    <row r="2208" spans="1:8" ht="13.5" x14ac:dyDescent="0.25">
      <c r="A2208" s="1"/>
      <c r="B2208" s="3">
        <v>45516</v>
      </c>
      <c r="C2208" s="4">
        <v>14.65</v>
      </c>
      <c r="D2208" s="4">
        <v>13.6919</v>
      </c>
      <c r="E2208" s="4">
        <v>27</v>
      </c>
      <c r="F2208" s="4">
        <v>14.599</v>
      </c>
      <c r="G2208" s="4">
        <v>394.173</v>
      </c>
      <c r="H2208" s="5">
        <f t="shared" si="34"/>
        <v>1.1039402173913025E-2</v>
      </c>
    </row>
    <row r="2209" spans="1:8" ht="13.5" x14ac:dyDescent="0.25">
      <c r="A2209" s="1"/>
      <c r="B2209" s="3">
        <v>45518</v>
      </c>
      <c r="C2209" s="4">
        <v>14.52</v>
      </c>
      <c r="D2209" s="4">
        <v>13.570399999999999</v>
      </c>
      <c r="E2209" s="4">
        <v>322</v>
      </c>
      <c r="F2209" s="4">
        <v>14.678000000000001</v>
      </c>
      <c r="G2209" s="4">
        <v>4726.3159999999998</v>
      </c>
      <c r="H2209" s="5">
        <f t="shared" si="34"/>
        <v>-8.8738597272840919E-3</v>
      </c>
    </row>
    <row r="2210" spans="1:8" ht="13.5" x14ac:dyDescent="0.25">
      <c r="A2210" s="1"/>
      <c r="B2210" s="3">
        <v>45519</v>
      </c>
      <c r="C2210" s="4">
        <v>14.52</v>
      </c>
      <c r="D2210" s="4">
        <v>13.570399999999999</v>
      </c>
      <c r="E2210" s="4">
        <v>111</v>
      </c>
      <c r="F2210" s="4">
        <v>14.618</v>
      </c>
      <c r="G2210" s="4">
        <v>1622.598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14.65</v>
      </c>
      <c r="D2211" s="4">
        <v>13.6919</v>
      </c>
      <c r="E2211" s="4">
        <v>831</v>
      </c>
      <c r="F2211" s="4">
        <v>14.221</v>
      </c>
      <c r="G2211" s="4">
        <v>11817.651</v>
      </c>
      <c r="H2211" s="5">
        <f t="shared" si="34"/>
        <v>8.9533101456111142E-3</v>
      </c>
    </row>
    <row r="2212" spans="1:8" ht="13.5" x14ac:dyDescent="0.25">
      <c r="A2212" s="1"/>
      <c r="B2212" s="3">
        <v>45523</v>
      </c>
      <c r="C2212" s="4">
        <v>14.65</v>
      </c>
      <c r="D2212" s="4">
        <v>13.6919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14.63</v>
      </c>
      <c r="D2213" s="4">
        <v>13.6732</v>
      </c>
      <c r="E2213" s="4">
        <v>12</v>
      </c>
      <c r="F2213" s="4">
        <v>14.382</v>
      </c>
      <c r="G2213" s="4">
        <v>172.584</v>
      </c>
      <c r="H2213" s="5">
        <f t="shared" si="34"/>
        <v>-1.3657710032939786E-3</v>
      </c>
    </row>
    <row r="2214" spans="1:8" ht="13.5" x14ac:dyDescent="0.25">
      <c r="A2214" s="1"/>
      <c r="B2214" s="3">
        <v>45525</v>
      </c>
      <c r="C2214" s="4">
        <v>14.68</v>
      </c>
      <c r="D2214" s="4">
        <v>13.719900000000001</v>
      </c>
      <c r="E2214" s="4">
        <v>1001</v>
      </c>
      <c r="F2214" s="4">
        <v>14.188000000000001</v>
      </c>
      <c r="G2214" s="4">
        <v>14202.188</v>
      </c>
      <c r="H2214" s="5">
        <f t="shared" si="34"/>
        <v>3.4154404236024704E-3</v>
      </c>
    </row>
    <row r="2215" spans="1:8" ht="13.5" x14ac:dyDescent="0.25">
      <c r="A2215" s="1"/>
      <c r="B2215" s="3">
        <v>45526</v>
      </c>
      <c r="C2215" s="4">
        <v>14.5</v>
      </c>
      <c r="D2215" s="4">
        <v>13.5517</v>
      </c>
      <c r="E2215" s="4">
        <v>100</v>
      </c>
      <c r="F2215" s="4">
        <v>14.48</v>
      </c>
      <c r="G2215" s="4">
        <v>1448</v>
      </c>
      <c r="H2215" s="5">
        <f t="shared" si="34"/>
        <v>-1.2259564574085858E-2</v>
      </c>
    </row>
    <row r="2216" spans="1:8" ht="13.5" x14ac:dyDescent="0.25">
      <c r="A2216" s="1"/>
      <c r="B2216" s="3">
        <v>45527</v>
      </c>
      <c r="C2216" s="4">
        <v>14.47</v>
      </c>
      <c r="D2216" s="4">
        <v>13.5237</v>
      </c>
      <c r="E2216" s="4">
        <v>80</v>
      </c>
      <c r="F2216" s="4">
        <v>14.295999999999999</v>
      </c>
      <c r="G2216" s="4">
        <v>1143.68</v>
      </c>
      <c r="H2216" s="5">
        <f t="shared" si="34"/>
        <v>-2.0661614410000567E-3</v>
      </c>
    </row>
    <row r="2217" spans="1:8" ht="13.5" x14ac:dyDescent="0.25">
      <c r="A2217" s="1"/>
      <c r="B2217" s="3">
        <v>45530</v>
      </c>
      <c r="C2217" s="4">
        <v>14.47</v>
      </c>
      <c r="D2217" s="4">
        <v>13.5237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14.3</v>
      </c>
      <c r="D2218" s="4">
        <v>13.364800000000001</v>
      </c>
      <c r="E2218" s="4">
        <v>1412</v>
      </c>
      <c r="F2218" s="4">
        <v>14.233000000000001</v>
      </c>
      <c r="G2218" s="4">
        <v>20096.995999999999</v>
      </c>
      <c r="H2218" s="5">
        <f t="shared" si="34"/>
        <v>-1.1749743043693601E-2</v>
      </c>
    </row>
    <row r="2219" spans="1:8" ht="13.5" x14ac:dyDescent="0.25">
      <c r="A2219" s="1"/>
      <c r="B2219" s="3">
        <v>45532</v>
      </c>
      <c r="C2219" s="4">
        <v>14.44</v>
      </c>
      <c r="D2219" s="4">
        <v>13.4956</v>
      </c>
      <c r="E2219" s="4">
        <v>1226</v>
      </c>
      <c r="F2219" s="4">
        <v>14.301</v>
      </c>
      <c r="G2219" s="4">
        <v>17533.026000000002</v>
      </c>
      <c r="H2219" s="5">
        <f t="shared" si="34"/>
        <v>9.7869029091343616E-3</v>
      </c>
    </row>
    <row r="2220" spans="1:8" ht="13.5" x14ac:dyDescent="0.25">
      <c r="A2220" s="1"/>
      <c r="B2220" s="3">
        <v>45533</v>
      </c>
      <c r="C2220" s="4">
        <v>14.5</v>
      </c>
      <c r="D2220" s="4">
        <v>13.5517</v>
      </c>
      <c r="E2220" s="4">
        <v>1864</v>
      </c>
      <c r="F2220" s="4">
        <v>14.486000000000001</v>
      </c>
      <c r="G2220" s="4">
        <v>27001.903999999999</v>
      </c>
      <c r="H2220" s="5">
        <f t="shared" si="34"/>
        <v>4.1569104004268581E-3</v>
      </c>
    </row>
    <row r="2221" spans="1:8" ht="13.5" x14ac:dyDescent="0.25">
      <c r="A2221" s="1"/>
      <c r="B2221" s="3">
        <v>45534</v>
      </c>
      <c r="C2221" s="4">
        <v>14.6</v>
      </c>
      <c r="D2221" s="4">
        <v>13.645200000000001</v>
      </c>
      <c r="E2221" s="4">
        <v>2007</v>
      </c>
      <c r="F2221" s="4">
        <v>14.48</v>
      </c>
      <c r="G2221" s="4">
        <v>29061.360000000001</v>
      </c>
      <c r="H2221" s="5">
        <f t="shared" si="34"/>
        <v>6.8995033833394023E-3</v>
      </c>
    </row>
    <row r="2222" spans="1:8" ht="13.5" x14ac:dyDescent="0.25">
      <c r="A2222" s="1"/>
      <c r="B2222" s="3">
        <v>45537</v>
      </c>
      <c r="C2222" s="4">
        <v>14.7</v>
      </c>
      <c r="D2222" s="4">
        <v>13.7386</v>
      </c>
      <c r="E2222" s="4">
        <v>212</v>
      </c>
      <c r="F2222" s="4">
        <v>14.59</v>
      </c>
      <c r="G2222" s="4">
        <v>3093.08</v>
      </c>
      <c r="H2222" s="5">
        <f t="shared" si="34"/>
        <v>6.844897839533245E-3</v>
      </c>
    </row>
    <row r="2223" spans="1:8" ht="13.5" x14ac:dyDescent="0.25">
      <c r="A2223" s="1"/>
      <c r="B2223" s="3">
        <v>45538</v>
      </c>
      <c r="C2223" s="4">
        <v>14.9</v>
      </c>
      <c r="D2223" s="4">
        <v>13.9255</v>
      </c>
      <c r="E2223" s="4">
        <v>2765</v>
      </c>
      <c r="F2223" s="4">
        <v>14.388</v>
      </c>
      <c r="G2223" s="4">
        <v>39782.82</v>
      </c>
      <c r="H2223" s="5">
        <f t="shared" si="34"/>
        <v>1.3604006230620269E-2</v>
      </c>
    </row>
    <row r="2224" spans="1:8" ht="13.5" x14ac:dyDescent="0.25">
      <c r="A2224" s="1"/>
      <c r="B2224" s="3">
        <v>45539</v>
      </c>
      <c r="C2224" s="4">
        <v>14.75</v>
      </c>
      <c r="D2224" s="4">
        <v>13.785399999999999</v>
      </c>
      <c r="E2224" s="4">
        <v>26</v>
      </c>
      <c r="F2224" s="4">
        <v>14.413</v>
      </c>
      <c r="G2224" s="4">
        <v>374.738</v>
      </c>
      <c r="H2224" s="5">
        <f t="shared" si="34"/>
        <v>-1.006068004739509E-2</v>
      </c>
    </row>
    <row r="2225" spans="1:8" ht="13.5" x14ac:dyDescent="0.25">
      <c r="A2225" s="1"/>
      <c r="B2225" s="3">
        <v>45540</v>
      </c>
      <c r="C2225" s="4">
        <v>14.8</v>
      </c>
      <c r="D2225" s="4">
        <v>13.832100000000001</v>
      </c>
      <c r="E2225" s="4">
        <v>823</v>
      </c>
      <c r="F2225" s="4">
        <v>14.792</v>
      </c>
      <c r="G2225" s="4">
        <v>12173.816000000001</v>
      </c>
      <c r="H2225" s="5">
        <f t="shared" si="34"/>
        <v>3.3876419980560083E-3</v>
      </c>
    </row>
    <row r="2226" spans="1:8" ht="13.5" x14ac:dyDescent="0.25">
      <c r="A2226" s="1"/>
      <c r="B2226" s="3">
        <v>45541</v>
      </c>
      <c r="C2226" s="4">
        <v>14.77</v>
      </c>
      <c r="D2226" s="4">
        <v>13.804</v>
      </c>
      <c r="E2226" s="4">
        <v>139</v>
      </c>
      <c r="F2226" s="4">
        <v>14.656000000000001</v>
      </c>
      <c r="G2226" s="4">
        <v>2037.184</v>
      </c>
      <c r="H2226" s="5">
        <f t="shared" si="34"/>
        <v>-2.0315064234642777E-3</v>
      </c>
    </row>
    <row r="2227" spans="1:8" ht="13.5" x14ac:dyDescent="0.25">
      <c r="A2227" s="1"/>
      <c r="B2227" s="3">
        <v>45544</v>
      </c>
      <c r="C2227" s="4">
        <v>14.75</v>
      </c>
      <c r="D2227" s="4">
        <v>13.785399999999999</v>
      </c>
      <c r="E2227" s="4">
        <v>7</v>
      </c>
      <c r="F2227" s="4">
        <v>14.664</v>
      </c>
      <c r="G2227" s="4">
        <v>102.648</v>
      </c>
      <c r="H2227" s="5">
        <f t="shared" si="34"/>
        <v>-1.3474355259345885E-3</v>
      </c>
    </row>
    <row r="2228" spans="1:8" ht="13.5" x14ac:dyDescent="0.25">
      <c r="A2228" s="1"/>
      <c r="B2228" s="3">
        <v>45545</v>
      </c>
      <c r="C2228" s="4">
        <v>14.61</v>
      </c>
      <c r="D2228" s="4">
        <v>13.654500000000001</v>
      </c>
      <c r="E2228" s="4">
        <v>1105</v>
      </c>
      <c r="F2228" s="4">
        <v>14.502000000000001</v>
      </c>
      <c r="G2228" s="4">
        <v>16024.71</v>
      </c>
      <c r="H2228" s="5">
        <f t="shared" si="34"/>
        <v>-9.4955532664992449E-3</v>
      </c>
    </row>
    <row r="2229" spans="1:8" ht="13.5" x14ac:dyDescent="0.25">
      <c r="A2229" s="1"/>
      <c r="B2229" s="3">
        <v>45546</v>
      </c>
      <c r="C2229" s="4">
        <v>14.15</v>
      </c>
      <c r="D2229" s="4">
        <v>13.224600000000001</v>
      </c>
      <c r="E2229" s="4">
        <v>2973</v>
      </c>
      <c r="F2229" s="4">
        <v>14.195</v>
      </c>
      <c r="G2229" s="4">
        <v>42201.735000000001</v>
      </c>
      <c r="H2229" s="5">
        <f t="shared" si="34"/>
        <v>-3.1484126112270673E-2</v>
      </c>
    </row>
    <row r="2230" spans="1:8" ht="13.5" x14ac:dyDescent="0.25">
      <c r="A2230" s="1"/>
      <c r="B2230" s="3">
        <v>45547</v>
      </c>
      <c r="C2230" s="4">
        <v>14.39</v>
      </c>
      <c r="D2230" s="4">
        <v>13.4489</v>
      </c>
      <c r="E2230" s="4">
        <v>574</v>
      </c>
      <c r="F2230" s="4">
        <v>14.260999999999999</v>
      </c>
      <c r="G2230" s="4">
        <v>8185.8140000000003</v>
      </c>
      <c r="H2230" s="5">
        <f t="shared" si="34"/>
        <v>1.6960815449994667E-2</v>
      </c>
    </row>
    <row r="2231" spans="1:8" ht="13.5" x14ac:dyDescent="0.25">
      <c r="A2231" s="1"/>
      <c r="B2231" s="3">
        <v>45548</v>
      </c>
      <c r="C2231" s="4">
        <v>14.11</v>
      </c>
      <c r="D2231" s="4">
        <v>13.187200000000001</v>
      </c>
      <c r="E2231" s="4">
        <v>757</v>
      </c>
      <c r="F2231" s="4">
        <v>14.132</v>
      </c>
      <c r="G2231" s="4">
        <v>10697.924000000001</v>
      </c>
      <c r="H2231" s="5">
        <f t="shared" si="34"/>
        <v>-1.9458840499966493E-2</v>
      </c>
    </row>
    <row r="2232" spans="1:8" ht="13.5" x14ac:dyDescent="0.25">
      <c r="A2232" s="1"/>
      <c r="B2232" s="3">
        <v>45551</v>
      </c>
      <c r="C2232" s="4">
        <v>14</v>
      </c>
      <c r="D2232" s="4">
        <v>13.0844</v>
      </c>
      <c r="E2232" s="4">
        <v>2070</v>
      </c>
      <c r="F2232" s="4">
        <v>14.023</v>
      </c>
      <c r="G2232" s="4">
        <v>29027.61</v>
      </c>
      <c r="H2232" s="5">
        <f t="shared" si="34"/>
        <v>-7.7954380004853357E-3</v>
      </c>
    </row>
    <row r="2233" spans="1:8" ht="13.5" x14ac:dyDescent="0.25">
      <c r="A2233" s="1"/>
      <c r="B2233" s="3">
        <v>45552</v>
      </c>
      <c r="C2233" s="4">
        <v>14</v>
      </c>
      <c r="D2233" s="4">
        <v>13.0844</v>
      </c>
      <c r="E2233" s="4">
        <v>2257</v>
      </c>
      <c r="F2233" s="4">
        <v>13.933</v>
      </c>
      <c r="G2233" s="4">
        <v>31446.780999999999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13.9</v>
      </c>
      <c r="D2234" s="4">
        <v>12.9909</v>
      </c>
      <c r="E2234" s="4">
        <v>610</v>
      </c>
      <c r="F2234" s="4">
        <v>13.904</v>
      </c>
      <c r="G2234" s="4">
        <v>8481.44</v>
      </c>
      <c r="H2234" s="5">
        <f t="shared" si="34"/>
        <v>-7.1459142184586667E-3</v>
      </c>
    </row>
    <row r="2235" spans="1:8" ht="13.5" x14ac:dyDescent="0.25">
      <c r="A2235" s="1"/>
      <c r="B2235" s="3">
        <v>45554</v>
      </c>
      <c r="C2235" s="4">
        <v>13.9</v>
      </c>
      <c r="D2235" s="4">
        <v>12.9909</v>
      </c>
      <c r="E2235" s="4">
        <v>1523</v>
      </c>
      <c r="F2235" s="4">
        <v>13.884</v>
      </c>
      <c r="G2235" s="4">
        <v>21145.331999999999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13.9</v>
      </c>
      <c r="D2236" s="4">
        <v>12.9909</v>
      </c>
      <c r="E2236" s="4">
        <v>1108</v>
      </c>
      <c r="F2236" s="4">
        <v>13.891999999999999</v>
      </c>
      <c r="G2236" s="4">
        <v>15392.335999999999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13.89</v>
      </c>
      <c r="D2237" s="4">
        <v>12.9816</v>
      </c>
      <c r="E2237" s="4">
        <v>815</v>
      </c>
      <c r="F2237" s="4">
        <v>13.794</v>
      </c>
      <c r="G2237" s="4">
        <v>11242.11</v>
      </c>
      <c r="H2237" s="5">
        <f t="shared" si="34"/>
        <v>-7.1588573539936736E-4</v>
      </c>
    </row>
    <row r="2238" spans="1:8" ht="13.5" x14ac:dyDescent="0.25">
      <c r="A2238" s="1"/>
      <c r="B2238" s="3">
        <v>45559</v>
      </c>
      <c r="C2238" s="4">
        <v>13.73</v>
      </c>
      <c r="D2238" s="4">
        <v>12.832100000000001</v>
      </c>
      <c r="E2238" s="4">
        <v>2815</v>
      </c>
      <c r="F2238" s="4">
        <v>13.79</v>
      </c>
      <c r="G2238" s="4">
        <v>38818.85</v>
      </c>
      <c r="H2238" s="5">
        <f t="shared" si="34"/>
        <v>-1.1516299993837412E-2</v>
      </c>
    </row>
    <row r="2239" spans="1:8" ht="13.5" x14ac:dyDescent="0.25">
      <c r="A2239" s="1"/>
      <c r="B2239" s="3">
        <v>45560</v>
      </c>
      <c r="C2239" s="4">
        <v>13.85</v>
      </c>
      <c r="D2239" s="4">
        <v>12.9442</v>
      </c>
      <c r="E2239" s="4">
        <v>304</v>
      </c>
      <c r="F2239" s="4">
        <v>13.779</v>
      </c>
      <c r="G2239" s="4">
        <v>4188.8159999999998</v>
      </c>
      <c r="H2239" s="5">
        <f t="shared" si="34"/>
        <v>8.7359044895223593E-3</v>
      </c>
    </row>
    <row r="2240" spans="1:8" ht="13.5" x14ac:dyDescent="0.25">
      <c r="A2240" s="1"/>
      <c r="B2240" s="3">
        <v>45561</v>
      </c>
      <c r="C2240" s="4">
        <v>13.8</v>
      </c>
      <c r="D2240" s="4">
        <v>12.897500000000001</v>
      </c>
      <c r="E2240" s="4">
        <v>376</v>
      </c>
      <c r="F2240" s="4">
        <v>13.813000000000001</v>
      </c>
      <c r="G2240" s="4">
        <v>5193.6880000000001</v>
      </c>
      <c r="H2240" s="5">
        <f t="shared" si="34"/>
        <v>-3.6077934518934751E-3</v>
      </c>
    </row>
    <row r="2241" spans="1:8" ht="13.5" x14ac:dyDescent="0.25">
      <c r="A2241" s="1"/>
      <c r="B2241" s="3">
        <v>45562</v>
      </c>
      <c r="C2241" s="4">
        <v>13.85</v>
      </c>
      <c r="D2241" s="4">
        <v>12.9442</v>
      </c>
      <c r="E2241" s="4">
        <v>299</v>
      </c>
      <c r="F2241" s="4">
        <v>13.817</v>
      </c>
      <c r="G2241" s="4">
        <v>4131.2830000000004</v>
      </c>
      <c r="H2241" s="5">
        <f t="shared" si="34"/>
        <v>3.6208567551850759E-3</v>
      </c>
    </row>
    <row r="2242" spans="1:8" ht="13.5" x14ac:dyDescent="0.25">
      <c r="A2242" s="1"/>
      <c r="B2242" s="3">
        <v>45565</v>
      </c>
      <c r="C2242" s="4">
        <v>13.84</v>
      </c>
      <c r="D2242" s="4">
        <v>12.934900000000001</v>
      </c>
      <c r="E2242" s="4">
        <v>553</v>
      </c>
      <c r="F2242" s="4">
        <v>13.734</v>
      </c>
      <c r="G2242" s="4">
        <v>7594.902</v>
      </c>
      <c r="H2242" s="5">
        <f t="shared" si="34"/>
        <v>-7.1846850326784514E-4</v>
      </c>
    </row>
    <row r="2243" spans="1:8" ht="13.5" x14ac:dyDescent="0.25">
      <c r="A2243" s="1"/>
      <c r="B2243" s="3">
        <v>45566</v>
      </c>
      <c r="C2243" s="4">
        <v>13.89</v>
      </c>
      <c r="D2243" s="4">
        <v>12.9816</v>
      </c>
      <c r="E2243" s="4">
        <v>1423</v>
      </c>
      <c r="F2243" s="4">
        <v>13.763</v>
      </c>
      <c r="G2243" s="4">
        <v>19584.749</v>
      </c>
      <c r="H2243" s="5">
        <f t="shared" si="34"/>
        <v>3.6103874015260664E-3</v>
      </c>
    </row>
    <row r="2244" spans="1:8" ht="13.5" x14ac:dyDescent="0.25">
      <c r="A2244" s="1"/>
      <c r="B2244" s="3">
        <v>45567</v>
      </c>
      <c r="C2244" s="4">
        <v>13.9</v>
      </c>
      <c r="D2244" s="4">
        <v>12.9909</v>
      </c>
      <c r="E2244" s="4">
        <v>616</v>
      </c>
      <c r="F2244" s="4">
        <v>13.840999999999999</v>
      </c>
      <c r="G2244" s="4">
        <v>8526.0560000000005</v>
      </c>
      <c r="H2244" s="5">
        <f t="shared" si="34"/>
        <v>7.1639859493434108E-4</v>
      </c>
    </row>
    <row r="2245" spans="1:8" ht="13.5" x14ac:dyDescent="0.25">
      <c r="A2245" s="1"/>
      <c r="B2245" s="3">
        <v>45568</v>
      </c>
      <c r="C2245" s="4">
        <v>13.8</v>
      </c>
      <c r="D2245" s="4">
        <v>12.897500000000001</v>
      </c>
      <c r="E2245" s="4">
        <v>305</v>
      </c>
      <c r="F2245" s="4">
        <v>13.853</v>
      </c>
      <c r="G2245" s="4">
        <v>4225.165</v>
      </c>
      <c r="H2245" s="5">
        <f t="shared" si="34"/>
        <v>-7.189648138312129E-3</v>
      </c>
    </row>
    <row r="2246" spans="1:8" ht="13.5" x14ac:dyDescent="0.25">
      <c r="A2246" s="1"/>
      <c r="B2246" s="3">
        <v>45569</v>
      </c>
      <c r="C2246" s="4">
        <v>13.8</v>
      </c>
      <c r="D2246" s="4">
        <v>12.897500000000001</v>
      </c>
      <c r="E2246" s="4">
        <v>673</v>
      </c>
      <c r="F2246" s="4">
        <v>13.779</v>
      </c>
      <c r="G2246" s="4">
        <v>9273.2669999999998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13.9</v>
      </c>
      <c r="D2247" s="4">
        <v>12.9909</v>
      </c>
      <c r="E2247" s="4">
        <v>988</v>
      </c>
      <c r="F2247" s="4">
        <v>13.862</v>
      </c>
      <c r="G2247" s="4">
        <v>13695.656000000001</v>
      </c>
      <c r="H2247" s="5">
        <f t="shared" ref="H2247:H2310" si="35">(D2247-D2246)/D2246</f>
        <v>7.2417135103701518E-3</v>
      </c>
    </row>
    <row r="2248" spans="1:8" ht="13.5" x14ac:dyDescent="0.25">
      <c r="A2248" s="1"/>
      <c r="B2248" s="3">
        <v>45573</v>
      </c>
      <c r="C2248" s="4">
        <v>14.1</v>
      </c>
      <c r="D2248" s="4">
        <v>13.177899999999999</v>
      </c>
      <c r="E2248" s="4">
        <v>1654</v>
      </c>
      <c r="F2248" s="4">
        <v>13.961</v>
      </c>
      <c r="G2248" s="4">
        <v>23091.493999999999</v>
      </c>
      <c r="H2248" s="5">
        <f t="shared" si="35"/>
        <v>1.4394691668783486E-2</v>
      </c>
    </row>
    <row r="2249" spans="1:8" ht="13.5" x14ac:dyDescent="0.25">
      <c r="A2249" s="1"/>
      <c r="B2249" s="3">
        <v>45574</v>
      </c>
      <c r="C2249" s="4">
        <v>14.19</v>
      </c>
      <c r="D2249" s="4">
        <v>13.262</v>
      </c>
      <c r="E2249" s="4">
        <v>1</v>
      </c>
      <c r="F2249" s="4">
        <v>14.19</v>
      </c>
      <c r="G2249" s="4">
        <v>14.19</v>
      </c>
      <c r="H2249" s="5">
        <f t="shared" si="35"/>
        <v>6.3818969638562428E-3</v>
      </c>
    </row>
    <row r="2250" spans="1:8" ht="13.5" x14ac:dyDescent="0.25">
      <c r="A2250" s="1"/>
      <c r="B2250" s="3">
        <v>45575</v>
      </c>
      <c r="C2250" s="4">
        <v>14.19</v>
      </c>
      <c r="D2250" s="4">
        <v>13.262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14.19</v>
      </c>
      <c r="D2251" s="4">
        <v>13.262</v>
      </c>
      <c r="E2251" s="4">
        <v>170</v>
      </c>
      <c r="F2251" s="4">
        <v>14.19</v>
      </c>
      <c r="G2251" s="4">
        <v>2412.3000000000002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14.19</v>
      </c>
      <c r="D2252" s="4">
        <v>13.262</v>
      </c>
      <c r="E2252" s="4">
        <v>1</v>
      </c>
      <c r="F2252" s="4">
        <v>14.19</v>
      </c>
      <c r="G2252" s="4">
        <v>14.19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13.89</v>
      </c>
      <c r="D2253" s="4">
        <v>12.9816</v>
      </c>
      <c r="E2253" s="4">
        <v>1234</v>
      </c>
      <c r="F2253" s="4">
        <v>13.952999999999999</v>
      </c>
      <c r="G2253" s="4">
        <v>17218.002</v>
      </c>
      <c r="H2253" s="5">
        <f t="shared" si="35"/>
        <v>-2.1143115668828247E-2</v>
      </c>
    </row>
    <row r="2254" spans="1:8" ht="13.5" x14ac:dyDescent="0.25">
      <c r="A2254" s="1"/>
      <c r="B2254" s="3">
        <v>45582</v>
      </c>
      <c r="C2254" s="4">
        <v>13.95</v>
      </c>
      <c r="D2254" s="4">
        <v>13.037699999999999</v>
      </c>
      <c r="E2254" s="4">
        <v>105</v>
      </c>
      <c r="F2254" s="4">
        <v>13.95</v>
      </c>
      <c r="G2254" s="4">
        <v>1464.75</v>
      </c>
      <c r="H2254" s="5">
        <f t="shared" si="35"/>
        <v>4.3215012017007864E-3</v>
      </c>
    </row>
    <row r="2255" spans="1:8" ht="13.5" x14ac:dyDescent="0.25">
      <c r="A2255" s="1"/>
      <c r="B2255" s="3">
        <v>45583</v>
      </c>
      <c r="C2255" s="4">
        <v>14.01</v>
      </c>
      <c r="D2255" s="4">
        <v>13.0937</v>
      </c>
      <c r="E2255" s="4">
        <v>2260</v>
      </c>
      <c r="F2255" s="4">
        <v>14.058</v>
      </c>
      <c r="G2255" s="4">
        <v>31771.08</v>
      </c>
      <c r="H2255" s="5">
        <f t="shared" si="35"/>
        <v>4.2952361229358664E-3</v>
      </c>
    </row>
    <row r="2256" spans="1:8" ht="13.5" x14ac:dyDescent="0.25">
      <c r="A2256" s="1"/>
      <c r="B2256" s="3">
        <v>45586</v>
      </c>
      <c r="C2256" s="4">
        <v>14.02</v>
      </c>
      <c r="D2256" s="4">
        <v>13.1031</v>
      </c>
      <c r="E2256" s="4">
        <v>338</v>
      </c>
      <c r="F2256" s="4">
        <v>14.058</v>
      </c>
      <c r="G2256" s="4">
        <v>4751.6040000000003</v>
      </c>
      <c r="H2256" s="5">
        <f t="shared" si="35"/>
        <v>7.1790250273027557E-4</v>
      </c>
    </row>
    <row r="2257" spans="1:8" ht="13.5" x14ac:dyDescent="0.25">
      <c r="A2257" s="1"/>
      <c r="B2257" s="3">
        <v>45587</v>
      </c>
      <c r="C2257" s="4">
        <v>14.01</v>
      </c>
      <c r="D2257" s="4">
        <v>13.0937</v>
      </c>
      <c r="E2257" s="4">
        <v>250</v>
      </c>
      <c r="F2257" s="4">
        <v>14.01</v>
      </c>
      <c r="G2257" s="4">
        <v>3502.5</v>
      </c>
      <c r="H2257" s="5">
        <f t="shared" si="35"/>
        <v>-7.1738748845688496E-4</v>
      </c>
    </row>
    <row r="2258" spans="1:8" ht="13.5" x14ac:dyDescent="0.25">
      <c r="A2258" s="1"/>
      <c r="B2258" s="3">
        <v>45588</v>
      </c>
      <c r="C2258" s="4">
        <v>14.04</v>
      </c>
      <c r="D2258" s="4">
        <v>13.1218</v>
      </c>
      <c r="E2258" s="4">
        <v>1023</v>
      </c>
      <c r="F2258" s="4">
        <v>14.045999999999999</v>
      </c>
      <c r="G2258" s="4">
        <v>14369.058000000001</v>
      </c>
      <c r="H2258" s="5">
        <f t="shared" si="35"/>
        <v>2.1460702475236361E-3</v>
      </c>
    </row>
    <row r="2259" spans="1:8" ht="13.5" x14ac:dyDescent="0.25">
      <c r="A2259" s="1"/>
      <c r="B2259" s="3">
        <v>45589</v>
      </c>
      <c r="C2259" s="4">
        <v>14.8</v>
      </c>
      <c r="D2259" s="4">
        <v>13.832100000000001</v>
      </c>
      <c r="E2259" s="4">
        <v>4027</v>
      </c>
      <c r="F2259" s="4">
        <v>14.169</v>
      </c>
      <c r="G2259" s="4">
        <v>57058.563000000002</v>
      </c>
      <c r="H2259" s="5">
        <f t="shared" si="35"/>
        <v>5.4131292962855716E-2</v>
      </c>
    </row>
    <row r="2260" spans="1:8" ht="13.5" x14ac:dyDescent="0.25">
      <c r="A2260" s="1"/>
      <c r="B2260" s="3">
        <v>45590</v>
      </c>
      <c r="C2260" s="4">
        <v>14.8</v>
      </c>
      <c r="D2260" s="4">
        <v>13.832100000000001</v>
      </c>
      <c r="E2260" s="4">
        <v>605</v>
      </c>
      <c r="F2260" s="4">
        <v>14.805999999999999</v>
      </c>
      <c r="G2260" s="4">
        <v>8957.6299999999992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14.8</v>
      </c>
      <c r="D2261" s="4">
        <v>13.832100000000001</v>
      </c>
      <c r="E2261" s="4">
        <v>148</v>
      </c>
      <c r="F2261" s="4">
        <v>14.504</v>
      </c>
      <c r="G2261" s="4">
        <v>2146.5920000000001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14.8</v>
      </c>
      <c r="D2262" s="4">
        <v>13.832100000000001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14.8</v>
      </c>
      <c r="D2263" s="4">
        <v>13.832100000000001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14.8</v>
      </c>
      <c r="D2264" s="4">
        <v>13.832100000000001</v>
      </c>
      <c r="E2264" s="4">
        <v>871</v>
      </c>
      <c r="F2264" s="4">
        <v>14.781000000000001</v>
      </c>
      <c r="G2264" s="4">
        <v>12874.251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14.8</v>
      </c>
      <c r="D2265" s="4">
        <v>13.832100000000001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14.8</v>
      </c>
      <c r="D2266" s="4">
        <v>13.832100000000001</v>
      </c>
      <c r="E2266" s="4">
        <v>250</v>
      </c>
      <c r="F2266" s="4">
        <v>14.8</v>
      </c>
      <c r="G2266" s="4">
        <v>3700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14.79</v>
      </c>
      <c r="D2267" s="4">
        <v>13.822699999999999</v>
      </c>
      <c r="E2267" s="4">
        <v>501</v>
      </c>
      <c r="F2267" s="4">
        <v>14.7</v>
      </c>
      <c r="G2267" s="4">
        <v>7364.7</v>
      </c>
      <c r="H2267" s="5">
        <f t="shared" si="35"/>
        <v>-6.7957866123012308E-4</v>
      </c>
    </row>
    <row r="2268" spans="1:8" ht="13.5" x14ac:dyDescent="0.25">
      <c r="A2268" s="1"/>
      <c r="B2268" s="3">
        <v>45602</v>
      </c>
      <c r="C2268" s="4">
        <v>14.61</v>
      </c>
      <c r="D2268" s="4">
        <v>13.654500000000001</v>
      </c>
      <c r="E2268" s="4">
        <v>10</v>
      </c>
      <c r="F2268" s="4">
        <v>14.61</v>
      </c>
      <c r="G2268" s="4">
        <v>146.1</v>
      </c>
      <c r="H2268" s="5">
        <f t="shared" si="35"/>
        <v>-1.2168389677848669E-2</v>
      </c>
    </row>
    <row r="2269" spans="1:8" ht="13.5" x14ac:dyDescent="0.25">
      <c r="A2269" s="1"/>
      <c r="B2269" s="3">
        <v>45603</v>
      </c>
      <c r="C2269" s="4">
        <v>14.78</v>
      </c>
      <c r="D2269" s="4">
        <v>13.8134</v>
      </c>
      <c r="E2269" s="4">
        <v>270</v>
      </c>
      <c r="F2269" s="4">
        <v>14.62</v>
      </c>
      <c r="G2269" s="4">
        <v>3947.4</v>
      </c>
      <c r="H2269" s="5">
        <f t="shared" si="35"/>
        <v>1.1637189205023922E-2</v>
      </c>
    </row>
    <row r="2270" spans="1:8" ht="13.5" x14ac:dyDescent="0.25">
      <c r="A2270" s="1"/>
      <c r="B2270" s="3">
        <v>45604</v>
      </c>
      <c r="C2270" s="4">
        <v>14.56</v>
      </c>
      <c r="D2270" s="4">
        <v>13.607799999999999</v>
      </c>
      <c r="E2270" s="4">
        <v>1380</v>
      </c>
      <c r="F2270" s="4">
        <v>14.57</v>
      </c>
      <c r="G2270" s="4">
        <v>20106.599999999999</v>
      </c>
      <c r="H2270" s="5">
        <f t="shared" si="35"/>
        <v>-1.4884098049719871E-2</v>
      </c>
    </row>
    <row r="2271" spans="1:8" ht="13.5" x14ac:dyDescent="0.25">
      <c r="A2271" s="1"/>
      <c r="B2271" s="3">
        <v>45607</v>
      </c>
      <c r="C2271" s="4">
        <v>14.56</v>
      </c>
      <c r="D2271" s="4">
        <v>13.607799999999999</v>
      </c>
      <c r="E2271" s="4">
        <v>244</v>
      </c>
      <c r="F2271" s="4">
        <v>14.56</v>
      </c>
      <c r="G2271" s="4">
        <v>3552.64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14.5</v>
      </c>
      <c r="D2272" s="4">
        <v>13.5517</v>
      </c>
      <c r="E2272" s="4">
        <v>14</v>
      </c>
      <c r="F2272" s="4">
        <v>14.5</v>
      </c>
      <c r="G2272" s="4">
        <v>203</v>
      </c>
      <c r="H2272" s="5">
        <f t="shared" si="35"/>
        <v>-4.1226355472595818E-3</v>
      </c>
    </row>
    <row r="2273" spans="1:8" ht="13.5" x14ac:dyDescent="0.25">
      <c r="A2273" s="1"/>
      <c r="B2273" s="3">
        <v>45609</v>
      </c>
      <c r="C2273" s="4">
        <v>14.5</v>
      </c>
      <c r="D2273" s="4">
        <v>13.5517</v>
      </c>
      <c r="E2273" s="4">
        <v>191</v>
      </c>
      <c r="F2273" s="4">
        <v>14.250999999999999</v>
      </c>
      <c r="G2273" s="4">
        <v>2721.9409999999998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14.4</v>
      </c>
      <c r="D2274" s="4">
        <v>13.4582</v>
      </c>
      <c r="E2274" s="4">
        <v>904</v>
      </c>
      <c r="F2274" s="4">
        <v>14.489000000000001</v>
      </c>
      <c r="G2274" s="4">
        <v>13098.056</v>
      </c>
      <c r="H2274" s="5">
        <f t="shared" si="35"/>
        <v>-6.8995033833394023E-3</v>
      </c>
    </row>
    <row r="2275" spans="1:8" ht="13.5" x14ac:dyDescent="0.25">
      <c r="A2275" s="1"/>
      <c r="B2275" s="3">
        <v>45611</v>
      </c>
      <c r="C2275" s="4">
        <v>14.45</v>
      </c>
      <c r="D2275" s="4">
        <v>13.505000000000001</v>
      </c>
      <c r="E2275" s="4">
        <v>514</v>
      </c>
      <c r="F2275" s="4">
        <v>14.417999999999999</v>
      </c>
      <c r="G2275" s="4">
        <v>7410.8519999999999</v>
      </c>
      <c r="H2275" s="5">
        <f t="shared" si="35"/>
        <v>3.4774338321618839E-3</v>
      </c>
    </row>
    <row r="2276" spans="1:8" ht="13.5" x14ac:dyDescent="0.25">
      <c r="A2276" s="1"/>
      <c r="B2276" s="3">
        <v>45614</v>
      </c>
      <c r="C2276" s="4">
        <v>14.45</v>
      </c>
      <c r="D2276" s="4">
        <v>13.505000000000001</v>
      </c>
      <c r="E2276" s="4">
        <v>367</v>
      </c>
      <c r="F2276" s="4">
        <v>14.45</v>
      </c>
      <c r="G2276" s="4">
        <v>5303.15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14.45</v>
      </c>
      <c r="D2277" s="4">
        <v>13.505000000000001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14.45</v>
      </c>
      <c r="D2278" s="4">
        <v>13.505000000000001</v>
      </c>
      <c r="E2278" s="4">
        <v>1126</v>
      </c>
      <c r="F2278" s="4">
        <v>14.324999999999999</v>
      </c>
      <c r="G2278" s="4">
        <v>16129.95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14.35</v>
      </c>
      <c r="D2279" s="4">
        <v>13.4115</v>
      </c>
      <c r="E2279" s="4">
        <v>5</v>
      </c>
      <c r="F2279" s="4">
        <v>14.35</v>
      </c>
      <c r="G2279" s="4">
        <v>71.75</v>
      </c>
      <c r="H2279" s="5">
        <f t="shared" si="35"/>
        <v>-6.9233617178823086E-3</v>
      </c>
    </row>
    <row r="2280" spans="1:8" ht="13.5" x14ac:dyDescent="0.25">
      <c r="A2280" s="1"/>
      <c r="B2280" s="3">
        <v>45618</v>
      </c>
      <c r="C2280" s="4">
        <v>14.5</v>
      </c>
      <c r="D2280" s="4">
        <v>13.5517</v>
      </c>
      <c r="E2280" s="4">
        <v>908</v>
      </c>
      <c r="F2280" s="4">
        <v>14.45</v>
      </c>
      <c r="G2280" s="4">
        <v>13120.6</v>
      </c>
      <c r="H2280" s="5">
        <f t="shared" si="35"/>
        <v>1.0453715095254081E-2</v>
      </c>
    </row>
    <row r="2281" spans="1:8" ht="13.5" x14ac:dyDescent="0.25">
      <c r="A2281" s="1"/>
      <c r="B2281" s="3">
        <v>45621</v>
      </c>
      <c r="C2281" s="4">
        <v>14.4</v>
      </c>
      <c r="D2281" s="4">
        <v>13.4582</v>
      </c>
      <c r="E2281" s="4">
        <v>300</v>
      </c>
      <c r="F2281" s="4">
        <v>14.404999999999999</v>
      </c>
      <c r="G2281" s="4">
        <v>4321.5</v>
      </c>
      <c r="H2281" s="5">
        <f t="shared" si="35"/>
        <v>-6.8995033833394023E-3</v>
      </c>
    </row>
    <row r="2282" spans="1:8" ht="13.5" x14ac:dyDescent="0.25">
      <c r="A2282" s="1"/>
      <c r="B2282" s="3">
        <v>45622</v>
      </c>
      <c r="C2282" s="4">
        <v>14.56</v>
      </c>
      <c r="D2282" s="4">
        <v>13.607799999999999</v>
      </c>
      <c r="E2282" s="4">
        <v>1574</v>
      </c>
      <c r="F2282" s="4">
        <v>14.41</v>
      </c>
      <c r="G2282" s="4">
        <v>22681.34</v>
      </c>
      <c r="H2282" s="5">
        <f t="shared" si="35"/>
        <v>1.1115899600243681E-2</v>
      </c>
    </row>
    <row r="2283" spans="1:8" ht="13.5" x14ac:dyDescent="0.25">
      <c r="A2283" s="1"/>
      <c r="B2283" s="3">
        <v>45623</v>
      </c>
      <c r="C2283" s="4">
        <v>14.4</v>
      </c>
      <c r="D2283" s="4">
        <v>13.4582</v>
      </c>
      <c r="E2283" s="4">
        <v>425</v>
      </c>
      <c r="F2283" s="4">
        <v>14.4</v>
      </c>
      <c r="G2283" s="4">
        <v>6120</v>
      </c>
      <c r="H2283" s="5">
        <f t="shared" si="35"/>
        <v>-1.0993694792692391E-2</v>
      </c>
    </row>
    <row r="2284" spans="1:8" ht="13.5" x14ac:dyDescent="0.25">
      <c r="A2284" s="1"/>
      <c r="B2284" s="3">
        <v>45624</v>
      </c>
      <c r="C2284" s="4">
        <v>14.4</v>
      </c>
      <c r="D2284" s="4">
        <v>13.4582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14.55</v>
      </c>
      <c r="D2285" s="4">
        <v>13.5984</v>
      </c>
      <c r="E2285" s="4">
        <v>1380</v>
      </c>
      <c r="F2285" s="4">
        <v>14.55</v>
      </c>
      <c r="G2285" s="4">
        <v>20079</v>
      </c>
      <c r="H2285" s="5">
        <f t="shared" si="35"/>
        <v>1.041744066814285E-2</v>
      </c>
    </row>
    <row r="2286" spans="1:8" ht="13.5" x14ac:dyDescent="0.25">
      <c r="A2286" s="1"/>
      <c r="B2286" s="3">
        <v>45628</v>
      </c>
      <c r="C2286" s="4">
        <v>14.9</v>
      </c>
      <c r="D2286" s="4">
        <v>13.9255</v>
      </c>
      <c r="E2286" s="4">
        <v>470</v>
      </c>
      <c r="F2286" s="4">
        <v>14.583</v>
      </c>
      <c r="G2286" s="4">
        <v>6854.01</v>
      </c>
      <c r="H2286" s="5">
        <f t="shared" si="35"/>
        <v>2.4054300505941855E-2</v>
      </c>
    </row>
    <row r="2287" spans="1:8" ht="13.5" x14ac:dyDescent="0.25">
      <c r="A2287" s="1"/>
      <c r="B2287" s="3">
        <v>45629</v>
      </c>
      <c r="C2287" s="4">
        <v>14.6</v>
      </c>
      <c r="D2287" s="4">
        <v>13.645200000000001</v>
      </c>
      <c r="E2287" s="4">
        <v>32</v>
      </c>
      <c r="F2287" s="4">
        <v>14.606</v>
      </c>
      <c r="G2287" s="4">
        <v>467.392</v>
      </c>
      <c r="H2287" s="5">
        <f t="shared" si="35"/>
        <v>-2.0128541165487679E-2</v>
      </c>
    </row>
    <row r="2288" spans="1:8" ht="13.5" x14ac:dyDescent="0.25">
      <c r="A2288" s="1"/>
      <c r="B2288" s="3">
        <v>45630</v>
      </c>
      <c r="C2288" s="4">
        <v>14.89</v>
      </c>
      <c r="D2288" s="4">
        <v>13.9162</v>
      </c>
      <c r="E2288" s="4">
        <v>1</v>
      </c>
      <c r="F2288" s="4">
        <v>14.89</v>
      </c>
      <c r="G2288" s="4">
        <v>14.89</v>
      </c>
      <c r="H2288" s="5">
        <f t="shared" si="35"/>
        <v>1.9860463752821432E-2</v>
      </c>
    </row>
    <row r="2289" spans="1:8" ht="13.5" x14ac:dyDescent="0.25">
      <c r="A2289" s="1"/>
      <c r="B2289" s="3">
        <v>45631</v>
      </c>
      <c r="C2289" s="4">
        <v>14.89</v>
      </c>
      <c r="D2289" s="4">
        <v>13.9162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14.7</v>
      </c>
      <c r="D2290" s="4">
        <v>13.7386</v>
      </c>
      <c r="E2290" s="4">
        <v>856</v>
      </c>
      <c r="F2290" s="4">
        <v>14.897</v>
      </c>
      <c r="G2290" s="4">
        <v>12751.832</v>
      </c>
      <c r="H2290" s="5">
        <f t="shared" si="35"/>
        <v>-1.2762104597519437E-2</v>
      </c>
    </row>
    <row r="2291" spans="1:8" ht="13.5" x14ac:dyDescent="0.25">
      <c r="A2291" s="1"/>
      <c r="B2291" s="3">
        <v>45635</v>
      </c>
      <c r="C2291" s="4">
        <v>14.93</v>
      </c>
      <c r="D2291" s="4">
        <v>13.9536</v>
      </c>
      <c r="E2291" s="4">
        <v>492</v>
      </c>
      <c r="F2291" s="4">
        <v>14.707000000000001</v>
      </c>
      <c r="G2291" s="4">
        <v>7235.8440000000001</v>
      </c>
      <c r="H2291" s="5">
        <f t="shared" si="35"/>
        <v>1.5649338360531631E-2</v>
      </c>
    </row>
    <row r="2292" spans="1:8" ht="13.5" x14ac:dyDescent="0.25">
      <c r="A2292" s="1"/>
      <c r="B2292" s="3">
        <v>45636</v>
      </c>
      <c r="C2292" s="4">
        <v>15.19</v>
      </c>
      <c r="D2292" s="4">
        <v>14.1966</v>
      </c>
      <c r="E2292" s="4">
        <v>338</v>
      </c>
      <c r="F2292" s="4">
        <v>14.974</v>
      </c>
      <c r="G2292" s="4">
        <v>5061.2120000000004</v>
      </c>
      <c r="H2292" s="5">
        <f t="shared" si="35"/>
        <v>1.7414860681114575E-2</v>
      </c>
    </row>
    <row r="2293" spans="1:8" ht="13.5" x14ac:dyDescent="0.25">
      <c r="A2293" s="1"/>
      <c r="B2293" s="3">
        <v>45637</v>
      </c>
      <c r="C2293" s="4">
        <v>15.18</v>
      </c>
      <c r="D2293" s="4">
        <v>14.187200000000001</v>
      </c>
      <c r="E2293" s="4">
        <v>41</v>
      </c>
      <c r="F2293" s="4">
        <v>14.834</v>
      </c>
      <c r="G2293" s="4">
        <v>608.19399999999996</v>
      </c>
      <c r="H2293" s="5">
        <f t="shared" si="35"/>
        <v>-6.621303692432983E-4</v>
      </c>
    </row>
    <row r="2294" spans="1:8" ht="13.5" x14ac:dyDescent="0.25">
      <c r="A2294" s="1"/>
      <c r="B2294" s="3">
        <v>45638</v>
      </c>
      <c r="C2294" s="4">
        <v>14.9</v>
      </c>
      <c r="D2294" s="4">
        <v>13.9255</v>
      </c>
      <c r="E2294" s="4">
        <v>297</v>
      </c>
      <c r="F2294" s="4">
        <v>14.894</v>
      </c>
      <c r="G2294" s="4">
        <v>4423.518</v>
      </c>
      <c r="H2294" s="5">
        <f t="shared" si="35"/>
        <v>-1.8446205029886174E-2</v>
      </c>
    </row>
    <row r="2295" spans="1:8" ht="13.5" x14ac:dyDescent="0.25">
      <c r="A2295" s="1"/>
      <c r="B2295" s="3">
        <v>45639</v>
      </c>
      <c r="C2295" s="4">
        <v>15.17</v>
      </c>
      <c r="D2295" s="4">
        <v>14.177899999999999</v>
      </c>
      <c r="E2295" s="4">
        <v>3249</v>
      </c>
      <c r="F2295" s="4">
        <v>14.898</v>
      </c>
      <c r="G2295" s="4">
        <v>48403.601999999999</v>
      </c>
      <c r="H2295" s="5">
        <f t="shared" si="35"/>
        <v>1.8125022440845913E-2</v>
      </c>
    </row>
    <row r="2296" spans="1:8" ht="13.5" x14ac:dyDescent="0.25">
      <c r="A2296" s="1"/>
      <c r="B2296" s="3">
        <v>45642</v>
      </c>
      <c r="C2296" s="4">
        <v>15</v>
      </c>
      <c r="D2296" s="4">
        <v>14.019</v>
      </c>
      <c r="E2296" s="4">
        <v>502</v>
      </c>
      <c r="F2296" s="4">
        <v>15.000999999999999</v>
      </c>
      <c r="G2296" s="4">
        <v>7530.5020000000004</v>
      </c>
      <c r="H2296" s="5">
        <f t="shared" si="35"/>
        <v>-1.1207583633683349E-2</v>
      </c>
    </row>
    <row r="2297" spans="1:8" ht="13.5" x14ac:dyDescent="0.25">
      <c r="A2297" s="1"/>
      <c r="B2297" s="3">
        <v>45644</v>
      </c>
      <c r="C2297" s="4">
        <v>15.33</v>
      </c>
      <c r="D2297" s="4">
        <v>14.327400000000001</v>
      </c>
      <c r="E2297" s="4">
        <v>74</v>
      </c>
      <c r="F2297" s="4">
        <v>15.182</v>
      </c>
      <c r="G2297" s="4">
        <v>1123.4680000000001</v>
      </c>
      <c r="H2297" s="5">
        <f t="shared" si="35"/>
        <v>2.1998716028247427E-2</v>
      </c>
    </row>
    <row r="2298" spans="1:8" ht="13.5" x14ac:dyDescent="0.25">
      <c r="A2298" s="1"/>
      <c r="B2298" s="3">
        <v>45645</v>
      </c>
      <c r="C2298" s="4">
        <v>15.2</v>
      </c>
      <c r="D2298" s="4">
        <v>14.2059</v>
      </c>
      <c r="E2298" s="4">
        <v>2090</v>
      </c>
      <c r="F2298" s="4">
        <v>15.298</v>
      </c>
      <c r="G2298" s="4">
        <v>31972.82</v>
      </c>
      <c r="H2298" s="5">
        <f t="shared" si="35"/>
        <v>-8.4802546170275866E-3</v>
      </c>
    </row>
    <row r="2299" spans="1:8" ht="13.5" x14ac:dyDescent="0.25">
      <c r="A2299" s="1"/>
      <c r="B2299" s="3">
        <v>45646</v>
      </c>
      <c r="C2299" s="4">
        <v>15.05</v>
      </c>
      <c r="D2299" s="4">
        <v>14.0657</v>
      </c>
      <c r="E2299" s="4">
        <v>762</v>
      </c>
      <c r="F2299" s="4">
        <v>15.037000000000001</v>
      </c>
      <c r="G2299" s="4">
        <v>11458.194</v>
      </c>
      <c r="H2299" s="5">
        <f t="shared" si="35"/>
        <v>-9.8691388789165137E-3</v>
      </c>
    </row>
    <row r="2300" spans="1:8" ht="13.5" x14ac:dyDescent="0.25">
      <c r="A2300" s="1"/>
      <c r="B2300" s="3">
        <v>45649</v>
      </c>
      <c r="C2300" s="4">
        <v>15.1</v>
      </c>
      <c r="D2300" s="4">
        <v>14.112500000000001</v>
      </c>
      <c r="E2300" s="4">
        <v>180</v>
      </c>
      <c r="F2300" s="4">
        <v>14.752000000000001</v>
      </c>
      <c r="G2300" s="4">
        <v>2655.36</v>
      </c>
      <c r="H2300" s="5">
        <f t="shared" si="35"/>
        <v>3.3272428674009161E-3</v>
      </c>
    </row>
    <row r="2301" spans="1:8" ht="13.5" x14ac:dyDescent="0.25">
      <c r="A2301" s="1"/>
      <c r="B2301" s="3">
        <v>45650</v>
      </c>
      <c r="C2301" s="4">
        <v>15.15</v>
      </c>
      <c r="D2301" s="4">
        <v>14.1592</v>
      </c>
      <c r="E2301" s="4">
        <v>346</v>
      </c>
      <c r="F2301" s="4">
        <v>15.141</v>
      </c>
      <c r="G2301" s="4">
        <v>5238.7860000000001</v>
      </c>
      <c r="H2301" s="5">
        <f t="shared" si="35"/>
        <v>3.3091231178033315E-3</v>
      </c>
    </row>
    <row r="2302" spans="1:8" ht="13.5" x14ac:dyDescent="0.25">
      <c r="A2302" s="1"/>
      <c r="B2302" s="3">
        <v>45651</v>
      </c>
      <c r="C2302" s="4">
        <v>15</v>
      </c>
      <c r="D2302" s="4">
        <v>14.019</v>
      </c>
      <c r="E2302" s="4">
        <v>192</v>
      </c>
      <c r="F2302" s="4">
        <v>14.95</v>
      </c>
      <c r="G2302" s="4">
        <v>2870.4</v>
      </c>
      <c r="H2302" s="5">
        <f t="shared" si="35"/>
        <v>-9.9016893609808528E-3</v>
      </c>
    </row>
    <row r="2303" spans="1:8" ht="13.5" x14ac:dyDescent="0.25">
      <c r="A2303" s="1"/>
      <c r="B2303" s="3">
        <v>45652</v>
      </c>
      <c r="C2303" s="4">
        <v>14.8</v>
      </c>
      <c r="D2303" s="4">
        <v>13.832100000000001</v>
      </c>
      <c r="E2303" s="4">
        <v>700</v>
      </c>
      <c r="F2303" s="4">
        <v>14.856999999999999</v>
      </c>
      <c r="G2303" s="4">
        <v>10399.9</v>
      </c>
      <c r="H2303" s="5">
        <f t="shared" si="35"/>
        <v>-1.3331906698052615E-2</v>
      </c>
    </row>
    <row r="2304" spans="1:8" ht="13.5" x14ac:dyDescent="0.25">
      <c r="A2304" s="1"/>
      <c r="B2304" s="3">
        <v>45653</v>
      </c>
      <c r="C2304" s="4">
        <v>15</v>
      </c>
      <c r="D2304" s="4">
        <v>14.019</v>
      </c>
      <c r="E2304" s="4">
        <v>739</v>
      </c>
      <c r="F2304" s="4">
        <v>15.039</v>
      </c>
      <c r="G2304" s="4">
        <v>11113.821</v>
      </c>
      <c r="H2304" s="5">
        <f t="shared" si="35"/>
        <v>1.3512048062116354E-2</v>
      </c>
    </row>
    <row r="2305" spans="1:8" ht="13.5" x14ac:dyDescent="0.25">
      <c r="A2305" s="1"/>
      <c r="B2305" s="3">
        <v>45656</v>
      </c>
      <c r="C2305" s="4">
        <v>15.09</v>
      </c>
      <c r="D2305" s="4">
        <v>14.1031</v>
      </c>
      <c r="E2305" s="4">
        <v>541</v>
      </c>
      <c r="F2305" s="4">
        <v>14.912000000000001</v>
      </c>
      <c r="G2305" s="4">
        <v>8067.3919999999998</v>
      </c>
      <c r="H2305" s="5">
        <f t="shared" si="35"/>
        <v>5.9990013553034736E-3</v>
      </c>
    </row>
    <row r="2306" spans="1:8" ht="13.5" x14ac:dyDescent="0.25">
      <c r="A2306" s="1"/>
      <c r="B2306" s="3">
        <v>45657</v>
      </c>
      <c r="C2306" s="4">
        <v>15.08</v>
      </c>
      <c r="D2306" s="4">
        <v>14.0938</v>
      </c>
      <c r="E2306" s="4">
        <v>645</v>
      </c>
      <c r="F2306" s="4">
        <v>15.013999999999999</v>
      </c>
      <c r="G2306" s="4">
        <v>9684.0300000000007</v>
      </c>
      <c r="H2306" s="5">
        <f t="shared" si="35"/>
        <v>-6.5942948713400903E-4</v>
      </c>
    </row>
    <row r="2307" spans="1:8" ht="13.5" x14ac:dyDescent="0.25">
      <c r="A2307" s="1"/>
      <c r="B2307" s="3">
        <v>45659</v>
      </c>
      <c r="C2307" s="4">
        <v>15.1</v>
      </c>
      <c r="D2307" s="4">
        <v>14.112500000000001</v>
      </c>
      <c r="E2307" s="4">
        <v>200</v>
      </c>
      <c r="F2307" s="4">
        <v>15.083</v>
      </c>
      <c r="G2307" s="4">
        <v>3016.6</v>
      </c>
      <c r="H2307" s="5">
        <f t="shared" si="35"/>
        <v>1.326824561154609E-3</v>
      </c>
    </row>
    <row r="2308" spans="1:8" ht="13.5" x14ac:dyDescent="0.25">
      <c r="A2308" s="1"/>
      <c r="B2308" s="3">
        <v>45660</v>
      </c>
      <c r="C2308" s="4">
        <v>14.95</v>
      </c>
      <c r="D2308" s="4">
        <v>13.972300000000001</v>
      </c>
      <c r="E2308" s="4">
        <v>2092</v>
      </c>
      <c r="F2308" s="4">
        <v>14.993</v>
      </c>
      <c r="G2308" s="4">
        <v>31365.356</v>
      </c>
      <c r="H2308" s="5">
        <f t="shared" si="35"/>
        <v>-9.9344552701505825E-3</v>
      </c>
    </row>
    <row r="2309" spans="1:8" ht="13.5" x14ac:dyDescent="0.25">
      <c r="A2309" s="1"/>
      <c r="B2309" s="3">
        <v>45663</v>
      </c>
      <c r="C2309" s="4">
        <v>14.95</v>
      </c>
      <c r="D2309" s="4">
        <v>13.972300000000001</v>
      </c>
      <c r="E2309" s="4">
        <v>898</v>
      </c>
      <c r="F2309" s="4">
        <v>14.95</v>
      </c>
      <c r="G2309" s="4">
        <v>13425.1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14.99</v>
      </c>
      <c r="D2310" s="4">
        <v>14.0097</v>
      </c>
      <c r="E2310" s="4">
        <v>3451</v>
      </c>
      <c r="F2310" s="4">
        <v>14.946999999999999</v>
      </c>
      <c r="G2310" s="4">
        <v>51582.097000000002</v>
      </c>
      <c r="H2310" s="5">
        <f t="shared" si="35"/>
        <v>2.6767246623676756E-3</v>
      </c>
    </row>
    <row r="2311" spans="1:8" ht="13.5" x14ac:dyDescent="0.25">
      <c r="A2311" s="1"/>
      <c r="B2311" s="3">
        <v>45665</v>
      </c>
      <c r="C2311" s="4">
        <v>14.9</v>
      </c>
      <c r="D2311" s="4">
        <v>13.9255</v>
      </c>
      <c r="E2311" s="4">
        <v>509</v>
      </c>
      <c r="F2311" s="4">
        <v>14.863</v>
      </c>
      <c r="G2311" s="4">
        <v>7565.2669999999998</v>
      </c>
      <c r="H2311" s="5">
        <f t="shared" ref="H2311:H2374" si="36">(D2311-D2310)/D2310</f>
        <v>-6.0101215586344419E-3</v>
      </c>
    </row>
    <row r="2312" spans="1:8" ht="13.5" x14ac:dyDescent="0.25">
      <c r="A2312" s="1"/>
      <c r="B2312" s="3">
        <v>45666</v>
      </c>
      <c r="C2312" s="4">
        <v>14.9</v>
      </c>
      <c r="D2312" s="4">
        <v>13.9255</v>
      </c>
      <c r="E2312" s="4">
        <v>1770</v>
      </c>
      <c r="F2312" s="4">
        <v>14.974</v>
      </c>
      <c r="G2312" s="4">
        <v>26503.98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14.9</v>
      </c>
      <c r="D2313" s="4">
        <v>13.9255</v>
      </c>
      <c r="E2313" s="4">
        <v>1422</v>
      </c>
      <c r="F2313" s="4">
        <v>14.909000000000001</v>
      </c>
      <c r="G2313" s="4">
        <v>21200.598000000002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15</v>
      </c>
      <c r="D2314" s="4">
        <v>14.019</v>
      </c>
      <c r="E2314" s="4">
        <v>2447</v>
      </c>
      <c r="F2314" s="4">
        <v>14.959</v>
      </c>
      <c r="G2314" s="4">
        <v>36604.673000000003</v>
      </c>
      <c r="H2314" s="5">
        <f t="shared" si="36"/>
        <v>6.7143011022943941E-3</v>
      </c>
    </row>
    <row r="2315" spans="1:8" ht="13.5" x14ac:dyDescent="0.25">
      <c r="A2315" s="1"/>
      <c r="B2315" s="3">
        <v>45671</v>
      </c>
      <c r="C2315" s="4">
        <v>15.14</v>
      </c>
      <c r="D2315" s="4">
        <v>14.149800000000001</v>
      </c>
      <c r="E2315" s="4">
        <v>1002</v>
      </c>
      <c r="F2315" s="4">
        <v>15.07</v>
      </c>
      <c r="G2315" s="4">
        <v>15100.14</v>
      </c>
      <c r="H2315" s="5">
        <f t="shared" si="36"/>
        <v>9.3301947357158632E-3</v>
      </c>
    </row>
    <row r="2316" spans="1:8" ht="13.5" x14ac:dyDescent="0.25">
      <c r="A2316" s="1"/>
      <c r="B2316" s="3">
        <v>45672</v>
      </c>
      <c r="C2316" s="4">
        <v>15.3</v>
      </c>
      <c r="D2316" s="4">
        <v>14.2994</v>
      </c>
      <c r="E2316" s="4">
        <v>2173</v>
      </c>
      <c r="F2316" s="4">
        <v>15.226000000000001</v>
      </c>
      <c r="G2316" s="4">
        <v>33086.097999999998</v>
      </c>
      <c r="H2316" s="5">
        <f t="shared" si="36"/>
        <v>1.0572587598411249E-2</v>
      </c>
    </row>
    <row r="2317" spans="1:8" ht="13.5" x14ac:dyDescent="0.25">
      <c r="A2317" s="1"/>
      <c r="B2317" s="3">
        <v>45673</v>
      </c>
      <c r="C2317" s="4">
        <v>15.8</v>
      </c>
      <c r="D2317" s="4">
        <v>14.7667</v>
      </c>
      <c r="E2317" s="4">
        <v>1812</v>
      </c>
      <c r="F2317" s="4">
        <v>15.523</v>
      </c>
      <c r="G2317" s="4">
        <v>28127.675999999999</v>
      </c>
      <c r="H2317" s="5">
        <f t="shared" si="36"/>
        <v>3.2679692854245622E-2</v>
      </c>
    </row>
    <row r="2318" spans="1:8" ht="13.5" x14ac:dyDescent="0.25">
      <c r="A2318" s="1"/>
      <c r="B2318" s="3">
        <v>45674</v>
      </c>
      <c r="C2318" s="4">
        <v>15.99</v>
      </c>
      <c r="D2318" s="4">
        <v>14.9443</v>
      </c>
      <c r="E2318" s="4">
        <v>3037</v>
      </c>
      <c r="F2318" s="4">
        <v>15.968</v>
      </c>
      <c r="G2318" s="4">
        <v>48494.815999999999</v>
      </c>
      <c r="H2318" s="5">
        <f t="shared" si="36"/>
        <v>1.2027060886995738E-2</v>
      </c>
    </row>
    <row r="2319" spans="1:8" ht="13.5" x14ac:dyDescent="0.25">
      <c r="A2319" s="1"/>
      <c r="B2319" s="3">
        <v>45677</v>
      </c>
      <c r="C2319" s="4">
        <v>16.440000000000001</v>
      </c>
      <c r="D2319" s="4">
        <v>15.364800000000001</v>
      </c>
      <c r="E2319" s="4">
        <v>2430</v>
      </c>
      <c r="F2319" s="4">
        <v>16.349</v>
      </c>
      <c r="G2319" s="4">
        <v>39728.07</v>
      </c>
      <c r="H2319" s="5">
        <f t="shared" si="36"/>
        <v>2.8137818432445852E-2</v>
      </c>
    </row>
    <row r="2320" spans="1:8" ht="13.5" x14ac:dyDescent="0.25">
      <c r="A2320" s="1"/>
      <c r="B2320" s="3">
        <v>45678</v>
      </c>
      <c r="C2320" s="4">
        <v>16.5</v>
      </c>
      <c r="D2320" s="4">
        <v>15.4209</v>
      </c>
      <c r="E2320" s="4">
        <v>1580</v>
      </c>
      <c r="F2320" s="4">
        <v>16.495999999999999</v>
      </c>
      <c r="G2320" s="4">
        <v>26063.68</v>
      </c>
      <c r="H2320" s="5">
        <f t="shared" si="36"/>
        <v>3.6512027491408237E-3</v>
      </c>
    </row>
    <row r="2321" spans="1:8" ht="13.5" x14ac:dyDescent="0.25">
      <c r="A2321" s="1"/>
      <c r="B2321" s="3">
        <v>45679</v>
      </c>
      <c r="C2321" s="4">
        <v>16.79</v>
      </c>
      <c r="D2321" s="4">
        <v>15.6919</v>
      </c>
      <c r="E2321" s="4">
        <v>4072</v>
      </c>
      <c r="F2321" s="4">
        <v>16.652000000000001</v>
      </c>
      <c r="G2321" s="4">
        <v>67806.944000000003</v>
      </c>
      <c r="H2321" s="5">
        <f t="shared" si="36"/>
        <v>1.7573552775778378E-2</v>
      </c>
    </row>
    <row r="2322" spans="1:8" ht="13.5" x14ac:dyDescent="0.25">
      <c r="A2322" s="1"/>
      <c r="B2322" s="3">
        <v>45680</v>
      </c>
      <c r="C2322" s="4">
        <v>16.8</v>
      </c>
      <c r="D2322" s="4">
        <v>15.7013</v>
      </c>
      <c r="E2322" s="4">
        <v>1383</v>
      </c>
      <c r="F2322" s="4">
        <v>16.777000000000001</v>
      </c>
      <c r="G2322" s="4">
        <v>23202.591</v>
      </c>
      <c r="H2322" s="5">
        <f t="shared" si="36"/>
        <v>5.9903517101175818E-4</v>
      </c>
    </row>
    <row r="2323" spans="1:8" ht="13.5" x14ac:dyDescent="0.25">
      <c r="A2323" s="1"/>
      <c r="B2323" s="3">
        <v>45681</v>
      </c>
      <c r="C2323" s="4">
        <v>16.8</v>
      </c>
      <c r="D2323" s="4">
        <v>15.7013</v>
      </c>
      <c r="E2323" s="4">
        <v>2908</v>
      </c>
      <c r="F2323" s="4">
        <v>16.751999999999999</v>
      </c>
      <c r="G2323" s="4">
        <v>48714.815999999999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16.8</v>
      </c>
      <c r="D2324" s="4">
        <v>15.7013</v>
      </c>
      <c r="E2324" s="4">
        <v>1372</v>
      </c>
      <c r="F2324" s="4">
        <v>16.91</v>
      </c>
      <c r="G2324" s="4">
        <v>23200.52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16.8</v>
      </c>
      <c r="D2325" s="4">
        <v>15.7013</v>
      </c>
      <c r="E2325" s="4">
        <v>0</v>
      </c>
      <c r="F2325" s="4">
        <v>0</v>
      </c>
      <c r="G2325" s="4">
        <v>0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16.649999999999999</v>
      </c>
      <c r="D2326" s="4">
        <v>15.5611</v>
      </c>
      <c r="E2326" s="4">
        <v>249</v>
      </c>
      <c r="F2326" s="4">
        <v>16.68</v>
      </c>
      <c r="G2326" s="4">
        <v>4153.32</v>
      </c>
      <c r="H2326" s="5">
        <f t="shared" si="36"/>
        <v>-8.9291969454758594E-3</v>
      </c>
    </row>
    <row r="2327" spans="1:8" ht="13.5" x14ac:dyDescent="0.25">
      <c r="A2327" s="1"/>
      <c r="B2327" s="3">
        <v>45687</v>
      </c>
      <c r="C2327" s="4">
        <v>16.649999999999999</v>
      </c>
      <c r="D2327" s="4">
        <v>15.5611</v>
      </c>
      <c r="E2327" s="4">
        <v>214</v>
      </c>
      <c r="F2327" s="4">
        <v>16.652999999999999</v>
      </c>
      <c r="G2327" s="4">
        <v>3563.7420000000002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16.649999999999999</v>
      </c>
      <c r="D2328" s="4">
        <v>15.5611</v>
      </c>
      <c r="E2328" s="4">
        <v>724</v>
      </c>
      <c r="F2328" s="4">
        <v>16.657</v>
      </c>
      <c r="G2328" s="4">
        <v>12059.668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16.93</v>
      </c>
      <c r="D2329" s="4">
        <v>15.822800000000001</v>
      </c>
      <c r="E2329" s="4">
        <v>3756</v>
      </c>
      <c r="F2329" s="4">
        <v>16.739000000000001</v>
      </c>
      <c r="G2329" s="4">
        <v>62871.684000000001</v>
      </c>
      <c r="H2329" s="5">
        <f t="shared" si="36"/>
        <v>1.6817577163568204E-2</v>
      </c>
    </row>
    <row r="2330" spans="1:8" ht="13.5" x14ac:dyDescent="0.25">
      <c r="A2330" s="1"/>
      <c r="B2330" s="3">
        <v>45692</v>
      </c>
      <c r="C2330" s="4">
        <v>16.8</v>
      </c>
      <c r="D2330" s="4">
        <v>15.7013</v>
      </c>
      <c r="E2330" s="4">
        <v>702</v>
      </c>
      <c r="F2330" s="4">
        <v>16.827999999999999</v>
      </c>
      <c r="G2330" s="4">
        <v>11813.255999999999</v>
      </c>
      <c r="H2330" s="5">
        <f t="shared" si="36"/>
        <v>-7.6787926283591428E-3</v>
      </c>
    </row>
    <row r="2331" spans="1:8" ht="13.5" x14ac:dyDescent="0.25">
      <c r="A2331" s="1"/>
      <c r="B2331" s="3">
        <v>45693</v>
      </c>
      <c r="C2331" s="4">
        <v>16.899999999999999</v>
      </c>
      <c r="D2331" s="4">
        <v>15.794700000000001</v>
      </c>
      <c r="E2331" s="4">
        <v>2752</v>
      </c>
      <c r="F2331" s="4">
        <v>16.899999999999999</v>
      </c>
      <c r="G2331" s="4">
        <v>46508.800000000003</v>
      </c>
      <c r="H2331" s="5">
        <f t="shared" si="36"/>
        <v>5.9485520307236226E-3</v>
      </c>
    </row>
    <row r="2332" spans="1:8" ht="13.5" x14ac:dyDescent="0.25">
      <c r="A2332" s="1"/>
      <c r="B2332" s="3">
        <v>45694</v>
      </c>
      <c r="C2332" s="4">
        <v>17</v>
      </c>
      <c r="D2332" s="4">
        <v>15.888199999999999</v>
      </c>
      <c r="E2332" s="4">
        <v>3423</v>
      </c>
      <c r="F2332" s="4">
        <v>16.997</v>
      </c>
      <c r="G2332" s="4">
        <v>58180.731</v>
      </c>
      <c r="H2332" s="5">
        <f t="shared" si="36"/>
        <v>5.9197072435689694E-3</v>
      </c>
    </row>
    <row r="2333" spans="1:8" ht="13.5" x14ac:dyDescent="0.25">
      <c r="A2333" s="1"/>
      <c r="B2333" s="3">
        <v>45695</v>
      </c>
      <c r="C2333" s="4">
        <v>16.95</v>
      </c>
      <c r="D2333" s="4">
        <v>15.8415</v>
      </c>
      <c r="E2333" s="4">
        <v>675</v>
      </c>
      <c r="F2333" s="4">
        <v>16.89</v>
      </c>
      <c r="G2333" s="4">
        <v>11400.75</v>
      </c>
      <c r="H2333" s="5">
        <f t="shared" si="36"/>
        <v>-2.9392882768343501E-3</v>
      </c>
    </row>
    <row r="2334" spans="1:8" ht="13.5" x14ac:dyDescent="0.25">
      <c r="A2334" s="1"/>
      <c r="B2334" s="3">
        <v>45698</v>
      </c>
      <c r="C2334" s="4">
        <v>17</v>
      </c>
      <c r="D2334" s="4">
        <v>15.888199999999999</v>
      </c>
      <c r="E2334" s="4">
        <v>585</v>
      </c>
      <c r="F2334" s="4">
        <v>16.997</v>
      </c>
      <c r="G2334" s="4">
        <v>9943.2450000000008</v>
      </c>
      <c r="H2334" s="5">
        <f t="shared" si="36"/>
        <v>2.9479531610011375E-3</v>
      </c>
    </row>
    <row r="2335" spans="1:8" ht="13.5" x14ac:dyDescent="0.25">
      <c r="A2335" s="1"/>
      <c r="B2335" s="3">
        <v>45699</v>
      </c>
      <c r="C2335" s="4">
        <v>17.2</v>
      </c>
      <c r="D2335" s="4">
        <v>16.075099999999999</v>
      </c>
      <c r="E2335" s="4">
        <v>2554</v>
      </c>
      <c r="F2335" s="4">
        <v>17</v>
      </c>
      <c r="G2335" s="4">
        <v>43418</v>
      </c>
      <c r="H2335" s="5">
        <f t="shared" si="36"/>
        <v>1.1763447086517014E-2</v>
      </c>
    </row>
    <row r="2336" spans="1:8" ht="13.5" x14ac:dyDescent="0.25">
      <c r="A2336" s="1"/>
      <c r="B2336" s="3">
        <v>45700</v>
      </c>
      <c r="C2336" s="4">
        <v>17.2</v>
      </c>
      <c r="D2336" s="4">
        <v>16.075099999999999</v>
      </c>
      <c r="E2336" s="4">
        <v>25</v>
      </c>
      <c r="F2336" s="4">
        <v>17.21</v>
      </c>
      <c r="G2336" s="4">
        <v>430.25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17.25</v>
      </c>
      <c r="D2337" s="4">
        <v>16.1218</v>
      </c>
      <c r="E2337" s="4">
        <v>2231</v>
      </c>
      <c r="F2337" s="4">
        <v>17.213000000000001</v>
      </c>
      <c r="G2337" s="4">
        <v>38402.203000000001</v>
      </c>
      <c r="H2337" s="5">
        <f t="shared" si="36"/>
        <v>2.9051141205965313E-3</v>
      </c>
    </row>
    <row r="2338" spans="1:8" ht="13.5" x14ac:dyDescent="0.25">
      <c r="A2338" s="1"/>
      <c r="B2338" s="3">
        <v>45702</v>
      </c>
      <c r="C2338" s="4">
        <v>17.25</v>
      </c>
      <c r="D2338" s="4">
        <v>16.1218</v>
      </c>
      <c r="E2338" s="4">
        <v>820</v>
      </c>
      <c r="F2338" s="4">
        <v>17.120999999999999</v>
      </c>
      <c r="G2338" s="4">
        <v>14039.22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17</v>
      </c>
      <c r="D2339" s="4">
        <v>15.888199999999999</v>
      </c>
      <c r="E2339" s="4">
        <v>5181</v>
      </c>
      <c r="F2339" s="4">
        <v>17</v>
      </c>
      <c r="G2339" s="4">
        <v>88077</v>
      </c>
      <c r="H2339" s="5">
        <f t="shared" si="36"/>
        <v>-1.4489697180215665E-2</v>
      </c>
    </row>
    <row r="2340" spans="1:8" ht="13.5" x14ac:dyDescent="0.25">
      <c r="A2340" s="1"/>
      <c r="B2340" s="3">
        <v>45706</v>
      </c>
      <c r="C2340" s="4">
        <v>17</v>
      </c>
      <c r="D2340" s="4">
        <v>15.888199999999999</v>
      </c>
      <c r="E2340" s="4">
        <v>1792</v>
      </c>
      <c r="F2340" s="4">
        <v>17.004000000000001</v>
      </c>
      <c r="G2340" s="4">
        <v>30471.168000000001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16.95</v>
      </c>
      <c r="D2341" s="4">
        <v>15.8415</v>
      </c>
      <c r="E2341" s="4">
        <v>1532</v>
      </c>
      <c r="F2341" s="4">
        <v>16.998999999999999</v>
      </c>
      <c r="G2341" s="4">
        <v>26042.468000000001</v>
      </c>
      <c r="H2341" s="5">
        <f t="shared" si="36"/>
        <v>-2.9392882768343501E-3</v>
      </c>
    </row>
    <row r="2342" spans="1:8" ht="13.5" x14ac:dyDescent="0.25">
      <c r="A2342" s="1"/>
      <c r="B2342" s="3">
        <v>45708</v>
      </c>
      <c r="C2342" s="4">
        <v>17</v>
      </c>
      <c r="D2342" s="4">
        <v>15.888199999999999</v>
      </c>
      <c r="E2342" s="4">
        <v>1520</v>
      </c>
      <c r="F2342" s="4">
        <v>17.023</v>
      </c>
      <c r="G2342" s="4">
        <v>25874.959999999999</v>
      </c>
      <c r="H2342" s="5">
        <f t="shared" si="36"/>
        <v>2.9479531610011375E-3</v>
      </c>
    </row>
    <row r="2343" spans="1:8" ht="13.5" x14ac:dyDescent="0.25">
      <c r="A2343" s="1"/>
      <c r="B2343" s="3">
        <v>45709</v>
      </c>
      <c r="C2343" s="4">
        <v>17</v>
      </c>
      <c r="D2343" s="4">
        <v>15.888199999999999</v>
      </c>
      <c r="E2343" s="4">
        <v>423</v>
      </c>
      <c r="F2343" s="4">
        <v>16.991</v>
      </c>
      <c r="G2343" s="4">
        <v>7187.1930000000002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17.100000000000001</v>
      </c>
      <c r="D2344" s="4">
        <v>15.9817</v>
      </c>
      <c r="E2344" s="4">
        <v>1001</v>
      </c>
      <c r="F2344" s="4">
        <v>17.027000000000001</v>
      </c>
      <c r="G2344" s="4">
        <v>17044.026999999998</v>
      </c>
      <c r="H2344" s="5">
        <f t="shared" si="36"/>
        <v>5.8848705328483145E-3</v>
      </c>
    </row>
    <row r="2345" spans="1:8" ht="13.5" x14ac:dyDescent="0.25">
      <c r="A2345" s="1"/>
      <c r="B2345" s="3">
        <v>45713</v>
      </c>
      <c r="C2345" s="4">
        <v>16.96</v>
      </c>
      <c r="D2345" s="4">
        <v>15.8508</v>
      </c>
      <c r="E2345" s="4">
        <v>481</v>
      </c>
      <c r="F2345" s="4">
        <v>17.103999999999999</v>
      </c>
      <c r="G2345" s="4">
        <v>8227.0239999999994</v>
      </c>
      <c r="H2345" s="5">
        <f t="shared" si="36"/>
        <v>-8.1906180193596721E-3</v>
      </c>
    </row>
    <row r="2346" spans="1:8" ht="13.5" x14ac:dyDescent="0.25">
      <c r="A2346" s="1"/>
      <c r="B2346" s="3">
        <v>45714</v>
      </c>
      <c r="C2346" s="4">
        <v>17.3</v>
      </c>
      <c r="D2346" s="4">
        <v>16.168600000000001</v>
      </c>
      <c r="E2346" s="4">
        <v>2506</v>
      </c>
      <c r="F2346" s="4">
        <v>17.170000000000002</v>
      </c>
      <c r="G2346" s="4">
        <v>43028.02</v>
      </c>
      <c r="H2346" s="5">
        <f t="shared" si="36"/>
        <v>2.004946122593193E-2</v>
      </c>
    </row>
    <row r="2347" spans="1:8" ht="13.5" x14ac:dyDescent="0.25">
      <c r="A2347" s="1"/>
      <c r="B2347" s="3">
        <v>45715</v>
      </c>
      <c r="C2347" s="4">
        <v>17.29</v>
      </c>
      <c r="D2347" s="4">
        <v>16.159199999999998</v>
      </c>
      <c r="E2347" s="4">
        <v>712</v>
      </c>
      <c r="F2347" s="4">
        <v>17.088000000000001</v>
      </c>
      <c r="G2347" s="4">
        <v>12166.656000000001</v>
      </c>
      <c r="H2347" s="5">
        <f t="shared" si="36"/>
        <v>-5.8137377385815469E-4</v>
      </c>
    </row>
    <row r="2348" spans="1:8" ht="13.5" x14ac:dyDescent="0.25">
      <c r="A2348" s="1"/>
      <c r="B2348" s="3">
        <v>45716</v>
      </c>
      <c r="C2348" s="4">
        <v>17.149999999999999</v>
      </c>
      <c r="D2348" s="4">
        <v>16.028400000000001</v>
      </c>
      <c r="E2348" s="4">
        <v>1034</v>
      </c>
      <c r="F2348" s="4">
        <v>17.259</v>
      </c>
      <c r="G2348" s="4">
        <v>17845.806</v>
      </c>
      <c r="H2348" s="5">
        <f t="shared" si="36"/>
        <v>-8.0944601217880306E-3</v>
      </c>
    </row>
    <row r="2349" spans="1:8" ht="13.5" x14ac:dyDescent="0.25">
      <c r="A2349" s="1"/>
      <c r="B2349" s="3">
        <v>45719</v>
      </c>
      <c r="C2349" s="4">
        <v>17.350000000000001</v>
      </c>
      <c r="D2349" s="4">
        <v>16.215299999999999</v>
      </c>
      <c r="E2349" s="4">
        <v>503</v>
      </c>
      <c r="F2349" s="4">
        <v>17.291</v>
      </c>
      <c r="G2349" s="4">
        <v>8697.3729999999996</v>
      </c>
      <c r="H2349" s="5">
        <f t="shared" si="36"/>
        <v>1.1660552519278146E-2</v>
      </c>
    </row>
    <row r="2350" spans="1:8" ht="13.5" x14ac:dyDescent="0.25">
      <c r="A2350" s="1"/>
      <c r="B2350" s="3">
        <v>45720</v>
      </c>
      <c r="C2350" s="4">
        <v>17.350000000000001</v>
      </c>
      <c r="D2350" s="4">
        <v>16.215299999999999</v>
      </c>
      <c r="E2350" s="4">
        <v>8</v>
      </c>
      <c r="F2350" s="4">
        <v>17.350000000000001</v>
      </c>
      <c r="G2350" s="4">
        <v>138.80000000000001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17.350000000000001</v>
      </c>
      <c r="D2351" s="4">
        <v>16.215299999999999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17.350000000000001</v>
      </c>
      <c r="D2352" s="4">
        <v>16.215299999999999</v>
      </c>
      <c r="E2352" s="4">
        <v>365</v>
      </c>
      <c r="F2352" s="4">
        <v>17.268000000000001</v>
      </c>
      <c r="G2352" s="4">
        <v>6302.82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17.350000000000001</v>
      </c>
      <c r="D2353" s="4">
        <v>16.215299999999999</v>
      </c>
      <c r="E2353" s="4">
        <v>1339</v>
      </c>
      <c r="F2353" s="4">
        <v>17.323</v>
      </c>
      <c r="G2353" s="4">
        <v>23195.496999999999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17.350000000000001</v>
      </c>
      <c r="D2354" s="4">
        <v>16.215299999999999</v>
      </c>
      <c r="E2354" s="4">
        <v>1178</v>
      </c>
      <c r="F2354" s="4">
        <v>17.187999999999999</v>
      </c>
      <c r="G2354" s="4">
        <v>20247.464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17.350000000000001</v>
      </c>
      <c r="D2355" s="4">
        <v>16.215299999999999</v>
      </c>
      <c r="E2355" s="4">
        <v>406</v>
      </c>
      <c r="F2355" s="4">
        <v>17.378</v>
      </c>
      <c r="G2355" s="4">
        <v>7055.4679999999998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17.350000000000001</v>
      </c>
      <c r="D2356" s="4">
        <v>16.215299999999999</v>
      </c>
      <c r="E2356" s="4">
        <v>234</v>
      </c>
      <c r="F2356" s="4">
        <v>17.350000000000001</v>
      </c>
      <c r="G2356" s="4">
        <v>4059.9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17.36</v>
      </c>
      <c r="D2357" s="4">
        <v>16.224699999999999</v>
      </c>
      <c r="E2357" s="4">
        <v>941</v>
      </c>
      <c r="F2357" s="4">
        <v>17.350000000000001</v>
      </c>
      <c r="G2357" s="4">
        <v>16326.35</v>
      </c>
      <c r="H2357" s="5">
        <f t="shared" si="36"/>
        <v>5.796994196838424E-4</v>
      </c>
    </row>
    <row r="2358" spans="1:8" ht="13.5" x14ac:dyDescent="0.25">
      <c r="A2358" s="1"/>
      <c r="B2358" s="3">
        <v>45730</v>
      </c>
      <c r="C2358" s="4">
        <v>17.2</v>
      </c>
      <c r="D2358" s="4">
        <v>16.075099999999999</v>
      </c>
      <c r="E2358" s="4">
        <v>748</v>
      </c>
      <c r="F2358" s="4">
        <v>17.2</v>
      </c>
      <c r="G2358" s="4">
        <v>12865.6</v>
      </c>
      <c r="H2358" s="5">
        <f t="shared" si="36"/>
        <v>-9.220509470128849E-3</v>
      </c>
    </row>
    <row r="2359" spans="1:8" ht="13.5" x14ac:dyDescent="0.25">
      <c r="A2359" s="1"/>
      <c r="B2359" s="3">
        <v>45733</v>
      </c>
      <c r="C2359" s="4">
        <v>17.399999999999999</v>
      </c>
      <c r="D2359" s="4">
        <v>16.262</v>
      </c>
      <c r="E2359" s="4">
        <v>1470</v>
      </c>
      <c r="F2359" s="4">
        <v>17.341000000000001</v>
      </c>
      <c r="G2359" s="4">
        <v>25491.27</v>
      </c>
      <c r="H2359" s="5">
        <f t="shared" si="36"/>
        <v>1.1626677283500657E-2</v>
      </c>
    </row>
    <row r="2360" spans="1:8" ht="13.5" x14ac:dyDescent="0.25">
      <c r="A2360" s="1"/>
      <c r="B2360" s="3">
        <v>45734</v>
      </c>
      <c r="C2360" s="4">
        <v>17.3</v>
      </c>
      <c r="D2360" s="4">
        <v>16.168600000000001</v>
      </c>
      <c r="E2360" s="4">
        <v>1655</v>
      </c>
      <c r="F2360" s="4">
        <v>17.3</v>
      </c>
      <c r="G2360" s="4">
        <v>28631.5</v>
      </c>
      <c r="H2360" s="5">
        <f t="shared" si="36"/>
        <v>-5.7434509900380661E-3</v>
      </c>
    </row>
    <row r="2361" spans="1:8" ht="13.5" x14ac:dyDescent="0.25">
      <c r="A2361" s="1"/>
      <c r="B2361" s="3">
        <v>45735</v>
      </c>
      <c r="C2361" s="4">
        <v>17.440000000000001</v>
      </c>
      <c r="D2361" s="4">
        <v>16.299399999999999</v>
      </c>
      <c r="E2361" s="4">
        <v>513</v>
      </c>
      <c r="F2361" s="4">
        <v>17.350000000000001</v>
      </c>
      <c r="G2361" s="4">
        <v>8900.5499999999993</v>
      </c>
      <c r="H2361" s="5">
        <f t="shared" si="36"/>
        <v>8.0897542149596831E-3</v>
      </c>
    </row>
    <row r="2362" spans="1:8" ht="13.5" x14ac:dyDescent="0.25">
      <c r="A2362" s="1"/>
      <c r="B2362" s="3">
        <v>45737</v>
      </c>
      <c r="C2362" s="4">
        <v>17.75</v>
      </c>
      <c r="D2362" s="4">
        <v>16.589200000000002</v>
      </c>
      <c r="E2362" s="4">
        <v>1374</v>
      </c>
      <c r="F2362" s="4">
        <v>17.756</v>
      </c>
      <c r="G2362" s="4">
        <v>24396.743999999999</v>
      </c>
      <c r="H2362" s="5">
        <f t="shared" si="36"/>
        <v>1.7779795575297446E-2</v>
      </c>
    </row>
    <row r="2363" spans="1:8" ht="13.5" x14ac:dyDescent="0.25">
      <c r="A2363" s="1"/>
      <c r="B2363" s="3">
        <v>45740</v>
      </c>
      <c r="C2363" s="4">
        <v>17.72</v>
      </c>
      <c r="D2363" s="4">
        <v>16.5611</v>
      </c>
      <c r="E2363" s="4">
        <v>10</v>
      </c>
      <c r="F2363" s="4">
        <v>17.72</v>
      </c>
      <c r="G2363" s="4">
        <v>177.2</v>
      </c>
      <c r="H2363" s="5">
        <f t="shared" si="36"/>
        <v>-1.6938731222724429E-3</v>
      </c>
    </row>
    <row r="2364" spans="1:8" ht="13.5" x14ac:dyDescent="0.25">
      <c r="A2364" s="1"/>
      <c r="B2364" s="3">
        <v>45741</v>
      </c>
      <c r="C2364" s="4">
        <v>17.8</v>
      </c>
      <c r="D2364" s="4">
        <v>16.635899999999999</v>
      </c>
      <c r="E2364" s="4">
        <v>1740</v>
      </c>
      <c r="F2364" s="4">
        <v>17.701000000000001</v>
      </c>
      <c r="G2364" s="4">
        <v>30799.74</v>
      </c>
      <c r="H2364" s="5">
        <f t="shared" si="36"/>
        <v>4.5166081963154475E-3</v>
      </c>
    </row>
    <row r="2365" spans="1:8" ht="13.5" x14ac:dyDescent="0.25">
      <c r="A2365" s="1"/>
      <c r="B2365" s="3">
        <v>45742</v>
      </c>
      <c r="C2365" s="4">
        <v>17.850000000000001</v>
      </c>
      <c r="D2365" s="4">
        <v>16.682600000000001</v>
      </c>
      <c r="E2365" s="4">
        <v>3949</v>
      </c>
      <c r="F2365" s="4">
        <v>17.654</v>
      </c>
      <c r="G2365" s="4">
        <v>69715.645999999993</v>
      </c>
      <c r="H2365" s="5">
        <f t="shared" si="36"/>
        <v>2.8071820580792923E-3</v>
      </c>
    </row>
    <row r="2366" spans="1:8" ht="13.5" x14ac:dyDescent="0.25">
      <c r="A2366" s="1"/>
      <c r="B2366" s="3">
        <v>45743</v>
      </c>
      <c r="C2366" s="4">
        <v>17.850000000000001</v>
      </c>
      <c r="D2366" s="4">
        <v>16.682600000000001</v>
      </c>
      <c r="E2366" s="4">
        <v>201</v>
      </c>
      <c r="F2366" s="4">
        <v>17.512</v>
      </c>
      <c r="G2366" s="4">
        <v>3519.9119999999998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17.95</v>
      </c>
      <c r="D2367" s="4">
        <v>16.7761</v>
      </c>
      <c r="E2367" s="4">
        <v>1255</v>
      </c>
      <c r="F2367" s="4">
        <v>17.948</v>
      </c>
      <c r="G2367" s="4">
        <v>22524.74</v>
      </c>
      <c r="H2367" s="5">
        <f t="shared" si="36"/>
        <v>5.6046419622839848E-3</v>
      </c>
    </row>
    <row r="2368" spans="1:8" ht="13.5" x14ac:dyDescent="0.25">
      <c r="A2368" s="1"/>
      <c r="B2368" s="3">
        <v>45749</v>
      </c>
      <c r="C2368" s="4">
        <v>17.97</v>
      </c>
      <c r="D2368" s="4">
        <v>16.794799999999999</v>
      </c>
      <c r="E2368" s="4">
        <v>201</v>
      </c>
      <c r="F2368" s="4">
        <v>17.972999999999999</v>
      </c>
      <c r="G2368" s="4">
        <v>3612.5729999999999</v>
      </c>
      <c r="H2368" s="5">
        <f t="shared" si="36"/>
        <v>1.1146810045242368E-3</v>
      </c>
    </row>
    <row r="2369" spans="1:8" ht="13.5" x14ac:dyDescent="0.25">
      <c r="A2369" s="1"/>
      <c r="B2369" s="3">
        <v>45750</v>
      </c>
      <c r="C2369" s="4">
        <v>17.8</v>
      </c>
      <c r="D2369" s="4">
        <v>16.635899999999999</v>
      </c>
      <c r="E2369" s="4">
        <v>1348</v>
      </c>
      <c r="F2369" s="4">
        <v>17.995999999999999</v>
      </c>
      <c r="G2369" s="4">
        <v>24258.608</v>
      </c>
      <c r="H2369" s="5">
        <f t="shared" si="36"/>
        <v>-9.4612618191344446E-3</v>
      </c>
    </row>
    <row r="2370" spans="1:8" ht="13.5" x14ac:dyDescent="0.25">
      <c r="A2370" s="1"/>
      <c r="B2370" s="3">
        <v>45751</v>
      </c>
      <c r="C2370" s="4">
        <v>17.5</v>
      </c>
      <c r="D2370" s="4">
        <v>16.355499999999999</v>
      </c>
      <c r="E2370" s="4">
        <v>1144</v>
      </c>
      <c r="F2370" s="4">
        <v>17.998000000000001</v>
      </c>
      <c r="G2370" s="4">
        <v>20589.712</v>
      </c>
      <c r="H2370" s="5">
        <f t="shared" si="36"/>
        <v>-1.6855114541443516E-2</v>
      </c>
    </row>
    <row r="2371" spans="1:8" ht="13.5" x14ac:dyDescent="0.25">
      <c r="A2371" s="1"/>
      <c r="B2371" s="3">
        <v>45754</v>
      </c>
      <c r="C2371" s="4">
        <v>18.100000000000001</v>
      </c>
      <c r="D2371" s="4">
        <v>16.9163</v>
      </c>
      <c r="E2371" s="4">
        <v>1026</v>
      </c>
      <c r="F2371" s="4">
        <v>17.937000000000001</v>
      </c>
      <c r="G2371" s="4">
        <v>18403.362000000001</v>
      </c>
      <c r="H2371" s="5">
        <f t="shared" si="36"/>
        <v>3.4288159946195496E-2</v>
      </c>
    </row>
    <row r="2372" spans="1:8" ht="13.5" x14ac:dyDescent="0.25">
      <c r="A2372" s="1"/>
      <c r="B2372" s="3">
        <v>45755</v>
      </c>
      <c r="C2372" s="4">
        <v>18.100000000000001</v>
      </c>
      <c r="D2372" s="4">
        <v>16.9163</v>
      </c>
      <c r="E2372" s="4">
        <v>1846</v>
      </c>
      <c r="F2372" s="4">
        <v>18.059000000000001</v>
      </c>
      <c r="G2372" s="4">
        <v>33336.913999999997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18.11</v>
      </c>
      <c r="D2373" s="4">
        <v>16.925599999999999</v>
      </c>
      <c r="E2373" s="4">
        <v>1304</v>
      </c>
      <c r="F2373" s="4">
        <v>18.373000000000001</v>
      </c>
      <c r="G2373" s="4">
        <v>23958.392</v>
      </c>
      <c r="H2373" s="5">
        <f t="shared" si="36"/>
        <v>5.4976561068316606E-4</v>
      </c>
    </row>
    <row r="2374" spans="1:8" ht="13.5" x14ac:dyDescent="0.25">
      <c r="A2374" s="1"/>
      <c r="B2374" s="3">
        <v>45758</v>
      </c>
      <c r="C2374" s="4">
        <v>18.75</v>
      </c>
      <c r="D2374" s="4">
        <v>17.523800000000001</v>
      </c>
      <c r="E2374" s="4">
        <v>32</v>
      </c>
      <c r="F2374" s="4">
        <v>18.751999999999999</v>
      </c>
      <c r="G2374" s="4">
        <v>600.06399999999996</v>
      </c>
      <c r="H2374" s="5">
        <f t="shared" si="36"/>
        <v>3.5342912511225726E-2</v>
      </c>
    </row>
    <row r="2375" spans="1:8" ht="13.5" x14ac:dyDescent="0.25">
      <c r="A2375" s="1"/>
      <c r="B2375" s="3">
        <v>45761</v>
      </c>
      <c r="C2375" s="4">
        <v>18.149999999999999</v>
      </c>
      <c r="D2375" s="4">
        <v>16.963000000000001</v>
      </c>
      <c r="E2375" s="4">
        <v>2</v>
      </c>
      <c r="F2375" s="4">
        <v>18.149999999999999</v>
      </c>
      <c r="G2375" s="4">
        <v>36.299999999999997</v>
      </c>
      <c r="H2375" s="5">
        <f t="shared" ref="H2375:H2438" si="37">(D2375-D2374)/D2374</f>
        <v>-3.2002191305538774E-2</v>
      </c>
    </row>
    <row r="2376" spans="1:8" ht="13.5" x14ac:dyDescent="0.25">
      <c r="A2376" s="1"/>
      <c r="B2376" s="3">
        <v>45762</v>
      </c>
      <c r="C2376" s="4">
        <v>18.11</v>
      </c>
      <c r="D2376" s="4">
        <v>16.925599999999999</v>
      </c>
      <c r="E2376" s="4">
        <v>4770</v>
      </c>
      <c r="F2376" s="4">
        <v>18.108000000000001</v>
      </c>
      <c r="G2376" s="4">
        <v>86375.16</v>
      </c>
      <c r="H2376" s="5">
        <f t="shared" si="37"/>
        <v>-2.2047986794789631E-3</v>
      </c>
    </row>
    <row r="2377" spans="1:8" ht="13.5" x14ac:dyDescent="0.25">
      <c r="A2377" s="1"/>
      <c r="B2377" s="3">
        <v>45763</v>
      </c>
      <c r="C2377" s="4">
        <v>18.12</v>
      </c>
      <c r="D2377" s="4">
        <v>16.934999999999999</v>
      </c>
      <c r="E2377" s="4">
        <v>1378</v>
      </c>
      <c r="F2377" s="4">
        <v>18.157</v>
      </c>
      <c r="G2377" s="4">
        <v>25020.346000000001</v>
      </c>
      <c r="H2377" s="5">
        <f t="shared" si="37"/>
        <v>5.5537174457622829E-4</v>
      </c>
    </row>
    <row r="2378" spans="1:8" ht="13.5" x14ac:dyDescent="0.25">
      <c r="A2378" s="1"/>
      <c r="B2378" s="3">
        <v>45764</v>
      </c>
      <c r="C2378" s="4">
        <v>18.48</v>
      </c>
      <c r="D2378" s="4">
        <v>17.2714</v>
      </c>
      <c r="E2378" s="4">
        <v>8206</v>
      </c>
      <c r="F2378" s="4">
        <v>18.48</v>
      </c>
      <c r="G2378" s="4">
        <v>151646.88</v>
      </c>
      <c r="H2378" s="5">
        <f t="shared" si="37"/>
        <v>1.9864186595807569E-2</v>
      </c>
    </row>
    <row r="2379" spans="1:8" ht="13.5" x14ac:dyDescent="0.25">
      <c r="A2379" s="1"/>
      <c r="B2379" s="3">
        <v>45765</v>
      </c>
      <c r="C2379" s="4">
        <v>18.96</v>
      </c>
      <c r="D2379" s="4">
        <v>17.72</v>
      </c>
      <c r="E2379" s="4">
        <v>2808</v>
      </c>
      <c r="F2379" s="4">
        <v>18.957000000000001</v>
      </c>
      <c r="G2379" s="4">
        <v>53231.256000000001</v>
      </c>
      <c r="H2379" s="5">
        <f t="shared" si="37"/>
        <v>2.5973574811538093E-2</v>
      </c>
    </row>
    <row r="2380" spans="1:8" ht="13.5" x14ac:dyDescent="0.25">
      <c r="A2380" s="1"/>
      <c r="B2380" s="3">
        <v>45768</v>
      </c>
      <c r="C2380" s="4">
        <v>19.149999999999999</v>
      </c>
      <c r="D2380" s="4">
        <v>17.897600000000001</v>
      </c>
      <c r="E2380" s="4">
        <v>1087</v>
      </c>
      <c r="F2380" s="4">
        <v>19.302</v>
      </c>
      <c r="G2380" s="4">
        <v>20981.274000000001</v>
      </c>
      <c r="H2380" s="5">
        <f t="shared" si="37"/>
        <v>1.002257336343125E-2</v>
      </c>
    </row>
    <row r="2381" spans="1:8" ht="13.5" x14ac:dyDescent="0.25">
      <c r="A2381" s="1"/>
      <c r="B2381" s="3">
        <v>45769</v>
      </c>
      <c r="C2381" s="4">
        <v>19.149999999999999</v>
      </c>
      <c r="D2381" s="4">
        <v>17.897600000000001</v>
      </c>
      <c r="E2381" s="4">
        <v>100</v>
      </c>
      <c r="F2381" s="4">
        <v>19.355</v>
      </c>
      <c r="G2381" s="4">
        <v>1935.5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19.7</v>
      </c>
      <c r="D2382" s="4">
        <v>18.4116</v>
      </c>
      <c r="E2382" s="4">
        <v>1375</v>
      </c>
      <c r="F2382" s="4">
        <v>19.425999999999998</v>
      </c>
      <c r="G2382" s="4">
        <v>26710.75</v>
      </c>
      <c r="H2382" s="5">
        <f t="shared" si="37"/>
        <v>2.8718934382263507E-2</v>
      </c>
    </row>
    <row r="2383" spans="1:8" ht="13.5" x14ac:dyDescent="0.25">
      <c r="A2383" s="1"/>
      <c r="B2383" s="3">
        <v>45771</v>
      </c>
      <c r="C2383" s="4">
        <v>19.14</v>
      </c>
      <c r="D2383" s="4">
        <v>17.888200000000001</v>
      </c>
      <c r="E2383" s="4">
        <v>413</v>
      </c>
      <c r="F2383" s="4">
        <v>19.189</v>
      </c>
      <c r="G2383" s="4">
        <v>7925.0569999999998</v>
      </c>
      <c r="H2383" s="5">
        <f t="shared" si="37"/>
        <v>-2.8427730343913552E-2</v>
      </c>
    </row>
    <row r="2384" spans="1:8" ht="13.5" x14ac:dyDescent="0.25">
      <c r="A2384" s="1"/>
      <c r="B2384" s="3">
        <v>45772</v>
      </c>
      <c r="C2384" s="4">
        <v>19.45</v>
      </c>
      <c r="D2384" s="4">
        <v>18.178000000000001</v>
      </c>
      <c r="E2384" s="4">
        <v>142</v>
      </c>
      <c r="F2384" s="4">
        <v>18.937000000000001</v>
      </c>
      <c r="G2384" s="4">
        <v>2689.0540000000001</v>
      </c>
      <c r="H2384" s="5">
        <f t="shared" si="37"/>
        <v>1.6200623874956653E-2</v>
      </c>
    </row>
    <row r="2385" spans="1:8" ht="13.5" x14ac:dyDescent="0.25">
      <c r="A2385" s="1"/>
      <c r="B2385" s="3">
        <v>45775</v>
      </c>
      <c r="C2385" s="4">
        <v>19.05</v>
      </c>
      <c r="D2385" s="4">
        <v>17.804099999999998</v>
      </c>
      <c r="E2385" s="4">
        <v>35</v>
      </c>
      <c r="F2385" s="4">
        <v>19.05</v>
      </c>
      <c r="G2385" s="4">
        <v>666.75</v>
      </c>
      <c r="H2385" s="5">
        <f t="shared" si="37"/>
        <v>-2.0568819452085076E-2</v>
      </c>
    </row>
    <row r="2386" spans="1:8" ht="13.5" x14ac:dyDescent="0.25">
      <c r="A2386" s="1"/>
      <c r="B2386" s="3">
        <v>45776</v>
      </c>
      <c r="C2386" s="4">
        <v>19.399999999999999</v>
      </c>
      <c r="D2386" s="4">
        <v>18.1312</v>
      </c>
      <c r="E2386" s="4">
        <v>608</v>
      </c>
      <c r="F2386" s="4">
        <v>19.388000000000002</v>
      </c>
      <c r="G2386" s="4">
        <v>11787.904</v>
      </c>
      <c r="H2386" s="5">
        <f t="shared" si="37"/>
        <v>1.8372172701793494E-2</v>
      </c>
    </row>
    <row r="2387" spans="1:8" ht="13.5" x14ac:dyDescent="0.25">
      <c r="A2387" s="1"/>
      <c r="B2387" s="3">
        <v>45777</v>
      </c>
      <c r="C2387" s="4">
        <v>19.07</v>
      </c>
      <c r="D2387" s="4">
        <v>17.822800000000001</v>
      </c>
      <c r="E2387" s="4">
        <v>246</v>
      </c>
      <c r="F2387" s="4">
        <v>19.07</v>
      </c>
      <c r="G2387" s="4">
        <v>4691.22</v>
      </c>
      <c r="H2387" s="5">
        <f t="shared" si="37"/>
        <v>-1.7009354041651898E-2</v>
      </c>
    </row>
    <row r="2388" spans="1:8" ht="13.5" x14ac:dyDescent="0.25">
      <c r="A2388" s="1"/>
      <c r="B2388" s="3">
        <v>45779</v>
      </c>
      <c r="C2388" s="4">
        <v>19.75</v>
      </c>
      <c r="D2388" s="4">
        <v>18.458400000000001</v>
      </c>
      <c r="E2388" s="4">
        <v>3146</v>
      </c>
      <c r="F2388" s="4">
        <v>19.741</v>
      </c>
      <c r="G2388" s="4">
        <v>62105.186000000002</v>
      </c>
      <c r="H2388" s="5">
        <f t="shared" si="37"/>
        <v>3.5662185515182805E-2</v>
      </c>
    </row>
    <row r="2389" spans="1:8" ht="13.5" x14ac:dyDescent="0.25">
      <c r="A2389" s="1"/>
      <c r="B2389" s="3">
        <v>45782</v>
      </c>
      <c r="C2389" s="4">
        <v>19.739999999999998</v>
      </c>
      <c r="D2389" s="4">
        <v>18.449000000000002</v>
      </c>
      <c r="E2389" s="4">
        <v>26</v>
      </c>
      <c r="F2389" s="4">
        <v>19.739999999999998</v>
      </c>
      <c r="G2389" s="4">
        <v>513.24</v>
      </c>
      <c r="H2389" s="5">
        <f t="shared" si="37"/>
        <v>-5.0925323971738655E-4</v>
      </c>
    </row>
    <row r="2390" spans="1:8" ht="13.5" x14ac:dyDescent="0.25">
      <c r="A2390" s="1"/>
      <c r="B2390" s="3">
        <v>45783</v>
      </c>
      <c r="C2390" s="4">
        <v>19.8</v>
      </c>
      <c r="D2390" s="4">
        <v>18.505099999999999</v>
      </c>
      <c r="E2390" s="4">
        <v>2241</v>
      </c>
      <c r="F2390" s="4">
        <v>19.783999999999999</v>
      </c>
      <c r="G2390" s="4">
        <v>44335.944000000003</v>
      </c>
      <c r="H2390" s="5">
        <f t="shared" si="37"/>
        <v>3.0408152203369909E-3</v>
      </c>
    </row>
    <row r="2391" spans="1:8" ht="13.5" x14ac:dyDescent="0.25">
      <c r="A2391" s="1"/>
      <c r="B2391" s="3">
        <v>45784</v>
      </c>
      <c r="C2391" s="4">
        <v>19.97</v>
      </c>
      <c r="D2391" s="4">
        <v>18.664000000000001</v>
      </c>
      <c r="E2391" s="4">
        <v>6</v>
      </c>
      <c r="F2391" s="4">
        <v>19.736999999999998</v>
      </c>
      <c r="G2391" s="4">
        <v>118.422</v>
      </c>
      <c r="H2391" s="5">
        <f t="shared" si="37"/>
        <v>8.5868220112294835E-3</v>
      </c>
    </row>
    <row r="2392" spans="1:8" ht="13.5" x14ac:dyDescent="0.25">
      <c r="A2392" s="1"/>
      <c r="B2392" s="3">
        <v>45785</v>
      </c>
      <c r="C2392" s="4">
        <v>19.97</v>
      </c>
      <c r="D2392" s="4">
        <v>18.664000000000001</v>
      </c>
      <c r="E2392" s="4">
        <v>549</v>
      </c>
      <c r="F2392" s="4">
        <v>19.978000000000002</v>
      </c>
      <c r="G2392" s="4">
        <v>10967.922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20.18</v>
      </c>
      <c r="D2393" s="4">
        <v>18.860199999999999</v>
      </c>
      <c r="E2393" s="4">
        <v>1006</v>
      </c>
      <c r="F2393" s="4">
        <v>19.995999999999999</v>
      </c>
      <c r="G2393" s="4">
        <v>20115.975999999999</v>
      </c>
      <c r="H2393" s="5">
        <f t="shared" si="37"/>
        <v>1.0512216030861415E-2</v>
      </c>
    </row>
    <row r="2394" spans="1:8" ht="13.5" x14ac:dyDescent="0.25">
      <c r="A2394" s="1"/>
      <c r="B2394" s="3">
        <v>45789</v>
      </c>
      <c r="C2394" s="4">
        <v>20.65</v>
      </c>
      <c r="D2394" s="4">
        <v>19.299499999999998</v>
      </c>
      <c r="E2394" s="4">
        <v>129</v>
      </c>
      <c r="F2394" s="4">
        <v>20.280999999999999</v>
      </c>
      <c r="G2394" s="4">
        <v>2616.2489999999998</v>
      </c>
      <c r="H2394" s="5">
        <f t="shared" si="37"/>
        <v>2.3292435923266953E-2</v>
      </c>
    </row>
    <row r="2395" spans="1:8" ht="13.5" x14ac:dyDescent="0.25">
      <c r="A2395" s="1"/>
      <c r="B2395" s="3">
        <v>45790</v>
      </c>
      <c r="C2395" s="4">
        <v>20.65</v>
      </c>
      <c r="D2395" s="4">
        <v>19.299499999999998</v>
      </c>
      <c r="E2395" s="4">
        <v>96</v>
      </c>
      <c r="F2395" s="4">
        <v>20.568999999999999</v>
      </c>
      <c r="G2395" s="4">
        <v>1974.624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20.98</v>
      </c>
      <c r="D2396" s="4">
        <v>19.607900000000001</v>
      </c>
      <c r="E2396" s="4">
        <v>2383</v>
      </c>
      <c r="F2396" s="4">
        <v>20.763999999999999</v>
      </c>
      <c r="G2396" s="4">
        <v>49480.612000000001</v>
      </c>
      <c r="H2396" s="5">
        <f t="shared" si="37"/>
        <v>1.5979688592968857E-2</v>
      </c>
    </row>
    <row r="2397" spans="1:8" ht="13.5" x14ac:dyDescent="0.25">
      <c r="A2397" s="1"/>
      <c r="B2397" s="3">
        <v>45792</v>
      </c>
      <c r="C2397" s="4">
        <v>21.84</v>
      </c>
      <c r="D2397" s="4">
        <v>20.4117</v>
      </c>
      <c r="E2397" s="4">
        <v>844</v>
      </c>
      <c r="F2397" s="4">
        <v>20.969000000000001</v>
      </c>
      <c r="G2397" s="4">
        <v>17697.835999999999</v>
      </c>
      <c r="H2397" s="5">
        <f t="shared" si="37"/>
        <v>4.0993681118324701E-2</v>
      </c>
    </row>
    <row r="2398" spans="1:8" ht="13.5" x14ac:dyDescent="0.25">
      <c r="A2398" s="1"/>
      <c r="B2398" s="3">
        <v>45793</v>
      </c>
      <c r="C2398" s="4">
        <v>21.79</v>
      </c>
      <c r="D2398" s="4">
        <v>20.364899999999999</v>
      </c>
      <c r="E2398" s="4">
        <v>14</v>
      </c>
      <c r="F2398" s="4">
        <v>21.734000000000002</v>
      </c>
      <c r="G2398" s="4">
        <v>304.27600000000001</v>
      </c>
      <c r="H2398" s="5">
        <f t="shared" si="37"/>
        <v>-2.2928026572995421E-3</v>
      </c>
    </row>
    <row r="2399" spans="1:8" ht="13.5" x14ac:dyDescent="0.25">
      <c r="A2399" s="1"/>
      <c r="B2399" s="3">
        <v>45796</v>
      </c>
      <c r="C2399" s="4">
        <v>21.79</v>
      </c>
      <c r="D2399" s="4">
        <v>20.364899999999999</v>
      </c>
      <c r="E2399" s="4">
        <v>17</v>
      </c>
      <c r="F2399" s="4">
        <v>21.558</v>
      </c>
      <c r="G2399" s="4">
        <v>366.48599999999999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21.79</v>
      </c>
      <c r="D2400" s="4">
        <v>20.364899999999999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21.79</v>
      </c>
      <c r="D2401" s="4">
        <v>20.364899999999999</v>
      </c>
      <c r="E2401" s="4">
        <v>144</v>
      </c>
      <c r="F2401" s="4">
        <v>21.754000000000001</v>
      </c>
      <c r="G2401" s="4">
        <v>3132.576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21.79</v>
      </c>
      <c r="D2402" s="4">
        <v>20.364899999999999</v>
      </c>
      <c r="E2402" s="4">
        <v>87</v>
      </c>
      <c r="F2402" s="4">
        <v>21.79</v>
      </c>
      <c r="G2402" s="4">
        <v>1895.73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21.79</v>
      </c>
      <c r="D2403" s="4">
        <v>20.364899999999999</v>
      </c>
      <c r="E2403" s="4">
        <v>0</v>
      </c>
      <c r="F2403" s="4">
        <v>0</v>
      </c>
      <c r="G2403" s="4">
        <v>0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21.75</v>
      </c>
      <c r="D2404" s="4">
        <v>20.3276</v>
      </c>
      <c r="E2404" s="4">
        <v>468</v>
      </c>
      <c r="F2404" s="4">
        <v>21.161999999999999</v>
      </c>
      <c r="G2404" s="4">
        <v>9903.8160000000007</v>
      </c>
      <c r="H2404" s="5">
        <f t="shared" si="37"/>
        <v>-1.8315827723189575E-3</v>
      </c>
    </row>
    <row r="2405" spans="1:8" ht="13.5" x14ac:dyDescent="0.25">
      <c r="A2405" s="1"/>
      <c r="B2405" s="3">
        <v>45804</v>
      </c>
      <c r="C2405" s="4">
        <v>21.74</v>
      </c>
      <c r="D2405" s="4">
        <v>20.318200000000001</v>
      </c>
      <c r="E2405" s="4">
        <v>711</v>
      </c>
      <c r="F2405" s="4">
        <v>21.297999999999998</v>
      </c>
      <c r="G2405" s="4">
        <v>15142.878000000001</v>
      </c>
      <c r="H2405" s="5">
        <f t="shared" si="37"/>
        <v>-4.6242547078845551E-4</v>
      </c>
    </row>
    <row r="2406" spans="1:8" ht="13.5" x14ac:dyDescent="0.25">
      <c r="A2406" s="1"/>
      <c r="B2406" s="3">
        <v>45805</v>
      </c>
      <c r="C2406" s="4">
        <v>21.65</v>
      </c>
      <c r="D2406" s="4">
        <v>20.234100000000002</v>
      </c>
      <c r="E2406" s="4">
        <v>422</v>
      </c>
      <c r="F2406" s="4">
        <v>21.675999999999998</v>
      </c>
      <c r="G2406" s="4">
        <v>9147.2720000000008</v>
      </c>
      <c r="H2406" s="5">
        <f t="shared" si="37"/>
        <v>-4.1391461842092015E-3</v>
      </c>
    </row>
    <row r="2407" spans="1:8" ht="13.5" x14ac:dyDescent="0.25">
      <c r="A2407" s="1"/>
      <c r="B2407" s="3">
        <v>45806</v>
      </c>
      <c r="C2407" s="4">
        <v>21.6</v>
      </c>
      <c r="D2407" s="4">
        <v>20.1874</v>
      </c>
      <c r="E2407" s="4">
        <v>486</v>
      </c>
      <c r="F2407" s="4">
        <v>21.408999999999999</v>
      </c>
      <c r="G2407" s="4">
        <v>10404.773999999999</v>
      </c>
      <c r="H2407" s="5">
        <f t="shared" si="37"/>
        <v>-2.3079850351634761E-3</v>
      </c>
    </row>
    <row r="2408" spans="1:8" ht="13.5" x14ac:dyDescent="0.25">
      <c r="A2408" s="1"/>
      <c r="B2408" s="3">
        <v>45807</v>
      </c>
      <c r="C2408" s="4">
        <v>21.6</v>
      </c>
      <c r="D2408" s="4">
        <v>20.1874</v>
      </c>
      <c r="E2408" s="4">
        <v>3206</v>
      </c>
      <c r="F2408" s="4">
        <v>21.321000000000002</v>
      </c>
      <c r="G2408" s="4">
        <v>68355.126000000004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21.35</v>
      </c>
      <c r="D2409" s="4">
        <v>19.953700000000001</v>
      </c>
      <c r="E2409" s="4">
        <v>1407</v>
      </c>
      <c r="F2409" s="4">
        <v>21.332999999999998</v>
      </c>
      <c r="G2409" s="4">
        <v>30015.530999999999</v>
      </c>
      <c r="H2409" s="5">
        <f t="shared" si="37"/>
        <v>-1.1576527933265249E-2</v>
      </c>
    </row>
    <row r="2410" spans="1:8" ht="13.5" x14ac:dyDescent="0.25">
      <c r="A2410" s="1"/>
      <c r="B2410" s="3">
        <v>45811</v>
      </c>
      <c r="C2410" s="4">
        <v>21.03</v>
      </c>
      <c r="D2410" s="4">
        <v>19.654599999999999</v>
      </c>
      <c r="E2410" s="4">
        <v>72</v>
      </c>
      <c r="F2410" s="4">
        <v>21.158000000000001</v>
      </c>
      <c r="G2410" s="4">
        <v>1523.376</v>
      </c>
      <c r="H2410" s="5">
        <f t="shared" si="37"/>
        <v>-1.4989701158181329E-2</v>
      </c>
    </row>
    <row r="2411" spans="1:8" ht="13.5" x14ac:dyDescent="0.25">
      <c r="A2411" s="1"/>
      <c r="B2411" s="3">
        <v>45812</v>
      </c>
      <c r="C2411" s="4">
        <v>20.85</v>
      </c>
      <c r="D2411" s="4">
        <v>19.4864</v>
      </c>
      <c r="E2411" s="4">
        <v>1042</v>
      </c>
      <c r="F2411" s="4">
        <v>21.074999999999999</v>
      </c>
      <c r="G2411" s="4">
        <v>21960.15</v>
      </c>
      <c r="H2411" s="5">
        <f t="shared" si="37"/>
        <v>-8.5577930866056195E-3</v>
      </c>
    </row>
    <row r="2412" spans="1:8" ht="13.5" x14ac:dyDescent="0.25">
      <c r="A2412" s="1"/>
      <c r="B2412" s="3">
        <v>45813</v>
      </c>
      <c r="C2412" s="4">
        <v>20.5</v>
      </c>
      <c r="D2412" s="4">
        <v>19.159300000000002</v>
      </c>
      <c r="E2412" s="4">
        <v>650</v>
      </c>
      <c r="F2412" s="4">
        <v>20.547999999999998</v>
      </c>
      <c r="G2412" s="4">
        <v>13356.2</v>
      </c>
      <c r="H2412" s="5">
        <f t="shared" si="37"/>
        <v>-1.6786066179489179E-2</v>
      </c>
    </row>
    <row r="2413" spans="1:8" ht="13.5" x14ac:dyDescent="0.25">
      <c r="A2413" s="1"/>
      <c r="B2413" s="3">
        <v>45817</v>
      </c>
      <c r="C2413" s="4">
        <v>20.55</v>
      </c>
      <c r="D2413" s="4">
        <v>19.206</v>
      </c>
      <c r="E2413" s="4">
        <v>6996</v>
      </c>
      <c r="F2413" s="4">
        <v>20.631</v>
      </c>
      <c r="G2413" s="4">
        <v>144334.476</v>
      </c>
      <c r="H2413" s="5">
        <f t="shared" si="37"/>
        <v>2.4374585710332706E-3</v>
      </c>
    </row>
    <row r="2414" spans="1:8" ht="13.5" x14ac:dyDescent="0.25">
      <c r="A2414" s="1"/>
      <c r="B2414" s="3">
        <v>45818</v>
      </c>
      <c r="C2414" s="4">
        <v>20.5</v>
      </c>
      <c r="D2414" s="4">
        <v>19.159300000000002</v>
      </c>
      <c r="E2414" s="4">
        <v>5097</v>
      </c>
      <c r="F2414" s="4">
        <v>20.501999999999999</v>
      </c>
      <c r="G2414" s="4">
        <v>104498.694</v>
      </c>
      <c r="H2414" s="5">
        <f t="shared" si="37"/>
        <v>-2.4315318129749944E-3</v>
      </c>
    </row>
    <row r="2415" spans="1:8" ht="13.5" x14ac:dyDescent="0.25">
      <c r="A2415" s="1"/>
      <c r="B2415" s="3">
        <v>45819</v>
      </c>
      <c r="C2415" s="4">
        <v>20.51</v>
      </c>
      <c r="D2415" s="4">
        <v>19.168600000000001</v>
      </c>
      <c r="E2415" s="4">
        <v>537</v>
      </c>
      <c r="F2415" s="4">
        <v>20.827999999999999</v>
      </c>
      <c r="G2415" s="4">
        <v>11184.636</v>
      </c>
      <c r="H2415" s="5">
        <f t="shared" si="37"/>
        <v>4.8540395525930701E-4</v>
      </c>
    </row>
    <row r="2416" spans="1:8" ht="13.5" x14ac:dyDescent="0.25">
      <c r="A2416" s="1"/>
      <c r="B2416" s="3">
        <v>45820</v>
      </c>
      <c r="C2416" s="4">
        <v>21.19</v>
      </c>
      <c r="D2416" s="4">
        <v>19.804200000000002</v>
      </c>
      <c r="E2416" s="4">
        <v>17</v>
      </c>
      <c r="F2416" s="4">
        <v>21.190999999999999</v>
      </c>
      <c r="G2416" s="4">
        <v>360.24700000000001</v>
      </c>
      <c r="H2416" s="5">
        <f t="shared" si="37"/>
        <v>3.3158394457602547E-2</v>
      </c>
    </row>
    <row r="2417" spans="1:8" ht="13.5" x14ac:dyDescent="0.25">
      <c r="A2417" s="1"/>
      <c r="B2417" s="3">
        <v>45821</v>
      </c>
      <c r="C2417" s="4">
        <v>20.51</v>
      </c>
      <c r="D2417" s="4">
        <v>19.168600000000001</v>
      </c>
      <c r="E2417" s="4">
        <v>1001</v>
      </c>
      <c r="F2417" s="4">
        <v>20.51</v>
      </c>
      <c r="G2417" s="4">
        <v>20530.509999999998</v>
      </c>
      <c r="H2417" s="5">
        <f t="shared" si="37"/>
        <v>-3.2094202239928912E-2</v>
      </c>
    </row>
    <row r="2418" spans="1:8" ht="13.5" x14ac:dyDescent="0.25">
      <c r="A2418" s="1"/>
      <c r="B2418" s="3">
        <v>45824</v>
      </c>
      <c r="C2418" s="4">
        <v>21.1</v>
      </c>
      <c r="D2418" s="4">
        <v>19.720099999999999</v>
      </c>
      <c r="E2418" s="4">
        <v>3457</v>
      </c>
      <c r="F2418" s="4">
        <v>21.1</v>
      </c>
      <c r="G2418" s="4">
        <v>72942.7</v>
      </c>
      <c r="H2418" s="5">
        <f t="shared" si="37"/>
        <v>2.8771010924115333E-2</v>
      </c>
    </row>
    <row r="2419" spans="1:8" ht="13.5" x14ac:dyDescent="0.25">
      <c r="A2419" s="1"/>
      <c r="B2419" s="3">
        <v>45825</v>
      </c>
      <c r="C2419" s="4">
        <v>21.1</v>
      </c>
      <c r="D2419" s="4">
        <v>19.720099999999999</v>
      </c>
      <c r="E2419" s="4">
        <v>0</v>
      </c>
      <c r="F2419" s="4">
        <v>0</v>
      </c>
      <c r="G2419" s="4">
        <v>0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21.1</v>
      </c>
      <c r="D2420" s="4">
        <v>19.720099999999999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20.95</v>
      </c>
      <c r="D2421" s="4">
        <v>19.579899999999999</v>
      </c>
      <c r="E2421" s="4">
        <v>1369</v>
      </c>
      <c r="F2421" s="4">
        <v>20.934999999999999</v>
      </c>
      <c r="G2421" s="4">
        <v>28660.014999999999</v>
      </c>
      <c r="H2421" s="5">
        <f t="shared" si="37"/>
        <v>-7.1094974163417078E-3</v>
      </c>
    </row>
    <row r="2422" spans="1:8" ht="13.5" x14ac:dyDescent="0.25">
      <c r="A2422" s="1"/>
      <c r="B2422" s="3">
        <v>45828</v>
      </c>
      <c r="C2422" s="4">
        <v>21.15</v>
      </c>
      <c r="D2422" s="4">
        <v>19.7668</v>
      </c>
      <c r="E2422" s="4">
        <v>55</v>
      </c>
      <c r="F2422" s="4">
        <v>20.954000000000001</v>
      </c>
      <c r="G2422" s="4">
        <v>1152.47</v>
      </c>
      <c r="H2422" s="5">
        <f t="shared" si="37"/>
        <v>9.5455032967482686E-3</v>
      </c>
    </row>
    <row r="2423" spans="1:8" ht="13.5" x14ac:dyDescent="0.25">
      <c r="A2423" s="1"/>
      <c r="B2423" s="3">
        <v>45831</v>
      </c>
      <c r="C2423" s="4">
        <v>20.75</v>
      </c>
      <c r="D2423" s="4">
        <v>19.393000000000001</v>
      </c>
      <c r="E2423" s="4">
        <v>394</v>
      </c>
      <c r="F2423" s="4">
        <v>20.789000000000001</v>
      </c>
      <c r="G2423" s="4">
        <v>8190.866</v>
      </c>
      <c r="H2423" s="5">
        <f t="shared" si="37"/>
        <v>-1.8910496387882673E-2</v>
      </c>
    </row>
    <row r="2424" spans="1:8" ht="13.5" x14ac:dyDescent="0.25">
      <c r="A2424" s="1"/>
      <c r="B2424" s="3">
        <v>45832</v>
      </c>
      <c r="C2424" s="4">
        <v>21.1</v>
      </c>
      <c r="D2424" s="4">
        <v>19.720099999999999</v>
      </c>
      <c r="E2424" s="4">
        <v>682</v>
      </c>
      <c r="F2424" s="4">
        <v>20.823</v>
      </c>
      <c r="G2424" s="4">
        <v>14201.286</v>
      </c>
      <c r="H2424" s="5">
        <f t="shared" si="37"/>
        <v>1.6866910740988911E-2</v>
      </c>
    </row>
    <row r="2425" spans="1:8" ht="13.5" x14ac:dyDescent="0.25">
      <c r="A2425" s="1"/>
      <c r="B2425" s="3">
        <v>45833</v>
      </c>
      <c r="C2425" s="4">
        <v>20.75</v>
      </c>
      <c r="D2425" s="4">
        <v>19.393000000000001</v>
      </c>
      <c r="E2425" s="4">
        <v>1676</v>
      </c>
      <c r="F2425" s="4">
        <v>20.846</v>
      </c>
      <c r="G2425" s="4">
        <v>34937.896000000001</v>
      </c>
      <c r="H2425" s="5">
        <f t="shared" si="37"/>
        <v>-1.6587136982063884E-2</v>
      </c>
    </row>
    <row r="2426" spans="1:8" ht="13.5" x14ac:dyDescent="0.25">
      <c r="A2426" s="1"/>
      <c r="B2426" s="3">
        <v>45835</v>
      </c>
      <c r="C2426" s="4">
        <v>21</v>
      </c>
      <c r="D2426" s="4">
        <v>19.6266</v>
      </c>
      <c r="E2426" s="4">
        <v>296</v>
      </c>
      <c r="F2426" s="4">
        <v>20.998999999999999</v>
      </c>
      <c r="G2426" s="4">
        <v>6215.7039999999997</v>
      </c>
      <c r="H2426" s="5">
        <f t="shared" si="37"/>
        <v>1.20455834579487E-2</v>
      </c>
    </row>
    <row r="2427" spans="1:8" ht="13.5" x14ac:dyDescent="0.25">
      <c r="A2427" s="1"/>
      <c r="B2427" s="3">
        <v>45838</v>
      </c>
      <c r="C2427" s="4">
        <v>21</v>
      </c>
      <c r="D2427" s="4">
        <v>19.6266</v>
      </c>
      <c r="E2427" s="4">
        <v>4190</v>
      </c>
      <c r="F2427" s="4">
        <v>20.855</v>
      </c>
      <c r="G2427" s="4">
        <v>87382.45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21.12</v>
      </c>
      <c r="D2428" s="4">
        <v>19.738800000000001</v>
      </c>
      <c r="E2428" s="4">
        <v>39</v>
      </c>
      <c r="F2428" s="4">
        <v>21.131</v>
      </c>
      <c r="G2428" s="4">
        <v>824.10900000000004</v>
      </c>
      <c r="H2428" s="5">
        <f t="shared" si="37"/>
        <v>5.7167313747669701E-3</v>
      </c>
    </row>
    <row r="2429" spans="1:8" ht="13.5" x14ac:dyDescent="0.25">
      <c r="A2429" s="1"/>
      <c r="B2429" s="3">
        <v>45840</v>
      </c>
      <c r="C2429" s="4">
        <v>21.22</v>
      </c>
      <c r="D2429" s="4">
        <v>19.8322</v>
      </c>
      <c r="E2429" s="4">
        <v>1599</v>
      </c>
      <c r="F2429" s="4">
        <v>21.225000000000001</v>
      </c>
      <c r="G2429" s="4">
        <v>33938.775000000001</v>
      </c>
      <c r="H2429" s="5">
        <f t="shared" si="37"/>
        <v>4.7317972723771983E-3</v>
      </c>
    </row>
    <row r="2430" spans="1:8" ht="13.5" x14ac:dyDescent="0.25">
      <c r="A2430" s="1"/>
      <c r="B2430" s="3">
        <v>45841</v>
      </c>
      <c r="C2430" s="4">
        <v>21.39</v>
      </c>
      <c r="D2430" s="4">
        <v>19.991099999999999</v>
      </c>
      <c r="E2430" s="4">
        <v>25</v>
      </c>
      <c r="F2430" s="4">
        <v>21.015999999999998</v>
      </c>
      <c r="G2430" s="4">
        <v>525.4</v>
      </c>
      <c r="H2430" s="5">
        <f t="shared" si="37"/>
        <v>8.0122225471707196E-3</v>
      </c>
    </row>
    <row r="2431" spans="1:8" ht="13.5" x14ac:dyDescent="0.25">
      <c r="A2431" s="1"/>
      <c r="B2431" s="3">
        <v>45842</v>
      </c>
      <c r="C2431" s="4">
        <v>21</v>
      </c>
      <c r="D2431" s="4">
        <v>19.6266</v>
      </c>
      <c r="E2431" s="4">
        <v>2803</v>
      </c>
      <c r="F2431" s="4">
        <v>21</v>
      </c>
      <c r="G2431" s="4">
        <v>58863</v>
      </c>
      <c r="H2431" s="5">
        <f t="shared" si="37"/>
        <v>-1.8233113735612327E-2</v>
      </c>
    </row>
    <row r="2432" spans="1:8" ht="13.5" x14ac:dyDescent="0.25">
      <c r="A2432" s="1"/>
      <c r="B2432" s="3">
        <v>45845</v>
      </c>
      <c r="C2432" s="4">
        <v>21.9</v>
      </c>
      <c r="D2432" s="4">
        <v>20.467700000000001</v>
      </c>
      <c r="E2432" s="4">
        <v>807</v>
      </c>
      <c r="F2432" s="4">
        <v>21.51</v>
      </c>
      <c r="G2432" s="4">
        <v>17358.57</v>
      </c>
      <c r="H2432" s="5">
        <f t="shared" si="37"/>
        <v>4.2855104806741914E-2</v>
      </c>
    </row>
    <row r="2433" spans="1:8" ht="13.5" x14ac:dyDescent="0.25">
      <c r="A2433" s="1"/>
      <c r="B2433" s="3">
        <v>45846</v>
      </c>
      <c r="C2433" s="4">
        <v>22.3</v>
      </c>
      <c r="D2433" s="4">
        <v>20.8416</v>
      </c>
      <c r="E2433" s="4">
        <v>576</v>
      </c>
      <c r="F2433" s="4">
        <v>22.106000000000002</v>
      </c>
      <c r="G2433" s="4">
        <v>12733.056</v>
      </c>
      <c r="H2433" s="5">
        <f t="shared" si="37"/>
        <v>1.826780732568872E-2</v>
      </c>
    </row>
    <row r="2434" spans="1:8" ht="13.5" x14ac:dyDescent="0.25">
      <c r="A2434" s="1"/>
      <c r="B2434" s="3">
        <v>45847</v>
      </c>
      <c r="C2434" s="4">
        <v>22.88</v>
      </c>
      <c r="D2434" s="4">
        <v>21.383600000000001</v>
      </c>
      <c r="E2434" s="4">
        <v>963</v>
      </c>
      <c r="F2434" s="4">
        <v>22.739000000000001</v>
      </c>
      <c r="G2434" s="4">
        <v>21897.656999999999</v>
      </c>
      <c r="H2434" s="5">
        <f t="shared" si="37"/>
        <v>2.6005680945800785E-2</v>
      </c>
    </row>
    <row r="2435" spans="1:8" ht="13.5" x14ac:dyDescent="0.25">
      <c r="A2435" s="1"/>
      <c r="B2435" s="3">
        <v>45848</v>
      </c>
      <c r="C2435" s="4">
        <v>22.6</v>
      </c>
      <c r="D2435" s="4">
        <v>21.122</v>
      </c>
      <c r="E2435" s="4">
        <v>468</v>
      </c>
      <c r="F2435" s="4">
        <v>22.510999999999999</v>
      </c>
      <c r="G2435" s="4">
        <v>10535.147999999999</v>
      </c>
      <c r="H2435" s="5">
        <f t="shared" si="37"/>
        <v>-1.2233674404684028E-2</v>
      </c>
    </row>
    <row r="2436" spans="1:8" ht="13.5" x14ac:dyDescent="0.25">
      <c r="A2436" s="1"/>
      <c r="B2436" s="3">
        <v>45849</v>
      </c>
      <c r="C2436" s="4">
        <v>22.4</v>
      </c>
      <c r="D2436" s="4">
        <v>20.934999999999999</v>
      </c>
      <c r="E2436" s="4">
        <v>3978</v>
      </c>
      <c r="F2436" s="4">
        <v>22.402000000000001</v>
      </c>
      <c r="G2436" s="4">
        <v>89115.156000000003</v>
      </c>
      <c r="H2436" s="5">
        <f t="shared" si="37"/>
        <v>-8.8533282833065611E-3</v>
      </c>
    </row>
    <row r="2437" spans="1:8" ht="13.5" x14ac:dyDescent="0.25">
      <c r="A2437" s="1"/>
      <c r="B2437" s="3">
        <v>45852</v>
      </c>
      <c r="C2437" s="4">
        <v>22.4</v>
      </c>
      <c r="D2437" s="4">
        <v>20.934999999999999</v>
      </c>
      <c r="E2437" s="4">
        <v>1153</v>
      </c>
      <c r="F2437" s="4">
        <v>22.4</v>
      </c>
      <c r="G2437" s="4">
        <v>25827.200000000001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22.39</v>
      </c>
      <c r="D2438" s="4">
        <v>20.925699999999999</v>
      </c>
      <c r="E2438" s="4">
        <v>1292</v>
      </c>
      <c r="F2438" s="4">
        <v>22.34</v>
      </c>
      <c r="G2438" s="4">
        <v>28863.279999999999</v>
      </c>
      <c r="H2438" s="5">
        <f t="shared" si="37"/>
        <v>-4.4423214712202737E-4</v>
      </c>
    </row>
    <row r="2439" spans="1:8" ht="13.5" x14ac:dyDescent="0.25">
      <c r="A2439" s="1"/>
      <c r="B2439" s="3">
        <v>45854</v>
      </c>
      <c r="C2439" s="4">
        <v>22.2</v>
      </c>
      <c r="D2439" s="4">
        <v>20.748100000000001</v>
      </c>
      <c r="E2439" s="4">
        <v>154</v>
      </c>
      <c r="F2439" s="4">
        <v>22.332000000000001</v>
      </c>
      <c r="G2439" s="4">
        <v>3439.1280000000002</v>
      </c>
      <c r="H2439" s="5">
        <f t="shared" ref="H2439:H2502" si="38">(D2439-D2438)/D2438</f>
        <v>-8.4871712774243265E-3</v>
      </c>
    </row>
    <row r="2440" spans="1:8" ht="13.5" x14ac:dyDescent="0.25">
      <c r="A2440" s="1"/>
      <c r="B2440" s="3">
        <v>45855</v>
      </c>
      <c r="C2440" s="4">
        <v>22.2</v>
      </c>
      <c r="D2440" s="4">
        <v>20.748100000000001</v>
      </c>
      <c r="E2440" s="4">
        <v>409</v>
      </c>
      <c r="F2440" s="4">
        <v>22.201000000000001</v>
      </c>
      <c r="G2440" s="4">
        <v>9080.2090000000007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22.3</v>
      </c>
      <c r="D2441" s="4">
        <v>20.8416</v>
      </c>
      <c r="E2441" s="4">
        <v>1794</v>
      </c>
      <c r="F2441" s="4">
        <v>22.297000000000001</v>
      </c>
      <c r="G2441" s="4">
        <v>40000.817999999999</v>
      </c>
      <c r="H2441" s="5">
        <f t="shared" si="38"/>
        <v>4.5064367339659444E-3</v>
      </c>
    </row>
    <row r="2442" spans="1:8" ht="13.5" x14ac:dyDescent="0.25">
      <c r="A2442" s="1"/>
      <c r="B2442" s="3">
        <v>45859</v>
      </c>
      <c r="C2442" s="4">
        <v>22.65</v>
      </c>
      <c r="D2442" s="4">
        <v>21.168700000000001</v>
      </c>
      <c r="E2442" s="4">
        <v>5666</v>
      </c>
      <c r="F2442" s="4">
        <v>22.858000000000001</v>
      </c>
      <c r="G2442" s="4">
        <v>129513.428</v>
      </c>
      <c r="H2442" s="5">
        <f t="shared" si="38"/>
        <v>1.5694572393674264E-2</v>
      </c>
    </row>
    <row r="2443" spans="1:8" ht="13.5" x14ac:dyDescent="0.25">
      <c r="A2443" s="1"/>
      <c r="B2443" s="3">
        <v>45860</v>
      </c>
      <c r="C2443" s="4">
        <v>24</v>
      </c>
      <c r="D2443" s="4">
        <v>22.430399999999999</v>
      </c>
      <c r="E2443" s="4">
        <v>4209</v>
      </c>
      <c r="F2443" s="4">
        <v>23.446000000000002</v>
      </c>
      <c r="G2443" s="4">
        <v>98684.214000000007</v>
      </c>
      <c r="H2443" s="5">
        <f t="shared" si="38"/>
        <v>5.9602148455030188E-2</v>
      </c>
    </row>
    <row r="2444" spans="1:8" ht="13.5" x14ac:dyDescent="0.25">
      <c r="A2444" s="1"/>
      <c r="B2444" s="3">
        <v>45861</v>
      </c>
      <c r="C2444" s="4">
        <v>25.44</v>
      </c>
      <c r="D2444" s="4">
        <v>23.776199999999999</v>
      </c>
      <c r="E2444" s="4">
        <v>337</v>
      </c>
      <c r="F2444" s="4">
        <v>24.765999999999998</v>
      </c>
      <c r="G2444" s="4">
        <v>8346.1419999999998</v>
      </c>
      <c r="H2444" s="5">
        <f t="shared" si="38"/>
        <v>5.999893002353951E-2</v>
      </c>
    </row>
    <row r="2445" spans="1:8" ht="13.5" x14ac:dyDescent="0.25">
      <c r="A2445" s="1"/>
      <c r="B2445" s="3">
        <v>45862</v>
      </c>
      <c r="C2445" s="4">
        <v>25</v>
      </c>
      <c r="D2445" s="4">
        <v>23.364999999999998</v>
      </c>
      <c r="E2445" s="4">
        <v>110</v>
      </c>
      <c r="F2445" s="4">
        <v>25</v>
      </c>
      <c r="G2445" s="4">
        <v>2750</v>
      </c>
      <c r="H2445" s="5">
        <f t="shared" si="38"/>
        <v>-1.7294605529899684E-2</v>
      </c>
    </row>
    <row r="2446" spans="1:8" ht="13.5" x14ac:dyDescent="0.25">
      <c r="A2446" s="1"/>
      <c r="B2446" s="3">
        <v>45866</v>
      </c>
      <c r="C2446" s="4">
        <v>24.5</v>
      </c>
      <c r="D2446" s="4">
        <v>22.8977</v>
      </c>
      <c r="E2446" s="4">
        <v>1877</v>
      </c>
      <c r="F2446" s="4">
        <v>24.196999999999999</v>
      </c>
      <c r="G2446" s="4">
        <v>45417.769</v>
      </c>
      <c r="H2446" s="5">
        <f t="shared" si="38"/>
        <v>-1.9999999999999917E-2</v>
      </c>
    </row>
    <row r="2447" spans="1:8" ht="13.5" x14ac:dyDescent="0.25">
      <c r="A2447" s="1"/>
      <c r="B2447" s="3">
        <v>45867</v>
      </c>
      <c r="C2447" s="4">
        <v>24.49</v>
      </c>
      <c r="D2447" s="4">
        <v>22.888400000000001</v>
      </c>
      <c r="E2447" s="4">
        <v>798</v>
      </c>
      <c r="F2447" s="4">
        <v>24.36</v>
      </c>
      <c r="G2447" s="4">
        <v>19439.28</v>
      </c>
      <c r="H2447" s="5">
        <f t="shared" si="38"/>
        <v>-4.0615432991084879E-4</v>
      </c>
    </row>
    <row r="2448" spans="1:8" ht="13.5" x14ac:dyDescent="0.25">
      <c r="A2448" s="1"/>
      <c r="B2448" s="3">
        <v>45868</v>
      </c>
      <c r="C2448" s="4">
        <v>24</v>
      </c>
      <c r="D2448" s="4">
        <v>22.430399999999999</v>
      </c>
      <c r="E2448" s="4">
        <v>468</v>
      </c>
      <c r="F2448" s="4">
        <v>24.224</v>
      </c>
      <c r="G2448" s="4">
        <v>11336.832</v>
      </c>
      <c r="H2448" s="5">
        <f t="shared" si="38"/>
        <v>-2.0010136138830233E-2</v>
      </c>
    </row>
    <row r="2449" spans="1:8" ht="13.5" x14ac:dyDescent="0.25">
      <c r="A2449" s="1"/>
      <c r="B2449" s="3">
        <v>45869</v>
      </c>
      <c r="C2449" s="4">
        <v>22.56</v>
      </c>
      <c r="D2449" s="4">
        <v>22.56</v>
      </c>
      <c r="E2449" s="4">
        <v>2130</v>
      </c>
      <c r="F2449" s="4">
        <v>22.271999999999998</v>
      </c>
      <c r="G2449" s="4">
        <v>47439.360000000001</v>
      </c>
      <c r="H2449" s="5">
        <f t="shared" si="38"/>
        <v>5.7778728867964877E-3</v>
      </c>
    </row>
    <row r="2450" spans="1:8" ht="13.5" x14ac:dyDescent="0.25">
      <c r="A2450" s="1"/>
      <c r="B2450" s="3">
        <v>45870</v>
      </c>
      <c r="C2450" s="4">
        <v>22.56</v>
      </c>
      <c r="D2450" s="4">
        <v>22.56</v>
      </c>
      <c r="E2450" s="4">
        <v>0</v>
      </c>
      <c r="F2450" s="4">
        <v>0</v>
      </c>
      <c r="G2450" s="4">
        <v>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22.1</v>
      </c>
      <c r="D2451" s="4">
        <v>22.1</v>
      </c>
      <c r="E2451" s="4">
        <v>316</v>
      </c>
      <c r="F2451" s="4">
        <v>21.91</v>
      </c>
      <c r="G2451" s="4">
        <v>6923.56</v>
      </c>
      <c r="H2451" s="5">
        <f t="shared" si="38"/>
        <v>-2.0390070921985696E-2</v>
      </c>
    </row>
    <row r="2452" spans="1:8" ht="13.5" x14ac:dyDescent="0.25">
      <c r="A2452" s="1"/>
      <c r="B2452" s="3">
        <v>45874</v>
      </c>
      <c r="C2452" s="4">
        <v>22.09</v>
      </c>
      <c r="D2452" s="4">
        <v>22.09</v>
      </c>
      <c r="E2452" s="4">
        <v>321</v>
      </c>
      <c r="F2452" s="4">
        <v>21.966000000000001</v>
      </c>
      <c r="G2452" s="4">
        <v>7051.0860000000002</v>
      </c>
      <c r="H2452" s="5">
        <f t="shared" si="38"/>
        <v>-4.5248868778287614E-4</v>
      </c>
    </row>
    <row r="2453" spans="1:8" ht="13.5" x14ac:dyDescent="0.25">
      <c r="A2453" s="1"/>
      <c r="B2453" s="3">
        <v>45875</v>
      </c>
      <c r="C2453" s="4">
        <v>22.09</v>
      </c>
      <c r="D2453" s="4">
        <v>22.09</v>
      </c>
      <c r="E2453" s="4">
        <v>1</v>
      </c>
      <c r="F2453" s="4">
        <v>22.09</v>
      </c>
      <c r="G2453" s="4">
        <v>22.09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21.8</v>
      </c>
      <c r="D2454" s="4">
        <v>21.8</v>
      </c>
      <c r="E2454" s="4">
        <v>151</v>
      </c>
      <c r="F2454" s="4">
        <v>21.802</v>
      </c>
      <c r="G2454" s="4">
        <v>3292.1019999999999</v>
      </c>
      <c r="H2454" s="5">
        <f t="shared" si="38"/>
        <v>-1.3128112267994528E-2</v>
      </c>
    </row>
    <row r="2455" spans="1:8" ht="13.5" x14ac:dyDescent="0.25">
      <c r="A2455" s="1"/>
      <c r="B2455" s="3">
        <v>45877</v>
      </c>
      <c r="C2455" s="4">
        <v>21.79</v>
      </c>
      <c r="D2455" s="4">
        <v>21.79</v>
      </c>
      <c r="E2455" s="4">
        <v>239</v>
      </c>
      <c r="F2455" s="4">
        <v>21.789000000000001</v>
      </c>
      <c r="G2455" s="4">
        <v>5207.5709999999999</v>
      </c>
      <c r="H2455" s="5">
        <f t="shared" si="38"/>
        <v>-4.5871559633034692E-4</v>
      </c>
    </row>
    <row r="2456" spans="1:8" ht="13.5" x14ac:dyDescent="0.25">
      <c r="A2456" s="1"/>
      <c r="B2456" s="3">
        <v>45880</v>
      </c>
      <c r="C2456" s="4">
        <v>21.38</v>
      </c>
      <c r="D2456" s="4">
        <v>21.38</v>
      </c>
      <c r="E2456" s="4">
        <v>157</v>
      </c>
      <c r="F2456" s="4">
        <v>21.385999999999999</v>
      </c>
      <c r="G2456" s="4">
        <v>3357.6019999999999</v>
      </c>
      <c r="H2456" s="5">
        <f t="shared" si="38"/>
        <v>-1.8815970628728782E-2</v>
      </c>
    </row>
    <row r="2457" spans="1:8" ht="13.5" x14ac:dyDescent="0.25">
      <c r="A2457" s="1"/>
      <c r="B2457" s="3">
        <v>45881</v>
      </c>
      <c r="C2457" s="4">
        <v>21.38</v>
      </c>
      <c r="D2457" s="4">
        <v>21.38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21.24</v>
      </c>
      <c r="D2458" s="4">
        <v>21.24</v>
      </c>
      <c r="E2458" s="4">
        <v>90</v>
      </c>
      <c r="F2458" s="4">
        <v>21.248999999999999</v>
      </c>
      <c r="G2458" s="4">
        <v>1912.41</v>
      </c>
      <c r="H2458" s="5">
        <f t="shared" si="38"/>
        <v>-6.5481758652946951E-3</v>
      </c>
    </row>
    <row r="2459" spans="1:8" ht="13.5" x14ac:dyDescent="0.25">
      <c r="A2459" s="1"/>
      <c r="B2459" s="3">
        <v>45884</v>
      </c>
      <c r="C2459" s="4">
        <v>21.37</v>
      </c>
      <c r="D2459" s="4">
        <v>21.37</v>
      </c>
      <c r="E2459" s="4">
        <v>100</v>
      </c>
      <c r="F2459" s="4">
        <v>21.366</v>
      </c>
      <c r="G2459" s="4">
        <v>2136.6</v>
      </c>
      <c r="H2459" s="5">
        <f t="shared" si="38"/>
        <v>6.1205273069681061E-3</v>
      </c>
    </row>
    <row r="2460" spans="1:8" ht="13.5" x14ac:dyDescent="0.25">
      <c r="A2460" s="1"/>
      <c r="B2460" s="3">
        <v>45887</v>
      </c>
      <c r="C2460" s="4">
        <v>20.85</v>
      </c>
      <c r="D2460" s="4">
        <v>20.85</v>
      </c>
      <c r="E2460" s="4">
        <v>520</v>
      </c>
      <c r="F2460" s="4">
        <v>21.059000000000001</v>
      </c>
      <c r="G2460" s="4">
        <v>10950.68</v>
      </c>
      <c r="H2460" s="5">
        <f t="shared" si="38"/>
        <v>-2.4333177351427215E-2</v>
      </c>
    </row>
    <row r="2461" spans="1:8" ht="13.5" x14ac:dyDescent="0.25">
      <c r="A2461" s="1"/>
      <c r="B2461" s="3">
        <v>45888</v>
      </c>
      <c r="C2461" s="4">
        <v>21.1</v>
      </c>
      <c r="D2461" s="4">
        <v>21.1</v>
      </c>
      <c r="E2461" s="4">
        <v>1510</v>
      </c>
      <c r="F2461" s="4">
        <v>20.568999999999999</v>
      </c>
      <c r="G2461" s="4">
        <v>31059.19</v>
      </c>
      <c r="H2461" s="5">
        <f t="shared" si="38"/>
        <v>1.1990407673860911E-2</v>
      </c>
    </row>
    <row r="2462" spans="1:8" ht="13.5" x14ac:dyDescent="0.25">
      <c r="A2462" s="1"/>
      <c r="B2462" s="3">
        <v>45889</v>
      </c>
      <c r="C2462" s="4">
        <v>21</v>
      </c>
      <c r="D2462" s="4">
        <v>21</v>
      </c>
      <c r="E2462" s="4">
        <v>200</v>
      </c>
      <c r="F2462" s="4">
        <v>21</v>
      </c>
      <c r="G2462" s="4">
        <v>4200</v>
      </c>
      <c r="H2462" s="5">
        <f t="shared" si="38"/>
        <v>-4.7393364928910624E-3</v>
      </c>
    </row>
    <row r="2463" spans="1:8" ht="13.5" x14ac:dyDescent="0.25">
      <c r="A2463" s="1"/>
      <c r="B2463" s="3">
        <v>45890</v>
      </c>
      <c r="C2463" s="4">
        <v>21.78</v>
      </c>
      <c r="D2463" s="4">
        <v>21.78</v>
      </c>
      <c r="E2463" s="4">
        <v>5098</v>
      </c>
      <c r="F2463" s="4">
        <v>21.053999999999998</v>
      </c>
      <c r="G2463" s="4">
        <v>107333.292</v>
      </c>
      <c r="H2463" s="5">
        <f t="shared" si="38"/>
        <v>3.71428571428572E-2</v>
      </c>
    </row>
    <row r="2464" spans="1:8" ht="13.5" x14ac:dyDescent="0.25">
      <c r="A2464" s="1"/>
      <c r="B2464" s="3">
        <v>45891</v>
      </c>
      <c r="C2464" s="4">
        <v>21.48</v>
      </c>
      <c r="D2464" s="4">
        <v>21.48</v>
      </c>
      <c r="E2464" s="4">
        <v>720</v>
      </c>
      <c r="F2464" s="4">
        <v>21.48</v>
      </c>
      <c r="G2464" s="4">
        <v>15465.6</v>
      </c>
      <c r="H2464" s="5">
        <f t="shared" si="38"/>
        <v>-1.3774104683195624E-2</v>
      </c>
    </row>
    <row r="2465" spans="1:8" ht="13.5" x14ac:dyDescent="0.25">
      <c r="A2465" s="1"/>
      <c r="B2465" s="3">
        <v>45894</v>
      </c>
      <c r="C2465" s="4">
        <v>21.48</v>
      </c>
      <c r="D2465" s="4">
        <v>21.48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21.27</v>
      </c>
      <c r="D2466" s="4">
        <v>21.27</v>
      </c>
      <c r="E2466" s="4">
        <v>320</v>
      </c>
      <c r="F2466" s="4">
        <v>21.216999999999999</v>
      </c>
      <c r="G2466" s="4">
        <v>6789.44</v>
      </c>
      <c r="H2466" s="5">
        <f t="shared" si="38"/>
        <v>-9.776536312849202E-3</v>
      </c>
    </row>
    <row r="2467" spans="1:8" ht="13.5" x14ac:dyDescent="0.25">
      <c r="A2467" s="1"/>
      <c r="B2467" s="3">
        <v>45896</v>
      </c>
      <c r="C2467" s="4">
        <v>21.89</v>
      </c>
      <c r="D2467" s="4">
        <v>21.89</v>
      </c>
      <c r="E2467" s="4">
        <v>449</v>
      </c>
      <c r="F2467" s="4">
        <v>21.533999999999999</v>
      </c>
      <c r="G2467" s="4">
        <v>9668.7659999999996</v>
      </c>
      <c r="H2467" s="5">
        <f t="shared" si="38"/>
        <v>2.9149036201222427E-2</v>
      </c>
    </row>
    <row r="2468" spans="1:8" ht="13.5" x14ac:dyDescent="0.25">
      <c r="A2468" s="1"/>
      <c r="B2468" s="3">
        <v>45897</v>
      </c>
      <c r="C2468" s="4">
        <v>21.54</v>
      </c>
      <c r="D2468" s="4">
        <v>21.54</v>
      </c>
      <c r="E2468" s="4">
        <v>464</v>
      </c>
      <c r="F2468" s="4">
        <v>21.646000000000001</v>
      </c>
      <c r="G2468" s="4">
        <v>10043.744000000001</v>
      </c>
      <c r="H2468" s="5">
        <f t="shared" si="38"/>
        <v>-1.5989036089538666E-2</v>
      </c>
    </row>
    <row r="2469" spans="1:8" ht="13.5" x14ac:dyDescent="0.25">
      <c r="A2469" s="1"/>
      <c r="B2469" s="3">
        <v>45898</v>
      </c>
      <c r="C2469" s="4">
        <v>21.61</v>
      </c>
      <c r="D2469" s="4">
        <v>21.61</v>
      </c>
      <c r="E2469" s="4">
        <v>2740</v>
      </c>
      <c r="F2469" s="4">
        <v>21.631</v>
      </c>
      <c r="G2469" s="4">
        <v>59268.94</v>
      </c>
      <c r="H2469" s="5">
        <f t="shared" si="38"/>
        <v>3.2497678737233187E-3</v>
      </c>
    </row>
    <row r="2470" spans="1:8" ht="13.5" x14ac:dyDescent="0.25">
      <c r="A2470" s="1"/>
      <c r="B2470" s="3">
        <v>45901</v>
      </c>
      <c r="C2470" s="4">
        <v>22.61</v>
      </c>
      <c r="D2470" s="4">
        <v>22.61</v>
      </c>
      <c r="E2470" s="4">
        <v>4269</v>
      </c>
      <c r="F2470" s="4">
        <v>21.95</v>
      </c>
      <c r="G2470" s="4">
        <v>93704.55</v>
      </c>
      <c r="H2470" s="5">
        <f t="shared" si="38"/>
        <v>4.6274872744099957E-2</v>
      </c>
    </row>
    <row r="2471" spans="1:8" ht="13.5" x14ac:dyDescent="0.25">
      <c r="A2471" s="1"/>
      <c r="B2471" s="3">
        <v>45902</v>
      </c>
      <c r="C2471" s="4">
        <v>22.9</v>
      </c>
      <c r="D2471" s="4">
        <v>22.9</v>
      </c>
      <c r="E2471" s="4">
        <v>471</v>
      </c>
      <c r="F2471" s="4">
        <v>22.811</v>
      </c>
      <c r="G2471" s="4">
        <v>10743.981</v>
      </c>
      <c r="H2471" s="5">
        <f t="shared" si="38"/>
        <v>1.2826183104820839E-2</v>
      </c>
    </row>
    <row r="2472" spans="1:8" ht="13.5" x14ac:dyDescent="0.25">
      <c r="A2472" s="1"/>
      <c r="B2472" s="3">
        <v>45903</v>
      </c>
      <c r="C2472" s="4">
        <v>22.47</v>
      </c>
      <c r="D2472" s="4">
        <v>22.47</v>
      </c>
      <c r="E2472" s="4">
        <v>248</v>
      </c>
      <c r="F2472" s="4">
        <v>22.47</v>
      </c>
      <c r="G2472" s="4">
        <v>5572.56</v>
      </c>
      <c r="H2472" s="5">
        <f t="shared" si="38"/>
        <v>-1.8777292576419202E-2</v>
      </c>
    </row>
    <row r="2473" spans="1:8" ht="13.5" x14ac:dyDescent="0.25">
      <c r="A2473" s="1"/>
      <c r="B2473" s="3">
        <v>45905</v>
      </c>
      <c r="C2473" s="4">
        <v>23.3</v>
      </c>
      <c r="D2473" s="4">
        <v>23.3</v>
      </c>
      <c r="E2473" s="4">
        <v>2717</v>
      </c>
      <c r="F2473" s="4">
        <v>23.085000000000001</v>
      </c>
      <c r="G2473" s="4">
        <v>62721.945</v>
      </c>
      <c r="H2473" s="5">
        <f t="shared" si="38"/>
        <v>3.6938139741878144E-2</v>
      </c>
    </row>
    <row r="2474" spans="1:8" ht="13.5" x14ac:dyDescent="0.25">
      <c r="A2474" s="1"/>
      <c r="B2474" s="3">
        <v>45908</v>
      </c>
      <c r="C2474" s="4">
        <v>23.3</v>
      </c>
      <c r="D2474" s="4">
        <v>23.3</v>
      </c>
      <c r="E2474" s="4">
        <v>569</v>
      </c>
      <c r="F2474" s="4">
        <v>23.212</v>
      </c>
      <c r="G2474" s="4">
        <v>13207.628000000001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23.3</v>
      </c>
      <c r="D2475" s="4">
        <v>23.3</v>
      </c>
      <c r="E2475" s="4">
        <v>3001</v>
      </c>
      <c r="F2475" s="4">
        <v>23.327000000000002</v>
      </c>
      <c r="G2475" s="4">
        <v>70004.327000000005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23.3</v>
      </c>
      <c r="D2476" s="4">
        <v>23.3</v>
      </c>
      <c r="E2476" s="4">
        <v>787</v>
      </c>
      <c r="F2476" s="4">
        <v>23.35</v>
      </c>
      <c r="G2476" s="4">
        <v>18376.45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23.3</v>
      </c>
      <c r="D2477" s="4">
        <v>23.3</v>
      </c>
      <c r="E2477" s="4">
        <v>2436</v>
      </c>
      <c r="F2477" s="4">
        <v>23.300999999999998</v>
      </c>
      <c r="G2477" s="4">
        <v>56761.235999999997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23.3</v>
      </c>
      <c r="D2478" s="4">
        <v>23.3</v>
      </c>
      <c r="E2478" s="4">
        <v>210</v>
      </c>
      <c r="F2478" s="4">
        <v>23.271000000000001</v>
      </c>
      <c r="G2478" s="4">
        <v>4886.91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23.3</v>
      </c>
      <c r="D2479" s="4">
        <v>23.3</v>
      </c>
      <c r="E2479" s="4">
        <v>3084</v>
      </c>
      <c r="F2479" s="4">
        <v>23.105</v>
      </c>
      <c r="G2479" s="4">
        <v>71255.820000000007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23.19</v>
      </c>
      <c r="D2480" s="4">
        <v>23.19</v>
      </c>
      <c r="E2480" s="4">
        <v>2333</v>
      </c>
      <c r="F2480" s="4">
        <v>23.087</v>
      </c>
      <c r="G2480" s="4">
        <v>53861.970999999998</v>
      </c>
      <c r="H2480" s="5">
        <f t="shared" si="38"/>
        <v>-4.7210300429184303E-3</v>
      </c>
    </row>
    <row r="2481" spans="1:8" ht="13.5" x14ac:dyDescent="0.25">
      <c r="A2481" s="1"/>
      <c r="B2481" s="3">
        <v>45917</v>
      </c>
      <c r="C2481" s="4">
        <v>23.2</v>
      </c>
      <c r="D2481" s="4">
        <v>23.2</v>
      </c>
      <c r="E2481" s="4">
        <v>362</v>
      </c>
      <c r="F2481" s="4">
        <v>23.004999999999999</v>
      </c>
      <c r="G2481" s="4">
        <v>8327.81</v>
      </c>
      <c r="H2481" s="5">
        <f t="shared" si="38"/>
        <v>4.3122035360060415E-4</v>
      </c>
    </row>
    <row r="2482" spans="1:8" ht="13.5" x14ac:dyDescent="0.25">
      <c r="A2482" s="1"/>
      <c r="B2482" s="3">
        <v>45918</v>
      </c>
      <c r="C2482" s="4">
        <v>22.81</v>
      </c>
      <c r="D2482" s="4">
        <v>22.81</v>
      </c>
      <c r="E2482" s="4">
        <v>667</v>
      </c>
      <c r="F2482" s="4">
        <v>23.047000000000001</v>
      </c>
      <c r="G2482" s="4">
        <v>15372.349</v>
      </c>
      <c r="H2482" s="5">
        <f t="shared" si="38"/>
        <v>-1.6810344827586234E-2</v>
      </c>
    </row>
    <row r="2483" spans="1:8" ht="13.5" x14ac:dyDescent="0.25">
      <c r="A2483" s="1"/>
      <c r="B2483" s="3">
        <v>45919</v>
      </c>
      <c r="C2483" s="4">
        <v>22.8</v>
      </c>
      <c r="D2483" s="4">
        <v>22.8</v>
      </c>
      <c r="E2483" s="4">
        <v>1044</v>
      </c>
      <c r="F2483" s="4">
        <v>22.855</v>
      </c>
      <c r="G2483" s="4">
        <v>23860.62</v>
      </c>
      <c r="H2483" s="5">
        <f t="shared" si="38"/>
        <v>-4.3840420868031612E-4</v>
      </c>
    </row>
    <row r="2484" spans="1:8" ht="13.5" x14ac:dyDescent="0.25">
      <c r="A2484" s="1"/>
      <c r="B2484" s="3">
        <v>45922</v>
      </c>
      <c r="C2484" s="4">
        <v>22.77</v>
      </c>
      <c r="D2484" s="4">
        <v>22.77</v>
      </c>
      <c r="E2484" s="4">
        <v>15</v>
      </c>
      <c r="F2484" s="4">
        <v>22.783000000000001</v>
      </c>
      <c r="G2484" s="4">
        <v>341.745</v>
      </c>
      <c r="H2484" s="5">
        <f t="shared" si="38"/>
        <v>-1.3157894736842604E-3</v>
      </c>
    </row>
    <row r="2485" spans="1:8" ht="13.5" x14ac:dyDescent="0.25">
      <c r="A2485" s="1"/>
      <c r="B2485" s="3">
        <v>45923</v>
      </c>
      <c r="C2485" s="4">
        <v>22.75</v>
      </c>
      <c r="D2485" s="4">
        <v>22.75</v>
      </c>
      <c r="E2485" s="4">
        <v>214</v>
      </c>
      <c r="F2485" s="4">
        <v>22.58</v>
      </c>
      <c r="G2485" s="4">
        <v>4832.12</v>
      </c>
      <c r="H2485" s="5">
        <f t="shared" si="38"/>
        <v>-8.7834870443564224E-4</v>
      </c>
    </row>
    <row r="2486" spans="1:8" ht="13.5" x14ac:dyDescent="0.25">
      <c r="A2486" s="1"/>
      <c r="B2486" s="3">
        <v>45924</v>
      </c>
      <c r="C2486" s="4">
        <v>22.95</v>
      </c>
      <c r="D2486" s="4">
        <v>22.95</v>
      </c>
      <c r="E2486" s="4">
        <v>385</v>
      </c>
      <c r="F2486" s="4">
        <v>22.553999999999998</v>
      </c>
      <c r="G2486" s="4">
        <v>8683.2900000000009</v>
      </c>
      <c r="H2486" s="5">
        <f t="shared" si="38"/>
        <v>8.79120879120876E-3</v>
      </c>
    </row>
    <row r="2487" spans="1:8" ht="13.5" x14ac:dyDescent="0.25">
      <c r="A2487" s="1"/>
      <c r="B2487" s="3">
        <v>45925</v>
      </c>
      <c r="C2487" s="4">
        <v>22.89</v>
      </c>
      <c r="D2487" s="4">
        <v>22.89</v>
      </c>
      <c r="E2487" s="4">
        <v>1045</v>
      </c>
      <c r="F2487" s="4">
        <v>22.931999999999999</v>
      </c>
      <c r="G2487" s="4">
        <v>23963.94</v>
      </c>
      <c r="H2487" s="5">
        <f t="shared" si="38"/>
        <v>-2.6143790849672646E-3</v>
      </c>
    </row>
    <row r="2488" spans="1:8" ht="13.5" x14ac:dyDescent="0.25">
      <c r="A2488" s="1"/>
      <c r="B2488" s="3">
        <v>45926</v>
      </c>
      <c r="C2488" s="4">
        <v>22.4</v>
      </c>
      <c r="D2488" s="4">
        <v>22.4</v>
      </c>
      <c r="E2488" s="4">
        <v>2318</v>
      </c>
      <c r="F2488" s="4">
        <v>22.452999999999999</v>
      </c>
      <c r="G2488" s="4">
        <v>52046.053999999996</v>
      </c>
      <c r="H2488" s="5">
        <f t="shared" si="38"/>
        <v>-2.1406727828746263E-2</v>
      </c>
    </row>
    <row r="2489" spans="1:8" ht="13.5" x14ac:dyDescent="0.25">
      <c r="A2489" s="1"/>
      <c r="B2489" s="3">
        <v>45929</v>
      </c>
      <c r="C2489" s="4">
        <v>22.4</v>
      </c>
      <c r="D2489" s="4">
        <v>22.4</v>
      </c>
      <c r="E2489" s="4">
        <v>1229</v>
      </c>
      <c r="F2489" s="4">
        <v>22.445</v>
      </c>
      <c r="G2489" s="4">
        <v>27584.904999999999</v>
      </c>
      <c r="H2489" s="5">
        <f t="shared" si="38"/>
        <v>0</v>
      </c>
    </row>
    <row r="2490" spans="1:8" ht="13.5" x14ac:dyDescent="0.25">
      <c r="A2490" s="1"/>
      <c r="B2490" s="3">
        <v>45930</v>
      </c>
      <c r="C2490" s="4">
        <v>22.6</v>
      </c>
      <c r="D2490" s="4">
        <v>22.6</v>
      </c>
      <c r="E2490" s="4">
        <v>696</v>
      </c>
      <c r="F2490" s="4">
        <v>22.484999999999999</v>
      </c>
      <c r="G2490" s="4">
        <v>15649.56</v>
      </c>
      <c r="H2490" s="5">
        <f t="shared" si="38"/>
        <v>8.9285714285715564E-3</v>
      </c>
    </row>
    <row r="2491" spans="1:8" ht="13.5" x14ac:dyDescent="0.25">
      <c r="A2491" s="1"/>
      <c r="B2491" s="3">
        <v>45931</v>
      </c>
      <c r="C2491" s="4">
        <v>22.6</v>
      </c>
      <c r="D2491" s="4">
        <v>22.6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23</v>
      </c>
      <c r="D2492" s="4">
        <v>23</v>
      </c>
      <c r="E2492" s="4">
        <v>51</v>
      </c>
      <c r="F2492" s="4">
        <v>23.007000000000001</v>
      </c>
      <c r="G2492" s="4">
        <v>1173.357</v>
      </c>
      <c r="H2492" s="5">
        <f t="shared" si="38"/>
        <v>1.7699115044247725E-2</v>
      </c>
    </row>
    <row r="2493" spans="1:8" ht="13.5" x14ac:dyDescent="0.25">
      <c r="A2493" s="1"/>
      <c r="B2493" s="3">
        <v>45933</v>
      </c>
      <c r="C2493" s="4">
        <v>22.6</v>
      </c>
      <c r="D2493" s="4">
        <v>22.6</v>
      </c>
      <c r="E2493" s="4">
        <v>2483</v>
      </c>
      <c r="F2493" s="4">
        <v>22.635999999999999</v>
      </c>
      <c r="G2493" s="4">
        <v>56205.188000000002</v>
      </c>
      <c r="H2493" s="5">
        <f t="shared" si="38"/>
        <v>-1.7391304347826025E-2</v>
      </c>
    </row>
    <row r="2494" spans="1:8" ht="13.5" x14ac:dyDescent="0.25">
      <c r="A2494" s="1"/>
      <c r="B2494" s="3">
        <v>45936</v>
      </c>
      <c r="C2494" s="4">
        <v>22.8</v>
      </c>
      <c r="D2494" s="4">
        <v>22.8</v>
      </c>
      <c r="E2494" s="4">
        <v>175</v>
      </c>
      <c r="F2494" s="4">
        <v>22.713000000000001</v>
      </c>
      <c r="G2494" s="4">
        <v>3974.7750000000001</v>
      </c>
      <c r="H2494" s="5">
        <f t="shared" si="38"/>
        <v>8.8495575221238625E-3</v>
      </c>
    </row>
    <row r="2495" spans="1:8" ht="13.5" x14ac:dyDescent="0.25">
      <c r="A2495" s="1"/>
      <c r="B2495" s="3">
        <v>45937</v>
      </c>
      <c r="C2495" s="4">
        <v>22.8</v>
      </c>
      <c r="D2495" s="4">
        <v>22.8</v>
      </c>
      <c r="E2495" s="4">
        <v>1221</v>
      </c>
      <c r="F2495" s="4">
        <v>22.591000000000001</v>
      </c>
      <c r="G2495" s="4">
        <v>27583.611000000001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22.69</v>
      </c>
      <c r="D2496" s="4">
        <v>22.69</v>
      </c>
      <c r="E2496" s="4">
        <v>301</v>
      </c>
      <c r="F2496" s="4">
        <v>22.300999999999998</v>
      </c>
      <c r="G2496" s="4">
        <v>6712.6009999999997</v>
      </c>
      <c r="H2496" s="5">
        <f t="shared" si="38"/>
        <v>-4.824561403508747E-3</v>
      </c>
    </row>
    <row r="2497" spans="1:11" ht="13.5" x14ac:dyDescent="0.25">
      <c r="A2497" s="1"/>
      <c r="B2497" s="3">
        <v>45939</v>
      </c>
      <c r="C2497" s="4">
        <v>22.6</v>
      </c>
      <c r="D2497" s="4">
        <v>22.6</v>
      </c>
      <c r="E2497" s="4">
        <v>2122</v>
      </c>
      <c r="F2497" s="4">
        <v>22.6</v>
      </c>
      <c r="G2497" s="4">
        <v>47957.2</v>
      </c>
      <c r="H2497" s="5">
        <f t="shared" si="38"/>
        <v>-3.9665050683120248E-3</v>
      </c>
    </row>
    <row r="2498" spans="1:11" ht="13.5" x14ac:dyDescent="0.25">
      <c r="A2498" s="1"/>
      <c r="B2498" s="3">
        <v>45940</v>
      </c>
      <c r="C2498" s="4">
        <v>22.58</v>
      </c>
      <c r="D2498" s="4">
        <v>22.58</v>
      </c>
      <c r="E2498" s="4">
        <v>1998</v>
      </c>
      <c r="F2498" s="4">
        <v>22.306999999999999</v>
      </c>
      <c r="G2498" s="4">
        <v>44569.385999999999</v>
      </c>
      <c r="H2498" s="5">
        <f t="shared" si="38"/>
        <v>-8.8495575221252771E-4</v>
      </c>
    </row>
    <row r="2499" spans="1:11" ht="13.5" x14ac:dyDescent="0.25">
      <c r="A2499" s="1"/>
      <c r="B2499" s="3">
        <v>45943</v>
      </c>
      <c r="C2499" s="4">
        <v>22.42</v>
      </c>
      <c r="D2499" s="4">
        <v>22.42</v>
      </c>
      <c r="E2499" s="4">
        <v>5892</v>
      </c>
      <c r="F2499" s="4">
        <v>22.6</v>
      </c>
      <c r="G2499" s="4">
        <v>133159.20000000001</v>
      </c>
      <c r="H2499" s="5">
        <f t="shared" si="38"/>
        <v>-7.0859167404781487E-3</v>
      </c>
    </row>
    <row r="2500" spans="1:11" ht="13.5" x14ac:dyDescent="0.25">
      <c r="A2500" s="1"/>
      <c r="B2500" s="3">
        <v>45944</v>
      </c>
      <c r="C2500" s="4">
        <v>22.59</v>
      </c>
      <c r="D2500" s="4">
        <v>22.59</v>
      </c>
      <c r="E2500" s="4">
        <v>551</v>
      </c>
      <c r="F2500" s="4">
        <v>22.59</v>
      </c>
      <c r="G2500" s="4">
        <v>12447.09</v>
      </c>
      <c r="H2500" s="5">
        <f t="shared" si="38"/>
        <v>7.5825156110614694E-3</v>
      </c>
    </row>
    <row r="2501" spans="1:11" ht="13.5" x14ac:dyDescent="0.25">
      <c r="A2501" s="1"/>
      <c r="B2501" s="3">
        <v>45946</v>
      </c>
      <c r="C2501" s="4">
        <v>22.51</v>
      </c>
      <c r="D2501" s="4">
        <v>22.51</v>
      </c>
      <c r="E2501" s="4">
        <v>1715</v>
      </c>
      <c r="F2501" s="4">
        <v>22.54</v>
      </c>
      <c r="G2501" s="4">
        <v>38656.1</v>
      </c>
      <c r="H2501" s="5">
        <f t="shared" si="38"/>
        <v>-3.5413899955731871E-3</v>
      </c>
    </row>
    <row r="2502" spans="1:11" ht="13.5" x14ac:dyDescent="0.25">
      <c r="A2502" s="1"/>
      <c r="B2502" s="3">
        <v>45947</v>
      </c>
      <c r="C2502" s="4">
        <v>22.4</v>
      </c>
      <c r="D2502" s="4">
        <v>22.4</v>
      </c>
      <c r="E2502" s="4">
        <v>2413</v>
      </c>
      <c r="F2502" s="4">
        <v>22.234999999999999</v>
      </c>
      <c r="G2502" s="4">
        <v>53653.055</v>
      </c>
      <c r="H2502" s="5">
        <f t="shared" si="38"/>
        <v>-4.886717014660283E-3</v>
      </c>
    </row>
    <row r="2503" spans="1:11" ht="13.5" x14ac:dyDescent="0.25">
      <c r="A2503" s="1"/>
      <c r="B2503" s="3">
        <v>45950</v>
      </c>
      <c r="C2503" s="4">
        <v>22.4</v>
      </c>
      <c r="D2503" s="4">
        <v>22.4</v>
      </c>
      <c r="E2503" s="4">
        <v>30</v>
      </c>
      <c r="F2503" s="4">
        <v>22.4</v>
      </c>
      <c r="G2503" s="4">
        <v>672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22.4</v>
      </c>
      <c r="D2504" s="4">
        <v>22.4</v>
      </c>
      <c r="E2504" s="4">
        <v>1334</v>
      </c>
      <c r="F2504" s="4">
        <v>22.201000000000001</v>
      </c>
      <c r="G2504" s="4">
        <v>29616.133999999998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22.39</v>
      </c>
      <c r="D2505" s="4">
        <v>22.39</v>
      </c>
      <c r="E2505" s="4">
        <v>471</v>
      </c>
      <c r="F2505" s="4">
        <v>22.338999999999999</v>
      </c>
      <c r="G2505" s="4">
        <v>10521.669</v>
      </c>
      <c r="H2505" s="5">
        <f t="shared" si="39"/>
        <v>-4.4642857142848262E-4</v>
      </c>
    </row>
    <row r="2506" spans="1:11" ht="13.5" x14ac:dyDescent="0.25">
      <c r="A2506" s="1"/>
      <c r="B2506" s="3">
        <v>45953</v>
      </c>
      <c r="C2506" s="4">
        <v>22.22</v>
      </c>
      <c r="D2506" s="4">
        <v>22.22</v>
      </c>
      <c r="E2506" s="4">
        <v>946</v>
      </c>
      <c r="F2506" s="4">
        <v>22.245999999999999</v>
      </c>
      <c r="G2506" s="4">
        <v>21044.716</v>
      </c>
      <c r="H2506" s="5">
        <f t="shared" si="39"/>
        <v>-7.5926753014739484E-3</v>
      </c>
    </row>
    <row r="2507" spans="1:11" ht="13.5" x14ac:dyDescent="0.25">
      <c r="A2507" s="1"/>
      <c r="B2507" s="3">
        <v>45954</v>
      </c>
      <c r="C2507" s="4">
        <v>22.5</v>
      </c>
      <c r="D2507" s="4">
        <v>22.5</v>
      </c>
      <c r="E2507" s="4">
        <v>152</v>
      </c>
      <c r="F2507" s="4">
        <v>22.401</v>
      </c>
      <c r="G2507" s="4">
        <v>3404.9520000000002</v>
      </c>
      <c r="H2507" s="5">
        <f t="shared" si="39"/>
        <v>1.2601260126012653E-2</v>
      </c>
    </row>
    <row r="2508" spans="1:11" ht="13.5" x14ac:dyDescent="0.25">
      <c r="A2508" s="1"/>
      <c r="B2508" s="3">
        <v>45957</v>
      </c>
      <c r="C2508" s="4">
        <v>22.4</v>
      </c>
      <c r="D2508" s="4">
        <v>22.4</v>
      </c>
      <c r="E2508" s="4">
        <v>669</v>
      </c>
      <c r="F2508" s="4">
        <v>22.126999999999999</v>
      </c>
      <c r="G2508" s="4">
        <v>14802.963</v>
      </c>
      <c r="H2508" s="5">
        <f t="shared" si="39"/>
        <v>-4.4444444444445078E-3</v>
      </c>
    </row>
    <row r="2509" spans="1:11" ht="13.5" x14ac:dyDescent="0.25">
      <c r="A2509" s="1"/>
      <c r="B2509" s="3">
        <v>45958</v>
      </c>
      <c r="C2509" s="4">
        <v>22.4</v>
      </c>
      <c r="D2509" s="4">
        <v>22.4</v>
      </c>
      <c r="E2509" s="4">
        <v>0</v>
      </c>
      <c r="F2509" s="4">
        <v>0</v>
      </c>
      <c r="G2509" s="4">
        <v>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22</v>
      </c>
      <c r="D2510" s="4">
        <v>22</v>
      </c>
      <c r="E2510" s="4">
        <v>156</v>
      </c>
      <c r="F2510" s="4">
        <v>22.041</v>
      </c>
      <c r="G2510" s="4">
        <v>3438.3960000000002</v>
      </c>
      <c r="H2510" s="5">
        <f t="shared" si="39"/>
        <v>-1.7857142857142794E-2</v>
      </c>
      <c r="I2510" s="12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22.4</v>
      </c>
      <c r="D2511" s="4">
        <v>22.4</v>
      </c>
      <c r="E2511" s="4">
        <v>5</v>
      </c>
      <c r="F2511" s="4">
        <v>22.4</v>
      </c>
      <c r="G2511" s="4">
        <v>112</v>
      </c>
      <c r="H2511" s="5">
        <f t="shared" si="39"/>
        <v>1.8181818181818118E-2</v>
      </c>
      <c r="I2511" s="13">
        <v>4138200</v>
      </c>
      <c r="J2511" s="8">
        <f>I2511*D2511</f>
        <v>92695680</v>
      </c>
      <c r="K2511" s="9">
        <f>SUM(E2307:E2511)/205</f>
        <v>1249.5853658536585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C5A81-37AD-4DC8-9F41-ED1F774C9BF1}">
  <ds:schemaRefs>
    <ds:schemaRef ds:uri="http://schemas.openxmlformats.org/package/2006/metadata/core-properties"/>
    <ds:schemaRef ds:uri="http://purl.org/dc/elements/1.1/"/>
    <ds:schemaRef ds:uri="http://www.w3.org/XML/1998/namespace"/>
    <ds:schemaRef ds:uri="825c0b43-6af9-4148-8ec1-c95941059438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8A35E2-64AF-4233-9838-30D958F79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70AEE-9B0A-4ED9-8D1D-26FF7D481F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2025-11-04T19:50:45Z</dcterms:created>
  <dcterms:modified xsi:type="dcterms:W3CDTF">2025-11-05T05:44:35Z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