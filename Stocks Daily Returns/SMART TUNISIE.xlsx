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CE85AD30-9A02-40AC-AEF5-E879B05E98C7}" xr6:coauthVersionLast="47" xr6:coauthVersionMax="47" xr10:uidLastSave="{00000000-0000-0000-0000-000000000000}"/>
  <bookViews>
    <workbookView xWindow="28680" yWindow="-120" windowWidth="24240" windowHeight="13020" xr2:uid="{9019C6ED-0220-4847-B616-88494EB17840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85" i="1" l="1"/>
  <c r="J985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6" i="1"/>
</calcChain>
</file>

<file path=xl/sharedStrings.xml><?xml version="1.0" encoding="utf-8"?>
<sst xmlns="http://schemas.openxmlformats.org/spreadsheetml/2006/main" count="16" uniqueCount="16">
  <si>
    <t>Titre : SMART TUNISIE,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</si>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</sst>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B220-51D9-499E-924D-3794C26609B2}">
  <dimension ref="A1:K985"/>
  <sheetViews>
    <sheetView showGridLines="0" tabSelected="1" topLeftCell="A968" workbookViewId="0">
      <selection activeCell="J977" sqref="J977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44539</v>
      </c>
      <c r="C5" s="4">
        <v>25.5</v>
      </c>
      <c r="D5" s="4">
        <v>13.6843</v>
      </c>
      <c r="E5" s="4"/>
      <c r="F5" s="4"/>
      <c r="G5" s="4"/>
      <c r="H5" s="1"/>
    </row>
    <row r="6" spans="1:11" ht="13.5" x14ac:dyDescent="0.25">
      <c r="A6" s="1"/>
      <c r="B6" s="3">
        <v>44540</v>
      </c>
      <c r="C6" s="4">
        <v>25.5</v>
      </c>
      <c r="D6" s="4">
        <v>13.6843</v>
      </c>
      <c r="E6" s="4"/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44543</v>
      </c>
      <c r="C7" s="4">
        <v>25.5</v>
      </c>
      <c r="D7" s="4">
        <v>13.6843</v>
      </c>
      <c r="E7" s="4"/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44544</v>
      </c>
      <c r="C8" s="4">
        <v>25.5</v>
      </c>
      <c r="D8" s="4">
        <v>13.6843</v>
      </c>
      <c r="E8" s="4"/>
      <c r="F8" s="4"/>
      <c r="G8" s="4"/>
      <c r="H8" s="5">
        <f t="shared" si="0"/>
        <v>0</v>
      </c>
      <c r="J8" t="s">
        <v>9</v>
      </c>
      <c r="K8" s="6">
        <f>AVERAGE(H6:H985)</f>
        <v>3.24375099477676E-4</v>
      </c>
    </row>
    <row r="9" spans="1:11" ht="13.5" x14ac:dyDescent="0.25">
      <c r="A9" s="1"/>
      <c r="B9" s="3">
        <v>44545</v>
      </c>
      <c r="C9" s="4">
        <v>25.5</v>
      </c>
      <c r="D9" s="4">
        <v>13.6843</v>
      </c>
      <c r="E9" s="4"/>
      <c r="F9" s="4"/>
      <c r="G9" s="4"/>
      <c r="H9" s="5">
        <f t="shared" si="0"/>
        <v>0</v>
      </c>
      <c r="J9" t="s">
        <v>10</v>
      </c>
      <c r="K9" s="6">
        <f>K8*K6</f>
        <v>8.1742525068374358E-2</v>
      </c>
    </row>
    <row r="10" spans="1:11" ht="13.5" x14ac:dyDescent="0.25">
      <c r="A10" s="1"/>
      <c r="B10" s="3">
        <v>44546</v>
      </c>
      <c r="C10" s="4">
        <v>25.5</v>
      </c>
      <c r="D10" s="4">
        <v>13.6843</v>
      </c>
      <c r="E10" s="4"/>
      <c r="F10" s="4"/>
      <c r="G10" s="4"/>
      <c r="H10" s="5">
        <f t="shared" si="0"/>
        <v>0</v>
      </c>
      <c r="J10" t="s">
        <v>11</v>
      </c>
      <c r="K10" s="6">
        <f>STDEV(H6:H985)</f>
        <v>1.4035403309289146E-2</v>
      </c>
    </row>
    <row r="11" spans="1:11" ht="13.5" x14ac:dyDescent="0.25">
      <c r="A11" s="1"/>
      <c r="B11" s="3">
        <v>44550</v>
      </c>
      <c r="C11" s="4">
        <v>25.5</v>
      </c>
      <c r="D11" s="4">
        <v>13.6843</v>
      </c>
      <c r="E11" s="4"/>
      <c r="F11" s="4"/>
      <c r="G11" s="4"/>
      <c r="H11" s="5">
        <f t="shared" si="0"/>
        <v>0</v>
      </c>
      <c r="J11" t="s">
        <v>12</v>
      </c>
      <c r="K11" s="6">
        <f>K10*SQRT(K6)</f>
        <v>0.22280512024123234</v>
      </c>
    </row>
    <row r="12" spans="1:11" ht="13.5" x14ac:dyDescent="0.25">
      <c r="A12" s="1"/>
      <c r="B12" s="3">
        <v>44551</v>
      </c>
      <c r="C12" s="4">
        <v>25.5</v>
      </c>
      <c r="D12" s="4">
        <v>13.6843</v>
      </c>
      <c r="E12" s="4">
        <v>0</v>
      </c>
      <c r="F12" s="4">
        <v>0</v>
      </c>
      <c r="G12" s="4">
        <v>0</v>
      </c>
      <c r="H12" s="5">
        <f t="shared" si="0"/>
        <v>0</v>
      </c>
    </row>
    <row r="13" spans="1:11" ht="13.5" x14ac:dyDescent="0.25">
      <c r="A13" s="1"/>
      <c r="B13" s="3">
        <v>44552</v>
      </c>
      <c r="C13" s="4">
        <v>25.5</v>
      </c>
      <c r="D13" s="4">
        <v>13.6843</v>
      </c>
      <c r="E13" s="4">
        <v>0</v>
      </c>
      <c r="F13" s="4">
        <v>0</v>
      </c>
      <c r="G13" s="4">
        <v>0</v>
      </c>
      <c r="H13" s="5">
        <f t="shared" si="0"/>
        <v>0</v>
      </c>
    </row>
    <row r="14" spans="1:11" ht="13.5" x14ac:dyDescent="0.25">
      <c r="A14" s="1"/>
      <c r="B14" s="3">
        <v>44553</v>
      </c>
      <c r="C14" s="4">
        <v>25.5</v>
      </c>
      <c r="D14" s="4">
        <v>13.6843</v>
      </c>
      <c r="E14" s="4">
        <v>0</v>
      </c>
      <c r="F14" s="4">
        <v>0</v>
      </c>
      <c r="G14" s="4">
        <v>0</v>
      </c>
      <c r="H14" s="5">
        <f t="shared" si="0"/>
        <v>0</v>
      </c>
    </row>
    <row r="15" spans="1:11" ht="13.5" x14ac:dyDescent="0.25">
      <c r="A15" s="1"/>
      <c r="B15" s="3">
        <v>44554</v>
      </c>
      <c r="C15" s="4">
        <v>25.5</v>
      </c>
      <c r="D15" s="4">
        <v>13.6843</v>
      </c>
      <c r="E15" s="4">
        <v>0</v>
      </c>
      <c r="F15" s="4">
        <v>0</v>
      </c>
      <c r="G15" s="4">
        <v>0</v>
      </c>
      <c r="H15" s="5">
        <f t="shared" si="0"/>
        <v>0</v>
      </c>
    </row>
    <row r="16" spans="1:11" ht="13.5" x14ac:dyDescent="0.25">
      <c r="A16" s="1"/>
      <c r="B16" s="3">
        <v>44557</v>
      </c>
      <c r="C16" s="4">
        <v>25.5</v>
      </c>
      <c r="D16" s="4">
        <v>13.6843</v>
      </c>
      <c r="E16" s="4">
        <v>0</v>
      </c>
      <c r="F16" s="4">
        <v>0</v>
      </c>
      <c r="G16" s="4">
        <v>0</v>
      </c>
      <c r="H16" s="5">
        <f t="shared" si="0"/>
        <v>0</v>
      </c>
    </row>
    <row r="17" spans="1:8" ht="13.5" x14ac:dyDescent="0.25">
      <c r="A17" s="1"/>
      <c r="B17" s="3">
        <v>44558</v>
      </c>
      <c r="C17" s="4">
        <v>25.5</v>
      </c>
      <c r="D17" s="4">
        <v>13.6843</v>
      </c>
      <c r="E17" s="4">
        <v>0</v>
      </c>
      <c r="F17" s="4">
        <v>0</v>
      </c>
      <c r="G17" s="4">
        <v>0</v>
      </c>
      <c r="H17" s="5">
        <f t="shared" si="0"/>
        <v>0</v>
      </c>
    </row>
    <row r="18" spans="1:8" ht="13.5" x14ac:dyDescent="0.25">
      <c r="A18" s="1"/>
      <c r="B18" s="3">
        <v>44559</v>
      </c>
      <c r="C18" s="4">
        <v>25.5</v>
      </c>
      <c r="D18" s="4">
        <v>13.6843</v>
      </c>
      <c r="E18" s="4">
        <v>0</v>
      </c>
      <c r="F18" s="4">
        <v>0</v>
      </c>
      <c r="G18" s="4">
        <v>0</v>
      </c>
      <c r="H18" s="5">
        <f t="shared" si="0"/>
        <v>0</v>
      </c>
    </row>
    <row r="19" spans="1:8" ht="13.5" x14ac:dyDescent="0.25">
      <c r="A19" s="1"/>
      <c r="B19" s="3">
        <v>44560</v>
      </c>
      <c r="C19" s="4">
        <v>27</v>
      </c>
      <c r="D19" s="4">
        <v>14.4893</v>
      </c>
      <c r="E19" s="4">
        <v>115190</v>
      </c>
      <c r="F19" s="4">
        <v>27</v>
      </c>
      <c r="G19" s="4">
        <v>3110130</v>
      </c>
      <c r="H19" s="5">
        <f t="shared" si="0"/>
        <v>5.8826538441864008E-2</v>
      </c>
    </row>
    <row r="20" spans="1:8" ht="13.5" x14ac:dyDescent="0.25">
      <c r="A20" s="1"/>
      <c r="B20" s="3">
        <v>44561</v>
      </c>
      <c r="C20" s="4">
        <v>27.1</v>
      </c>
      <c r="D20" s="4">
        <v>14.542999999999999</v>
      </c>
      <c r="E20" s="4">
        <v>81446</v>
      </c>
      <c r="F20" s="4">
        <v>26.759</v>
      </c>
      <c r="G20" s="4">
        <v>2179413.514</v>
      </c>
      <c r="H20" s="5">
        <f t="shared" si="0"/>
        <v>3.7061831834525609E-3</v>
      </c>
    </row>
    <row r="21" spans="1:8" ht="13.5" x14ac:dyDescent="0.25">
      <c r="A21" s="1"/>
      <c r="B21" s="3">
        <v>44564</v>
      </c>
      <c r="C21" s="4">
        <v>27</v>
      </c>
      <c r="D21" s="4">
        <v>14.4893</v>
      </c>
      <c r="E21" s="4">
        <v>13649</v>
      </c>
      <c r="F21" s="4">
        <v>26.945</v>
      </c>
      <c r="G21" s="4">
        <v>367772.30499999999</v>
      </c>
      <c r="H21" s="5">
        <f t="shared" si="0"/>
        <v>-3.6924981090558479E-3</v>
      </c>
    </row>
    <row r="22" spans="1:8" ht="13.5" x14ac:dyDescent="0.25">
      <c r="A22" s="1"/>
      <c r="B22" s="3">
        <v>44565</v>
      </c>
      <c r="C22" s="4">
        <v>26.01</v>
      </c>
      <c r="D22" s="4">
        <v>13.958</v>
      </c>
      <c r="E22" s="4">
        <v>1396</v>
      </c>
      <c r="F22" s="4">
        <v>26.356999999999999</v>
      </c>
      <c r="G22" s="4">
        <v>36794.372000000003</v>
      </c>
      <c r="H22" s="5">
        <f t="shared" si="0"/>
        <v>-3.6668438088796551E-2</v>
      </c>
    </row>
    <row r="23" spans="1:8" ht="13.5" x14ac:dyDescent="0.25">
      <c r="A23" s="1"/>
      <c r="B23" s="3">
        <v>44566</v>
      </c>
      <c r="C23" s="4">
        <v>26.87</v>
      </c>
      <c r="D23" s="4">
        <v>14.419499999999999</v>
      </c>
      <c r="E23" s="4">
        <v>4393</v>
      </c>
      <c r="F23" s="4">
        <v>26.756</v>
      </c>
      <c r="G23" s="4">
        <v>117539.10799999999</v>
      </c>
      <c r="H23" s="5">
        <f t="shared" si="0"/>
        <v>3.3063476142713794E-2</v>
      </c>
    </row>
    <row r="24" spans="1:8" ht="13.5" x14ac:dyDescent="0.25">
      <c r="A24" s="1"/>
      <c r="B24" s="3">
        <v>44567</v>
      </c>
      <c r="C24" s="4">
        <v>26.77</v>
      </c>
      <c r="D24" s="4">
        <v>14.3659</v>
      </c>
      <c r="E24" s="4">
        <v>6265</v>
      </c>
      <c r="F24" s="4">
        <v>26.562999999999999</v>
      </c>
      <c r="G24" s="4">
        <v>166417.19500000001</v>
      </c>
      <c r="H24" s="5">
        <f t="shared" si="0"/>
        <v>-3.7171885294219236E-3</v>
      </c>
    </row>
    <row r="25" spans="1:8" ht="13.5" x14ac:dyDescent="0.25">
      <c r="A25" s="1"/>
      <c r="B25" s="3">
        <v>44568</v>
      </c>
      <c r="C25" s="4">
        <v>26.7</v>
      </c>
      <c r="D25" s="4">
        <v>14.3283</v>
      </c>
      <c r="E25" s="4">
        <v>5212</v>
      </c>
      <c r="F25" s="4">
        <v>26.699000000000002</v>
      </c>
      <c r="G25" s="4">
        <v>139155.18799999999</v>
      </c>
      <c r="H25" s="5">
        <f t="shared" si="0"/>
        <v>-2.6173090443341114E-3</v>
      </c>
    </row>
    <row r="26" spans="1:8" ht="13.5" x14ac:dyDescent="0.25">
      <c r="A26" s="1"/>
      <c r="B26" s="3">
        <v>44571</v>
      </c>
      <c r="C26" s="4">
        <v>26.7</v>
      </c>
      <c r="D26" s="4">
        <v>14.3283</v>
      </c>
      <c r="E26" s="4">
        <v>4211</v>
      </c>
      <c r="F26" s="4">
        <v>26.675999999999998</v>
      </c>
      <c r="G26" s="4">
        <v>112332.636</v>
      </c>
      <c r="H26" s="5">
        <f t="shared" si="0"/>
        <v>0</v>
      </c>
    </row>
    <row r="27" spans="1:8" ht="13.5" x14ac:dyDescent="0.25">
      <c r="A27" s="1"/>
      <c r="B27" s="3">
        <v>44572</v>
      </c>
      <c r="C27" s="4">
        <v>26.4</v>
      </c>
      <c r="D27" s="4">
        <v>14.167299999999999</v>
      </c>
      <c r="E27" s="4">
        <v>822</v>
      </c>
      <c r="F27" s="4">
        <v>26.206</v>
      </c>
      <c r="G27" s="4">
        <v>21541.331999999999</v>
      </c>
      <c r="H27" s="5">
        <f t="shared" si="0"/>
        <v>-1.1236503981630853E-2</v>
      </c>
    </row>
    <row r="28" spans="1:8" ht="13.5" x14ac:dyDescent="0.25">
      <c r="A28" s="1"/>
      <c r="B28" s="3">
        <v>44573</v>
      </c>
      <c r="C28" s="4">
        <v>26.4</v>
      </c>
      <c r="D28" s="4">
        <v>14.167299999999999</v>
      </c>
      <c r="E28" s="4">
        <v>8103</v>
      </c>
      <c r="F28" s="4">
        <v>26.21</v>
      </c>
      <c r="G28" s="4">
        <v>212379.63</v>
      </c>
      <c r="H28" s="5">
        <f t="shared" si="0"/>
        <v>0</v>
      </c>
    </row>
    <row r="29" spans="1:8" ht="13.5" x14ac:dyDescent="0.25">
      <c r="A29" s="1"/>
      <c r="B29" s="3">
        <v>44574</v>
      </c>
      <c r="C29" s="4">
        <v>26.4</v>
      </c>
      <c r="D29" s="4">
        <v>14.167299999999999</v>
      </c>
      <c r="E29" s="4">
        <v>1508</v>
      </c>
      <c r="F29" s="4">
        <v>26.225999999999999</v>
      </c>
      <c r="G29" s="4">
        <v>39548.807999999997</v>
      </c>
      <c r="H29" s="5">
        <f t="shared" si="0"/>
        <v>0</v>
      </c>
    </row>
    <row r="30" spans="1:8" ht="13.5" x14ac:dyDescent="0.25">
      <c r="A30" s="1"/>
      <c r="B30" s="3">
        <v>44575</v>
      </c>
      <c r="C30" s="4">
        <v>26.6</v>
      </c>
      <c r="D30" s="4">
        <v>14.2746</v>
      </c>
      <c r="E30" s="4">
        <v>7011</v>
      </c>
      <c r="F30" s="4">
        <v>26.454000000000001</v>
      </c>
      <c r="G30" s="4">
        <v>185468.99400000001</v>
      </c>
      <c r="H30" s="5">
        <f t="shared" si="0"/>
        <v>7.5737790545834707E-3</v>
      </c>
    </row>
    <row r="31" spans="1:8" ht="13.5" x14ac:dyDescent="0.25">
      <c r="A31" s="1"/>
      <c r="B31" s="3">
        <v>44578</v>
      </c>
      <c r="C31" s="4">
        <v>26.59</v>
      </c>
      <c r="D31" s="4">
        <v>14.269299999999999</v>
      </c>
      <c r="E31" s="4">
        <v>2293</v>
      </c>
      <c r="F31" s="4">
        <v>26.581</v>
      </c>
      <c r="G31" s="4">
        <v>60950.233</v>
      </c>
      <c r="H31" s="5">
        <f t="shared" si="0"/>
        <v>-3.7128886273521378E-4</v>
      </c>
    </row>
    <row r="32" spans="1:8" ht="13.5" x14ac:dyDescent="0.25">
      <c r="A32" s="1"/>
      <c r="B32" s="3">
        <v>44579</v>
      </c>
      <c r="C32" s="4">
        <v>26.5</v>
      </c>
      <c r="D32" s="4">
        <v>14.221</v>
      </c>
      <c r="E32" s="4">
        <v>5042</v>
      </c>
      <c r="F32" s="4">
        <v>26.488</v>
      </c>
      <c r="G32" s="4">
        <v>133552.49600000001</v>
      </c>
      <c r="H32" s="5">
        <f t="shared" si="0"/>
        <v>-3.3848892377341105E-3</v>
      </c>
    </row>
    <row r="33" spans="1:8" ht="13.5" x14ac:dyDescent="0.25">
      <c r="A33" s="1"/>
      <c r="B33" s="3">
        <v>44580</v>
      </c>
      <c r="C33" s="4">
        <v>26.5</v>
      </c>
      <c r="D33" s="4">
        <v>14.221</v>
      </c>
      <c r="E33" s="4">
        <v>5743</v>
      </c>
      <c r="F33" s="4">
        <v>26.51</v>
      </c>
      <c r="G33" s="4">
        <v>152246.93</v>
      </c>
      <c r="H33" s="5">
        <f t="shared" si="0"/>
        <v>0</v>
      </c>
    </row>
    <row r="34" spans="1:8" ht="13.5" x14ac:dyDescent="0.25">
      <c r="A34" s="1"/>
      <c r="B34" s="3">
        <v>44581</v>
      </c>
      <c r="C34" s="4">
        <v>26.5</v>
      </c>
      <c r="D34" s="4">
        <v>14.221</v>
      </c>
      <c r="E34" s="4">
        <v>692</v>
      </c>
      <c r="F34" s="4">
        <v>26.437000000000001</v>
      </c>
      <c r="G34" s="4">
        <v>18294.403999999999</v>
      </c>
      <c r="H34" s="5">
        <f t="shared" si="0"/>
        <v>0</v>
      </c>
    </row>
    <row r="35" spans="1:8" ht="13.5" x14ac:dyDescent="0.25">
      <c r="A35" s="1"/>
      <c r="B35" s="3">
        <v>44582</v>
      </c>
      <c r="C35" s="4">
        <v>26.5</v>
      </c>
      <c r="D35" s="4">
        <v>14.221</v>
      </c>
      <c r="E35" s="4">
        <v>3462</v>
      </c>
      <c r="F35" s="4">
        <v>26.460999999999999</v>
      </c>
      <c r="G35" s="4">
        <v>91607.982000000004</v>
      </c>
      <c r="H35" s="5">
        <f t="shared" si="0"/>
        <v>0</v>
      </c>
    </row>
    <row r="36" spans="1:8" ht="13.5" x14ac:dyDescent="0.25">
      <c r="A36" s="1"/>
      <c r="B36" s="3">
        <v>44585</v>
      </c>
      <c r="C36" s="4">
        <v>26.2</v>
      </c>
      <c r="D36" s="4">
        <v>14.06</v>
      </c>
      <c r="E36" s="4">
        <v>7983</v>
      </c>
      <c r="F36" s="4">
        <v>26.206</v>
      </c>
      <c r="G36" s="4">
        <v>209202.49799999999</v>
      </c>
      <c r="H36" s="5">
        <f t="shared" si="0"/>
        <v>-1.1321285422966006E-2</v>
      </c>
    </row>
    <row r="37" spans="1:8" ht="13.5" x14ac:dyDescent="0.25">
      <c r="A37" s="1"/>
      <c r="B37" s="3">
        <v>44586</v>
      </c>
      <c r="C37" s="4">
        <v>26.1</v>
      </c>
      <c r="D37" s="4">
        <v>14.0063</v>
      </c>
      <c r="E37" s="4">
        <v>6601</v>
      </c>
      <c r="F37" s="4">
        <v>26.052</v>
      </c>
      <c r="G37" s="4">
        <v>171969.25200000001</v>
      </c>
      <c r="H37" s="5">
        <f t="shared" si="0"/>
        <v>-3.8193456614509934E-3</v>
      </c>
    </row>
    <row r="38" spans="1:8" ht="13.5" x14ac:dyDescent="0.25">
      <c r="A38" s="1"/>
      <c r="B38" s="3">
        <v>44587</v>
      </c>
      <c r="C38" s="4">
        <v>26</v>
      </c>
      <c r="D38" s="4">
        <v>13.9527</v>
      </c>
      <c r="E38" s="4">
        <v>3343</v>
      </c>
      <c r="F38" s="4">
        <v>26.004000000000001</v>
      </c>
      <c r="G38" s="4">
        <v>86931.372000000003</v>
      </c>
      <c r="H38" s="5">
        <f t="shared" si="0"/>
        <v>-3.8268493463655233E-3</v>
      </c>
    </row>
    <row r="39" spans="1:8" ht="13.5" x14ac:dyDescent="0.25">
      <c r="A39" s="1"/>
      <c r="B39" s="3">
        <v>44588</v>
      </c>
      <c r="C39" s="4">
        <v>25.89</v>
      </c>
      <c r="D39" s="4">
        <v>13.893599999999999</v>
      </c>
      <c r="E39" s="4">
        <v>3319</v>
      </c>
      <c r="F39" s="4">
        <v>25.948</v>
      </c>
      <c r="G39" s="4">
        <v>86121.411999999997</v>
      </c>
      <c r="H39" s="5">
        <f t="shared" si="0"/>
        <v>-4.2357393192715975E-3</v>
      </c>
    </row>
    <row r="40" spans="1:8" ht="13.5" x14ac:dyDescent="0.25">
      <c r="A40" s="1"/>
      <c r="B40" s="3">
        <v>44589</v>
      </c>
      <c r="C40" s="4">
        <v>26</v>
      </c>
      <c r="D40" s="4">
        <v>13.9527</v>
      </c>
      <c r="E40" s="4">
        <v>13679</v>
      </c>
      <c r="F40" s="4">
        <v>25.704000000000001</v>
      </c>
      <c r="G40" s="4">
        <v>351605.016</v>
      </c>
      <c r="H40" s="5">
        <f t="shared" si="0"/>
        <v>4.2537571255830617E-3</v>
      </c>
    </row>
    <row r="41" spans="1:8" ht="13.5" x14ac:dyDescent="0.25">
      <c r="A41" s="1"/>
      <c r="B41" s="3">
        <v>44592</v>
      </c>
      <c r="C41" s="4">
        <v>25.7</v>
      </c>
      <c r="D41" s="4">
        <v>13.791700000000001</v>
      </c>
      <c r="E41" s="4">
        <v>1282</v>
      </c>
      <c r="F41" s="4">
        <v>25.645</v>
      </c>
      <c r="G41" s="4">
        <v>32876.89</v>
      </c>
      <c r="H41" s="5">
        <f t="shared" si="0"/>
        <v>-1.1538985286001963E-2</v>
      </c>
    </row>
    <row r="42" spans="1:8" ht="13.5" x14ac:dyDescent="0.25">
      <c r="A42" s="1"/>
      <c r="B42" s="3">
        <v>44593</v>
      </c>
      <c r="C42" s="4">
        <v>25.9</v>
      </c>
      <c r="D42" s="4">
        <v>13.898999999999999</v>
      </c>
      <c r="E42" s="4">
        <v>7529</v>
      </c>
      <c r="F42" s="4">
        <v>25.827000000000002</v>
      </c>
      <c r="G42" s="4">
        <v>194451.48300000001</v>
      </c>
      <c r="H42" s="5">
        <f t="shared" si="0"/>
        <v>7.7800416192346563E-3</v>
      </c>
    </row>
    <row r="43" spans="1:8" ht="13.5" x14ac:dyDescent="0.25">
      <c r="A43" s="1"/>
      <c r="B43" s="3">
        <v>44594</v>
      </c>
      <c r="C43" s="4">
        <v>25.8</v>
      </c>
      <c r="D43" s="4">
        <v>13.8453</v>
      </c>
      <c r="E43" s="4">
        <v>80</v>
      </c>
      <c r="F43" s="4">
        <v>25.8</v>
      </c>
      <c r="G43" s="4">
        <v>2064</v>
      </c>
      <c r="H43" s="5">
        <f t="shared" si="0"/>
        <v>-3.8635873084393981E-3</v>
      </c>
    </row>
    <row r="44" spans="1:8" ht="13.5" x14ac:dyDescent="0.25">
      <c r="A44" s="1"/>
      <c r="B44" s="3">
        <v>44595</v>
      </c>
      <c r="C44" s="4">
        <v>25.65</v>
      </c>
      <c r="D44" s="4">
        <v>13.764799999999999</v>
      </c>
      <c r="E44" s="4">
        <v>564</v>
      </c>
      <c r="F44" s="4">
        <v>25.623000000000001</v>
      </c>
      <c r="G44" s="4">
        <v>14451.371999999999</v>
      </c>
      <c r="H44" s="5">
        <f t="shared" si="0"/>
        <v>-5.8142474341473776E-3</v>
      </c>
    </row>
    <row r="45" spans="1:8" ht="13.5" x14ac:dyDescent="0.25">
      <c r="A45" s="1"/>
      <c r="B45" s="3">
        <v>44596</v>
      </c>
      <c r="C45" s="4">
        <v>26.48</v>
      </c>
      <c r="D45" s="4">
        <v>14.2102</v>
      </c>
      <c r="E45" s="4">
        <v>15754</v>
      </c>
      <c r="F45" s="4">
        <v>26.03</v>
      </c>
      <c r="G45" s="4">
        <v>410076.62</v>
      </c>
      <c r="H45" s="5">
        <f t="shared" si="0"/>
        <v>3.2357898407532337E-2</v>
      </c>
    </row>
    <row r="46" spans="1:8" ht="13.5" x14ac:dyDescent="0.25">
      <c r="A46" s="1"/>
      <c r="B46" s="3">
        <v>44599</v>
      </c>
      <c r="C46" s="4">
        <v>26</v>
      </c>
      <c r="D46" s="4">
        <v>13.9527</v>
      </c>
      <c r="E46" s="4">
        <v>317</v>
      </c>
      <c r="F46" s="4">
        <v>26</v>
      </c>
      <c r="G46" s="4">
        <v>8242</v>
      </c>
      <c r="H46" s="5">
        <f t="shared" si="0"/>
        <v>-1.8120786477319129E-2</v>
      </c>
    </row>
    <row r="47" spans="1:8" ht="13.5" x14ac:dyDescent="0.25">
      <c r="A47" s="1"/>
      <c r="B47" s="3">
        <v>44600</v>
      </c>
      <c r="C47" s="4">
        <v>26</v>
      </c>
      <c r="D47" s="4">
        <v>13.9527</v>
      </c>
      <c r="E47" s="4">
        <v>42</v>
      </c>
      <c r="F47" s="4">
        <v>26</v>
      </c>
      <c r="G47" s="4">
        <v>1092</v>
      </c>
      <c r="H47" s="5">
        <f t="shared" si="0"/>
        <v>0</v>
      </c>
    </row>
    <row r="48" spans="1:8" ht="13.5" x14ac:dyDescent="0.25">
      <c r="A48" s="1"/>
      <c r="B48" s="3">
        <v>44601</v>
      </c>
      <c r="C48" s="4">
        <v>25.97</v>
      </c>
      <c r="D48" s="4">
        <v>13.9366</v>
      </c>
      <c r="E48" s="4">
        <v>7438</v>
      </c>
      <c r="F48" s="4">
        <v>25.643999999999998</v>
      </c>
      <c r="G48" s="4">
        <v>190740.07199999999</v>
      </c>
      <c r="H48" s="5">
        <f t="shared" si="0"/>
        <v>-1.1538985286001836E-3</v>
      </c>
    </row>
    <row r="49" spans="1:8" ht="13.5" x14ac:dyDescent="0.25">
      <c r="A49" s="1"/>
      <c r="B49" s="3">
        <v>44602</v>
      </c>
      <c r="C49" s="4">
        <v>25.98</v>
      </c>
      <c r="D49" s="4">
        <v>13.9419</v>
      </c>
      <c r="E49" s="4">
        <v>1500</v>
      </c>
      <c r="F49" s="4">
        <v>25.959</v>
      </c>
      <c r="G49" s="4">
        <v>38938.5</v>
      </c>
      <c r="H49" s="5">
        <f t="shared" si="0"/>
        <v>3.8029361537247837E-4</v>
      </c>
    </row>
    <row r="50" spans="1:8" ht="13.5" x14ac:dyDescent="0.25">
      <c r="A50" s="1"/>
      <c r="B50" s="3">
        <v>44603</v>
      </c>
      <c r="C50" s="4">
        <v>25.98</v>
      </c>
      <c r="D50" s="4">
        <v>13.9419</v>
      </c>
      <c r="E50" s="4">
        <v>0</v>
      </c>
      <c r="F50" s="4">
        <v>0</v>
      </c>
      <c r="G50" s="4">
        <v>0</v>
      </c>
      <c r="H50" s="5">
        <f t="shared" si="0"/>
        <v>0</v>
      </c>
    </row>
    <row r="51" spans="1:8" ht="13.5" x14ac:dyDescent="0.25">
      <c r="A51" s="1"/>
      <c r="B51" s="3">
        <v>44606</v>
      </c>
      <c r="C51" s="4">
        <v>25.98</v>
      </c>
      <c r="D51" s="4">
        <v>13.9419</v>
      </c>
      <c r="E51" s="4">
        <v>0</v>
      </c>
      <c r="F51" s="4">
        <v>0</v>
      </c>
      <c r="G51" s="4">
        <v>0</v>
      </c>
      <c r="H51" s="5">
        <f t="shared" si="0"/>
        <v>0</v>
      </c>
    </row>
    <row r="52" spans="1:8" ht="13.5" x14ac:dyDescent="0.25">
      <c r="A52" s="1"/>
      <c r="B52" s="3">
        <v>44607</v>
      </c>
      <c r="C52" s="4">
        <v>25.95</v>
      </c>
      <c r="D52" s="4">
        <v>13.925800000000001</v>
      </c>
      <c r="E52" s="4">
        <v>5906</v>
      </c>
      <c r="F52" s="4">
        <v>25.837</v>
      </c>
      <c r="G52" s="4">
        <v>152593.32199999999</v>
      </c>
      <c r="H52" s="5">
        <f t="shared" si="0"/>
        <v>-1.1547923884118938E-3</v>
      </c>
    </row>
    <row r="53" spans="1:8" ht="13.5" x14ac:dyDescent="0.25">
      <c r="A53" s="1"/>
      <c r="B53" s="3">
        <v>44608</v>
      </c>
      <c r="C53" s="4">
        <v>25.88</v>
      </c>
      <c r="D53" s="4">
        <v>13.888299999999999</v>
      </c>
      <c r="E53" s="4">
        <v>835</v>
      </c>
      <c r="F53" s="4">
        <v>25.504999999999999</v>
      </c>
      <c r="G53" s="4">
        <v>21296.674999999999</v>
      </c>
      <c r="H53" s="5">
        <f t="shared" si="0"/>
        <v>-2.6928434991168493E-3</v>
      </c>
    </row>
    <row r="54" spans="1:8" ht="13.5" x14ac:dyDescent="0.25">
      <c r="A54" s="1"/>
      <c r="B54" s="3">
        <v>44609</v>
      </c>
      <c r="C54" s="4">
        <v>25.8</v>
      </c>
      <c r="D54" s="4">
        <v>13.8453</v>
      </c>
      <c r="E54" s="4">
        <v>5628</v>
      </c>
      <c r="F54" s="4">
        <v>25.736999999999998</v>
      </c>
      <c r="G54" s="4">
        <v>144847.83600000001</v>
      </c>
      <c r="H54" s="5">
        <f t="shared" si="0"/>
        <v>-3.096131275966048E-3</v>
      </c>
    </row>
    <row r="55" spans="1:8" ht="13.5" x14ac:dyDescent="0.25">
      <c r="A55" s="1"/>
      <c r="B55" s="3">
        <v>44610</v>
      </c>
      <c r="C55" s="4">
        <v>25.8</v>
      </c>
      <c r="D55" s="4">
        <v>13.8453</v>
      </c>
      <c r="E55" s="4">
        <v>0</v>
      </c>
      <c r="F55" s="4">
        <v>0</v>
      </c>
      <c r="G55" s="4">
        <v>0</v>
      </c>
      <c r="H55" s="5">
        <f t="shared" si="0"/>
        <v>0</v>
      </c>
    </row>
    <row r="56" spans="1:8" ht="13.5" x14ac:dyDescent="0.25">
      <c r="A56" s="1"/>
      <c r="B56" s="3">
        <v>44613</v>
      </c>
      <c r="C56" s="4">
        <v>25.49</v>
      </c>
      <c r="D56" s="4">
        <v>13.679</v>
      </c>
      <c r="E56" s="4">
        <v>424</v>
      </c>
      <c r="F56" s="4">
        <v>25.492000000000001</v>
      </c>
      <c r="G56" s="4">
        <v>10808.608</v>
      </c>
      <c r="H56" s="5">
        <f t="shared" si="0"/>
        <v>-1.2011296252157749E-2</v>
      </c>
    </row>
    <row r="57" spans="1:8" ht="13.5" x14ac:dyDescent="0.25">
      <c r="A57" s="1"/>
      <c r="B57" s="3">
        <v>44614</v>
      </c>
      <c r="C57" s="4">
        <v>25.6</v>
      </c>
      <c r="D57" s="4">
        <v>13.738</v>
      </c>
      <c r="E57" s="4">
        <v>507</v>
      </c>
      <c r="F57" s="4">
        <v>25.544</v>
      </c>
      <c r="G57" s="4">
        <v>12950.808000000001</v>
      </c>
      <c r="H57" s="5">
        <f t="shared" si="0"/>
        <v>4.3131807880692503E-3</v>
      </c>
    </row>
    <row r="58" spans="1:8" ht="13.5" x14ac:dyDescent="0.25">
      <c r="A58" s="1"/>
      <c r="B58" s="3">
        <v>44615</v>
      </c>
      <c r="C58" s="4">
        <v>25.5</v>
      </c>
      <c r="D58" s="4">
        <v>13.6843</v>
      </c>
      <c r="E58" s="4">
        <v>34</v>
      </c>
      <c r="F58" s="4">
        <v>25.5</v>
      </c>
      <c r="G58" s="4">
        <v>867</v>
      </c>
      <c r="H58" s="5">
        <f t="shared" si="0"/>
        <v>-3.908865919347736E-3</v>
      </c>
    </row>
    <row r="59" spans="1:8" ht="13.5" x14ac:dyDescent="0.25">
      <c r="A59" s="1"/>
      <c r="B59" s="3">
        <v>44616</v>
      </c>
      <c r="C59" s="4">
        <v>25.6</v>
      </c>
      <c r="D59" s="4">
        <v>13.738</v>
      </c>
      <c r="E59" s="4">
        <v>958</v>
      </c>
      <c r="F59" s="4">
        <v>25.585000000000001</v>
      </c>
      <c r="G59" s="4">
        <v>24510.43</v>
      </c>
      <c r="H59" s="5">
        <f t="shared" si="0"/>
        <v>3.9242051109665234E-3</v>
      </c>
    </row>
    <row r="60" spans="1:8" ht="13.5" x14ac:dyDescent="0.25">
      <c r="A60" s="1"/>
      <c r="B60" s="3">
        <v>44617</v>
      </c>
      <c r="C60" s="4">
        <v>25.6</v>
      </c>
      <c r="D60" s="4">
        <v>13.738</v>
      </c>
      <c r="E60" s="4">
        <v>0</v>
      </c>
      <c r="F60" s="4">
        <v>0</v>
      </c>
      <c r="G60" s="4">
        <v>0</v>
      </c>
      <c r="H60" s="5">
        <f t="shared" si="0"/>
        <v>0</v>
      </c>
    </row>
    <row r="61" spans="1:8" ht="13.5" x14ac:dyDescent="0.25">
      <c r="A61" s="1"/>
      <c r="B61" s="3">
        <v>44620</v>
      </c>
      <c r="C61" s="4">
        <v>25.5</v>
      </c>
      <c r="D61" s="4">
        <v>13.6843</v>
      </c>
      <c r="E61" s="4">
        <v>1442</v>
      </c>
      <c r="F61" s="4">
        <v>25.439</v>
      </c>
      <c r="G61" s="4">
        <v>36683.038</v>
      </c>
      <c r="H61" s="5">
        <f t="shared" si="0"/>
        <v>-3.908865919347736E-3</v>
      </c>
    </row>
    <row r="62" spans="1:8" ht="13.5" x14ac:dyDescent="0.25">
      <c r="A62" s="1"/>
      <c r="B62" s="3">
        <v>44621</v>
      </c>
      <c r="C62" s="4">
        <v>25.5</v>
      </c>
      <c r="D62" s="4">
        <v>13.6843</v>
      </c>
      <c r="E62" s="4">
        <v>250</v>
      </c>
      <c r="F62" s="4">
        <v>25.5</v>
      </c>
      <c r="G62" s="4">
        <v>6375</v>
      </c>
      <c r="H62" s="5">
        <f t="shared" si="0"/>
        <v>0</v>
      </c>
    </row>
    <row r="63" spans="1:8" ht="13.5" x14ac:dyDescent="0.25">
      <c r="A63" s="1"/>
      <c r="B63" s="3">
        <v>44622</v>
      </c>
      <c r="C63" s="4">
        <v>25.5</v>
      </c>
      <c r="D63" s="4">
        <v>13.6843</v>
      </c>
      <c r="E63" s="4">
        <v>7365</v>
      </c>
      <c r="F63" s="4">
        <v>25.466999999999999</v>
      </c>
      <c r="G63" s="4">
        <v>187564.45499999999</v>
      </c>
      <c r="H63" s="5">
        <f t="shared" si="0"/>
        <v>0</v>
      </c>
    </row>
    <row r="64" spans="1:8" ht="13.5" x14ac:dyDescent="0.25">
      <c r="A64" s="1"/>
      <c r="B64" s="3">
        <v>44623</v>
      </c>
      <c r="C64" s="4">
        <v>25.49</v>
      </c>
      <c r="D64" s="4">
        <v>13.679</v>
      </c>
      <c r="E64" s="4">
        <v>3127</v>
      </c>
      <c r="F64" s="4">
        <v>25.486999999999998</v>
      </c>
      <c r="G64" s="4">
        <v>79697.849000000002</v>
      </c>
      <c r="H64" s="5">
        <f t="shared" si="0"/>
        <v>-3.8730515992780646E-4</v>
      </c>
    </row>
    <row r="65" spans="1:8" ht="13.5" x14ac:dyDescent="0.25">
      <c r="A65" s="1"/>
      <c r="B65" s="3">
        <v>44624</v>
      </c>
      <c r="C65" s="4">
        <v>25.49</v>
      </c>
      <c r="D65" s="4">
        <v>13.679</v>
      </c>
      <c r="E65" s="4">
        <v>515</v>
      </c>
      <c r="F65" s="4">
        <v>25.483000000000001</v>
      </c>
      <c r="G65" s="4">
        <v>13123.745000000001</v>
      </c>
      <c r="H65" s="5">
        <f t="shared" si="0"/>
        <v>0</v>
      </c>
    </row>
    <row r="66" spans="1:8" ht="13.5" x14ac:dyDescent="0.25">
      <c r="A66" s="1"/>
      <c r="B66" s="3">
        <v>44627</v>
      </c>
      <c r="C66" s="4">
        <v>25.49</v>
      </c>
      <c r="D66" s="4">
        <v>13.679</v>
      </c>
      <c r="E66" s="4">
        <v>18</v>
      </c>
      <c r="F66" s="4">
        <v>25.495999999999999</v>
      </c>
      <c r="G66" s="4">
        <v>458.928</v>
      </c>
      <c r="H66" s="5">
        <f t="shared" si="0"/>
        <v>0</v>
      </c>
    </row>
    <row r="67" spans="1:8" ht="13.5" x14ac:dyDescent="0.25">
      <c r="A67" s="1"/>
      <c r="B67" s="3">
        <v>44628</v>
      </c>
      <c r="C67" s="4">
        <v>25.48</v>
      </c>
      <c r="D67" s="4">
        <v>13.6736</v>
      </c>
      <c r="E67" s="4">
        <v>10</v>
      </c>
      <c r="F67" s="4">
        <v>25.48</v>
      </c>
      <c r="G67" s="4">
        <v>254.8</v>
      </c>
      <c r="H67" s="5">
        <f t="shared" si="0"/>
        <v>-3.9476569924700995E-4</v>
      </c>
    </row>
    <row r="68" spans="1:8" ht="13.5" x14ac:dyDescent="0.25">
      <c r="A68" s="1"/>
      <c r="B68" s="3">
        <v>44629</v>
      </c>
      <c r="C68" s="4">
        <v>25.45</v>
      </c>
      <c r="D68" s="4">
        <v>13.657500000000001</v>
      </c>
      <c r="E68" s="4">
        <v>71</v>
      </c>
      <c r="F68" s="4">
        <v>25.45</v>
      </c>
      <c r="G68" s="4">
        <v>1806.95</v>
      </c>
      <c r="H68" s="5">
        <f t="shared" si="0"/>
        <v>-1.1774514392698177E-3</v>
      </c>
    </row>
    <row r="69" spans="1:8" ht="13.5" x14ac:dyDescent="0.25">
      <c r="A69" s="1"/>
      <c r="B69" s="3">
        <v>44630</v>
      </c>
      <c r="C69" s="4">
        <v>25.6</v>
      </c>
      <c r="D69" s="4">
        <v>13.738</v>
      </c>
      <c r="E69" s="4">
        <v>4795</v>
      </c>
      <c r="F69" s="4">
        <v>25.48</v>
      </c>
      <c r="G69" s="4">
        <v>122176.6</v>
      </c>
      <c r="H69" s="5">
        <f t="shared" si="0"/>
        <v>5.8941973274756658E-3</v>
      </c>
    </row>
    <row r="70" spans="1:8" ht="13.5" x14ac:dyDescent="0.25">
      <c r="A70" s="1"/>
      <c r="B70" s="3">
        <v>44631</v>
      </c>
      <c r="C70" s="4">
        <v>25.59</v>
      </c>
      <c r="D70" s="4">
        <v>13.7326</v>
      </c>
      <c r="E70" s="4">
        <v>2115</v>
      </c>
      <c r="F70" s="4">
        <v>25.463999999999999</v>
      </c>
      <c r="G70" s="4">
        <v>53856.36</v>
      </c>
      <c r="H70" s="5">
        <f t="shared" si="0"/>
        <v>-3.9307031591205777E-4</v>
      </c>
    </row>
    <row r="71" spans="1:8" ht="13.5" x14ac:dyDescent="0.25">
      <c r="A71" s="1"/>
      <c r="B71" s="3">
        <v>44634</v>
      </c>
      <c r="C71" s="4">
        <v>25.59</v>
      </c>
      <c r="D71" s="4">
        <v>13.7326</v>
      </c>
      <c r="E71" s="4">
        <v>0</v>
      </c>
      <c r="F71" s="4">
        <v>0</v>
      </c>
      <c r="G71" s="4">
        <v>0</v>
      </c>
      <c r="H71" s="5">
        <f t="shared" ref="H71:H134" si="1">(D71-D70)/D70</f>
        <v>0</v>
      </c>
    </row>
    <row r="72" spans="1:8" ht="13.5" x14ac:dyDescent="0.25">
      <c r="A72" s="1"/>
      <c r="B72" s="3">
        <v>44635</v>
      </c>
      <c r="C72" s="4">
        <v>25.59</v>
      </c>
      <c r="D72" s="4">
        <v>13.7326</v>
      </c>
      <c r="E72" s="4">
        <v>0</v>
      </c>
      <c r="F72" s="4">
        <v>0</v>
      </c>
      <c r="G72" s="4">
        <v>0</v>
      </c>
      <c r="H72" s="5">
        <f t="shared" si="1"/>
        <v>0</v>
      </c>
    </row>
    <row r="73" spans="1:8" ht="13.5" x14ac:dyDescent="0.25">
      <c r="A73" s="1"/>
      <c r="B73" s="3">
        <v>44636</v>
      </c>
      <c r="C73" s="4">
        <v>25.59</v>
      </c>
      <c r="D73" s="4">
        <v>13.7326</v>
      </c>
      <c r="E73" s="4">
        <v>0</v>
      </c>
      <c r="F73" s="4">
        <v>0</v>
      </c>
      <c r="G73" s="4">
        <v>0</v>
      </c>
      <c r="H73" s="5">
        <f t="shared" si="1"/>
        <v>0</v>
      </c>
    </row>
    <row r="74" spans="1:8" ht="13.5" x14ac:dyDescent="0.25">
      <c r="A74" s="1"/>
      <c r="B74" s="3">
        <v>44637</v>
      </c>
      <c r="C74" s="4">
        <v>25.59</v>
      </c>
      <c r="D74" s="4">
        <v>13.7326</v>
      </c>
      <c r="E74" s="4">
        <v>0</v>
      </c>
      <c r="F74" s="4">
        <v>0</v>
      </c>
      <c r="G74" s="4">
        <v>0</v>
      </c>
      <c r="H74" s="5">
        <f t="shared" si="1"/>
        <v>0</v>
      </c>
    </row>
    <row r="75" spans="1:8" ht="13.5" x14ac:dyDescent="0.25">
      <c r="A75" s="1"/>
      <c r="B75" s="3">
        <v>44638</v>
      </c>
      <c r="C75" s="4">
        <v>25.56</v>
      </c>
      <c r="D75" s="4">
        <v>13.7165</v>
      </c>
      <c r="E75" s="4">
        <v>951</v>
      </c>
      <c r="F75" s="4">
        <v>25.477</v>
      </c>
      <c r="G75" s="4">
        <v>24228.627</v>
      </c>
      <c r="H75" s="5">
        <f t="shared" si="1"/>
        <v>-1.1723927005810831E-3</v>
      </c>
    </row>
    <row r="76" spans="1:8" ht="13.5" x14ac:dyDescent="0.25">
      <c r="A76" s="1"/>
      <c r="B76" s="3">
        <v>44641</v>
      </c>
      <c r="C76" s="4">
        <v>25.56</v>
      </c>
      <c r="D76" s="4">
        <v>13.7165</v>
      </c>
      <c r="E76" s="4">
        <v>0</v>
      </c>
      <c r="F76" s="4">
        <v>0</v>
      </c>
      <c r="G76" s="4">
        <v>0</v>
      </c>
      <c r="H76" s="5">
        <f t="shared" si="1"/>
        <v>0</v>
      </c>
    </row>
    <row r="77" spans="1:8" ht="13.5" x14ac:dyDescent="0.25">
      <c r="A77" s="1"/>
      <c r="B77" s="3">
        <v>44642</v>
      </c>
      <c r="C77" s="4">
        <v>25.56</v>
      </c>
      <c r="D77" s="4">
        <v>13.7165</v>
      </c>
      <c r="E77" s="4">
        <v>0</v>
      </c>
      <c r="F77" s="4">
        <v>0</v>
      </c>
      <c r="G77" s="4">
        <v>0</v>
      </c>
      <c r="H77" s="5">
        <f t="shared" si="1"/>
        <v>0</v>
      </c>
    </row>
    <row r="78" spans="1:8" ht="13.5" x14ac:dyDescent="0.25">
      <c r="A78" s="1"/>
      <c r="B78" s="3">
        <v>44643</v>
      </c>
      <c r="C78" s="4">
        <v>25.56</v>
      </c>
      <c r="D78" s="4">
        <v>13.7165</v>
      </c>
      <c r="E78" s="4">
        <v>0</v>
      </c>
      <c r="F78" s="4">
        <v>0</v>
      </c>
      <c r="G78" s="4">
        <v>0</v>
      </c>
      <c r="H78" s="5">
        <f t="shared" si="1"/>
        <v>0</v>
      </c>
    </row>
    <row r="79" spans="1:8" ht="13.5" x14ac:dyDescent="0.25">
      <c r="A79" s="1"/>
      <c r="B79" s="3">
        <v>44644</v>
      </c>
      <c r="C79" s="4">
        <v>25.4</v>
      </c>
      <c r="D79" s="4">
        <v>13.630699999999999</v>
      </c>
      <c r="E79" s="4">
        <v>292</v>
      </c>
      <c r="F79" s="4">
        <v>25.274000000000001</v>
      </c>
      <c r="G79" s="4">
        <v>7380.0079999999998</v>
      </c>
      <c r="H79" s="5">
        <f t="shared" si="1"/>
        <v>-6.2552400393686997E-3</v>
      </c>
    </row>
    <row r="80" spans="1:8" ht="13.5" x14ac:dyDescent="0.25">
      <c r="A80" s="1"/>
      <c r="B80" s="3">
        <v>44645</v>
      </c>
      <c r="C80" s="4">
        <v>25.4</v>
      </c>
      <c r="D80" s="4">
        <v>13.630699999999999</v>
      </c>
      <c r="E80" s="4">
        <v>59607</v>
      </c>
      <c r="F80" s="4">
        <v>25.407</v>
      </c>
      <c r="G80" s="4">
        <v>1514435.0490000001</v>
      </c>
      <c r="H80" s="5">
        <f t="shared" si="1"/>
        <v>0</v>
      </c>
    </row>
    <row r="81" spans="1:8" ht="13.5" x14ac:dyDescent="0.25">
      <c r="A81" s="1"/>
      <c r="B81" s="3">
        <v>44648</v>
      </c>
      <c r="C81" s="4">
        <v>25.52</v>
      </c>
      <c r="D81" s="4">
        <v>13.6951</v>
      </c>
      <c r="E81" s="4">
        <v>398</v>
      </c>
      <c r="F81" s="4">
        <v>25.51</v>
      </c>
      <c r="G81" s="4">
        <v>10152.98</v>
      </c>
      <c r="H81" s="5">
        <f t="shared" si="1"/>
        <v>4.7246289625625174E-3</v>
      </c>
    </row>
    <row r="82" spans="1:8" ht="13.5" x14ac:dyDescent="0.25">
      <c r="A82" s="1"/>
      <c r="B82" s="3">
        <v>44649</v>
      </c>
      <c r="C82" s="4">
        <v>25.52</v>
      </c>
      <c r="D82" s="4">
        <v>13.6951</v>
      </c>
      <c r="E82" s="4">
        <v>0</v>
      </c>
      <c r="F82" s="4">
        <v>0</v>
      </c>
      <c r="G82" s="4">
        <v>0</v>
      </c>
      <c r="H82" s="5">
        <f t="shared" si="1"/>
        <v>0</v>
      </c>
    </row>
    <row r="83" spans="1:8" ht="13.5" x14ac:dyDescent="0.25">
      <c r="A83" s="1"/>
      <c r="B83" s="3">
        <v>44650</v>
      </c>
      <c r="C83" s="4">
        <v>25.38</v>
      </c>
      <c r="D83" s="4">
        <v>13.619899999999999</v>
      </c>
      <c r="E83" s="4">
        <v>470</v>
      </c>
      <c r="F83" s="4">
        <v>25.381</v>
      </c>
      <c r="G83" s="4">
        <v>11929.07</v>
      </c>
      <c r="H83" s="5">
        <f t="shared" si="1"/>
        <v>-5.4910150345744537E-3</v>
      </c>
    </row>
    <row r="84" spans="1:8" ht="13.5" x14ac:dyDescent="0.25">
      <c r="A84" s="1"/>
      <c r="B84" s="3">
        <v>44651</v>
      </c>
      <c r="C84" s="4">
        <v>25.38</v>
      </c>
      <c r="D84" s="4">
        <v>13.619899999999999</v>
      </c>
      <c r="E84" s="4">
        <v>0</v>
      </c>
      <c r="F84" s="4">
        <v>0</v>
      </c>
      <c r="G84" s="4">
        <v>0</v>
      </c>
      <c r="H84" s="5">
        <f t="shared" si="1"/>
        <v>0</v>
      </c>
    </row>
    <row r="85" spans="1:8" ht="13.5" x14ac:dyDescent="0.25">
      <c r="A85" s="1"/>
      <c r="B85" s="3">
        <v>44652</v>
      </c>
      <c r="C85" s="4">
        <v>25.38</v>
      </c>
      <c r="D85" s="4">
        <v>13.619899999999999</v>
      </c>
      <c r="E85" s="4">
        <v>0</v>
      </c>
      <c r="F85" s="4">
        <v>0</v>
      </c>
      <c r="G85" s="4">
        <v>0</v>
      </c>
      <c r="H85" s="5">
        <f t="shared" si="1"/>
        <v>0</v>
      </c>
    </row>
    <row r="86" spans="1:8" ht="13.5" x14ac:dyDescent="0.25">
      <c r="A86" s="1"/>
      <c r="B86" s="3">
        <v>44655</v>
      </c>
      <c r="C86" s="4">
        <v>25.38</v>
      </c>
      <c r="D86" s="4">
        <v>13.619899999999999</v>
      </c>
      <c r="E86" s="4">
        <v>0</v>
      </c>
      <c r="F86" s="4">
        <v>0</v>
      </c>
      <c r="G86" s="4">
        <v>0</v>
      </c>
      <c r="H86" s="5">
        <f t="shared" si="1"/>
        <v>0</v>
      </c>
    </row>
    <row r="87" spans="1:8" ht="13.5" x14ac:dyDescent="0.25">
      <c r="A87" s="1"/>
      <c r="B87" s="3">
        <v>44656</v>
      </c>
      <c r="C87" s="4">
        <v>25.37</v>
      </c>
      <c r="D87" s="4">
        <v>13.614599999999999</v>
      </c>
      <c r="E87" s="4">
        <v>940</v>
      </c>
      <c r="F87" s="4">
        <v>24.834</v>
      </c>
      <c r="G87" s="4">
        <v>23343.96</v>
      </c>
      <c r="H87" s="5">
        <f t="shared" si="1"/>
        <v>-3.891364841151611E-4</v>
      </c>
    </row>
    <row r="88" spans="1:8" ht="13.5" x14ac:dyDescent="0.25">
      <c r="A88" s="1"/>
      <c r="B88" s="3">
        <v>44657</v>
      </c>
      <c r="C88" s="4">
        <v>25.3</v>
      </c>
      <c r="D88" s="4">
        <v>13.577</v>
      </c>
      <c r="E88" s="4">
        <v>100</v>
      </c>
      <c r="F88" s="4">
        <v>25.3</v>
      </c>
      <c r="G88" s="4">
        <v>2530</v>
      </c>
      <c r="H88" s="5">
        <f t="shared" si="1"/>
        <v>-2.761741072084337E-3</v>
      </c>
    </row>
    <row r="89" spans="1:8" ht="13.5" x14ac:dyDescent="0.25">
      <c r="A89" s="1"/>
      <c r="B89" s="3">
        <v>44658</v>
      </c>
      <c r="C89" s="4">
        <v>25.3</v>
      </c>
      <c r="D89" s="4">
        <v>13.577</v>
      </c>
      <c r="E89" s="4">
        <v>0</v>
      </c>
      <c r="F89" s="4">
        <v>0</v>
      </c>
      <c r="G89" s="4">
        <v>0</v>
      </c>
      <c r="H89" s="5">
        <f t="shared" si="1"/>
        <v>0</v>
      </c>
    </row>
    <row r="90" spans="1:8" ht="13.5" x14ac:dyDescent="0.25">
      <c r="A90" s="1"/>
      <c r="B90" s="3">
        <v>44659</v>
      </c>
      <c r="C90" s="4">
        <v>25.25</v>
      </c>
      <c r="D90" s="4">
        <v>13.5502</v>
      </c>
      <c r="E90" s="4">
        <v>771</v>
      </c>
      <c r="F90" s="4">
        <v>25.105</v>
      </c>
      <c r="G90" s="4">
        <v>19355.955000000002</v>
      </c>
      <c r="H90" s="5">
        <f t="shared" si="1"/>
        <v>-1.9739264933342944E-3</v>
      </c>
    </row>
    <row r="91" spans="1:8" ht="13.5" x14ac:dyDescent="0.25">
      <c r="A91" s="1"/>
      <c r="B91" s="3">
        <v>44662</v>
      </c>
      <c r="C91" s="4">
        <v>25.25</v>
      </c>
      <c r="D91" s="4">
        <v>13.5502</v>
      </c>
      <c r="E91" s="4">
        <v>102</v>
      </c>
      <c r="F91" s="4">
        <v>25.004999999999999</v>
      </c>
      <c r="G91" s="4">
        <v>2550.5100000000002</v>
      </c>
      <c r="H91" s="5">
        <f t="shared" si="1"/>
        <v>0</v>
      </c>
    </row>
    <row r="92" spans="1:8" ht="13.5" x14ac:dyDescent="0.25">
      <c r="A92" s="1"/>
      <c r="B92" s="3">
        <v>44663</v>
      </c>
      <c r="C92" s="4">
        <v>25.25</v>
      </c>
      <c r="D92" s="4">
        <v>13.5502</v>
      </c>
      <c r="E92" s="4">
        <v>3625</v>
      </c>
      <c r="F92" s="4">
        <v>25.381</v>
      </c>
      <c r="G92" s="4">
        <v>92006.125</v>
      </c>
      <c r="H92" s="5">
        <f t="shared" si="1"/>
        <v>0</v>
      </c>
    </row>
    <row r="93" spans="1:8" ht="13.5" x14ac:dyDescent="0.25">
      <c r="A93" s="1"/>
      <c r="B93" s="3">
        <v>44664</v>
      </c>
      <c r="C93" s="4">
        <v>25.58</v>
      </c>
      <c r="D93" s="4">
        <v>13.7273</v>
      </c>
      <c r="E93" s="4">
        <v>10551</v>
      </c>
      <c r="F93" s="4">
        <v>25.51</v>
      </c>
      <c r="G93" s="4">
        <v>269156.01</v>
      </c>
      <c r="H93" s="5">
        <f t="shared" si="1"/>
        <v>1.3069917787191286E-2</v>
      </c>
    </row>
    <row r="94" spans="1:8" ht="13.5" x14ac:dyDescent="0.25">
      <c r="A94" s="1"/>
      <c r="B94" s="3">
        <v>44665</v>
      </c>
      <c r="C94" s="4">
        <v>25.6</v>
      </c>
      <c r="D94" s="4">
        <v>13.738</v>
      </c>
      <c r="E94" s="4">
        <v>2296</v>
      </c>
      <c r="F94" s="4">
        <v>25.568999999999999</v>
      </c>
      <c r="G94" s="4">
        <v>58706.423999999999</v>
      </c>
      <c r="H94" s="5">
        <f t="shared" si="1"/>
        <v>7.7946865006227968E-4</v>
      </c>
    </row>
    <row r="95" spans="1:8" ht="13.5" x14ac:dyDescent="0.25">
      <c r="A95" s="1"/>
      <c r="B95" s="3">
        <v>44666</v>
      </c>
      <c r="C95" s="4">
        <v>25.75</v>
      </c>
      <c r="D95" s="4">
        <v>13.8185</v>
      </c>
      <c r="E95" s="4">
        <v>7249</v>
      </c>
      <c r="F95" s="4">
        <v>25.619</v>
      </c>
      <c r="G95" s="4">
        <v>185712.13099999999</v>
      </c>
      <c r="H95" s="5">
        <f t="shared" si="1"/>
        <v>5.8596593390595926E-3</v>
      </c>
    </row>
    <row r="96" spans="1:8" ht="13.5" x14ac:dyDescent="0.25">
      <c r="A96" s="1"/>
      <c r="B96" s="3">
        <v>44669</v>
      </c>
      <c r="C96" s="4">
        <v>25.6</v>
      </c>
      <c r="D96" s="4">
        <v>13.738</v>
      </c>
      <c r="E96" s="4">
        <v>2742</v>
      </c>
      <c r="F96" s="4">
        <v>25.71</v>
      </c>
      <c r="G96" s="4">
        <v>70496.820000000007</v>
      </c>
      <c r="H96" s="5">
        <f t="shared" si="1"/>
        <v>-5.8255237543872835E-3</v>
      </c>
    </row>
    <row r="97" spans="1:8" ht="13.5" x14ac:dyDescent="0.25">
      <c r="A97" s="1"/>
      <c r="B97" s="3">
        <v>44670</v>
      </c>
      <c r="C97" s="4">
        <v>25.59</v>
      </c>
      <c r="D97" s="4">
        <v>13.7326</v>
      </c>
      <c r="E97" s="4">
        <v>117</v>
      </c>
      <c r="F97" s="4">
        <v>25.541</v>
      </c>
      <c r="G97" s="4">
        <v>2988.297</v>
      </c>
      <c r="H97" s="5">
        <f t="shared" si="1"/>
        <v>-3.9307031591205777E-4</v>
      </c>
    </row>
    <row r="98" spans="1:8" ht="13.5" x14ac:dyDescent="0.25">
      <c r="A98" s="1"/>
      <c r="B98" s="3">
        <v>44671</v>
      </c>
      <c r="C98" s="4">
        <v>25.59</v>
      </c>
      <c r="D98" s="4">
        <v>13.7326</v>
      </c>
      <c r="E98" s="4">
        <v>839</v>
      </c>
      <c r="F98" s="4">
        <v>25.55</v>
      </c>
      <c r="G98" s="4">
        <v>21436.45</v>
      </c>
      <c r="H98" s="5">
        <f t="shared" si="1"/>
        <v>0</v>
      </c>
    </row>
    <row r="99" spans="1:8" ht="13.5" x14ac:dyDescent="0.25">
      <c r="A99" s="1"/>
      <c r="B99" s="3">
        <v>44672</v>
      </c>
      <c r="C99" s="4">
        <v>25.55</v>
      </c>
      <c r="D99" s="4">
        <v>13.7112</v>
      </c>
      <c r="E99" s="4">
        <v>70</v>
      </c>
      <c r="F99" s="4">
        <v>25.568999999999999</v>
      </c>
      <c r="G99" s="4">
        <v>1789.83</v>
      </c>
      <c r="H99" s="5">
        <f t="shared" si="1"/>
        <v>-1.5583356392816993E-3</v>
      </c>
    </row>
    <row r="100" spans="1:8" ht="13.5" x14ac:dyDescent="0.25">
      <c r="A100" s="1"/>
      <c r="B100" s="3">
        <v>44673</v>
      </c>
      <c r="C100" s="4">
        <v>25.54</v>
      </c>
      <c r="D100" s="4">
        <v>13.7058</v>
      </c>
      <c r="E100" s="4">
        <v>103</v>
      </c>
      <c r="F100" s="4">
        <v>25.483000000000001</v>
      </c>
      <c r="G100" s="4">
        <v>2624.7489999999998</v>
      </c>
      <c r="H100" s="5">
        <f t="shared" si="1"/>
        <v>-3.9383861368806882E-4</v>
      </c>
    </row>
    <row r="101" spans="1:8" ht="13.5" x14ac:dyDescent="0.25">
      <c r="A101" s="1"/>
      <c r="B101" s="3">
        <v>44676</v>
      </c>
      <c r="C101" s="4">
        <v>25.54</v>
      </c>
      <c r="D101" s="4">
        <v>13.7058</v>
      </c>
      <c r="E101" s="4">
        <v>257</v>
      </c>
      <c r="F101" s="4">
        <v>25.501000000000001</v>
      </c>
      <c r="G101" s="4">
        <v>6553.7569999999996</v>
      </c>
      <c r="H101" s="5">
        <f t="shared" si="1"/>
        <v>0</v>
      </c>
    </row>
    <row r="102" spans="1:8" ht="13.5" x14ac:dyDescent="0.25">
      <c r="A102" s="1"/>
      <c r="B102" s="3">
        <v>44677</v>
      </c>
      <c r="C102" s="4">
        <v>25.5</v>
      </c>
      <c r="D102" s="4">
        <v>13.6843</v>
      </c>
      <c r="E102" s="4">
        <v>79</v>
      </c>
      <c r="F102" s="4">
        <v>25.227</v>
      </c>
      <c r="G102" s="4">
        <v>1992.933</v>
      </c>
      <c r="H102" s="5">
        <f t="shared" si="1"/>
        <v>-1.5686789534357449E-3</v>
      </c>
    </row>
    <row r="103" spans="1:8" ht="13.5" x14ac:dyDescent="0.25">
      <c r="A103" s="1"/>
      <c r="B103" s="3">
        <v>44678</v>
      </c>
      <c r="C103" s="4">
        <v>24.76</v>
      </c>
      <c r="D103" s="4">
        <v>13.2872</v>
      </c>
      <c r="E103" s="4">
        <v>60</v>
      </c>
      <c r="F103" s="4">
        <v>24.76</v>
      </c>
      <c r="G103" s="4">
        <v>1485.6</v>
      </c>
      <c r="H103" s="5">
        <f t="shared" si="1"/>
        <v>-2.9018656416477277E-2</v>
      </c>
    </row>
    <row r="104" spans="1:8" ht="13.5" x14ac:dyDescent="0.25">
      <c r="A104" s="1"/>
      <c r="B104" s="3">
        <v>44679</v>
      </c>
      <c r="C104" s="4">
        <v>25</v>
      </c>
      <c r="D104" s="4">
        <v>13.416</v>
      </c>
      <c r="E104" s="4">
        <v>160</v>
      </c>
      <c r="F104" s="4">
        <v>25.062000000000001</v>
      </c>
      <c r="G104" s="4">
        <v>4009.92</v>
      </c>
      <c r="H104" s="5">
        <f t="shared" si="1"/>
        <v>9.6935396471792418E-3</v>
      </c>
    </row>
    <row r="105" spans="1:8" ht="13.5" x14ac:dyDescent="0.25">
      <c r="A105" s="1"/>
      <c r="B105" s="3">
        <v>44680</v>
      </c>
      <c r="C105" s="4">
        <v>25.54</v>
      </c>
      <c r="D105" s="4">
        <v>13.7058</v>
      </c>
      <c r="E105" s="4">
        <v>10</v>
      </c>
      <c r="F105" s="4">
        <v>25.54</v>
      </c>
      <c r="G105" s="4">
        <v>255.4</v>
      </c>
      <c r="H105" s="5">
        <f t="shared" si="1"/>
        <v>2.1601073345259361E-2</v>
      </c>
    </row>
    <row r="106" spans="1:8" ht="13.5" x14ac:dyDescent="0.25">
      <c r="A106" s="1"/>
      <c r="B106" s="3">
        <v>44685</v>
      </c>
      <c r="C106" s="4">
        <v>25.55</v>
      </c>
      <c r="D106" s="4">
        <v>13.7112</v>
      </c>
      <c r="E106" s="4">
        <v>22</v>
      </c>
      <c r="F106" s="4">
        <v>25.436</v>
      </c>
      <c r="G106" s="4">
        <v>559.59199999999998</v>
      </c>
      <c r="H106" s="5">
        <f t="shared" si="1"/>
        <v>3.9399378365362472E-4</v>
      </c>
    </row>
    <row r="107" spans="1:8" ht="13.5" x14ac:dyDescent="0.25">
      <c r="A107" s="1"/>
      <c r="B107" s="3">
        <v>44686</v>
      </c>
      <c r="C107" s="4">
        <v>25.55</v>
      </c>
      <c r="D107" s="4">
        <v>13.7112</v>
      </c>
      <c r="E107" s="4">
        <v>143</v>
      </c>
      <c r="F107" s="4">
        <v>25.077999999999999</v>
      </c>
      <c r="G107" s="4">
        <v>3586.154</v>
      </c>
      <c r="H107" s="5">
        <f t="shared" si="1"/>
        <v>0</v>
      </c>
    </row>
    <row r="108" spans="1:8" ht="13.5" x14ac:dyDescent="0.25">
      <c r="A108" s="1"/>
      <c r="B108" s="3">
        <v>44687</v>
      </c>
      <c r="C108" s="4">
        <v>25.55</v>
      </c>
      <c r="D108" s="4">
        <v>13.7112</v>
      </c>
      <c r="E108" s="4">
        <v>1957</v>
      </c>
      <c r="F108" s="4">
        <v>25.5</v>
      </c>
      <c r="G108" s="4">
        <v>49903.5</v>
      </c>
      <c r="H108" s="5">
        <f t="shared" si="1"/>
        <v>0</v>
      </c>
    </row>
    <row r="109" spans="1:8" ht="13.5" x14ac:dyDescent="0.25">
      <c r="A109" s="1"/>
      <c r="B109" s="3">
        <v>44690</v>
      </c>
      <c r="C109" s="4">
        <v>25.5</v>
      </c>
      <c r="D109" s="4">
        <v>13.6843</v>
      </c>
      <c r="E109" s="4">
        <v>518</v>
      </c>
      <c r="F109" s="4">
        <v>25.5</v>
      </c>
      <c r="G109" s="4">
        <v>13209</v>
      </c>
      <c r="H109" s="5">
        <f t="shared" si="1"/>
        <v>-1.9618997607794707E-3</v>
      </c>
    </row>
    <row r="110" spans="1:8" ht="13.5" x14ac:dyDescent="0.25">
      <c r="A110" s="1"/>
      <c r="B110" s="3">
        <v>44691</v>
      </c>
      <c r="C110" s="4">
        <v>25.55</v>
      </c>
      <c r="D110" s="4">
        <v>13.7112</v>
      </c>
      <c r="E110" s="4">
        <v>1045</v>
      </c>
      <c r="F110" s="4">
        <v>25.504000000000001</v>
      </c>
      <c r="G110" s="4">
        <v>26651.68</v>
      </c>
      <c r="H110" s="5">
        <f t="shared" si="1"/>
        <v>1.9657563777467227E-3</v>
      </c>
    </row>
    <row r="111" spans="1:8" ht="13.5" x14ac:dyDescent="0.25">
      <c r="A111" s="1"/>
      <c r="B111" s="3">
        <v>44692</v>
      </c>
      <c r="C111" s="4">
        <v>25.5</v>
      </c>
      <c r="D111" s="4">
        <v>13.6843</v>
      </c>
      <c r="E111" s="4">
        <v>177</v>
      </c>
      <c r="F111" s="4">
        <v>25.161999999999999</v>
      </c>
      <c r="G111" s="4">
        <v>4453.674</v>
      </c>
      <c r="H111" s="5">
        <f t="shared" si="1"/>
        <v>-1.9618997607794707E-3</v>
      </c>
    </row>
    <row r="112" spans="1:8" ht="13.5" x14ac:dyDescent="0.25">
      <c r="A112" s="1"/>
      <c r="B112" s="3">
        <v>44693</v>
      </c>
      <c r="C112" s="4">
        <v>25.5</v>
      </c>
      <c r="D112" s="4">
        <v>13.6843</v>
      </c>
      <c r="E112" s="4">
        <v>0</v>
      </c>
      <c r="F112" s="4">
        <v>0</v>
      </c>
      <c r="G112" s="4">
        <v>0</v>
      </c>
      <c r="H112" s="5">
        <f t="shared" si="1"/>
        <v>0</v>
      </c>
    </row>
    <row r="113" spans="1:8" ht="13.5" x14ac:dyDescent="0.25">
      <c r="A113" s="1"/>
      <c r="B113" s="3">
        <v>44694</v>
      </c>
      <c r="C113" s="4">
        <v>25.55</v>
      </c>
      <c r="D113" s="4">
        <v>13.7112</v>
      </c>
      <c r="E113" s="4">
        <v>4990</v>
      </c>
      <c r="F113" s="4">
        <v>25.55</v>
      </c>
      <c r="G113" s="4">
        <v>127494.5</v>
      </c>
      <c r="H113" s="5">
        <f t="shared" si="1"/>
        <v>1.9657563777467227E-3</v>
      </c>
    </row>
    <row r="114" spans="1:8" ht="13.5" x14ac:dyDescent="0.25">
      <c r="A114" s="1"/>
      <c r="B114" s="3">
        <v>44697</v>
      </c>
      <c r="C114" s="4">
        <v>25.55</v>
      </c>
      <c r="D114" s="4">
        <v>13.7112</v>
      </c>
      <c r="E114" s="4">
        <v>416</v>
      </c>
      <c r="F114" s="4">
        <v>25.036999999999999</v>
      </c>
      <c r="G114" s="4">
        <v>10415.392</v>
      </c>
      <c r="H114" s="5">
        <f t="shared" si="1"/>
        <v>0</v>
      </c>
    </row>
    <row r="115" spans="1:8" ht="13.5" x14ac:dyDescent="0.25">
      <c r="A115" s="1"/>
      <c r="B115" s="3">
        <v>44698</v>
      </c>
      <c r="C115" s="4">
        <v>25.55</v>
      </c>
      <c r="D115" s="4">
        <v>13.7112</v>
      </c>
      <c r="E115" s="4">
        <v>9</v>
      </c>
      <c r="F115" s="4">
        <v>25.55</v>
      </c>
      <c r="G115" s="4">
        <v>229.95</v>
      </c>
      <c r="H115" s="5">
        <f t="shared" si="1"/>
        <v>0</v>
      </c>
    </row>
    <row r="116" spans="1:8" ht="13.5" x14ac:dyDescent="0.25">
      <c r="A116" s="1"/>
      <c r="B116" s="3">
        <v>44699</v>
      </c>
      <c r="C116" s="4">
        <v>25.5</v>
      </c>
      <c r="D116" s="4">
        <v>13.6843</v>
      </c>
      <c r="E116" s="4">
        <v>1573</v>
      </c>
      <c r="F116" s="4">
        <v>25.45</v>
      </c>
      <c r="G116" s="4">
        <v>40032.85</v>
      </c>
      <c r="H116" s="5">
        <f t="shared" si="1"/>
        <v>-1.9618997607794707E-3</v>
      </c>
    </row>
    <row r="117" spans="1:8" ht="13.5" x14ac:dyDescent="0.25">
      <c r="A117" s="1"/>
      <c r="B117" s="3">
        <v>44700</v>
      </c>
      <c r="C117" s="4">
        <v>25.5</v>
      </c>
      <c r="D117" s="4">
        <v>13.6843</v>
      </c>
      <c r="E117" s="4">
        <v>750</v>
      </c>
      <c r="F117" s="4">
        <v>25.003</v>
      </c>
      <c r="G117" s="4">
        <v>18752.25</v>
      </c>
      <c r="H117" s="5">
        <f t="shared" si="1"/>
        <v>0</v>
      </c>
    </row>
    <row r="118" spans="1:8" ht="13.5" x14ac:dyDescent="0.25">
      <c r="A118" s="1"/>
      <c r="B118" s="3">
        <v>44701</v>
      </c>
      <c r="C118" s="4">
        <v>25.5</v>
      </c>
      <c r="D118" s="4">
        <v>13.6843</v>
      </c>
      <c r="E118" s="4">
        <v>0</v>
      </c>
      <c r="F118" s="4">
        <v>0</v>
      </c>
      <c r="G118" s="4">
        <v>0</v>
      </c>
      <c r="H118" s="5">
        <f t="shared" si="1"/>
        <v>0</v>
      </c>
    </row>
    <row r="119" spans="1:8" ht="13.5" x14ac:dyDescent="0.25">
      <c r="A119" s="1"/>
      <c r="B119" s="3">
        <v>44704</v>
      </c>
      <c r="C119" s="4">
        <v>25.5</v>
      </c>
      <c r="D119" s="4">
        <v>13.6843</v>
      </c>
      <c r="E119" s="4">
        <v>1270</v>
      </c>
      <c r="F119" s="4">
        <v>25.498000000000001</v>
      </c>
      <c r="G119" s="4">
        <v>32382.46</v>
      </c>
      <c r="H119" s="5">
        <f t="shared" si="1"/>
        <v>0</v>
      </c>
    </row>
    <row r="120" spans="1:8" ht="13.5" x14ac:dyDescent="0.25">
      <c r="A120" s="1"/>
      <c r="B120" s="3">
        <v>44705</v>
      </c>
      <c r="C120" s="4">
        <v>25.5</v>
      </c>
      <c r="D120" s="4">
        <v>13.6843</v>
      </c>
      <c r="E120" s="4">
        <v>784</v>
      </c>
      <c r="F120" s="4">
        <v>25.494</v>
      </c>
      <c r="G120" s="4">
        <v>19987.295999999998</v>
      </c>
      <c r="H120" s="5">
        <f t="shared" si="1"/>
        <v>0</v>
      </c>
    </row>
    <row r="121" spans="1:8" ht="13.5" x14ac:dyDescent="0.25">
      <c r="A121" s="1"/>
      <c r="B121" s="3">
        <v>44706</v>
      </c>
      <c r="C121" s="4">
        <v>25.5</v>
      </c>
      <c r="D121" s="4">
        <v>13.6843</v>
      </c>
      <c r="E121" s="4">
        <v>550</v>
      </c>
      <c r="F121" s="4">
        <v>25.497</v>
      </c>
      <c r="G121" s="4">
        <v>14023.35</v>
      </c>
      <c r="H121" s="5">
        <f t="shared" si="1"/>
        <v>0</v>
      </c>
    </row>
    <row r="122" spans="1:8" ht="13.5" x14ac:dyDescent="0.25">
      <c r="A122" s="1"/>
      <c r="B122" s="3">
        <v>44707</v>
      </c>
      <c r="C122" s="4">
        <v>25.5</v>
      </c>
      <c r="D122" s="4">
        <v>13.6843</v>
      </c>
      <c r="E122" s="4">
        <v>0</v>
      </c>
      <c r="F122" s="4">
        <v>0</v>
      </c>
      <c r="G122" s="4">
        <v>0</v>
      </c>
      <c r="H122" s="5">
        <f t="shared" si="1"/>
        <v>0</v>
      </c>
    </row>
    <row r="123" spans="1:8" ht="13.5" x14ac:dyDescent="0.25">
      <c r="A123" s="1"/>
      <c r="B123" s="3">
        <v>44708</v>
      </c>
      <c r="C123" s="4">
        <v>25.4</v>
      </c>
      <c r="D123" s="4">
        <v>13.630699999999999</v>
      </c>
      <c r="E123" s="4">
        <v>1018</v>
      </c>
      <c r="F123" s="4">
        <v>25.393999999999998</v>
      </c>
      <c r="G123" s="4">
        <v>25851.092000000001</v>
      </c>
      <c r="H123" s="5">
        <f t="shared" si="1"/>
        <v>-3.9168974664397305E-3</v>
      </c>
    </row>
    <row r="124" spans="1:8" ht="13.5" x14ac:dyDescent="0.25">
      <c r="A124" s="1"/>
      <c r="B124" s="3">
        <v>44711</v>
      </c>
      <c r="C124" s="4">
        <v>25.5</v>
      </c>
      <c r="D124" s="4">
        <v>13.6843</v>
      </c>
      <c r="E124" s="4">
        <v>450</v>
      </c>
      <c r="F124" s="4">
        <v>25.5</v>
      </c>
      <c r="G124" s="4">
        <v>11475</v>
      </c>
      <c r="H124" s="5">
        <f t="shared" si="1"/>
        <v>3.9322998818843644E-3</v>
      </c>
    </row>
    <row r="125" spans="1:8" ht="13.5" x14ac:dyDescent="0.25">
      <c r="A125" s="1"/>
      <c r="B125" s="3">
        <v>44712</v>
      </c>
      <c r="C125" s="4">
        <v>25.5</v>
      </c>
      <c r="D125" s="4">
        <v>13.6843</v>
      </c>
      <c r="E125" s="4">
        <v>551</v>
      </c>
      <c r="F125" s="4">
        <v>25.495000000000001</v>
      </c>
      <c r="G125" s="4">
        <v>14047.745000000001</v>
      </c>
      <c r="H125" s="5">
        <f t="shared" si="1"/>
        <v>0</v>
      </c>
    </row>
    <row r="126" spans="1:8" ht="13.5" x14ac:dyDescent="0.25">
      <c r="A126" s="1"/>
      <c r="B126" s="3">
        <v>44713</v>
      </c>
      <c r="C126" s="4">
        <v>25.49</v>
      </c>
      <c r="D126" s="4">
        <v>13.679</v>
      </c>
      <c r="E126" s="4">
        <v>1183</v>
      </c>
      <c r="F126" s="4">
        <v>25.486999999999998</v>
      </c>
      <c r="G126" s="4">
        <v>30151.120999999999</v>
      </c>
      <c r="H126" s="5">
        <f t="shared" si="1"/>
        <v>-3.8730515992780646E-4</v>
      </c>
    </row>
    <row r="127" spans="1:8" ht="13.5" x14ac:dyDescent="0.25">
      <c r="A127" s="1"/>
      <c r="B127" s="3">
        <v>44714</v>
      </c>
      <c r="C127" s="4">
        <v>25.45</v>
      </c>
      <c r="D127" s="4">
        <v>13.657500000000001</v>
      </c>
      <c r="E127" s="4">
        <v>761</v>
      </c>
      <c r="F127" s="4">
        <v>25.45</v>
      </c>
      <c r="G127" s="4">
        <v>19367.45</v>
      </c>
      <c r="H127" s="5">
        <f t="shared" si="1"/>
        <v>-1.5717523210760751E-3</v>
      </c>
    </row>
    <row r="128" spans="1:8" ht="13.5" x14ac:dyDescent="0.25">
      <c r="A128" s="1"/>
      <c r="B128" s="3">
        <v>44715</v>
      </c>
      <c r="C128" s="4">
        <v>25.45</v>
      </c>
      <c r="D128" s="4">
        <v>13.657500000000001</v>
      </c>
      <c r="E128" s="4">
        <v>730</v>
      </c>
      <c r="F128" s="4">
        <v>25.45</v>
      </c>
      <c r="G128" s="4">
        <v>18578.5</v>
      </c>
      <c r="H128" s="5">
        <f t="shared" si="1"/>
        <v>0</v>
      </c>
    </row>
    <row r="129" spans="1:8" ht="13.5" x14ac:dyDescent="0.25">
      <c r="A129" s="1"/>
      <c r="B129" s="3">
        <v>44718</v>
      </c>
      <c r="C129" s="4">
        <v>25.45</v>
      </c>
      <c r="D129" s="4">
        <v>13.657500000000001</v>
      </c>
      <c r="E129" s="4">
        <v>556</v>
      </c>
      <c r="F129" s="4">
        <v>25.48</v>
      </c>
      <c r="G129" s="4">
        <v>14166.88</v>
      </c>
      <c r="H129" s="5">
        <f t="shared" si="1"/>
        <v>0</v>
      </c>
    </row>
    <row r="130" spans="1:8" ht="13.5" x14ac:dyDescent="0.25">
      <c r="A130" s="1"/>
      <c r="B130" s="3">
        <v>44719</v>
      </c>
      <c r="C130" s="4">
        <v>22.68</v>
      </c>
      <c r="D130" s="4">
        <v>13.3527</v>
      </c>
      <c r="E130" s="4">
        <v>208</v>
      </c>
      <c r="F130" s="4">
        <v>22.140999999999998</v>
      </c>
      <c r="G130" s="4">
        <v>4605.3280000000004</v>
      </c>
      <c r="H130" s="5">
        <f t="shared" si="1"/>
        <v>-2.2317408017572773E-2</v>
      </c>
    </row>
    <row r="131" spans="1:8" ht="13.5" x14ac:dyDescent="0.25">
      <c r="A131" s="1"/>
      <c r="B131" s="3">
        <v>44720</v>
      </c>
      <c r="C131" s="4">
        <v>23.69</v>
      </c>
      <c r="D131" s="4">
        <v>13.9474</v>
      </c>
      <c r="E131" s="4">
        <v>4784</v>
      </c>
      <c r="F131" s="4">
        <v>23.382000000000001</v>
      </c>
      <c r="G131" s="4">
        <v>111859.488</v>
      </c>
      <c r="H131" s="5">
        <f t="shared" si="1"/>
        <v>4.4537808832670514E-2</v>
      </c>
    </row>
    <row r="132" spans="1:8" ht="13.5" x14ac:dyDescent="0.25">
      <c r="A132" s="1"/>
      <c r="B132" s="3">
        <v>44721</v>
      </c>
      <c r="C132" s="4">
        <v>23.6</v>
      </c>
      <c r="D132" s="4">
        <v>13.894399999999999</v>
      </c>
      <c r="E132" s="4">
        <v>2038</v>
      </c>
      <c r="F132" s="4">
        <v>23.689</v>
      </c>
      <c r="G132" s="4">
        <v>48278.182000000001</v>
      </c>
      <c r="H132" s="5">
        <f t="shared" si="1"/>
        <v>-3.7999913962459544E-3</v>
      </c>
    </row>
    <row r="133" spans="1:8" ht="13.5" x14ac:dyDescent="0.25">
      <c r="A133" s="1"/>
      <c r="B133" s="3">
        <v>44722</v>
      </c>
      <c r="C133" s="4">
        <v>23.6</v>
      </c>
      <c r="D133" s="4">
        <v>13.894399999999999</v>
      </c>
      <c r="E133" s="4">
        <v>3581</v>
      </c>
      <c r="F133" s="4">
        <v>23.599</v>
      </c>
      <c r="G133" s="4">
        <v>84508.019</v>
      </c>
      <c r="H133" s="5">
        <f t="shared" si="1"/>
        <v>0</v>
      </c>
    </row>
    <row r="134" spans="1:8" ht="13.5" x14ac:dyDescent="0.25">
      <c r="A134" s="1"/>
      <c r="B134" s="3">
        <v>44725</v>
      </c>
      <c r="C134" s="4">
        <v>23.9</v>
      </c>
      <c r="D134" s="4">
        <v>14.071</v>
      </c>
      <c r="E134" s="4">
        <v>10938</v>
      </c>
      <c r="F134" s="4">
        <v>24.021000000000001</v>
      </c>
      <c r="G134" s="4">
        <v>262741.69799999997</v>
      </c>
      <c r="H134" s="5">
        <f t="shared" si="1"/>
        <v>1.2710156609857248E-2</v>
      </c>
    </row>
    <row r="135" spans="1:8" ht="13.5" x14ac:dyDescent="0.25">
      <c r="A135" s="1"/>
      <c r="B135" s="3">
        <v>44726</v>
      </c>
      <c r="C135" s="4">
        <v>23.8</v>
      </c>
      <c r="D135" s="4">
        <v>14.0121</v>
      </c>
      <c r="E135" s="4">
        <v>3125</v>
      </c>
      <c r="F135" s="4">
        <v>23.808</v>
      </c>
      <c r="G135" s="4">
        <v>74400</v>
      </c>
      <c r="H135" s="5">
        <f t="shared" ref="H135:H198" si="2">(D135-D134)/D134</f>
        <v>-4.1859142918058067E-3</v>
      </c>
    </row>
    <row r="136" spans="1:8" ht="13.5" x14ac:dyDescent="0.25">
      <c r="A136" s="1"/>
      <c r="B136" s="3">
        <v>44727</v>
      </c>
      <c r="C136" s="4">
        <v>23.8</v>
      </c>
      <c r="D136" s="4">
        <v>14.0121</v>
      </c>
      <c r="E136" s="4">
        <v>395</v>
      </c>
      <c r="F136" s="4">
        <v>23.792000000000002</v>
      </c>
      <c r="G136" s="4">
        <v>9397.84</v>
      </c>
      <c r="H136" s="5">
        <f t="shared" si="2"/>
        <v>0</v>
      </c>
    </row>
    <row r="137" spans="1:8" ht="13.5" x14ac:dyDescent="0.25">
      <c r="A137" s="1"/>
      <c r="B137" s="3">
        <v>44728</v>
      </c>
      <c r="C137" s="4">
        <v>23.8</v>
      </c>
      <c r="D137" s="4">
        <v>14.0121</v>
      </c>
      <c r="E137" s="4">
        <v>1812</v>
      </c>
      <c r="F137" s="4">
        <v>23.757999999999999</v>
      </c>
      <c r="G137" s="4">
        <v>43049.495999999999</v>
      </c>
      <c r="H137" s="5">
        <f t="shared" si="2"/>
        <v>0</v>
      </c>
    </row>
    <row r="138" spans="1:8" ht="13.5" x14ac:dyDescent="0.25">
      <c r="A138" s="1"/>
      <c r="B138" s="3">
        <v>44729</v>
      </c>
      <c r="C138" s="4">
        <v>23.8</v>
      </c>
      <c r="D138" s="4">
        <v>14.0121</v>
      </c>
      <c r="E138" s="4">
        <v>0</v>
      </c>
      <c r="F138" s="4">
        <v>0</v>
      </c>
      <c r="G138" s="4">
        <v>0</v>
      </c>
      <c r="H138" s="5">
        <f t="shared" si="2"/>
        <v>0</v>
      </c>
    </row>
    <row r="139" spans="1:8" ht="13.5" x14ac:dyDescent="0.25">
      <c r="A139" s="1"/>
      <c r="B139" s="3">
        <v>44732</v>
      </c>
      <c r="C139" s="4">
        <v>23.8</v>
      </c>
      <c r="D139" s="4">
        <v>14.0121</v>
      </c>
      <c r="E139" s="4">
        <v>26</v>
      </c>
      <c r="F139" s="4">
        <v>23.8</v>
      </c>
      <c r="G139" s="4">
        <v>618.79999999999995</v>
      </c>
      <c r="H139" s="5">
        <f t="shared" si="2"/>
        <v>0</v>
      </c>
    </row>
    <row r="140" spans="1:8" ht="13.5" x14ac:dyDescent="0.25">
      <c r="A140" s="1"/>
      <c r="B140" s="3">
        <v>44733</v>
      </c>
      <c r="C140" s="4">
        <v>23.7</v>
      </c>
      <c r="D140" s="4">
        <v>13.9533</v>
      </c>
      <c r="E140" s="4">
        <v>55</v>
      </c>
      <c r="F140" s="4">
        <v>23.7</v>
      </c>
      <c r="G140" s="4">
        <v>1303.5</v>
      </c>
      <c r="H140" s="5">
        <f t="shared" si="2"/>
        <v>-4.1963731346478933E-3</v>
      </c>
    </row>
    <row r="141" spans="1:8" ht="13.5" x14ac:dyDescent="0.25">
      <c r="A141" s="1"/>
      <c r="B141" s="3">
        <v>44734</v>
      </c>
      <c r="C141" s="4">
        <v>23.7</v>
      </c>
      <c r="D141" s="4">
        <v>13.9533</v>
      </c>
      <c r="E141" s="4">
        <v>6</v>
      </c>
      <c r="F141" s="4">
        <v>23.7</v>
      </c>
      <c r="G141" s="4">
        <v>142.19999999999999</v>
      </c>
      <c r="H141" s="5">
        <f t="shared" si="2"/>
        <v>0</v>
      </c>
    </row>
    <row r="142" spans="1:8" ht="13.5" x14ac:dyDescent="0.25">
      <c r="A142" s="1"/>
      <c r="B142" s="3">
        <v>44735</v>
      </c>
      <c r="C142" s="4">
        <v>23.7</v>
      </c>
      <c r="D142" s="4">
        <v>13.9533</v>
      </c>
      <c r="E142" s="4">
        <v>52</v>
      </c>
      <c r="F142" s="4">
        <v>23.7</v>
      </c>
      <c r="G142" s="4">
        <v>1232.4000000000001</v>
      </c>
      <c r="H142" s="5">
        <f t="shared" si="2"/>
        <v>0</v>
      </c>
    </row>
    <row r="143" spans="1:8" ht="13.5" x14ac:dyDescent="0.25">
      <c r="A143" s="1"/>
      <c r="B143" s="3">
        <v>44736</v>
      </c>
      <c r="C143" s="4">
        <v>23.7</v>
      </c>
      <c r="D143" s="4">
        <v>13.9533</v>
      </c>
      <c r="E143" s="4">
        <v>2000</v>
      </c>
      <c r="F143" s="4">
        <v>23.693000000000001</v>
      </c>
      <c r="G143" s="4">
        <v>47386</v>
      </c>
      <c r="H143" s="5">
        <f t="shared" si="2"/>
        <v>0</v>
      </c>
    </row>
    <row r="144" spans="1:8" ht="13.5" x14ac:dyDescent="0.25">
      <c r="A144" s="1"/>
      <c r="B144" s="3">
        <v>44739</v>
      </c>
      <c r="C144" s="4">
        <v>22.56</v>
      </c>
      <c r="D144" s="4">
        <v>13.2821</v>
      </c>
      <c r="E144" s="4">
        <v>100</v>
      </c>
      <c r="F144" s="4">
        <v>22.56</v>
      </c>
      <c r="G144" s="4">
        <v>2256</v>
      </c>
      <c r="H144" s="5">
        <f t="shared" si="2"/>
        <v>-4.8103316061433546E-2</v>
      </c>
    </row>
    <row r="145" spans="1:8" ht="13.5" x14ac:dyDescent="0.25">
      <c r="A145" s="1"/>
      <c r="B145" s="3">
        <v>44740</v>
      </c>
      <c r="C145" s="4">
        <v>23.5</v>
      </c>
      <c r="D145" s="4">
        <v>13.8355</v>
      </c>
      <c r="E145" s="4">
        <v>11</v>
      </c>
      <c r="F145" s="4">
        <v>23.5</v>
      </c>
      <c r="G145" s="4">
        <v>258.5</v>
      </c>
      <c r="H145" s="5">
        <f t="shared" si="2"/>
        <v>4.1665098139601411E-2</v>
      </c>
    </row>
    <row r="146" spans="1:8" ht="13.5" x14ac:dyDescent="0.25">
      <c r="A146" s="1"/>
      <c r="B146" s="3">
        <v>44741</v>
      </c>
      <c r="C146" s="4">
        <v>23.5</v>
      </c>
      <c r="D146" s="4">
        <v>13.8355</v>
      </c>
      <c r="E146" s="4">
        <v>30</v>
      </c>
      <c r="F146" s="4">
        <v>23.5</v>
      </c>
      <c r="G146" s="4">
        <v>705</v>
      </c>
      <c r="H146" s="5">
        <f t="shared" si="2"/>
        <v>0</v>
      </c>
    </row>
    <row r="147" spans="1:8" ht="13.5" x14ac:dyDescent="0.25">
      <c r="A147" s="1"/>
      <c r="B147" s="3">
        <v>44742</v>
      </c>
      <c r="C147" s="4">
        <v>23.5</v>
      </c>
      <c r="D147" s="4">
        <v>13.8355</v>
      </c>
      <c r="E147" s="4">
        <v>153</v>
      </c>
      <c r="F147" s="4">
        <v>23.5</v>
      </c>
      <c r="G147" s="4">
        <v>3595.5</v>
      </c>
      <c r="H147" s="5">
        <f t="shared" si="2"/>
        <v>0</v>
      </c>
    </row>
    <row r="148" spans="1:8" ht="13.5" x14ac:dyDescent="0.25">
      <c r="A148" s="1"/>
      <c r="B148" s="3">
        <v>44743</v>
      </c>
      <c r="C148" s="4">
        <v>23.5</v>
      </c>
      <c r="D148" s="4">
        <v>13.8355</v>
      </c>
      <c r="E148" s="4">
        <v>0</v>
      </c>
      <c r="F148" s="4">
        <v>0</v>
      </c>
      <c r="G148" s="4">
        <v>0</v>
      </c>
      <c r="H148" s="5">
        <f t="shared" si="2"/>
        <v>0</v>
      </c>
    </row>
    <row r="149" spans="1:8" ht="13.5" x14ac:dyDescent="0.25">
      <c r="A149" s="1"/>
      <c r="B149" s="3">
        <v>44746</v>
      </c>
      <c r="C149" s="4">
        <v>23.3</v>
      </c>
      <c r="D149" s="4">
        <v>13.7178</v>
      </c>
      <c r="E149" s="4">
        <v>270</v>
      </c>
      <c r="F149" s="4">
        <v>23.3</v>
      </c>
      <c r="G149" s="4">
        <v>6291</v>
      </c>
      <c r="H149" s="5">
        <f t="shared" si="2"/>
        <v>-8.5071012973871023E-3</v>
      </c>
    </row>
    <row r="150" spans="1:8" ht="13.5" x14ac:dyDescent="0.25">
      <c r="A150" s="1"/>
      <c r="B150" s="3">
        <v>44747</v>
      </c>
      <c r="C150" s="4">
        <v>23.27</v>
      </c>
      <c r="D150" s="4">
        <v>13.700100000000001</v>
      </c>
      <c r="E150" s="4">
        <v>512</v>
      </c>
      <c r="F150" s="4">
        <v>23.331</v>
      </c>
      <c r="G150" s="4">
        <v>11945.472</v>
      </c>
      <c r="H150" s="5">
        <f t="shared" si="2"/>
        <v>-1.2902943620696908E-3</v>
      </c>
    </row>
    <row r="151" spans="1:8" ht="13.5" x14ac:dyDescent="0.25">
      <c r="A151" s="1"/>
      <c r="B151" s="3">
        <v>44748</v>
      </c>
      <c r="C151" s="4">
        <v>23.2</v>
      </c>
      <c r="D151" s="4">
        <v>13.658899999999999</v>
      </c>
      <c r="E151" s="4">
        <v>572</v>
      </c>
      <c r="F151" s="4">
        <v>23.288</v>
      </c>
      <c r="G151" s="4">
        <v>13320.736000000001</v>
      </c>
      <c r="H151" s="5">
        <f t="shared" si="2"/>
        <v>-3.0072773191437783E-3</v>
      </c>
    </row>
    <row r="152" spans="1:8" ht="13.5" x14ac:dyDescent="0.25">
      <c r="A152" s="1"/>
      <c r="B152" s="3">
        <v>44749</v>
      </c>
      <c r="C152" s="4">
        <v>23.5</v>
      </c>
      <c r="D152" s="4">
        <v>13.8355</v>
      </c>
      <c r="E152" s="4">
        <v>1500</v>
      </c>
      <c r="F152" s="4">
        <v>23.157</v>
      </c>
      <c r="G152" s="4">
        <v>34735.5</v>
      </c>
      <c r="H152" s="5">
        <f t="shared" si="2"/>
        <v>1.2929298845441474E-2</v>
      </c>
    </row>
    <row r="153" spans="1:8" ht="13.5" x14ac:dyDescent="0.25">
      <c r="A153" s="1"/>
      <c r="B153" s="3">
        <v>44750</v>
      </c>
      <c r="C153" s="4">
        <v>23.5</v>
      </c>
      <c r="D153" s="4">
        <v>13.8355</v>
      </c>
      <c r="E153" s="4">
        <v>318</v>
      </c>
      <c r="F153" s="4">
        <v>23.007999999999999</v>
      </c>
      <c r="G153" s="4">
        <v>7316.5439999999999</v>
      </c>
      <c r="H153" s="5">
        <f t="shared" si="2"/>
        <v>0</v>
      </c>
    </row>
    <row r="154" spans="1:8" ht="13.5" x14ac:dyDescent="0.25">
      <c r="A154" s="1"/>
      <c r="B154" s="3">
        <v>44753</v>
      </c>
      <c r="C154" s="4">
        <v>23.5</v>
      </c>
      <c r="D154" s="4">
        <v>13.8355</v>
      </c>
      <c r="E154" s="4">
        <v>0</v>
      </c>
      <c r="F154" s="4">
        <v>0</v>
      </c>
      <c r="G154" s="4">
        <v>0</v>
      </c>
      <c r="H154" s="5">
        <f t="shared" si="2"/>
        <v>0</v>
      </c>
    </row>
    <row r="155" spans="1:8" ht="13.5" x14ac:dyDescent="0.25">
      <c r="A155" s="1"/>
      <c r="B155" s="3">
        <v>44754</v>
      </c>
      <c r="C155" s="4">
        <v>23.5</v>
      </c>
      <c r="D155" s="4">
        <v>13.8355</v>
      </c>
      <c r="E155" s="4">
        <v>0</v>
      </c>
      <c r="F155" s="4">
        <v>0</v>
      </c>
      <c r="G155" s="4">
        <v>0</v>
      </c>
      <c r="H155" s="5">
        <f t="shared" si="2"/>
        <v>0</v>
      </c>
    </row>
    <row r="156" spans="1:8" ht="13.5" x14ac:dyDescent="0.25">
      <c r="A156" s="1"/>
      <c r="B156" s="3">
        <v>44755</v>
      </c>
      <c r="C156" s="4">
        <v>23.5</v>
      </c>
      <c r="D156" s="4">
        <v>13.8355</v>
      </c>
      <c r="E156" s="4">
        <v>0</v>
      </c>
      <c r="F156" s="4">
        <v>0</v>
      </c>
      <c r="G156" s="4">
        <v>0</v>
      </c>
      <c r="H156" s="5">
        <f t="shared" si="2"/>
        <v>0</v>
      </c>
    </row>
    <row r="157" spans="1:8" ht="13.5" x14ac:dyDescent="0.25">
      <c r="A157" s="1"/>
      <c r="B157" s="3">
        <v>44756</v>
      </c>
      <c r="C157" s="4">
        <v>23</v>
      </c>
      <c r="D157" s="4">
        <v>13.5411</v>
      </c>
      <c r="E157" s="4">
        <v>84</v>
      </c>
      <c r="F157" s="4">
        <v>23</v>
      </c>
      <c r="G157" s="4">
        <v>1932</v>
      </c>
      <c r="H157" s="5">
        <f t="shared" si="2"/>
        <v>-2.1278594918868098E-2</v>
      </c>
    </row>
    <row r="158" spans="1:8" ht="13.5" x14ac:dyDescent="0.25">
      <c r="A158" s="1"/>
      <c r="B158" s="3">
        <v>44757</v>
      </c>
      <c r="C158" s="4">
        <v>23.4</v>
      </c>
      <c r="D158" s="4">
        <v>13.7766</v>
      </c>
      <c r="E158" s="4">
        <v>1114</v>
      </c>
      <c r="F158" s="4">
        <v>23.001999999999999</v>
      </c>
      <c r="G158" s="4">
        <v>25624.227999999999</v>
      </c>
      <c r="H158" s="5">
        <f t="shared" si="2"/>
        <v>1.7391496998028229E-2</v>
      </c>
    </row>
    <row r="159" spans="1:8" ht="13.5" x14ac:dyDescent="0.25">
      <c r="A159" s="1"/>
      <c r="B159" s="3">
        <v>44760</v>
      </c>
      <c r="C159" s="4">
        <v>23</v>
      </c>
      <c r="D159" s="4">
        <v>13.5411</v>
      </c>
      <c r="E159" s="4">
        <v>322</v>
      </c>
      <c r="F159" s="4">
        <v>22.96</v>
      </c>
      <c r="G159" s="4">
        <v>7393.12</v>
      </c>
      <c r="H159" s="5">
        <f t="shared" si="2"/>
        <v>-1.7094203214145728E-2</v>
      </c>
    </row>
    <row r="160" spans="1:8" ht="13.5" x14ac:dyDescent="0.25">
      <c r="A160" s="1"/>
      <c r="B160" s="3">
        <v>44761</v>
      </c>
      <c r="C160" s="4">
        <v>22.8</v>
      </c>
      <c r="D160" s="4">
        <v>13.423400000000001</v>
      </c>
      <c r="E160" s="4">
        <v>416</v>
      </c>
      <c r="F160" s="4">
        <v>22.766999999999999</v>
      </c>
      <c r="G160" s="4">
        <v>9471.0720000000001</v>
      </c>
      <c r="H160" s="5">
        <f t="shared" si="2"/>
        <v>-8.692056036806407E-3</v>
      </c>
    </row>
    <row r="161" spans="1:8" ht="13.5" x14ac:dyDescent="0.25">
      <c r="A161" s="1"/>
      <c r="B161" s="3">
        <v>44762</v>
      </c>
      <c r="C161" s="4">
        <v>22.8</v>
      </c>
      <c r="D161" s="4">
        <v>13.423400000000001</v>
      </c>
      <c r="E161" s="4">
        <v>2022</v>
      </c>
      <c r="F161" s="4">
        <v>22.786000000000001</v>
      </c>
      <c r="G161" s="4">
        <v>46073.292000000001</v>
      </c>
      <c r="H161" s="5">
        <f t="shared" si="2"/>
        <v>0</v>
      </c>
    </row>
    <row r="162" spans="1:8" ht="13.5" x14ac:dyDescent="0.25">
      <c r="A162" s="1"/>
      <c r="B162" s="3">
        <v>44763</v>
      </c>
      <c r="C162" s="4">
        <v>22.7</v>
      </c>
      <c r="D162" s="4">
        <v>13.3645</v>
      </c>
      <c r="E162" s="4">
        <v>448</v>
      </c>
      <c r="F162" s="4">
        <v>22.744</v>
      </c>
      <c r="G162" s="4">
        <v>10189.312</v>
      </c>
      <c r="H162" s="5">
        <f t="shared" si="2"/>
        <v>-4.3878600056618498E-3</v>
      </c>
    </row>
    <row r="163" spans="1:8" ht="13.5" x14ac:dyDescent="0.25">
      <c r="A163" s="1"/>
      <c r="B163" s="3">
        <v>44764</v>
      </c>
      <c r="C163" s="4">
        <v>22.61</v>
      </c>
      <c r="D163" s="4">
        <v>13.311500000000001</v>
      </c>
      <c r="E163" s="4">
        <v>3280</v>
      </c>
      <c r="F163" s="4">
        <v>22.388999999999999</v>
      </c>
      <c r="G163" s="4">
        <v>73435.92</v>
      </c>
      <c r="H163" s="5">
        <f t="shared" si="2"/>
        <v>-3.9657301058774403E-3</v>
      </c>
    </row>
    <row r="164" spans="1:8" ht="13.5" x14ac:dyDescent="0.25">
      <c r="A164" s="1"/>
      <c r="B164" s="3">
        <v>44768</v>
      </c>
      <c r="C164" s="4">
        <v>22.61</v>
      </c>
      <c r="D164" s="4">
        <v>13.311500000000001</v>
      </c>
      <c r="E164" s="4">
        <v>372</v>
      </c>
      <c r="F164" s="4">
        <v>22.329000000000001</v>
      </c>
      <c r="G164" s="4">
        <v>8306.3880000000008</v>
      </c>
      <c r="H164" s="5">
        <f t="shared" si="2"/>
        <v>0</v>
      </c>
    </row>
    <row r="165" spans="1:8" ht="13.5" x14ac:dyDescent="0.25">
      <c r="A165" s="1"/>
      <c r="B165" s="3">
        <v>44769</v>
      </c>
      <c r="C165" s="4">
        <v>22.7</v>
      </c>
      <c r="D165" s="4">
        <v>13.3645</v>
      </c>
      <c r="E165" s="4">
        <v>201</v>
      </c>
      <c r="F165" s="4">
        <v>22.7</v>
      </c>
      <c r="G165" s="4">
        <v>4562.7</v>
      </c>
      <c r="H165" s="5">
        <f t="shared" si="2"/>
        <v>3.9815197385718402E-3</v>
      </c>
    </row>
    <row r="166" spans="1:8" ht="13.5" x14ac:dyDescent="0.25">
      <c r="A166" s="1"/>
      <c r="B166" s="3">
        <v>44770</v>
      </c>
      <c r="C166" s="4">
        <v>22.6</v>
      </c>
      <c r="D166" s="4">
        <v>13.3056</v>
      </c>
      <c r="E166" s="4">
        <v>129</v>
      </c>
      <c r="F166" s="4">
        <v>22.684000000000001</v>
      </c>
      <c r="G166" s="4">
        <v>2926.2359999999999</v>
      </c>
      <c r="H166" s="5">
        <f t="shared" si="2"/>
        <v>-4.4071981742676127E-3</v>
      </c>
    </row>
    <row r="167" spans="1:8" ht="13.5" x14ac:dyDescent="0.25">
      <c r="A167" s="1"/>
      <c r="B167" s="3">
        <v>44771</v>
      </c>
      <c r="C167" s="4">
        <v>22.69</v>
      </c>
      <c r="D167" s="4">
        <v>13.358599999999999</v>
      </c>
      <c r="E167" s="4">
        <v>20</v>
      </c>
      <c r="F167" s="4">
        <v>22.69</v>
      </c>
      <c r="G167" s="4">
        <v>453.8</v>
      </c>
      <c r="H167" s="5">
        <f t="shared" si="2"/>
        <v>3.9832852332851616E-3</v>
      </c>
    </row>
    <row r="168" spans="1:8" ht="13.5" x14ac:dyDescent="0.25">
      <c r="A168" s="1"/>
      <c r="B168" s="3">
        <v>44774</v>
      </c>
      <c r="C168" s="4">
        <v>22.69</v>
      </c>
      <c r="D168" s="4">
        <v>13.358599999999999</v>
      </c>
      <c r="E168" s="4">
        <v>953</v>
      </c>
      <c r="F168" s="4">
        <v>22.667000000000002</v>
      </c>
      <c r="G168" s="4">
        <v>21601.651000000002</v>
      </c>
      <c r="H168" s="5">
        <f t="shared" si="2"/>
        <v>0</v>
      </c>
    </row>
    <row r="169" spans="1:8" ht="13.5" x14ac:dyDescent="0.25">
      <c r="A169" s="1"/>
      <c r="B169" s="3">
        <v>44775</v>
      </c>
      <c r="C169" s="4">
        <v>22.69</v>
      </c>
      <c r="D169" s="4">
        <v>13.358599999999999</v>
      </c>
      <c r="E169" s="4">
        <v>137</v>
      </c>
      <c r="F169" s="4">
        <v>22.405000000000001</v>
      </c>
      <c r="G169" s="4">
        <v>3069.4850000000001</v>
      </c>
      <c r="H169" s="5">
        <f t="shared" si="2"/>
        <v>0</v>
      </c>
    </row>
    <row r="170" spans="1:8" ht="13.5" x14ac:dyDescent="0.25">
      <c r="A170" s="1"/>
      <c r="B170" s="3">
        <v>44776</v>
      </c>
      <c r="C170" s="4">
        <v>22.3</v>
      </c>
      <c r="D170" s="4">
        <v>13.129</v>
      </c>
      <c r="E170" s="4">
        <v>157</v>
      </c>
      <c r="F170" s="4">
        <v>22.413</v>
      </c>
      <c r="G170" s="4">
        <v>3518.8409999999999</v>
      </c>
      <c r="H170" s="5">
        <f t="shared" si="2"/>
        <v>-1.7187429820490142E-2</v>
      </c>
    </row>
    <row r="171" spans="1:8" ht="13.5" x14ac:dyDescent="0.25">
      <c r="A171" s="1"/>
      <c r="B171" s="3">
        <v>44777</v>
      </c>
      <c r="C171" s="4">
        <v>22.69</v>
      </c>
      <c r="D171" s="4">
        <v>13.358599999999999</v>
      </c>
      <c r="E171" s="4">
        <v>115</v>
      </c>
      <c r="F171" s="4">
        <v>22.463999999999999</v>
      </c>
      <c r="G171" s="4">
        <v>2583.36</v>
      </c>
      <c r="H171" s="5">
        <f t="shared" si="2"/>
        <v>1.7488003656028608E-2</v>
      </c>
    </row>
    <row r="172" spans="1:8" ht="13.5" x14ac:dyDescent="0.25">
      <c r="A172" s="1"/>
      <c r="B172" s="3">
        <v>44778</v>
      </c>
      <c r="C172" s="4">
        <v>22.69</v>
      </c>
      <c r="D172" s="4">
        <v>13.358599999999999</v>
      </c>
      <c r="E172" s="4">
        <v>0</v>
      </c>
      <c r="F172" s="4">
        <v>0</v>
      </c>
      <c r="G172" s="4">
        <v>0</v>
      </c>
      <c r="H172" s="5">
        <f t="shared" si="2"/>
        <v>0</v>
      </c>
    </row>
    <row r="173" spans="1:8" ht="13.5" x14ac:dyDescent="0.25">
      <c r="A173" s="1"/>
      <c r="B173" s="3">
        <v>44781</v>
      </c>
      <c r="C173" s="4">
        <v>22.69</v>
      </c>
      <c r="D173" s="4">
        <v>13.358599999999999</v>
      </c>
      <c r="E173" s="4">
        <v>0</v>
      </c>
      <c r="F173" s="4">
        <v>0</v>
      </c>
      <c r="G173" s="4">
        <v>0</v>
      </c>
      <c r="H173" s="5">
        <f t="shared" si="2"/>
        <v>0</v>
      </c>
    </row>
    <row r="174" spans="1:8" ht="13.5" x14ac:dyDescent="0.25">
      <c r="A174" s="1"/>
      <c r="B174" s="3">
        <v>44782</v>
      </c>
      <c r="C174" s="4">
        <v>22.65</v>
      </c>
      <c r="D174" s="4">
        <v>13.335100000000001</v>
      </c>
      <c r="E174" s="4">
        <v>76</v>
      </c>
      <c r="F174" s="4">
        <v>22.504000000000001</v>
      </c>
      <c r="G174" s="4">
        <v>1710.3040000000001</v>
      </c>
      <c r="H174" s="5">
        <f t="shared" si="2"/>
        <v>-1.7591663797103382E-3</v>
      </c>
    </row>
    <row r="175" spans="1:8" ht="13.5" x14ac:dyDescent="0.25">
      <c r="A175" s="1"/>
      <c r="B175" s="3">
        <v>44783</v>
      </c>
      <c r="C175" s="4">
        <v>22.64</v>
      </c>
      <c r="D175" s="4">
        <v>13.3292</v>
      </c>
      <c r="E175" s="4">
        <v>624</v>
      </c>
      <c r="F175" s="4">
        <v>22.420999999999999</v>
      </c>
      <c r="G175" s="4">
        <v>13990.704</v>
      </c>
      <c r="H175" s="5">
        <f t="shared" si="2"/>
        <v>-4.4244137651764591E-4</v>
      </c>
    </row>
    <row r="176" spans="1:8" ht="13.5" x14ac:dyDescent="0.25">
      <c r="A176" s="1"/>
      <c r="B176" s="3">
        <v>44784</v>
      </c>
      <c r="C176" s="4">
        <v>22.64</v>
      </c>
      <c r="D176" s="4">
        <v>13.3292</v>
      </c>
      <c r="E176" s="4">
        <v>0</v>
      </c>
      <c r="F176" s="4">
        <v>0</v>
      </c>
      <c r="G176" s="4">
        <v>0</v>
      </c>
      <c r="H176" s="5">
        <f t="shared" si="2"/>
        <v>0</v>
      </c>
    </row>
    <row r="177" spans="1:8" ht="13.5" x14ac:dyDescent="0.25">
      <c r="A177" s="1"/>
      <c r="B177" s="3">
        <v>44785</v>
      </c>
      <c r="C177" s="4">
        <v>22.55</v>
      </c>
      <c r="D177" s="4">
        <v>13.276199999999999</v>
      </c>
      <c r="E177" s="4">
        <v>180</v>
      </c>
      <c r="F177" s="4">
        <v>22.300999999999998</v>
      </c>
      <c r="G177" s="4">
        <v>4014.18</v>
      </c>
      <c r="H177" s="5">
        <f t="shared" si="2"/>
        <v>-3.9762326321160181E-3</v>
      </c>
    </row>
    <row r="178" spans="1:8" ht="13.5" x14ac:dyDescent="0.25">
      <c r="A178" s="1"/>
      <c r="B178" s="3">
        <v>44788</v>
      </c>
      <c r="C178" s="4">
        <v>22.55</v>
      </c>
      <c r="D178" s="4">
        <v>13.276199999999999</v>
      </c>
      <c r="E178" s="4">
        <v>0</v>
      </c>
      <c r="F178" s="4">
        <v>0</v>
      </c>
      <c r="G178" s="4">
        <v>0</v>
      </c>
      <c r="H178" s="5">
        <f t="shared" si="2"/>
        <v>0</v>
      </c>
    </row>
    <row r="179" spans="1:8" ht="13.5" x14ac:dyDescent="0.25">
      <c r="A179" s="1"/>
      <c r="B179" s="3">
        <v>44789</v>
      </c>
      <c r="C179" s="4">
        <v>22.55</v>
      </c>
      <c r="D179" s="4">
        <v>13.276199999999999</v>
      </c>
      <c r="E179" s="4">
        <v>2605</v>
      </c>
      <c r="F179" s="4">
        <v>22.548999999999999</v>
      </c>
      <c r="G179" s="4">
        <v>58740.144999999997</v>
      </c>
      <c r="H179" s="5">
        <f t="shared" si="2"/>
        <v>0</v>
      </c>
    </row>
    <row r="180" spans="1:8" ht="13.5" x14ac:dyDescent="0.25">
      <c r="A180" s="1"/>
      <c r="B180" s="3">
        <v>44790</v>
      </c>
      <c r="C180" s="4">
        <v>22.53</v>
      </c>
      <c r="D180" s="4">
        <v>13.2644</v>
      </c>
      <c r="E180" s="4">
        <v>88</v>
      </c>
      <c r="F180" s="4">
        <v>22.53</v>
      </c>
      <c r="G180" s="4">
        <v>1982.64</v>
      </c>
      <c r="H180" s="5">
        <f t="shared" si="2"/>
        <v>-8.8880854461360513E-4</v>
      </c>
    </row>
    <row r="181" spans="1:8" ht="13.5" x14ac:dyDescent="0.25">
      <c r="A181" s="1"/>
      <c r="B181" s="3">
        <v>44791</v>
      </c>
      <c r="C181" s="4">
        <v>22.5</v>
      </c>
      <c r="D181" s="4">
        <v>13.2468</v>
      </c>
      <c r="E181" s="4">
        <v>898</v>
      </c>
      <c r="F181" s="4">
        <v>22.22</v>
      </c>
      <c r="G181" s="4">
        <v>19953.560000000001</v>
      </c>
      <c r="H181" s="5">
        <f t="shared" si="2"/>
        <v>-1.3268598655046468E-3</v>
      </c>
    </row>
    <row r="182" spans="1:8" ht="13.5" x14ac:dyDescent="0.25">
      <c r="A182" s="1"/>
      <c r="B182" s="3">
        <v>44792</v>
      </c>
      <c r="C182" s="4">
        <v>22.5</v>
      </c>
      <c r="D182" s="4">
        <v>13.2468</v>
      </c>
      <c r="E182" s="4">
        <v>437</v>
      </c>
      <c r="F182" s="4">
        <v>22.343</v>
      </c>
      <c r="G182" s="4">
        <v>9763.8909999999996</v>
      </c>
      <c r="H182" s="5">
        <f t="shared" si="2"/>
        <v>0</v>
      </c>
    </row>
    <row r="183" spans="1:8" ht="13.5" x14ac:dyDescent="0.25">
      <c r="A183" s="1"/>
      <c r="B183" s="3">
        <v>44795</v>
      </c>
      <c r="C183" s="4">
        <v>22.5</v>
      </c>
      <c r="D183" s="4">
        <v>13.2468</v>
      </c>
      <c r="E183" s="4">
        <v>0</v>
      </c>
      <c r="F183" s="4">
        <v>0</v>
      </c>
      <c r="G183" s="4">
        <v>0</v>
      </c>
      <c r="H183" s="5">
        <f t="shared" si="2"/>
        <v>0</v>
      </c>
    </row>
    <row r="184" spans="1:8" ht="13.5" x14ac:dyDescent="0.25">
      <c r="A184" s="1"/>
      <c r="B184" s="3">
        <v>44796</v>
      </c>
      <c r="C184" s="4">
        <v>22.5</v>
      </c>
      <c r="D184" s="4">
        <v>13.2468</v>
      </c>
      <c r="E184" s="4">
        <v>0</v>
      </c>
      <c r="F184" s="4">
        <v>0</v>
      </c>
      <c r="G184" s="4">
        <v>0</v>
      </c>
      <c r="H184" s="5">
        <f t="shared" si="2"/>
        <v>0</v>
      </c>
    </row>
    <row r="185" spans="1:8" ht="13.5" x14ac:dyDescent="0.25">
      <c r="A185" s="1"/>
      <c r="B185" s="3">
        <v>44797</v>
      </c>
      <c r="C185" s="4">
        <v>22.28</v>
      </c>
      <c r="D185" s="4">
        <v>13.1172</v>
      </c>
      <c r="E185" s="4">
        <v>253</v>
      </c>
      <c r="F185" s="4">
        <v>22.018000000000001</v>
      </c>
      <c r="G185" s="4">
        <v>5570.5540000000001</v>
      </c>
      <c r="H185" s="5">
        <f t="shared" si="2"/>
        <v>-9.7834948817827651E-3</v>
      </c>
    </row>
    <row r="186" spans="1:8" ht="13.5" x14ac:dyDescent="0.25">
      <c r="A186" s="1"/>
      <c r="B186" s="3">
        <v>44798</v>
      </c>
      <c r="C186" s="4">
        <v>22</v>
      </c>
      <c r="D186" s="4">
        <v>12.952400000000001</v>
      </c>
      <c r="E186" s="4">
        <v>2457</v>
      </c>
      <c r="F186" s="4">
        <v>22.045999999999999</v>
      </c>
      <c r="G186" s="4">
        <v>54167.021999999997</v>
      </c>
      <c r="H186" s="5">
        <f t="shared" si="2"/>
        <v>-1.2563656877992225E-2</v>
      </c>
    </row>
    <row r="187" spans="1:8" ht="13.5" x14ac:dyDescent="0.25">
      <c r="A187" s="1"/>
      <c r="B187" s="3">
        <v>44799</v>
      </c>
      <c r="C187" s="4">
        <v>22.4</v>
      </c>
      <c r="D187" s="4">
        <v>13.187900000000001</v>
      </c>
      <c r="E187" s="4">
        <v>3791</v>
      </c>
      <c r="F187" s="4">
        <v>22.297999999999998</v>
      </c>
      <c r="G187" s="4">
        <v>84531.717999999993</v>
      </c>
      <c r="H187" s="5">
        <f t="shared" si="2"/>
        <v>1.8181958555943303E-2</v>
      </c>
    </row>
    <row r="188" spans="1:8" ht="13.5" x14ac:dyDescent="0.25">
      <c r="A188" s="1"/>
      <c r="B188" s="3">
        <v>44802</v>
      </c>
      <c r="C188" s="4">
        <v>22.4</v>
      </c>
      <c r="D188" s="4">
        <v>13.187900000000001</v>
      </c>
      <c r="E188" s="4">
        <v>1765</v>
      </c>
      <c r="F188" s="4">
        <v>22.271000000000001</v>
      </c>
      <c r="G188" s="4">
        <v>39308.315000000002</v>
      </c>
      <c r="H188" s="5">
        <f t="shared" si="2"/>
        <v>0</v>
      </c>
    </row>
    <row r="189" spans="1:8" ht="13.5" x14ac:dyDescent="0.25">
      <c r="A189" s="1"/>
      <c r="B189" s="3">
        <v>44803</v>
      </c>
      <c r="C189" s="4">
        <v>22.4</v>
      </c>
      <c r="D189" s="4">
        <v>13.187900000000001</v>
      </c>
      <c r="E189" s="4">
        <v>764</v>
      </c>
      <c r="F189" s="4">
        <v>22.292000000000002</v>
      </c>
      <c r="G189" s="4">
        <v>17031.088</v>
      </c>
      <c r="H189" s="5">
        <f t="shared" si="2"/>
        <v>0</v>
      </c>
    </row>
    <row r="190" spans="1:8" ht="13.5" x14ac:dyDescent="0.25">
      <c r="A190" s="1"/>
      <c r="B190" s="3">
        <v>44804</v>
      </c>
      <c r="C190" s="4">
        <v>22.4</v>
      </c>
      <c r="D190" s="4">
        <v>13.187900000000001</v>
      </c>
      <c r="E190" s="4">
        <v>0</v>
      </c>
      <c r="F190" s="4">
        <v>0</v>
      </c>
      <c r="G190" s="4">
        <v>0</v>
      </c>
      <c r="H190" s="5">
        <f t="shared" si="2"/>
        <v>0</v>
      </c>
    </row>
    <row r="191" spans="1:8" ht="13.5" x14ac:dyDescent="0.25">
      <c r="A191" s="1"/>
      <c r="B191" s="3">
        <v>44805</v>
      </c>
      <c r="C191" s="4">
        <v>22</v>
      </c>
      <c r="D191" s="4">
        <v>12.952400000000001</v>
      </c>
      <c r="E191" s="4">
        <v>1732</v>
      </c>
      <c r="F191" s="4">
        <v>21.969000000000001</v>
      </c>
      <c r="G191" s="4">
        <v>38050.307999999997</v>
      </c>
      <c r="H191" s="5">
        <f t="shared" si="2"/>
        <v>-1.7857278262649854E-2</v>
      </c>
    </row>
    <row r="192" spans="1:8" ht="13.5" x14ac:dyDescent="0.25">
      <c r="A192" s="1"/>
      <c r="B192" s="3">
        <v>44806</v>
      </c>
      <c r="C192" s="4">
        <v>22.38</v>
      </c>
      <c r="D192" s="4">
        <v>13.1761</v>
      </c>
      <c r="E192" s="4">
        <v>7096</v>
      </c>
      <c r="F192" s="4">
        <v>21.954000000000001</v>
      </c>
      <c r="G192" s="4">
        <v>155785.584</v>
      </c>
      <c r="H192" s="5">
        <f t="shared" si="2"/>
        <v>1.7270930483925691E-2</v>
      </c>
    </row>
    <row r="193" spans="1:8" ht="13.5" x14ac:dyDescent="0.25">
      <c r="A193" s="1"/>
      <c r="B193" s="3">
        <v>44809</v>
      </c>
      <c r="C193" s="4">
        <v>22.39</v>
      </c>
      <c r="D193" s="4">
        <v>13.182</v>
      </c>
      <c r="E193" s="4">
        <v>102</v>
      </c>
      <c r="F193" s="4">
        <v>22.007999999999999</v>
      </c>
      <c r="G193" s="4">
        <v>2244.8159999999998</v>
      </c>
      <c r="H193" s="5">
        <f t="shared" si="2"/>
        <v>4.4778045096807554E-4</v>
      </c>
    </row>
    <row r="194" spans="1:8" ht="13.5" x14ac:dyDescent="0.25">
      <c r="A194" s="1"/>
      <c r="B194" s="3">
        <v>44810</v>
      </c>
      <c r="C194" s="4">
        <v>22.38</v>
      </c>
      <c r="D194" s="4">
        <v>13.1761</v>
      </c>
      <c r="E194" s="4">
        <v>101</v>
      </c>
      <c r="F194" s="4">
        <v>22.38</v>
      </c>
      <c r="G194" s="4">
        <v>2260.38</v>
      </c>
      <c r="H194" s="5">
        <f t="shared" si="2"/>
        <v>-4.4758003337888488E-4</v>
      </c>
    </row>
    <row r="195" spans="1:8" ht="13.5" x14ac:dyDescent="0.25">
      <c r="A195" s="1"/>
      <c r="B195" s="3">
        <v>44811</v>
      </c>
      <c r="C195" s="4">
        <v>22.35</v>
      </c>
      <c r="D195" s="4">
        <v>13.1584</v>
      </c>
      <c r="E195" s="4">
        <v>4157</v>
      </c>
      <c r="F195" s="4">
        <v>22.152000000000001</v>
      </c>
      <c r="G195" s="4">
        <v>92085.864000000001</v>
      </c>
      <c r="H195" s="5">
        <f t="shared" si="2"/>
        <v>-1.3433413529040919E-3</v>
      </c>
    </row>
    <row r="196" spans="1:8" ht="13.5" x14ac:dyDescent="0.25">
      <c r="A196" s="1"/>
      <c r="B196" s="3">
        <v>44812</v>
      </c>
      <c r="C196" s="4">
        <v>22.17</v>
      </c>
      <c r="D196" s="4">
        <v>13.0525</v>
      </c>
      <c r="E196" s="4">
        <v>2191</v>
      </c>
      <c r="F196" s="4">
        <v>22.106999999999999</v>
      </c>
      <c r="G196" s="4">
        <v>48436.436999999998</v>
      </c>
      <c r="H196" s="5">
        <f t="shared" si="2"/>
        <v>-8.0480909533074008E-3</v>
      </c>
    </row>
    <row r="197" spans="1:8" ht="13.5" x14ac:dyDescent="0.25">
      <c r="A197" s="1"/>
      <c r="B197" s="3">
        <v>44813</v>
      </c>
      <c r="C197" s="4">
        <v>22.19</v>
      </c>
      <c r="D197" s="4">
        <v>13.0642</v>
      </c>
      <c r="E197" s="4">
        <v>6147</v>
      </c>
      <c r="F197" s="4">
        <v>21.92</v>
      </c>
      <c r="G197" s="4">
        <v>134742.24</v>
      </c>
      <c r="H197" s="5">
        <f t="shared" si="2"/>
        <v>8.9638000383063612E-4</v>
      </c>
    </row>
    <row r="198" spans="1:8" ht="13.5" x14ac:dyDescent="0.25">
      <c r="A198" s="1"/>
      <c r="B198" s="3">
        <v>44816</v>
      </c>
      <c r="C198" s="4">
        <v>22.19</v>
      </c>
      <c r="D198" s="4">
        <v>13.0642</v>
      </c>
      <c r="E198" s="4">
        <v>0</v>
      </c>
      <c r="F198" s="4">
        <v>0</v>
      </c>
      <c r="G198" s="4">
        <v>0</v>
      </c>
      <c r="H198" s="5">
        <f t="shared" si="2"/>
        <v>0</v>
      </c>
    </row>
    <row r="199" spans="1:8" ht="13.5" x14ac:dyDescent="0.25">
      <c r="A199" s="1"/>
      <c r="B199" s="3">
        <v>44817</v>
      </c>
      <c r="C199" s="4">
        <v>22.14</v>
      </c>
      <c r="D199" s="4">
        <v>13.034800000000001</v>
      </c>
      <c r="E199" s="4">
        <v>3235</v>
      </c>
      <c r="F199" s="4">
        <v>22.045999999999999</v>
      </c>
      <c r="G199" s="4">
        <v>71318.81</v>
      </c>
      <c r="H199" s="5">
        <f t="shared" ref="H199:H262" si="3">(D199-D198)/D198</f>
        <v>-2.2504248250944554E-3</v>
      </c>
    </row>
    <row r="200" spans="1:8" ht="13.5" x14ac:dyDescent="0.25">
      <c r="A200" s="1"/>
      <c r="B200" s="3">
        <v>44818</v>
      </c>
      <c r="C200" s="4">
        <v>22</v>
      </c>
      <c r="D200" s="4">
        <v>12.952400000000001</v>
      </c>
      <c r="E200" s="4">
        <v>230</v>
      </c>
      <c r="F200" s="4">
        <v>22</v>
      </c>
      <c r="G200" s="4">
        <v>5060</v>
      </c>
      <c r="H200" s="5">
        <f t="shared" si="3"/>
        <v>-6.3215392641237152E-3</v>
      </c>
    </row>
    <row r="201" spans="1:8" ht="13.5" x14ac:dyDescent="0.25">
      <c r="A201" s="1"/>
      <c r="B201" s="3">
        <v>44819</v>
      </c>
      <c r="C201" s="4">
        <v>22</v>
      </c>
      <c r="D201" s="4">
        <v>12.952400000000001</v>
      </c>
      <c r="E201" s="4">
        <v>0</v>
      </c>
      <c r="F201" s="4">
        <v>0</v>
      </c>
      <c r="G201" s="4">
        <v>0</v>
      </c>
      <c r="H201" s="5">
        <f t="shared" si="3"/>
        <v>0</v>
      </c>
    </row>
    <row r="202" spans="1:8" ht="13.5" x14ac:dyDescent="0.25">
      <c r="A202" s="1"/>
      <c r="B202" s="3">
        <v>44820</v>
      </c>
      <c r="C202" s="4">
        <v>21.7</v>
      </c>
      <c r="D202" s="4">
        <v>12.7758</v>
      </c>
      <c r="E202" s="4">
        <v>4691</v>
      </c>
      <c r="F202" s="4">
        <v>21.629000000000001</v>
      </c>
      <c r="G202" s="4">
        <v>101461.639</v>
      </c>
      <c r="H202" s="5">
        <f t="shared" si="3"/>
        <v>-1.363453877273714E-2</v>
      </c>
    </row>
    <row r="203" spans="1:8" ht="13.5" x14ac:dyDescent="0.25">
      <c r="A203" s="1"/>
      <c r="B203" s="3">
        <v>44823</v>
      </c>
      <c r="C203" s="4">
        <v>22</v>
      </c>
      <c r="D203" s="4">
        <v>12.952400000000001</v>
      </c>
      <c r="E203" s="4">
        <v>5864</v>
      </c>
      <c r="F203" s="4">
        <v>21.896999999999998</v>
      </c>
      <c r="G203" s="4">
        <v>128404.008</v>
      </c>
      <c r="H203" s="5">
        <f t="shared" si="3"/>
        <v>1.3823009126630077E-2</v>
      </c>
    </row>
    <row r="204" spans="1:8" ht="13.5" x14ac:dyDescent="0.25">
      <c r="A204" s="1"/>
      <c r="B204" s="3">
        <v>44824</v>
      </c>
      <c r="C204" s="4">
        <v>21.9</v>
      </c>
      <c r="D204" s="4">
        <v>12.8935</v>
      </c>
      <c r="E204" s="4">
        <v>11406</v>
      </c>
      <c r="F204" s="4">
        <v>21.9</v>
      </c>
      <c r="G204" s="4">
        <v>249791.4</v>
      </c>
      <c r="H204" s="5">
        <f t="shared" si="3"/>
        <v>-4.5474197832062998E-3</v>
      </c>
    </row>
    <row r="205" spans="1:8" ht="13.5" x14ac:dyDescent="0.25">
      <c r="A205" s="1"/>
      <c r="B205" s="3">
        <v>44825</v>
      </c>
      <c r="C205" s="4">
        <v>21.7</v>
      </c>
      <c r="D205" s="4">
        <v>12.7758</v>
      </c>
      <c r="E205" s="4">
        <v>539</v>
      </c>
      <c r="F205" s="4">
        <v>21.704999999999998</v>
      </c>
      <c r="G205" s="4">
        <v>11698.995000000001</v>
      </c>
      <c r="H205" s="5">
        <f t="shared" si="3"/>
        <v>-9.1286307053941324E-3</v>
      </c>
    </row>
    <row r="206" spans="1:8" ht="13.5" x14ac:dyDescent="0.25">
      <c r="A206" s="1"/>
      <c r="B206" s="3">
        <v>44826</v>
      </c>
      <c r="C206" s="4">
        <v>21.7</v>
      </c>
      <c r="D206" s="4">
        <v>12.7758</v>
      </c>
      <c r="E206" s="4">
        <v>741</v>
      </c>
      <c r="F206" s="4">
        <v>21.507000000000001</v>
      </c>
      <c r="G206" s="4">
        <v>15936.687</v>
      </c>
      <c r="H206" s="5">
        <f t="shared" si="3"/>
        <v>0</v>
      </c>
    </row>
    <row r="207" spans="1:8" ht="13.5" x14ac:dyDescent="0.25">
      <c r="A207" s="1"/>
      <c r="B207" s="3">
        <v>44827</v>
      </c>
      <c r="C207" s="4">
        <v>21.9</v>
      </c>
      <c r="D207" s="4">
        <v>12.8935</v>
      </c>
      <c r="E207" s="4">
        <v>5232</v>
      </c>
      <c r="F207" s="4">
        <v>21.869</v>
      </c>
      <c r="G207" s="4">
        <v>114418.60799999999</v>
      </c>
      <c r="H207" s="5">
        <f t="shared" si="3"/>
        <v>9.212730318257898E-3</v>
      </c>
    </row>
    <row r="208" spans="1:8" ht="13.5" x14ac:dyDescent="0.25">
      <c r="A208" s="1"/>
      <c r="B208" s="3">
        <v>44830</v>
      </c>
      <c r="C208" s="4">
        <v>21.9</v>
      </c>
      <c r="D208" s="4">
        <v>12.8935</v>
      </c>
      <c r="E208" s="4">
        <v>54</v>
      </c>
      <c r="F208" s="4">
        <v>21.9</v>
      </c>
      <c r="G208" s="4">
        <v>1182.5999999999999</v>
      </c>
      <c r="H208" s="5">
        <f t="shared" si="3"/>
        <v>0</v>
      </c>
    </row>
    <row r="209" spans="1:8" ht="13.5" x14ac:dyDescent="0.25">
      <c r="A209" s="1"/>
      <c r="B209" s="3">
        <v>44831</v>
      </c>
      <c r="C209" s="4">
        <v>21.9</v>
      </c>
      <c r="D209" s="4">
        <v>12.8935</v>
      </c>
      <c r="E209" s="4">
        <v>413</v>
      </c>
      <c r="F209" s="4">
        <v>21.568999999999999</v>
      </c>
      <c r="G209" s="4">
        <v>8907.9969999999994</v>
      </c>
      <c r="H209" s="5">
        <f t="shared" si="3"/>
        <v>0</v>
      </c>
    </row>
    <row r="210" spans="1:8" ht="13.5" x14ac:dyDescent="0.25">
      <c r="A210" s="1"/>
      <c r="B210" s="3">
        <v>44832</v>
      </c>
      <c r="C210" s="4">
        <v>21.7</v>
      </c>
      <c r="D210" s="4">
        <v>12.7758</v>
      </c>
      <c r="E210" s="4">
        <v>64</v>
      </c>
      <c r="F210" s="4">
        <v>21.884</v>
      </c>
      <c r="G210" s="4">
        <v>1400.576</v>
      </c>
      <c r="H210" s="5">
        <f t="shared" si="3"/>
        <v>-9.1286307053941324E-3</v>
      </c>
    </row>
    <row r="211" spans="1:8" ht="13.5" x14ac:dyDescent="0.25">
      <c r="A211" s="1"/>
      <c r="B211" s="3">
        <v>44833</v>
      </c>
      <c r="C211" s="4">
        <v>21.2</v>
      </c>
      <c r="D211" s="4">
        <v>12.481400000000001</v>
      </c>
      <c r="E211" s="4">
        <v>870</v>
      </c>
      <c r="F211" s="4">
        <v>21.338999999999999</v>
      </c>
      <c r="G211" s="4">
        <v>18564.93</v>
      </c>
      <c r="H211" s="5">
        <f t="shared" si="3"/>
        <v>-2.3043566743374155E-2</v>
      </c>
    </row>
    <row r="212" spans="1:8" ht="13.5" x14ac:dyDescent="0.25">
      <c r="A212" s="1"/>
      <c r="B212" s="3">
        <v>44834</v>
      </c>
      <c r="C212" s="4">
        <v>21.2</v>
      </c>
      <c r="D212" s="4">
        <v>12.481400000000001</v>
      </c>
      <c r="E212" s="4">
        <v>51</v>
      </c>
      <c r="F212" s="4">
        <v>21.2</v>
      </c>
      <c r="G212" s="4">
        <v>1081.2</v>
      </c>
      <c r="H212" s="5">
        <f t="shared" si="3"/>
        <v>0</v>
      </c>
    </row>
    <row r="213" spans="1:8" ht="13.5" x14ac:dyDescent="0.25">
      <c r="A213" s="1"/>
      <c r="B213" s="3">
        <v>44837</v>
      </c>
      <c r="C213" s="4">
        <v>21.2</v>
      </c>
      <c r="D213" s="4">
        <v>12.481400000000001</v>
      </c>
      <c r="E213" s="4">
        <v>616</v>
      </c>
      <c r="F213" s="4">
        <v>21.100999999999999</v>
      </c>
      <c r="G213" s="4">
        <v>12998.216</v>
      </c>
      <c r="H213" s="5">
        <f t="shared" si="3"/>
        <v>0</v>
      </c>
    </row>
    <row r="214" spans="1:8" ht="13.5" x14ac:dyDescent="0.25">
      <c r="A214" s="1"/>
      <c r="B214" s="3">
        <v>44838</v>
      </c>
      <c r="C214" s="4">
        <v>21.2</v>
      </c>
      <c r="D214" s="4">
        <v>12.481400000000001</v>
      </c>
      <c r="E214" s="4">
        <v>0</v>
      </c>
      <c r="F214" s="4">
        <v>0</v>
      </c>
      <c r="G214" s="4">
        <v>0</v>
      </c>
      <c r="H214" s="5">
        <f t="shared" si="3"/>
        <v>0</v>
      </c>
    </row>
    <row r="215" spans="1:8" ht="13.5" x14ac:dyDescent="0.25">
      <c r="A215" s="1"/>
      <c r="B215" s="3">
        <v>44839</v>
      </c>
      <c r="C215" s="4">
        <v>21.19</v>
      </c>
      <c r="D215" s="4">
        <v>12.4755</v>
      </c>
      <c r="E215" s="4">
        <v>145</v>
      </c>
      <c r="F215" s="4">
        <v>21.192</v>
      </c>
      <c r="G215" s="4">
        <v>3072.84</v>
      </c>
      <c r="H215" s="5">
        <f t="shared" si="3"/>
        <v>-4.7270338263339528E-4</v>
      </c>
    </row>
    <row r="216" spans="1:8" ht="13.5" x14ac:dyDescent="0.25">
      <c r="A216" s="1"/>
      <c r="B216" s="3">
        <v>44840</v>
      </c>
      <c r="C216" s="4">
        <v>20.8</v>
      </c>
      <c r="D216" s="4">
        <v>12.245900000000001</v>
      </c>
      <c r="E216" s="4">
        <v>971</v>
      </c>
      <c r="F216" s="4">
        <v>20.853000000000002</v>
      </c>
      <c r="G216" s="4">
        <v>20248.262999999999</v>
      </c>
      <c r="H216" s="5">
        <f t="shared" si="3"/>
        <v>-1.840407198108289E-2</v>
      </c>
    </row>
    <row r="217" spans="1:8" ht="13.5" x14ac:dyDescent="0.25">
      <c r="A217" s="1"/>
      <c r="B217" s="3">
        <v>44841</v>
      </c>
      <c r="C217" s="4">
        <v>19.7</v>
      </c>
      <c r="D217" s="4">
        <v>11.5983</v>
      </c>
      <c r="E217" s="4">
        <v>694</v>
      </c>
      <c r="F217" s="4">
        <v>19.902999999999999</v>
      </c>
      <c r="G217" s="4">
        <v>13812.682000000001</v>
      </c>
      <c r="H217" s="5">
        <f t="shared" si="3"/>
        <v>-5.2883005740696931E-2</v>
      </c>
    </row>
    <row r="218" spans="1:8" ht="13.5" x14ac:dyDescent="0.25">
      <c r="A218" s="1"/>
      <c r="B218" s="3">
        <v>44844</v>
      </c>
      <c r="C218" s="4">
        <v>19.989999999999998</v>
      </c>
      <c r="D218" s="4">
        <v>11.769</v>
      </c>
      <c r="E218" s="4">
        <v>1490</v>
      </c>
      <c r="F218" s="4">
        <v>19.992999999999999</v>
      </c>
      <c r="G218" s="4">
        <v>29789.57</v>
      </c>
      <c r="H218" s="5">
        <f t="shared" si="3"/>
        <v>1.4717674141900111E-2</v>
      </c>
    </row>
    <row r="219" spans="1:8" ht="13.5" x14ac:dyDescent="0.25">
      <c r="A219" s="1"/>
      <c r="B219" s="3">
        <v>44845</v>
      </c>
      <c r="C219" s="4">
        <v>19.8</v>
      </c>
      <c r="D219" s="4">
        <v>11.6571</v>
      </c>
      <c r="E219" s="4">
        <v>976</v>
      </c>
      <c r="F219" s="4">
        <v>19.797999999999998</v>
      </c>
      <c r="G219" s="4">
        <v>19322.848000000002</v>
      </c>
      <c r="H219" s="5">
        <f t="shared" si="3"/>
        <v>-9.5080295692072676E-3</v>
      </c>
    </row>
    <row r="220" spans="1:8" ht="13.5" x14ac:dyDescent="0.25">
      <c r="A220" s="1"/>
      <c r="B220" s="3">
        <v>44846</v>
      </c>
      <c r="C220" s="4">
        <v>19.7</v>
      </c>
      <c r="D220" s="4">
        <v>11.5983</v>
      </c>
      <c r="E220" s="4">
        <v>6440</v>
      </c>
      <c r="F220" s="4">
        <v>19.701000000000001</v>
      </c>
      <c r="G220" s="4">
        <v>126874.44</v>
      </c>
      <c r="H220" s="5">
        <f t="shared" si="3"/>
        <v>-5.0441361916771536E-3</v>
      </c>
    </row>
    <row r="221" spans="1:8" ht="13.5" x14ac:dyDescent="0.25">
      <c r="A221" s="1"/>
      <c r="B221" s="3">
        <v>44847</v>
      </c>
      <c r="C221" s="4">
        <v>19.7</v>
      </c>
      <c r="D221" s="4">
        <v>11.5983</v>
      </c>
      <c r="E221" s="4">
        <v>75</v>
      </c>
      <c r="F221" s="4">
        <v>19.7</v>
      </c>
      <c r="G221" s="4">
        <v>1477.5</v>
      </c>
      <c r="H221" s="5">
        <f t="shared" si="3"/>
        <v>0</v>
      </c>
    </row>
    <row r="222" spans="1:8" ht="13.5" x14ac:dyDescent="0.25">
      <c r="A222" s="1"/>
      <c r="B222" s="3">
        <v>44848</v>
      </c>
      <c r="C222" s="4">
        <v>20.5</v>
      </c>
      <c r="D222" s="4">
        <v>12.0693</v>
      </c>
      <c r="E222" s="4">
        <v>3399</v>
      </c>
      <c r="F222" s="4">
        <v>19.864000000000001</v>
      </c>
      <c r="G222" s="4">
        <v>67517.736000000004</v>
      </c>
      <c r="H222" s="5">
        <f t="shared" si="3"/>
        <v>4.0609399653397486E-2</v>
      </c>
    </row>
    <row r="223" spans="1:8" ht="13.5" x14ac:dyDescent="0.25">
      <c r="A223" s="1"/>
      <c r="B223" s="3">
        <v>44851</v>
      </c>
      <c r="C223" s="4">
        <v>20.399999999999999</v>
      </c>
      <c r="D223" s="4">
        <v>12.010400000000001</v>
      </c>
      <c r="E223" s="4">
        <v>356</v>
      </c>
      <c r="F223" s="4">
        <v>20.390999999999998</v>
      </c>
      <c r="G223" s="4">
        <v>7259.1959999999999</v>
      </c>
      <c r="H223" s="5">
        <f t="shared" si="3"/>
        <v>-4.8801504644013748E-3</v>
      </c>
    </row>
    <row r="224" spans="1:8" ht="13.5" x14ac:dyDescent="0.25">
      <c r="A224" s="1"/>
      <c r="B224" s="3">
        <v>44852</v>
      </c>
      <c r="C224" s="4">
        <v>21.59</v>
      </c>
      <c r="D224" s="4">
        <v>12.711</v>
      </c>
      <c r="E224" s="4">
        <v>3470</v>
      </c>
      <c r="F224" s="4">
        <v>20.663</v>
      </c>
      <c r="G224" s="4">
        <v>71700.61</v>
      </c>
      <c r="H224" s="5">
        <f t="shared" si="3"/>
        <v>5.8332778258842304E-2</v>
      </c>
    </row>
    <row r="225" spans="1:8" ht="13.5" x14ac:dyDescent="0.25">
      <c r="A225" s="1"/>
      <c r="B225" s="3">
        <v>44853</v>
      </c>
      <c r="C225" s="4">
        <v>21.67</v>
      </c>
      <c r="D225" s="4">
        <v>12.758100000000001</v>
      </c>
      <c r="E225" s="4">
        <v>172</v>
      </c>
      <c r="F225" s="4">
        <v>21.664000000000001</v>
      </c>
      <c r="G225" s="4">
        <v>3726.2080000000001</v>
      </c>
      <c r="H225" s="5">
        <f t="shared" si="3"/>
        <v>3.7054519707340385E-3</v>
      </c>
    </row>
    <row r="226" spans="1:8" ht="13.5" x14ac:dyDescent="0.25">
      <c r="A226" s="1"/>
      <c r="B226" s="3">
        <v>44854</v>
      </c>
      <c r="C226" s="4">
        <v>21.5</v>
      </c>
      <c r="D226" s="4">
        <v>12.657999999999999</v>
      </c>
      <c r="E226" s="4">
        <v>515</v>
      </c>
      <c r="F226" s="4">
        <v>21.196000000000002</v>
      </c>
      <c r="G226" s="4">
        <v>10915.94</v>
      </c>
      <c r="H226" s="5">
        <f t="shared" si="3"/>
        <v>-7.8459958771291329E-3</v>
      </c>
    </row>
    <row r="227" spans="1:8" ht="13.5" x14ac:dyDescent="0.25">
      <c r="A227" s="1"/>
      <c r="B227" s="3">
        <v>44855</v>
      </c>
      <c r="C227" s="4">
        <v>21.65</v>
      </c>
      <c r="D227" s="4">
        <v>12.7463</v>
      </c>
      <c r="E227" s="4">
        <v>740</v>
      </c>
      <c r="F227" s="4">
        <v>21.55</v>
      </c>
      <c r="G227" s="4">
        <v>15947</v>
      </c>
      <c r="H227" s="5">
        <f t="shared" si="3"/>
        <v>6.9758255648601887E-3</v>
      </c>
    </row>
    <row r="228" spans="1:8" ht="13.5" x14ac:dyDescent="0.25">
      <c r="A228" s="1"/>
      <c r="B228" s="3">
        <v>44858</v>
      </c>
      <c r="C228" s="4">
        <v>21.98</v>
      </c>
      <c r="D228" s="4">
        <v>12.9406</v>
      </c>
      <c r="E228" s="4">
        <v>419</v>
      </c>
      <c r="F228" s="4">
        <v>21.58</v>
      </c>
      <c r="G228" s="4">
        <v>9042.02</v>
      </c>
      <c r="H228" s="5">
        <f t="shared" si="3"/>
        <v>1.5243639330629291E-2</v>
      </c>
    </row>
    <row r="229" spans="1:8" ht="13.5" x14ac:dyDescent="0.25">
      <c r="A229" s="1"/>
      <c r="B229" s="3">
        <v>44859</v>
      </c>
      <c r="C229" s="4">
        <v>21.98</v>
      </c>
      <c r="D229" s="4">
        <v>12.9406</v>
      </c>
      <c r="E229" s="4">
        <v>701</v>
      </c>
      <c r="F229" s="4">
        <v>21.989000000000001</v>
      </c>
      <c r="G229" s="4">
        <v>15414.289000000001</v>
      </c>
      <c r="H229" s="5">
        <f t="shared" si="3"/>
        <v>0</v>
      </c>
    </row>
    <row r="230" spans="1:8" ht="13.5" x14ac:dyDescent="0.25">
      <c r="A230" s="1"/>
      <c r="B230" s="3">
        <v>44860</v>
      </c>
      <c r="C230" s="4">
        <v>21.98</v>
      </c>
      <c r="D230" s="4">
        <v>12.9406</v>
      </c>
      <c r="E230" s="4">
        <v>0</v>
      </c>
      <c r="F230" s="4">
        <v>0</v>
      </c>
      <c r="G230" s="4">
        <v>0</v>
      </c>
      <c r="H230" s="5">
        <f t="shared" si="3"/>
        <v>0</v>
      </c>
    </row>
    <row r="231" spans="1:8" ht="13.5" x14ac:dyDescent="0.25">
      <c r="A231" s="1"/>
      <c r="B231" s="3">
        <v>44861</v>
      </c>
      <c r="C231" s="4">
        <v>21.98</v>
      </c>
      <c r="D231" s="4">
        <v>12.9406</v>
      </c>
      <c r="E231" s="4">
        <v>0</v>
      </c>
      <c r="F231" s="4">
        <v>0</v>
      </c>
      <c r="G231" s="4">
        <v>0</v>
      </c>
      <c r="H231" s="5">
        <f t="shared" si="3"/>
        <v>0</v>
      </c>
    </row>
    <row r="232" spans="1:8" ht="13.5" x14ac:dyDescent="0.25">
      <c r="A232" s="1"/>
      <c r="B232" s="3">
        <v>44862</v>
      </c>
      <c r="C232" s="4">
        <v>21.12</v>
      </c>
      <c r="D232" s="4">
        <v>12.4343</v>
      </c>
      <c r="E232" s="4">
        <v>932</v>
      </c>
      <c r="F232" s="4">
        <v>21.42</v>
      </c>
      <c r="G232" s="4">
        <v>19963.439999999999</v>
      </c>
      <c r="H232" s="5">
        <f t="shared" si="3"/>
        <v>-3.9124924655734632E-2</v>
      </c>
    </row>
    <row r="233" spans="1:8" ht="13.5" x14ac:dyDescent="0.25">
      <c r="A233" s="1"/>
      <c r="B233" s="3">
        <v>44865</v>
      </c>
      <c r="C233" s="4">
        <v>21</v>
      </c>
      <c r="D233" s="4">
        <v>12.3636</v>
      </c>
      <c r="E233" s="4">
        <v>1298</v>
      </c>
      <c r="F233" s="4">
        <v>20.986999999999998</v>
      </c>
      <c r="G233" s="4">
        <v>27241.126</v>
      </c>
      <c r="H233" s="5">
        <f t="shared" si="3"/>
        <v>-5.6858850116211146E-3</v>
      </c>
    </row>
    <row r="234" spans="1:8" ht="13.5" x14ac:dyDescent="0.25">
      <c r="A234" s="1"/>
      <c r="B234" s="3">
        <v>44866</v>
      </c>
      <c r="C234" s="4">
        <v>21</v>
      </c>
      <c r="D234" s="4">
        <v>12.3636</v>
      </c>
      <c r="E234" s="4">
        <v>1613</v>
      </c>
      <c r="F234" s="4">
        <v>20.988</v>
      </c>
      <c r="G234" s="4">
        <v>33853.644</v>
      </c>
      <c r="H234" s="5">
        <f t="shared" si="3"/>
        <v>0</v>
      </c>
    </row>
    <row r="235" spans="1:8" ht="13.5" x14ac:dyDescent="0.25">
      <c r="A235" s="1"/>
      <c r="B235" s="3">
        <v>44867</v>
      </c>
      <c r="C235" s="4">
        <v>20.99</v>
      </c>
      <c r="D235" s="4">
        <v>12.357799999999999</v>
      </c>
      <c r="E235" s="4">
        <v>574</v>
      </c>
      <c r="F235" s="4">
        <v>20.902000000000001</v>
      </c>
      <c r="G235" s="4">
        <v>11997.748</v>
      </c>
      <c r="H235" s="5">
        <f t="shared" si="3"/>
        <v>-4.6911902682072321E-4</v>
      </c>
    </row>
    <row r="236" spans="1:8" ht="13.5" x14ac:dyDescent="0.25">
      <c r="A236" s="1"/>
      <c r="B236" s="3">
        <v>44868</v>
      </c>
      <c r="C236" s="4">
        <v>20.8</v>
      </c>
      <c r="D236" s="4">
        <v>12.245900000000001</v>
      </c>
      <c r="E236" s="4">
        <v>80</v>
      </c>
      <c r="F236" s="4">
        <v>20.8</v>
      </c>
      <c r="G236" s="4">
        <v>1664</v>
      </c>
      <c r="H236" s="5">
        <f t="shared" si="3"/>
        <v>-9.0550097913867002E-3</v>
      </c>
    </row>
    <row r="237" spans="1:8" ht="13.5" x14ac:dyDescent="0.25">
      <c r="A237" s="1"/>
      <c r="B237" s="3">
        <v>44869</v>
      </c>
      <c r="C237" s="4">
        <v>20.9</v>
      </c>
      <c r="D237" s="4">
        <v>12.3048</v>
      </c>
      <c r="E237" s="4">
        <v>10</v>
      </c>
      <c r="F237" s="4">
        <v>20.9</v>
      </c>
      <c r="G237" s="4">
        <v>209</v>
      </c>
      <c r="H237" s="5">
        <f t="shared" si="3"/>
        <v>4.8097730669039848E-3</v>
      </c>
    </row>
    <row r="238" spans="1:8" ht="13.5" x14ac:dyDescent="0.25">
      <c r="A238" s="1"/>
      <c r="B238" s="3">
        <v>44872</v>
      </c>
      <c r="C238" s="4">
        <v>20.7</v>
      </c>
      <c r="D238" s="4">
        <v>12.186999999999999</v>
      </c>
      <c r="E238" s="4">
        <v>636</v>
      </c>
      <c r="F238" s="4">
        <v>20.7</v>
      </c>
      <c r="G238" s="4">
        <v>13165.2</v>
      </c>
      <c r="H238" s="5">
        <f t="shared" si="3"/>
        <v>-9.5734997724465885E-3</v>
      </c>
    </row>
    <row r="239" spans="1:8" ht="13.5" x14ac:dyDescent="0.25">
      <c r="A239" s="1"/>
      <c r="B239" s="3">
        <v>44873</v>
      </c>
      <c r="C239" s="4">
        <v>20.7</v>
      </c>
      <c r="D239" s="4">
        <v>12.186999999999999</v>
      </c>
      <c r="E239" s="4">
        <v>439</v>
      </c>
      <c r="F239" s="4">
        <v>20.611000000000001</v>
      </c>
      <c r="G239" s="4">
        <v>9048.2289999999994</v>
      </c>
      <c r="H239" s="5">
        <f t="shared" si="3"/>
        <v>0</v>
      </c>
    </row>
    <row r="240" spans="1:8" ht="13.5" x14ac:dyDescent="0.25">
      <c r="A240" s="1"/>
      <c r="B240" s="3">
        <v>44874</v>
      </c>
      <c r="C240" s="4">
        <v>20.7</v>
      </c>
      <c r="D240" s="4">
        <v>12.186999999999999</v>
      </c>
      <c r="E240" s="4">
        <v>152</v>
      </c>
      <c r="F240" s="4">
        <v>20.667000000000002</v>
      </c>
      <c r="G240" s="4">
        <v>3141.384</v>
      </c>
      <c r="H240" s="5">
        <f t="shared" si="3"/>
        <v>0</v>
      </c>
    </row>
    <row r="241" spans="1:8" ht="13.5" x14ac:dyDescent="0.25">
      <c r="A241" s="1"/>
      <c r="B241" s="3">
        <v>44875</v>
      </c>
      <c r="C241" s="4">
        <v>20.399999999999999</v>
      </c>
      <c r="D241" s="4">
        <v>12.010400000000001</v>
      </c>
      <c r="E241" s="4">
        <v>1546</v>
      </c>
      <c r="F241" s="4">
        <v>20.384</v>
      </c>
      <c r="G241" s="4">
        <v>31513.664000000001</v>
      </c>
      <c r="H241" s="5">
        <f t="shared" si="3"/>
        <v>-1.4490850906703764E-2</v>
      </c>
    </row>
    <row r="242" spans="1:8" ht="13.5" x14ac:dyDescent="0.25">
      <c r="A242" s="1"/>
      <c r="B242" s="3">
        <v>44876</v>
      </c>
      <c r="C242" s="4">
        <v>20.69</v>
      </c>
      <c r="D242" s="4">
        <v>12.181100000000001</v>
      </c>
      <c r="E242" s="4">
        <v>312</v>
      </c>
      <c r="F242" s="4">
        <v>20.212</v>
      </c>
      <c r="G242" s="4">
        <v>6306.1440000000002</v>
      </c>
      <c r="H242" s="5">
        <f t="shared" si="3"/>
        <v>1.4212682341970298E-2</v>
      </c>
    </row>
    <row r="243" spans="1:8" ht="13.5" x14ac:dyDescent="0.25">
      <c r="A243" s="1"/>
      <c r="B243" s="3">
        <v>44879</v>
      </c>
      <c r="C243" s="4">
        <v>20.6</v>
      </c>
      <c r="D243" s="4">
        <v>12.1281</v>
      </c>
      <c r="E243" s="4">
        <v>146</v>
      </c>
      <c r="F243" s="4">
        <v>20.504000000000001</v>
      </c>
      <c r="G243" s="4">
        <v>2993.5839999999998</v>
      </c>
      <c r="H243" s="5">
        <f t="shared" si="3"/>
        <v>-4.3510027829999605E-3</v>
      </c>
    </row>
    <row r="244" spans="1:8" ht="13.5" x14ac:dyDescent="0.25">
      <c r="A244" s="1"/>
      <c r="B244" s="3">
        <v>44880</v>
      </c>
      <c r="C244" s="4">
        <v>20.49</v>
      </c>
      <c r="D244" s="4">
        <v>12.0634</v>
      </c>
      <c r="E244" s="4">
        <v>463</v>
      </c>
      <c r="F244" s="4">
        <v>20.242999999999999</v>
      </c>
      <c r="G244" s="4">
        <v>9372.509</v>
      </c>
      <c r="H244" s="5">
        <f t="shared" si="3"/>
        <v>-5.3347185461861462E-3</v>
      </c>
    </row>
    <row r="245" spans="1:8" ht="13.5" x14ac:dyDescent="0.25">
      <c r="A245" s="1"/>
      <c r="B245" s="3">
        <v>44881</v>
      </c>
      <c r="C245" s="4">
        <v>20.47</v>
      </c>
      <c r="D245" s="4">
        <v>12.051600000000001</v>
      </c>
      <c r="E245" s="4">
        <v>347</v>
      </c>
      <c r="F245" s="4">
        <v>20.469000000000001</v>
      </c>
      <c r="G245" s="4">
        <v>7102.7430000000004</v>
      </c>
      <c r="H245" s="5">
        <f t="shared" si="3"/>
        <v>-9.7816535968293732E-4</v>
      </c>
    </row>
    <row r="246" spans="1:8" ht="13.5" x14ac:dyDescent="0.25">
      <c r="A246" s="1"/>
      <c r="B246" s="3">
        <v>44882</v>
      </c>
      <c r="C246" s="4">
        <v>20.49</v>
      </c>
      <c r="D246" s="4">
        <v>12.0634</v>
      </c>
      <c r="E246" s="4">
        <v>178</v>
      </c>
      <c r="F246" s="4">
        <v>20.148</v>
      </c>
      <c r="G246" s="4">
        <v>3586.3440000000001</v>
      </c>
      <c r="H246" s="5">
        <f t="shared" si="3"/>
        <v>9.7912310398612173E-4</v>
      </c>
    </row>
    <row r="247" spans="1:8" ht="13.5" x14ac:dyDescent="0.25">
      <c r="A247" s="1"/>
      <c r="B247" s="3">
        <v>44883</v>
      </c>
      <c r="C247" s="4">
        <v>20.48</v>
      </c>
      <c r="D247" s="4">
        <v>12.057499999999999</v>
      </c>
      <c r="E247" s="4">
        <v>200</v>
      </c>
      <c r="F247" s="4">
        <v>20.48</v>
      </c>
      <c r="G247" s="4">
        <v>4096</v>
      </c>
      <c r="H247" s="5">
        <f t="shared" si="3"/>
        <v>-4.8908267984154228E-4</v>
      </c>
    </row>
    <row r="248" spans="1:8" ht="13.5" x14ac:dyDescent="0.25">
      <c r="A248" s="1"/>
      <c r="B248" s="3">
        <v>44886</v>
      </c>
      <c r="C248" s="4">
        <v>19.91</v>
      </c>
      <c r="D248" s="4">
        <v>11.7219</v>
      </c>
      <c r="E248" s="4">
        <v>48544</v>
      </c>
      <c r="F248" s="4">
        <v>19.913</v>
      </c>
      <c r="G248" s="4">
        <v>966656.67200000002</v>
      </c>
      <c r="H248" s="5">
        <f t="shared" si="3"/>
        <v>-2.7833298776694961E-2</v>
      </c>
    </row>
    <row r="249" spans="1:8" ht="13.5" x14ac:dyDescent="0.25">
      <c r="A249" s="1"/>
      <c r="B249" s="3">
        <v>44887</v>
      </c>
      <c r="C249" s="4">
        <v>20</v>
      </c>
      <c r="D249" s="4">
        <v>11.774900000000001</v>
      </c>
      <c r="E249" s="4">
        <v>4</v>
      </c>
      <c r="F249" s="4">
        <v>20.344999999999999</v>
      </c>
      <c r="G249" s="4">
        <v>81.38</v>
      </c>
      <c r="H249" s="5">
        <f t="shared" si="3"/>
        <v>4.521451300557147E-3</v>
      </c>
    </row>
    <row r="250" spans="1:8" ht="13.5" x14ac:dyDescent="0.25">
      <c r="A250" s="1"/>
      <c r="B250" s="3">
        <v>44888</v>
      </c>
      <c r="C250" s="4">
        <v>20.46</v>
      </c>
      <c r="D250" s="4">
        <v>12.0457</v>
      </c>
      <c r="E250" s="4">
        <v>396</v>
      </c>
      <c r="F250" s="4">
        <v>20.256</v>
      </c>
      <c r="G250" s="4">
        <v>8021.3760000000002</v>
      </c>
      <c r="H250" s="5">
        <f t="shared" si="3"/>
        <v>2.2998072170464248E-2</v>
      </c>
    </row>
    <row r="251" spans="1:8" ht="13.5" x14ac:dyDescent="0.25">
      <c r="A251" s="1"/>
      <c r="B251" s="3">
        <v>44889</v>
      </c>
      <c r="C251" s="4">
        <v>20.45</v>
      </c>
      <c r="D251" s="4">
        <v>12.0398</v>
      </c>
      <c r="E251" s="4">
        <v>695</v>
      </c>
      <c r="F251" s="4">
        <v>20.434000000000001</v>
      </c>
      <c r="G251" s="4">
        <v>14201.63</v>
      </c>
      <c r="H251" s="5">
        <f t="shared" si="3"/>
        <v>-4.89801339897263E-4</v>
      </c>
    </row>
    <row r="252" spans="1:8" ht="13.5" x14ac:dyDescent="0.25">
      <c r="A252" s="1"/>
      <c r="B252" s="3">
        <v>44890</v>
      </c>
      <c r="C252" s="4">
        <v>20.46</v>
      </c>
      <c r="D252" s="4">
        <v>12.0457</v>
      </c>
      <c r="E252" s="4">
        <v>99</v>
      </c>
      <c r="F252" s="4">
        <v>20.46</v>
      </c>
      <c r="G252" s="4">
        <v>2025.54</v>
      </c>
      <c r="H252" s="5">
        <f t="shared" si="3"/>
        <v>4.9004136281337405E-4</v>
      </c>
    </row>
    <row r="253" spans="1:8" ht="13.5" x14ac:dyDescent="0.25">
      <c r="A253" s="1"/>
      <c r="B253" s="3">
        <v>44893</v>
      </c>
      <c r="C253" s="4">
        <v>20.45</v>
      </c>
      <c r="D253" s="4">
        <v>12.0398</v>
      </c>
      <c r="E253" s="4">
        <v>1</v>
      </c>
      <c r="F253" s="4">
        <v>20.45</v>
      </c>
      <c r="G253" s="4">
        <v>20.45</v>
      </c>
      <c r="H253" s="5">
        <f t="shared" si="3"/>
        <v>-4.89801339897263E-4</v>
      </c>
    </row>
    <row r="254" spans="1:8" ht="13.5" x14ac:dyDescent="0.25">
      <c r="A254" s="1"/>
      <c r="B254" s="3">
        <v>44894</v>
      </c>
      <c r="C254" s="4">
        <v>20.45</v>
      </c>
      <c r="D254" s="4">
        <v>12.0398</v>
      </c>
      <c r="E254" s="4">
        <v>0</v>
      </c>
      <c r="F254" s="4">
        <v>0</v>
      </c>
      <c r="G254" s="4">
        <v>0</v>
      </c>
      <c r="H254" s="5">
        <f t="shared" si="3"/>
        <v>0</v>
      </c>
    </row>
    <row r="255" spans="1:8" ht="13.5" x14ac:dyDescent="0.25">
      <c r="A255" s="1"/>
      <c r="B255" s="3">
        <v>44895</v>
      </c>
      <c r="C255" s="4">
        <v>20</v>
      </c>
      <c r="D255" s="4">
        <v>11.774900000000001</v>
      </c>
      <c r="E255" s="4">
        <v>195</v>
      </c>
      <c r="F255" s="4">
        <v>20.084</v>
      </c>
      <c r="G255" s="4">
        <v>3916.38</v>
      </c>
      <c r="H255" s="5">
        <f t="shared" si="3"/>
        <v>-2.2002026611737658E-2</v>
      </c>
    </row>
    <row r="256" spans="1:8" ht="13.5" x14ac:dyDescent="0.25">
      <c r="A256" s="1"/>
      <c r="B256" s="3">
        <v>44896</v>
      </c>
      <c r="C256" s="4">
        <v>20.8</v>
      </c>
      <c r="D256" s="4">
        <v>12.245900000000001</v>
      </c>
      <c r="E256" s="4">
        <v>290</v>
      </c>
      <c r="F256" s="4">
        <v>20.931000000000001</v>
      </c>
      <c r="G256" s="4">
        <v>6069.99</v>
      </c>
      <c r="H256" s="5">
        <f t="shared" si="3"/>
        <v>4.0000339705645066E-2</v>
      </c>
    </row>
    <row r="257" spans="1:8" ht="13.5" x14ac:dyDescent="0.25">
      <c r="A257" s="1"/>
      <c r="B257" s="3">
        <v>44897</v>
      </c>
      <c r="C257" s="4">
        <v>21.9</v>
      </c>
      <c r="D257" s="4">
        <v>12.8935</v>
      </c>
      <c r="E257" s="4">
        <v>417</v>
      </c>
      <c r="F257" s="4">
        <v>20.881</v>
      </c>
      <c r="G257" s="4">
        <v>8707.3770000000004</v>
      </c>
      <c r="H257" s="5">
        <f t="shared" si="3"/>
        <v>5.2883005740696792E-2</v>
      </c>
    </row>
    <row r="258" spans="1:8" ht="13.5" x14ac:dyDescent="0.25">
      <c r="A258" s="1"/>
      <c r="B258" s="3">
        <v>44900</v>
      </c>
      <c r="C258" s="4">
        <v>21.8</v>
      </c>
      <c r="D258" s="4">
        <v>12.8346</v>
      </c>
      <c r="E258" s="4">
        <v>203</v>
      </c>
      <c r="F258" s="4">
        <v>20.855</v>
      </c>
      <c r="G258" s="4">
        <v>4233.5649999999996</v>
      </c>
      <c r="H258" s="5">
        <f t="shared" si="3"/>
        <v>-4.568193275681507E-3</v>
      </c>
    </row>
    <row r="259" spans="1:8" ht="13.5" x14ac:dyDescent="0.25">
      <c r="A259" s="1"/>
      <c r="B259" s="3">
        <v>44901</v>
      </c>
      <c r="C259" s="4">
        <v>21.8</v>
      </c>
      <c r="D259" s="4">
        <v>12.8346</v>
      </c>
      <c r="E259" s="4">
        <v>0</v>
      </c>
      <c r="F259" s="4">
        <v>0</v>
      </c>
      <c r="G259" s="4">
        <v>0</v>
      </c>
      <c r="H259" s="5">
        <f t="shared" si="3"/>
        <v>0</v>
      </c>
    </row>
    <row r="260" spans="1:8" ht="13.5" x14ac:dyDescent="0.25">
      <c r="A260" s="1"/>
      <c r="B260" s="3">
        <v>44902</v>
      </c>
      <c r="C260" s="4">
        <v>21.3</v>
      </c>
      <c r="D260" s="4">
        <v>12.5403</v>
      </c>
      <c r="E260" s="4">
        <v>567</v>
      </c>
      <c r="F260" s="4">
        <v>20.501000000000001</v>
      </c>
      <c r="G260" s="4">
        <v>11624.066999999999</v>
      </c>
      <c r="H260" s="5">
        <f t="shared" si="3"/>
        <v>-2.2930204291524457E-2</v>
      </c>
    </row>
    <row r="261" spans="1:8" ht="13.5" x14ac:dyDescent="0.25">
      <c r="A261" s="1"/>
      <c r="B261" s="3">
        <v>44903</v>
      </c>
      <c r="C261" s="4">
        <v>20.99</v>
      </c>
      <c r="D261" s="4">
        <v>12.357799999999999</v>
      </c>
      <c r="E261" s="4">
        <v>448</v>
      </c>
      <c r="F261" s="4">
        <v>20.99</v>
      </c>
      <c r="G261" s="4">
        <v>9403.52</v>
      </c>
      <c r="H261" s="5">
        <f t="shared" si="3"/>
        <v>-1.4553080867283956E-2</v>
      </c>
    </row>
    <row r="262" spans="1:8" ht="13.5" x14ac:dyDescent="0.25">
      <c r="A262" s="1"/>
      <c r="B262" s="3">
        <v>44904</v>
      </c>
      <c r="C262" s="4">
        <v>21</v>
      </c>
      <c r="D262" s="4">
        <v>12.3636</v>
      </c>
      <c r="E262" s="4">
        <v>77</v>
      </c>
      <c r="F262" s="4">
        <v>20.513000000000002</v>
      </c>
      <c r="G262" s="4">
        <v>1579.501</v>
      </c>
      <c r="H262" s="5">
        <f t="shared" si="3"/>
        <v>4.6933920277077585E-4</v>
      </c>
    </row>
    <row r="263" spans="1:8" ht="13.5" x14ac:dyDescent="0.25">
      <c r="A263" s="1"/>
      <c r="B263" s="3">
        <v>44907</v>
      </c>
      <c r="C263" s="4">
        <v>20.89</v>
      </c>
      <c r="D263" s="4">
        <v>12.2989</v>
      </c>
      <c r="E263" s="4">
        <v>84</v>
      </c>
      <c r="F263" s="4">
        <v>20.042000000000002</v>
      </c>
      <c r="G263" s="4">
        <v>1683.528</v>
      </c>
      <c r="H263" s="5">
        <f t="shared" ref="H263:H326" si="4">(D263-D262)/D262</f>
        <v>-5.2331036267753896E-3</v>
      </c>
    </row>
    <row r="264" spans="1:8" ht="13.5" x14ac:dyDescent="0.25">
      <c r="A264" s="1"/>
      <c r="B264" s="3">
        <v>44908</v>
      </c>
      <c r="C264" s="4">
        <v>20.78</v>
      </c>
      <c r="D264" s="4">
        <v>12.2341</v>
      </c>
      <c r="E264" s="4">
        <v>100</v>
      </c>
      <c r="F264" s="4">
        <v>20.010999999999999</v>
      </c>
      <c r="G264" s="4">
        <v>2001.1</v>
      </c>
      <c r="H264" s="5">
        <f t="shared" si="4"/>
        <v>-5.2687638731919086E-3</v>
      </c>
    </row>
    <row r="265" spans="1:8" ht="13.5" x14ac:dyDescent="0.25">
      <c r="A265" s="1"/>
      <c r="B265" s="3">
        <v>44909</v>
      </c>
      <c r="C265" s="4">
        <v>20.75</v>
      </c>
      <c r="D265" s="4">
        <v>12.2165</v>
      </c>
      <c r="E265" s="4">
        <v>1844</v>
      </c>
      <c r="F265" s="4">
        <v>20.100000000000001</v>
      </c>
      <c r="G265" s="4">
        <v>37064.400000000001</v>
      </c>
      <c r="H265" s="5">
        <f t="shared" si="4"/>
        <v>-1.4386019404778315E-3</v>
      </c>
    </row>
    <row r="266" spans="1:8" ht="13.5" x14ac:dyDescent="0.25">
      <c r="A266" s="1"/>
      <c r="B266" s="3">
        <v>44910</v>
      </c>
      <c r="C266" s="4">
        <v>20.100000000000001</v>
      </c>
      <c r="D266" s="4">
        <v>11.8338</v>
      </c>
      <c r="E266" s="4">
        <v>410</v>
      </c>
      <c r="F266" s="4">
        <v>20.100000000000001</v>
      </c>
      <c r="G266" s="4">
        <v>8241</v>
      </c>
      <c r="H266" s="5">
        <f t="shared" si="4"/>
        <v>-3.1326484672369322E-2</v>
      </c>
    </row>
    <row r="267" spans="1:8" ht="13.5" x14ac:dyDescent="0.25">
      <c r="A267" s="1"/>
      <c r="B267" s="3">
        <v>44911</v>
      </c>
      <c r="C267" s="4">
        <v>20.7</v>
      </c>
      <c r="D267" s="4">
        <v>12.186999999999999</v>
      </c>
      <c r="E267" s="4">
        <v>1440</v>
      </c>
      <c r="F267" s="4">
        <v>20.425999999999998</v>
      </c>
      <c r="G267" s="4">
        <v>29413.439999999999</v>
      </c>
      <c r="H267" s="5">
        <f t="shared" si="4"/>
        <v>2.984671027058082E-2</v>
      </c>
    </row>
    <row r="268" spans="1:8" ht="13.5" x14ac:dyDescent="0.25">
      <c r="A268" s="1"/>
      <c r="B268" s="3">
        <v>44914</v>
      </c>
      <c r="C268" s="4">
        <v>20.9</v>
      </c>
      <c r="D268" s="4">
        <v>12.3048</v>
      </c>
      <c r="E268" s="4">
        <v>313</v>
      </c>
      <c r="F268" s="4">
        <v>20.797999999999998</v>
      </c>
      <c r="G268" s="4">
        <v>6509.7740000000003</v>
      </c>
      <c r="H268" s="5">
        <f t="shared" si="4"/>
        <v>9.666037581029031E-3</v>
      </c>
    </row>
    <row r="269" spans="1:8" ht="13.5" x14ac:dyDescent="0.25">
      <c r="A269" s="1"/>
      <c r="B269" s="3">
        <v>44915</v>
      </c>
      <c r="C269" s="4">
        <v>20.9</v>
      </c>
      <c r="D269" s="4">
        <v>12.3048</v>
      </c>
      <c r="E269" s="4">
        <v>4981</v>
      </c>
      <c r="F269" s="4">
        <v>20.978999999999999</v>
      </c>
      <c r="G269" s="4">
        <v>104496.399</v>
      </c>
      <c r="H269" s="5">
        <f t="shared" si="4"/>
        <v>0</v>
      </c>
    </row>
    <row r="270" spans="1:8" ht="13.5" x14ac:dyDescent="0.25">
      <c r="A270" s="1"/>
      <c r="B270" s="3">
        <v>44916</v>
      </c>
      <c r="C270" s="4">
        <v>20.89</v>
      </c>
      <c r="D270" s="4">
        <v>12.2989</v>
      </c>
      <c r="E270" s="4">
        <v>1183</v>
      </c>
      <c r="F270" s="4">
        <v>20.640999999999998</v>
      </c>
      <c r="G270" s="4">
        <v>24418.303</v>
      </c>
      <c r="H270" s="5">
        <f t="shared" si="4"/>
        <v>-4.7948767960474451E-4</v>
      </c>
    </row>
    <row r="271" spans="1:8" ht="13.5" x14ac:dyDescent="0.25">
      <c r="A271" s="1"/>
      <c r="B271" s="3">
        <v>44917</v>
      </c>
      <c r="C271" s="4">
        <v>20.89</v>
      </c>
      <c r="D271" s="4">
        <v>12.2989</v>
      </c>
      <c r="E271" s="4">
        <v>14561</v>
      </c>
      <c r="F271" s="4">
        <v>20.701000000000001</v>
      </c>
      <c r="G271" s="4">
        <v>301427.261</v>
      </c>
      <c r="H271" s="5">
        <f t="shared" si="4"/>
        <v>0</v>
      </c>
    </row>
    <row r="272" spans="1:8" ht="13.5" x14ac:dyDescent="0.25">
      <c r="A272" s="1"/>
      <c r="B272" s="3">
        <v>44918</v>
      </c>
      <c r="C272" s="4">
        <v>20.9</v>
      </c>
      <c r="D272" s="4">
        <v>12.3048</v>
      </c>
      <c r="E272" s="4">
        <v>4343</v>
      </c>
      <c r="F272" s="4">
        <v>20.914000000000001</v>
      </c>
      <c r="G272" s="4">
        <v>90829.501999999993</v>
      </c>
      <c r="H272" s="5">
        <f t="shared" si="4"/>
        <v>4.7971769833078247E-4</v>
      </c>
    </row>
    <row r="273" spans="1:8" ht="13.5" x14ac:dyDescent="0.25">
      <c r="A273" s="1"/>
      <c r="B273" s="3">
        <v>44921</v>
      </c>
      <c r="C273" s="4">
        <v>22.15</v>
      </c>
      <c r="D273" s="4">
        <v>13.040699999999999</v>
      </c>
      <c r="E273" s="4">
        <v>3018</v>
      </c>
      <c r="F273" s="4">
        <v>21.501000000000001</v>
      </c>
      <c r="G273" s="4">
        <v>64890.017999999996</v>
      </c>
      <c r="H273" s="5">
        <f t="shared" si="4"/>
        <v>5.9805929393407377E-2</v>
      </c>
    </row>
    <row r="274" spans="1:8" ht="13.5" x14ac:dyDescent="0.25">
      <c r="A274" s="1"/>
      <c r="B274" s="3">
        <v>44922</v>
      </c>
      <c r="C274" s="4">
        <v>23.2</v>
      </c>
      <c r="D274" s="4">
        <v>13.658899999999999</v>
      </c>
      <c r="E274" s="4">
        <v>5086</v>
      </c>
      <c r="F274" s="4">
        <v>22.548999999999999</v>
      </c>
      <c r="G274" s="4">
        <v>114684.21400000001</v>
      </c>
      <c r="H274" s="5">
        <f t="shared" si="4"/>
        <v>4.7405430690070312E-2</v>
      </c>
    </row>
    <row r="275" spans="1:8" ht="13.5" x14ac:dyDescent="0.25">
      <c r="A275" s="1"/>
      <c r="B275" s="3">
        <v>44923</v>
      </c>
      <c r="C275" s="4">
        <v>23.9</v>
      </c>
      <c r="D275" s="4">
        <v>14.071</v>
      </c>
      <c r="E275" s="4">
        <v>6907</v>
      </c>
      <c r="F275" s="4">
        <v>23.841000000000001</v>
      </c>
      <c r="G275" s="4">
        <v>164669.78700000001</v>
      </c>
      <c r="H275" s="5">
        <f t="shared" si="4"/>
        <v>3.0170804383954829E-2</v>
      </c>
    </row>
    <row r="276" spans="1:8" ht="13.5" x14ac:dyDescent="0.25">
      <c r="A276" s="1"/>
      <c r="B276" s="3">
        <v>44924</v>
      </c>
      <c r="C276" s="4">
        <v>24</v>
      </c>
      <c r="D276" s="4">
        <v>14.129899999999999</v>
      </c>
      <c r="E276" s="4">
        <v>6995</v>
      </c>
      <c r="F276" s="4">
        <v>23.963000000000001</v>
      </c>
      <c r="G276" s="4">
        <v>167621.185</v>
      </c>
      <c r="H276" s="5">
        <f t="shared" si="4"/>
        <v>4.1859142918058067E-3</v>
      </c>
    </row>
    <row r="277" spans="1:8" ht="13.5" x14ac:dyDescent="0.25">
      <c r="A277" s="1"/>
      <c r="B277" s="3">
        <v>44925</v>
      </c>
      <c r="C277" s="4">
        <v>24.2</v>
      </c>
      <c r="D277" s="4">
        <v>14.2476</v>
      </c>
      <c r="E277" s="4">
        <v>7584</v>
      </c>
      <c r="F277" s="4">
        <v>24.126999999999999</v>
      </c>
      <c r="G277" s="4">
        <v>182979.16800000001</v>
      </c>
      <c r="H277" s="5">
        <f t="shared" si="4"/>
        <v>8.3298537144637277E-3</v>
      </c>
    </row>
    <row r="278" spans="1:8" ht="13.5" x14ac:dyDescent="0.25">
      <c r="A278" s="1"/>
      <c r="B278" s="3">
        <v>44928</v>
      </c>
      <c r="C278" s="4">
        <v>23.9</v>
      </c>
      <c r="D278" s="4">
        <v>14.071</v>
      </c>
      <c r="E278" s="4">
        <v>1312</v>
      </c>
      <c r="F278" s="4">
        <v>23.925000000000001</v>
      </c>
      <c r="G278" s="4">
        <v>31389.599999999999</v>
      </c>
      <c r="H278" s="5">
        <f t="shared" si="4"/>
        <v>-1.2395070046885127E-2</v>
      </c>
    </row>
    <row r="279" spans="1:8" ht="13.5" x14ac:dyDescent="0.25">
      <c r="A279" s="1"/>
      <c r="B279" s="3">
        <v>44929</v>
      </c>
      <c r="C279" s="4">
        <v>23.8</v>
      </c>
      <c r="D279" s="4">
        <v>14.0121</v>
      </c>
      <c r="E279" s="4">
        <v>2231</v>
      </c>
      <c r="F279" s="4">
        <v>23.827999999999999</v>
      </c>
      <c r="G279" s="4">
        <v>53160.267999999996</v>
      </c>
      <c r="H279" s="5">
        <f t="shared" si="4"/>
        <v>-4.1859142918058067E-3</v>
      </c>
    </row>
    <row r="280" spans="1:8" ht="13.5" x14ac:dyDescent="0.25">
      <c r="A280" s="1"/>
      <c r="B280" s="3">
        <v>44930</v>
      </c>
      <c r="C280" s="4">
        <v>23.5</v>
      </c>
      <c r="D280" s="4">
        <v>13.8355</v>
      </c>
      <c r="E280" s="4">
        <v>1221</v>
      </c>
      <c r="F280" s="4">
        <v>23.501999999999999</v>
      </c>
      <c r="G280" s="4">
        <v>28695.941999999999</v>
      </c>
      <c r="H280" s="5">
        <f t="shared" si="4"/>
        <v>-1.2603392781952778E-2</v>
      </c>
    </row>
    <row r="281" spans="1:8" ht="13.5" x14ac:dyDescent="0.25">
      <c r="A281" s="1"/>
      <c r="B281" s="3">
        <v>44931</v>
      </c>
      <c r="C281" s="4">
        <v>22.52</v>
      </c>
      <c r="D281" s="4">
        <v>13.2585</v>
      </c>
      <c r="E281" s="4">
        <v>84</v>
      </c>
      <c r="F281" s="4">
        <v>22.117999999999999</v>
      </c>
      <c r="G281" s="4">
        <v>1857.912</v>
      </c>
      <c r="H281" s="5">
        <f t="shared" si="4"/>
        <v>-4.1704311372917489E-2</v>
      </c>
    </row>
    <row r="282" spans="1:8" ht="13.5" x14ac:dyDescent="0.25">
      <c r="A282" s="1"/>
      <c r="B282" s="3">
        <v>44932</v>
      </c>
      <c r="C282" s="4">
        <v>22.52</v>
      </c>
      <c r="D282" s="4">
        <v>13.2585</v>
      </c>
      <c r="E282" s="4">
        <v>5712</v>
      </c>
      <c r="F282" s="4">
        <v>22.245999999999999</v>
      </c>
      <c r="G282" s="4">
        <v>127069.152</v>
      </c>
      <c r="H282" s="5">
        <f t="shared" si="4"/>
        <v>0</v>
      </c>
    </row>
    <row r="283" spans="1:8" ht="13.5" x14ac:dyDescent="0.25">
      <c r="A283" s="1"/>
      <c r="B283" s="3">
        <v>44935</v>
      </c>
      <c r="C283" s="4">
        <v>22.52</v>
      </c>
      <c r="D283" s="4">
        <v>13.2585</v>
      </c>
      <c r="E283" s="4">
        <v>2234</v>
      </c>
      <c r="F283" s="4">
        <v>22.35</v>
      </c>
      <c r="G283" s="4">
        <v>49929.9</v>
      </c>
      <c r="H283" s="5">
        <f t="shared" si="4"/>
        <v>0</v>
      </c>
    </row>
    <row r="284" spans="1:8" ht="13.5" x14ac:dyDescent="0.25">
      <c r="A284" s="1"/>
      <c r="B284" s="3">
        <v>44936</v>
      </c>
      <c r="C284" s="4">
        <v>22.52</v>
      </c>
      <c r="D284" s="4">
        <v>13.2585</v>
      </c>
      <c r="E284" s="4">
        <v>1266</v>
      </c>
      <c r="F284" s="4">
        <v>22.411999999999999</v>
      </c>
      <c r="G284" s="4">
        <v>28373.592000000001</v>
      </c>
      <c r="H284" s="5">
        <f t="shared" si="4"/>
        <v>0</v>
      </c>
    </row>
    <row r="285" spans="1:8" ht="13.5" x14ac:dyDescent="0.25">
      <c r="A285" s="1"/>
      <c r="B285" s="3">
        <v>44937</v>
      </c>
      <c r="C285" s="4">
        <v>22.52</v>
      </c>
      <c r="D285" s="4">
        <v>13.2585</v>
      </c>
      <c r="E285" s="4">
        <v>3248</v>
      </c>
      <c r="F285" s="4">
        <v>22.094000000000001</v>
      </c>
      <c r="G285" s="4">
        <v>71761.312000000005</v>
      </c>
      <c r="H285" s="5">
        <f t="shared" si="4"/>
        <v>0</v>
      </c>
    </row>
    <row r="286" spans="1:8" ht="13.5" x14ac:dyDescent="0.25">
      <c r="A286" s="1"/>
      <c r="B286" s="3">
        <v>44938</v>
      </c>
      <c r="C286" s="4">
        <v>21.9</v>
      </c>
      <c r="D286" s="4">
        <v>12.8935</v>
      </c>
      <c r="E286" s="4">
        <v>627</v>
      </c>
      <c r="F286" s="4">
        <v>21.901</v>
      </c>
      <c r="G286" s="4">
        <v>13731.927</v>
      </c>
      <c r="H286" s="5">
        <f t="shared" si="4"/>
        <v>-2.7529509371346701E-2</v>
      </c>
    </row>
    <row r="287" spans="1:8" ht="13.5" x14ac:dyDescent="0.25">
      <c r="A287" s="1"/>
      <c r="B287" s="3">
        <v>44939</v>
      </c>
      <c r="C287" s="4">
        <v>22.29</v>
      </c>
      <c r="D287" s="4">
        <v>13.123100000000001</v>
      </c>
      <c r="E287" s="4">
        <v>7250</v>
      </c>
      <c r="F287" s="4">
        <v>21.55</v>
      </c>
      <c r="G287" s="4">
        <v>156237.5</v>
      </c>
      <c r="H287" s="5">
        <f t="shared" si="4"/>
        <v>1.7807422344592344E-2</v>
      </c>
    </row>
    <row r="288" spans="1:8" ht="13.5" x14ac:dyDescent="0.25">
      <c r="A288" s="1"/>
      <c r="B288" s="3">
        <v>44942</v>
      </c>
      <c r="C288" s="4">
        <v>22</v>
      </c>
      <c r="D288" s="4">
        <v>12.952400000000001</v>
      </c>
      <c r="E288" s="4">
        <v>856</v>
      </c>
      <c r="F288" s="4">
        <v>21.594000000000001</v>
      </c>
      <c r="G288" s="4">
        <v>18484.464</v>
      </c>
      <c r="H288" s="5">
        <f t="shared" si="4"/>
        <v>-1.3007597290274406E-2</v>
      </c>
    </row>
    <row r="289" spans="1:8" ht="13.5" x14ac:dyDescent="0.25">
      <c r="A289" s="1"/>
      <c r="B289" s="3">
        <v>44943</v>
      </c>
      <c r="C289" s="4">
        <v>22</v>
      </c>
      <c r="D289" s="4">
        <v>12.952400000000001</v>
      </c>
      <c r="E289" s="4">
        <v>0</v>
      </c>
      <c r="F289" s="4">
        <v>0</v>
      </c>
      <c r="G289" s="4">
        <v>0</v>
      </c>
      <c r="H289" s="5">
        <f t="shared" si="4"/>
        <v>0</v>
      </c>
    </row>
    <row r="290" spans="1:8" ht="13.5" x14ac:dyDescent="0.25">
      <c r="A290" s="1"/>
      <c r="B290" s="3">
        <v>44944</v>
      </c>
      <c r="C290" s="4">
        <v>21.99</v>
      </c>
      <c r="D290" s="4">
        <v>12.9465</v>
      </c>
      <c r="E290" s="4">
        <v>235</v>
      </c>
      <c r="F290" s="4">
        <v>21.99</v>
      </c>
      <c r="G290" s="4">
        <v>5167.6499999999996</v>
      </c>
      <c r="H290" s="5">
        <f t="shared" si="4"/>
        <v>-4.5551403600880609E-4</v>
      </c>
    </row>
    <row r="291" spans="1:8" ht="13.5" x14ac:dyDescent="0.25">
      <c r="A291" s="1"/>
      <c r="B291" s="3">
        <v>44945</v>
      </c>
      <c r="C291" s="4">
        <v>22.3</v>
      </c>
      <c r="D291" s="4">
        <v>13.129</v>
      </c>
      <c r="E291" s="4">
        <v>3694</v>
      </c>
      <c r="F291" s="4">
        <v>22.015999999999998</v>
      </c>
      <c r="G291" s="4">
        <v>81327.104000000007</v>
      </c>
      <c r="H291" s="5">
        <f t="shared" si="4"/>
        <v>1.4096473950488488E-2</v>
      </c>
    </row>
    <row r="292" spans="1:8" ht="13.5" x14ac:dyDescent="0.25">
      <c r="A292" s="1"/>
      <c r="B292" s="3">
        <v>44946</v>
      </c>
      <c r="C292" s="4">
        <v>22</v>
      </c>
      <c r="D292" s="4">
        <v>12.952400000000001</v>
      </c>
      <c r="E292" s="4">
        <v>13407</v>
      </c>
      <c r="F292" s="4">
        <v>22.026</v>
      </c>
      <c r="G292" s="4">
        <v>295302.58199999999</v>
      </c>
      <c r="H292" s="5">
        <f t="shared" si="4"/>
        <v>-1.3451138700586394E-2</v>
      </c>
    </row>
    <row r="293" spans="1:8" ht="13.5" x14ac:dyDescent="0.25">
      <c r="A293" s="1"/>
      <c r="B293" s="3">
        <v>44949</v>
      </c>
      <c r="C293" s="4">
        <v>22.3</v>
      </c>
      <c r="D293" s="4">
        <v>13.129</v>
      </c>
      <c r="E293" s="4">
        <v>623</v>
      </c>
      <c r="F293" s="4">
        <v>21.992999999999999</v>
      </c>
      <c r="G293" s="4">
        <v>13701.638999999999</v>
      </c>
      <c r="H293" s="5">
        <f t="shared" si="4"/>
        <v>1.3634538772737003E-2</v>
      </c>
    </row>
    <row r="294" spans="1:8" ht="13.5" x14ac:dyDescent="0.25">
      <c r="A294" s="1"/>
      <c r="B294" s="3">
        <v>44950</v>
      </c>
      <c r="C294" s="4">
        <v>22.25</v>
      </c>
      <c r="D294" s="4">
        <v>13.099600000000001</v>
      </c>
      <c r="E294" s="4">
        <v>57</v>
      </c>
      <c r="F294" s="4">
        <v>22.25</v>
      </c>
      <c r="G294" s="4">
        <v>1268.25</v>
      </c>
      <c r="H294" s="5">
        <f t="shared" si="4"/>
        <v>-2.239317541320663E-3</v>
      </c>
    </row>
    <row r="295" spans="1:8" ht="13.5" x14ac:dyDescent="0.25">
      <c r="A295" s="1"/>
      <c r="B295" s="3">
        <v>44951</v>
      </c>
      <c r="C295" s="4">
        <v>22.19</v>
      </c>
      <c r="D295" s="4">
        <v>13.0642</v>
      </c>
      <c r="E295" s="4">
        <v>281</v>
      </c>
      <c r="F295" s="4">
        <v>22.001000000000001</v>
      </c>
      <c r="G295" s="4">
        <v>6182.2809999999999</v>
      </c>
      <c r="H295" s="5">
        <f t="shared" si="4"/>
        <v>-2.7023725915295877E-3</v>
      </c>
    </row>
    <row r="296" spans="1:8" ht="13.5" x14ac:dyDescent="0.25">
      <c r="A296" s="1"/>
      <c r="B296" s="3">
        <v>44952</v>
      </c>
      <c r="C296" s="4">
        <v>22.19</v>
      </c>
      <c r="D296" s="4">
        <v>13.0642</v>
      </c>
      <c r="E296" s="4">
        <v>0</v>
      </c>
      <c r="F296" s="4">
        <v>0</v>
      </c>
      <c r="G296" s="4">
        <v>0</v>
      </c>
      <c r="H296" s="5">
        <f t="shared" si="4"/>
        <v>0</v>
      </c>
    </row>
    <row r="297" spans="1:8" ht="13.5" x14ac:dyDescent="0.25">
      <c r="A297" s="1"/>
      <c r="B297" s="3">
        <v>44953</v>
      </c>
      <c r="C297" s="4">
        <v>22.18</v>
      </c>
      <c r="D297" s="4">
        <v>13.058400000000001</v>
      </c>
      <c r="E297" s="4">
        <v>385</v>
      </c>
      <c r="F297" s="4">
        <v>21.800999999999998</v>
      </c>
      <c r="G297" s="4">
        <v>8393.3850000000002</v>
      </c>
      <c r="H297" s="5">
        <f t="shared" si="4"/>
        <v>-4.4396136005258013E-4</v>
      </c>
    </row>
    <row r="298" spans="1:8" ht="13.5" x14ac:dyDescent="0.25">
      <c r="A298" s="1"/>
      <c r="B298" s="3">
        <v>44956</v>
      </c>
      <c r="C298" s="4">
        <v>21.8</v>
      </c>
      <c r="D298" s="4">
        <v>12.8346</v>
      </c>
      <c r="E298" s="4">
        <v>1135</v>
      </c>
      <c r="F298" s="4">
        <v>21.8</v>
      </c>
      <c r="G298" s="4">
        <v>24743</v>
      </c>
      <c r="H298" s="5">
        <f t="shared" si="4"/>
        <v>-1.7138393677632837E-2</v>
      </c>
    </row>
    <row r="299" spans="1:8" ht="13.5" x14ac:dyDescent="0.25">
      <c r="A299" s="1"/>
      <c r="B299" s="3">
        <v>44957</v>
      </c>
      <c r="C299" s="4">
        <v>21.6</v>
      </c>
      <c r="D299" s="4">
        <v>12.716900000000001</v>
      </c>
      <c r="E299" s="4">
        <v>4794</v>
      </c>
      <c r="F299" s="4">
        <v>21.701000000000001</v>
      </c>
      <c r="G299" s="4">
        <v>104034.594</v>
      </c>
      <c r="H299" s="5">
        <f t="shared" si="4"/>
        <v>-9.1705234288563149E-3</v>
      </c>
    </row>
    <row r="300" spans="1:8" ht="13.5" x14ac:dyDescent="0.25">
      <c r="A300" s="1"/>
      <c r="B300" s="3">
        <v>44958</v>
      </c>
      <c r="C300" s="4">
        <v>21.6</v>
      </c>
      <c r="D300" s="4">
        <v>12.716900000000001</v>
      </c>
      <c r="E300" s="4">
        <v>275</v>
      </c>
      <c r="F300" s="4">
        <v>21.6</v>
      </c>
      <c r="G300" s="4">
        <v>5940</v>
      </c>
      <c r="H300" s="5">
        <f t="shared" si="4"/>
        <v>0</v>
      </c>
    </row>
    <row r="301" spans="1:8" ht="13.5" x14ac:dyDescent="0.25">
      <c r="A301" s="1"/>
      <c r="B301" s="3">
        <v>44959</v>
      </c>
      <c r="C301" s="4">
        <v>21.5</v>
      </c>
      <c r="D301" s="4">
        <v>12.657999999999999</v>
      </c>
      <c r="E301" s="4">
        <v>202</v>
      </c>
      <c r="F301" s="4">
        <v>21.436</v>
      </c>
      <c r="G301" s="4">
        <v>4330.0720000000001</v>
      </c>
      <c r="H301" s="5">
        <f t="shared" si="4"/>
        <v>-4.6316319228743861E-3</v>
      </c>
    </row>
    <row r="302" spans="1:8" ht="13.5" x14ac:dyDescent="0.25">
      <c r="A302" s="1"/>
      <c r="B302" s="3">
        <v>44960</v>
      </c>
      <c r="C302" s="4">
        <v>21.5</v>
      </c>
      <c r="D302" s="4">
        <v>12.657999999999999</v>
      </c>
      <c r="E302" s="4">
        <v>487</v>
      </c>
      <c r="F302" s="4">
        <v>21.495000000000001</v>
      </c>
      <c r="G302" s="4">
        <v>10468.065000000001</v>
      </c>
      <c r="H302" s="5">
        <f t="shared" si="4"/>
        <v>0</v>
      </c>
    </row>
    <row r="303" spans="1:8" ht="13.5" x14ac:dyDescent="0.25">
      <c r="A303" s="1"/>
      <c r="B303" s="3">
        <v>44963</v>
      </c>
      <c r="C303" s="4">
        <v>21.5</v>
      </c>
      <c r="D303" s="4">
        <v>12.657999999999999</v>
      </c>
      <c r="E303" s="4">
        <v>561</v>
      </c>
      <c r="F303" s="4">
        <v>21.181000000000001</v>
      </c>
      <c r="G303" s="4">
        <v>11882.540999999999</v>
      </c>
      <c r="H303" s="5">
        <f t="shared" si="4"/>
        <v>0</v>
      </c>
    </row>
    <row r="304" spans="1:8" ht="13.5" x14ac:dyDescent="0.25">
      <c r="A304" s="1"/>
      <c r="B304" s="3">
        <v>44964</v>
      </c>
      <c r="C304" s="4">
        <v>21.5</v>
      </c>
      <c r="D304" s="4">
        <v>12.657999999999999</v>
      </c>
      <c r="E304" s="4">
        <v>232</v>
      </c>
      <c r="F304" s="4">
        <v>21.213000000000001</v>
      </c>
      <c r="G304" s="4">
        <v>4921.4160000000002</v>
      </c>
      <c r="H304" s="5">
        <f t="shared" si="4"/>
        <v>0</v>
      </c>
    </row>
    <row r="305" spans="1:8" ht="13.5" x14ac:dyDescent="0.25">
      <c r="A305" s="1"/>
      <c r="B305" s="3">
        <v>44965</v>
      </c>
      <c r="C305" s="4">
        <v>21.2</v>
      </c>
      <c r="D305" s="4">
        <v>12.481400000000001</v>
      </c>
      <c r="E305" s="4">
        <v>340</v>
      </c>
      <c r="F305" s="4">
        <v>21.2</v>
      </c>
      <c r="G305" s="4">
        <v>7208</v>
      </c>
      <c r="H305" s="5">
        <f t="shared" si="4"/>
        <v>-1.3951651129720237E-2</v>
      </c>
    </row>
    <row r="306" spans="1:8" ht="13.5" x14ac:dyDescent="0.25">
      <c r="A306" s="1"/>
      <c r="B306" s="3">
        <v>44966</v>
      </c>
      <c r="C306" s="4">
        <v>21.2</v>
      </c>
      <c r="D306" s="4">
        <v>12.481400000000001</v>
      </c>
      <c r="E306" s="4">
        <v>955</v>
      </c>
      <c r="F306" s="4">
        <v>21.2</v>
      </c>
      <c r="G306" s="4">
        <v>20246</v>
      </c>
      <c r="H306" s="5">
        <f t="shared" si="4"/>
        <v>0</v>
      </c>
    </row>
    <row r="307" spans="1:8" ht="13.5" x14ac:dyDescent="0.25">
      <c r="A307" s="1"/>
      <c r="B307" s="3">
        <v>44967</v>
      </c>
      <c r="C307" s="4">
        <v>21.5</v>
      </c>
      <c r="D307" s="4">
        <v>12.657999999999999</v>
      </c>
      <c r="E307" s="4">
        <v>957</v>
      </c>
      <c r="F307" s="4">
        <v>21.379000000000001</v>
      </c>
      <c r="G307" s="4">
        <v>20459.703000000001</v>
      </c>
      <c r="H307" s="5">
        <f t="shared" si="4"/>
        <v>1.4149053792042459E-2</v>
      </c>
    </row>
    <row r="308" spans="1:8" ht="13.5" x14ac:dyDescent="0.25">
      <c r="A308" s="1"/>
      <c r="B308" s="3">
        <v>44970</v>
      </c>
      <c r="C308" s="4">
        <v>21.5</v>
      </c>
      <c r="D308" s="4">
        <v>12.657999999999999</v>
      </c>
      <c r="E308" s="4">
        <v>22</v>
      </c>
      <c r="F308" s="4">
        <v>21.5</v>
      </c>
      <c r="G308" s="4">
        <v>473</v>
      </c>
      <c r="H308" s="5">
        <f t="shared" si="4"/>
        <v>0</v>
      </c>
    </row>
    <row r="309" spans="1:8" ht="13.5" x14ac:dyDescent="0.25">
      <c r="A309" s="1"/>
      <c r="B309" s="3">
        <v>44971</v>
      </c>
      <c r="C309" s="4">
        <v>21.5</v>
      </c>
      <c r="D309" s="4">
        <v>12.657999999999999</v>
      </c>
      <c r="E309" s="4">
        <v>374</v>
      </c>
      <c r="F309" s="4">
        <v>21.501999999999999</v>
      </c>
      <c r="G309" s="4">
        <v>8041.7479999999996</v>
      </c>
      <c r="H309" s="5">
        <f t="shared" si="4"/>
        <v>0</v>
      </c>
    </row>
    <row r="310" spans="1:8" ht="13.5" x14ac:dyDescent="0.25">
      <c r="A310" s="1"/>
      <c r="B310" s="3">
        <v>44972</v>
      </c>
      <c r="C310" s="4">
        <v>21.6</v>
      </c>
      <c r="D310" s="4">
        <v>12.716900000000001</v>
      </c>
      <c r="E310" s="4">
        <v>690</v>
      </c>
      <c r="F310" s="4">
        <v>21.504000000000001</v>
      </c>
      <c r="G310" s="4">
        <v>14837.76</v>
      </c>
      <c r="H310" s="5">
        <f t="shared" si="4"/>
        <v>4.653183757307733E-3</v>
      </c>
    </row>
    <row r="311" spans="1:8" ht="13.5" x14ac:dyDescent="0.25">
      <c r="A311" s="1"/>
      <c r="B311" s="3">
        <v>44973</v>
      </c>
      <c r="C311" s="4">
        <v>21.5</v>
      </c>
      <c r="D311" s="4">
        <v>12.657999999999999</v>
      </c>
      <c r="E311" s="4">
        <v>350</v>
      </c>
      <c r="F311" s="4">
        <v>21.503</v>
      </c>
      <c r="G311" s="4">
        <v>7526.05</v>
      </c>
      <c r="H311" s="5">
        <f t="shared" si="4"/>
        <v>-4.6316319228743861E-3</v>
      </c>
    </row>
    <row r="312" spans="1:8" ht="13.5" x14ac:dyDescent="0.25">
      <c r="A312" s="1"/>
      <c r="B312" s="3">
        <v>44974</v>
      </c>
      <c r="C312" s="4">
        <v>21.4</v>
      </c>
      <c r="D312" s="4">
        <v>12.5991</v>
      </c>
      <c r="E312" s="4">
        <v>1818</v>
      </c>
      <c r="F312" s="4">
        <v>21.481000000000002</v>
      </c>
      <c r="G312" s="4">
        <v>39052.457999999999</v>
      </c>
      <c r="H312" s="5">
        <f t="shared" si="4"/>
        <v>-4.6531837573075925E-3</v>
      </c>
    </row>
    <row r="313" spans="1:8" ht="13.5" x14ac:dyDescent="0.25">
      <c r="A313" s="1"/>
      <c r="B313" s="3">
        <v>44977</v>
      </c>
      <c r="C313" s="4">
        <v>21.6</v>
      </c>
      <c r="D313" s="4">
        <v>12.716900000000001</v>
      </c>
      <c r="E313" s="4">
        <v>411</v>
      </c>
      <c r="F313" s="4">
        <v>21.231999999999999</v>
      </c>
      <c r="G313" s="4">
        <v>8726.3520000000008</v>
      </c>
      <c r="H313" s="5">
        <f t="shared" si="4"/>
        <v>9.3498741973633663E-3</v>
      </c>
    </row>
    <row r="314" spans="1:8" ht="13.5" x14ac:dyDescent="0.25">
      <c r="A314" s="1"/>
      <c r="B314" s="3">
        <v>44978</v>
      </c>
      <c r="C314" s="4">
        <v>21.6</v>
      </c>
      <c r="D314" s="4">
        <v>12.716900000000001</v>
      </c>
      <c r="E314" s="4">
        <v>247</v>
      </c>
      <c r="F314" s="4">
        <v>21.314</v>
      </c>
      <c r="G314" s="4">
        <v>5264.558</v>
      </c>
      <c r="H314" s="5">
        <f t="shared" si="4"/>
        <v>0</v>
      </c>
    </row>
    <row r="315" spans="1:8" ht="13.5" x14ac:dyDescent="0.25">
      <c r="A315" s="1"/>
      <c r="B315" s="3">
        <v>44979</v>
      </c>
      <c r="C315" s="4">
        <v>21.6</v>
      </c>
      <c r="D315" s="4">
        <v>12.716900000000001</v>
      </c>
      <c r="E315" s="4">
        <v>762</v>
      </c>
      <c r="F315" s="4">
        <v>21.207000000000001</v>
      </c>
      <c r="G315" s="4">
        <v>16159.734</v>
      </c>
      <c r="H315" s="5">
        <f t="shared" si="4"/>
        <v>0</v>
      </c>
    </row>
    <row r="316" spans="1:8" ht="13.5" x14ac:dyDescent="0.25">
      <c r="A316" s="1"/>
      <c r="B316" s="3">
        <v>44980</v>
      </c>
      <c r="C316" s="4">
        <v>21.6</v>
      </c>
      <c r="D316" s="4">
        <v>12.716900000000001</v>
      </c>
      <c r="E316" s="4">
        <v>6023</v>
      </c>
      <c r="F316" s="4">
        <v>21.036999999999999</v>
      </c>
      <c r="G316" s="4">
        <v>126705.851</v>
      </c>
      <c r="H316" s="5">
        <f t="shared" si="4"/>
        <v>0</v>
      </c>
    </row>
    <row r="317" spans="1:8" ht="13.5" x14ac:dyDescent="0.25">
      <c r="A317" s="1"/>
      <c r="B317" s="3">
        <v>44981</v>
      </c>
      <c r="C317" s="4">
        <v>21.6</v>
      </c>
      <c r="D317" s="4">
        <v>12.716900000000001</v>
      </c>
      <c r="E317" s="4">
        <v>1375</v>
      </c>
      <c r="F317" s="4">
        <v>21.466000000000001</v>
      </c>
      <c r="G317" s="4">
        <v>29515.75</v>
      </c>
      <c r="H317" s="5">
        <f t="shared" si="4"/>
        <v>0</v>
      </c>
    </row>
    <row r="318" spans="1:8" ht="13.5" x14ac:dyDescent="0.25">
      <c r="A318" s="1"/>
      <c r="B318" s="3">
        <v>44984</v>
      </c>
      <c r="C318" s="4">
        <v>21.6</v>
      </c>
      <c r="D318" s="4">
        <v>12.716900000000001</v>
      </c>
      <c r="E318" s="4">
        <v>0</v>
      </c>
      <c r="F318" s="4">
        <v>0</v>
      </c>
      <c r="G318" s="4">
        <v>0</v>
      </c>
      <c r="H318" s="5">
        <f t="shared" si="4"/>
        <v>0</v>
      </c>
    </row>
    <row r="319" spans="1:8" ht="13.5" x14ac:dyDescent="0.25">
      <c r="A319" s="1"/>
      <c r="B319" s="3">
        <v>44985</v>
      </c>
      <c r="C319" s="4">
        <v>21.6</v>
      </c>
      <c r="D319" s="4">
        <v>12.716900000000001</v>
      </c>
      <c r="E319" s="4">
        <v>0</v>
      </c>
      <c r="F319" s="4">
        <v>0</v>
      </c>
      <c r="G319" s="4">
        <v>0</v>
      </c>
      <c r="H319" s="5">
        <f t="shared" si="4"/>
        <v>0</v>
      </c>
    </row>
    <row r="320" spans="1:8" ht="13.5" x14ac:dyDescent="0.25">
      <c r="A320" s="1"/>
      <c r="B320" s="3">
        <v>44986</v>
      </c>
      <c r="C320" s="4">
        <v>22</v>
      </c>
      <c r="D320" s="4">
        <v>12.952400000000001</v>
      </c>
      <c r="E320" s="4">
        <v>388</v>
      </c>
      <c r="F320" s="4">
        <v>21.832999999999998</v>
      </c>
      <c r="G320" s="4">
        <v>8471.2039999999997</v>
      </c>
      <c r="H320" s="5">
        <f t="shared" si="4"/>
        <v>1.8518664139845403E-2</v>
      </c>
    </row>
    <row r="321" spans="1:8" ht="13.5" x14ac:dyDescent="0.25">
      <c r="A321" s="1"/>
      <c r="B321" s="3">
        <v>44987</v>
      </c>
      <c r="C321" s="4">
        <v>21.7</v>
      </c>
      <c r="D321" s="4">
        <v>12.7758</v>
      </c>
      <c r="E321" s="4">
        <v>1783</v>
      </c>
      <c r="F321" s="4">
        <v>21.646000000000001</v>
      </c>
      <c r="G321" s="4">
        <v>38594.817999999999</v>
      </c>
      <c r="H321" s="5">
        <f t="shared" si="4"/>
        <v>-1.363453877273714E-2</v>
      </c>
    </row>
    <row r="322" spans="1:8" ht="13.5" x14ac:dyDescent="0.25">
      <c r="A322" s="1"/>
      <c r="B322" s="3">
        <v>44988</v>
      </c>
      <c r="C322" s="4">
        <v>21.9</v>
      </c>
      <c r="D322" s="4">
        <v>12.8935</v>
      </c>
      <c r="E322" s="4">
        <v>430</v>
      </c>
      <c r="F322" s="4">
        <v>21.876000000000001</v>
      </c>
      <c r="G322" s="4">
        <v>9406.68</v>
      </c>
      <c r="H322" s="5">
        <f t="shared" si="4"/>
        <v>9.212730318257898E-3</v>
      </c>
    </row>
    <row r="323" spans="1:8" ht="13.5" x14ac:dyDescent="0.25">
      <c r="A323" s="1"/>
      <c r="B323" s="3">
        <v>44991</v>
      </c>
      <c r="C323" s="4">
        <v>22.1</v>
      </c>
      <c r="D323" s="4">
        <v>13.0113</v>
      </c>
      <c r="E323" s="4">
        <v>453</v>
      </c>
      <c r="F323" s="4">
        <v>21.972000000000001</v>
      </c>
      <c r="G323" s="4">
        <v>9953.3160000000007</v>
      </c>
      <c r="H323" s="5">
        <f t="shared" si="4"/>
        <v>9.1363865513631511E-3</v>
      </c>
    </row>
    <row r="324" spans="1:8" ht="13.5" x14ac:dyDescent="0.25">
      <c r="A324" s="1"/>
      <c r="B324" s="3">
        <v>44992</v>
      </c>
      <c r="C324" s="4">
        <v>22</v>
      </c>
      <c r="D324" s="4">
        <v>12.952400000000001</v>
      </c>
      <c r="E324" s="4">
        <v>253</v>
      </c>
      <c r="F324" s="4">
        <v>21.832000000000001</v>
      </c>
      <c r="G324" s="4">
        <v>5523.4960000000001</v>
      </c>
      <c r="H324" s="5">
        <f t="shared" si="4"/>
        <v>-4.5268343670501416E-3</v>
      </c>
    </row>
    <row r="325" spans="1:8" ht="13.5" x14ac:dyDescent="0.25">
      <c r="A325" s="1"/>
      <c r="B325" s="3">
        <v>44993</v>
      </c>
      <c r="C325" s="4">
        <v>21.7</v>
      </c>
      <c r="D325" s="4">
        <v>12.7758</v>
      </c>
      <c r="E325" s="4">
        <v>318</v>
      </c>
      <c r="F325" s="4">
        <v>21.614999999999998</v>
      </c>
      <c r="G325" s="4">
        <v>6873.57</v>
      </c>
      <c r="H325" s="5">
        <f t="shared" si="4"/>
        <v>-1.363453877273714E-2</v>
      </c>
    </row>
    <row r="326" spans="1:8" ht="13.5" x14ac:dyDescent="0.25">
      <c r="A326" s="1"/>
      <c r="B326" s="3">
        <v>44994</v>
      </c>
      <c r="C326" s="4">
        <v>21.99</v>
      </c>
      <c r="D326" s="4">
        <v>12.9465</v>
      </c>
      <c r="E326" s="4">
        <v>39</v>
      </c>
      <c r="F326" s="4">
        <v>21.895</v>
      </c>
      <c r="G326" s="4">
        <v>853.90499999999997</v>
      </c>
      <c r="H326" s="5">
        <f t="shared" si="4"/>
        <v>1.3361198515944212E-2</v>
      </c>
    </row>
    <row r="327" spans="1:8" ht="13.5" x14ac:dyDescent="0.25">
      <c r="A327" s="1"/>
      <c r="B327" s="3">
        <v>44995</v>
      </c>
      <c r="C327" s="4">
        <v>21.9</v>
      </c>
      <c r="D327" s="4">
        <v>12.8935</v>
      </c>
      <c r="E327" s="4">
        <v>437</v>
      </c>
      <c r="F327" s="4">
        <v>21.956</v>
      </c>
      <c r="G327" s="4">
        <v>9594.7720000000008</v>
      </c>
      <c r="H327" s="5">
        <f t="shared" ref="H327:H390" si="5">(D327-D326)/D326</f>
        <v>-4.0937705171282448E-3</v>
      </c>
    </row>
    <row r="328" spans="1:8" ht="13.5" x14ac:dyDescent="0.25">
      <c r="A328" s="1"/>
      <c r="B328" s="3">
        <v>44998</v>
      </c>
      <c r="C328" s="4">
        <v>21.97</v>
      </c>
      <c r="D328" s="4">
        <v>12.934699999999999</v>
      </c>
      <c r="E328" s="4">
        <v>339</v>
      </c>
      <c r="F328" s="4">
        <v>21.702000000000002</v>
      </c>
      <c r="G328" s="4">
        <v>7356.9780000000001</v>
      </c>
      <c r="H328" s="5">
        <f t="shared" si="5"/>
        <v>3.1954085391864046E-3</v>
      </c>
    </row>
    <row r="329" spans="1:8" ht="13.5" x14ac:dyDescent="0.25">
      <c r="A329" s="1"/>
      <c r="B329" s="3">
        <v>44999</v>
      </c>
      <c r="C329" s="4">
        <v>21.97</v>
      </c>
      <c r="D329" s="4">
        <v>12.934699999999999</v>
      </c>
      <c r="E329" s="4">
        <v>0</v>
      </c>
      <c r="F329" s="4">
        <v>0</v>
      </c>
      <c r="G329" s="4">
        <v>0</v>
      </c>
      <c r="H329" s="5">
        <f t="shared" si="5"/>
        <v>0</v>
      </c>
    </row>
    <row r="330" spans="1:8" ht="13.5" x14ac:dyDescent="0.25">
      <c r="A330" s="1"/>
      <c r="B330" s="3">
        <v>45000</v>
      </c>
      <c r="C330" s="4">
        <v>21.97</v>
      </c>
      <c r="D330" s="4">
        <v>12.934699999999999</v>
      </c>
      <c r="E330" s="4">
        <v>0</v>
      </c>
      <c r="F330" s="4">
        <v>0</v>
      </c>
      <c r="G330" s="4">
        <v>0</v>
      </c>
      <c r="H330" s="5">
        <f t="shared" si="5"/>
        <v>0</v>
      </c>
    </row>
    <row r="331" spans="1:8" ht="13.5" x14ac:dyDescent="0.25">
      <c r="A331" s="1"/>
      <c r="B331" s="3">
        <v>45001</v>
      </c>
      <c r="C331" s="4">
        <v>21.97</v>
      </c>
      <c r="D331" s="4">
        <v>12.934699999999999</v>
      </c>
      <c r="E331" s="4">
        <v>0</v>
      </c>
      <c r="F331" s="4">
        <v>0</v>
      </c>
      <c r="G331" s="4">
        <v>0</v>
      </c>
      <c r="H331" s="5">
        <f t="shared" si="5"/>
        <v>0</v>
      </c>
    </row>
    <row r="332" spans="1:8" ht="13.5" x14ac:dyDescent="0.25">
      <c r="A332" s="1"/>
      <c r="B332" s="3">
        <v>45002</v>
      </c>
      <c r="C332" s="4">
        <v>21.8</v>
      </c>
      <c r="D332" s="4">
        <v>12.8346</v>
      </c>
      <c r="E332" s="4">
        <v>338</v>
      </c>
      <c r="F332" s="4">
        <v>21.204000000000001</v>
      </c>
      <c r="G332" s="4">
        <v>7166.9520000000002</v>
      </c>
      <c r="H332" s="5">
        <f t="shared" si="5"/>
        <v>-7.7388729541465525E-3</v>
      </c>
    </row>
    <row r="333" spans="1:8" ht="13.5" x14ac:dyDescent="0.25">
      <c r="A333" s="1"/>
      <c r="B333" s="3">
        <v>45006</v>
      </c>
      <c r="C333" s="4">
        <v>21.75</v>
      </c>
      <c r="D333" s="4">
        <v>12.805199999999999</v>
      </c>
      <c r="E333" s="4">
        <v>77</v>
      </c>
      <c r="F333" s="4">
        <v>21.594000000000001</v>
      </c>
      <c r="G333" s="4">
        <v>1662.7380000000001</v>
      </c>
      <c r="H333" s="5">
        <f t="shared" si="5"/>
        <v>-2.2906829975223816E-3</v>
      </c>
    </row>
    <row r="334" spans="1:8" ht="13.5" x14ac:dyDescent="0.25">
      <c r="A334" s="1"/>
      <c r="B334" s="3">
        <v>45007</v>
      </c>
      <c r="C334" s="4">
        <v>21.65</v>
      </c>
      <c r="D334" s="4">
        <v>12.7463</v>
      </c>
      <c r="E334" s="4">
        <v>598</v>
      </c>
      <c r="F334" s="4">
        <v>21.640999999999998</v>
      </c>
      <c r="G334" s="4">
        <v>12941.317999999999</v>
      </c>
      <c r="H334" s="5">
        <f t="shared" si="5"/>
        <v>-4.5996938743635019E-3</v>
      </c>
    </row>
    <row r="335" spans="1:8" ht="13.5" x14ac:dyDescent="0.25">
      <c r="A335" s="1"/>
      <c r="B335" s="3">
        <v>45008</v>
      </c>
      <c r="C335" s="4">
        <v>21.5</v>
      </c>
      <c r="D335" s="4">
        <v>12.657999999999999</v>
      </c>
      <c r="E335" s="4">
        <v>105</v>
      </c>
      <c r="F335" s="4">
        <v>21.5</v>
      </c>
      <c r="G335" s="4">
        <v>2257.5</v>
      </c>
      <c r="H335" s="5">
        <f t="shared" si="5"/>
        <v>-6.927500529565464E-3</v>
      </c>
    </row>
    <row r="336" spans="1:8" ht="13.5" x14ac:dyDescent="0.25">
      <c r="A336" s="1"/>
      <c r="B336" s="3">
        <v>45009</v>
      </c>
      <c r="C336" s="4">
        <v>21.6</v>
      </c>
      <c r="D336" s="4">
        <v>12.716900000000001</v>
      </c>
      <c r="E336" s="4">
        <v>1488</v>
      </c>
      <c r="F336" s="4">
        <v>21.481000000000002</v>
      </c>
      <c r="G336" s="4">
        <v>31963.727999999999</v>
      </c>
      <c r="H336" s="5">
        <f t="shared" si="5"/>
        <v>4.653183757307733E-3</v>
      </c>
    </row>
    <row r="337" spans="1:8" ht="13.5" x14ac:dyDescent="0.25">
      <c r="A337" s="1"/>
      <c r="B337" s="3">
        <v>45012</v>
      </c>
      <c r="C337" s="4">
        <v>21.6</v>
      </c>
      <c r="D337" s="4">
        <v>12.716900000000001</v>
      </c>
      <c r="E337" s="4">
        <v>110</v>
      </c>
      <c r="F337" s="4">
        <v>21.6</v>
      </c>
      <c r="G337" s="4">
        <v>2376</v>
      </c>
      <c r="H337" s="5">
        <f t="shared" si="5"/>
        <v>0</v>
      </c>
    </row>
    <row r="338" spans="1:8" ht="13.5" x14ac:dyDescent="0.25">
      <c r="A338" s="1"/>
      <c r="B338" s="3">
        <v>45013</v>
      </c>
      <c r="C338" s="4">
        <v>21.65</v>
      </c>
      <c r="D338" s="4">
        <v>12.7463</v>
      </c>
      <c r="E338" s="4">
        <v>787</v>
      </c>
      <c r="F338" s="4">
        <v>21.3</v>
      </c>
      <c r="G338" s="4">
        <v>16763.099999999999</v>
      </c>
      <c r="H338" s="5">
        <f t="shared" si="5"/>
        <v>2.3118841856111932E-3</v>
      </c>
    </row>
    <row r="339" spans="1:8" ht="13.5" x14ac:dyDescent="0.25">
      <c r="A339" s="1"/>
      <c r="B339" s="3">
        <v>45014</v>
      </c>
      <c r="C339" s="4">
        <v>22.94</v>
      </c>
      <c r="D339" s="4">
        <v>13.505800000000001</v>
      </c>
      <c r="E339" s="4">
        <v>29057</v>
      </c>
      <c r="F339" s="4">
        <v>22.719000000000001</v>
      </c>
      <c r="G339" s="4">
        <v>660145.98300000001</v>
      </c>
      <c r="H339" s="5">
        <f t="shared" si="5"/>
        <v>5.9585919051018801E-2</v>
      </c>
    </row>
    <row r="340" spans="1:8" ht="13.5" x14ac:dyDescent="0.25">
      <c r="A340" s="1"/>
      <c r="B340" s="3">
        <v>45015</v>
      </c>
      <c r="C340" s="4">
        <v>23.47</v>
      </c>
      <c r="D340" s="4">
        <v>13.8178</v>
      </c>
      <c r="E340" s="4">
        <v>17509</v>
      </c>
      <c r="F340" s="4">
        <v>23.44</v>
      </c>
      <c r="G340" s="4">
        <v>410410.96</v>
      </c>
      <c r="H340" s="5">
        <f t="shared" si="5"/>
        <v>2.3101186157058404E-2</v>
      </c>
    </row>
    <row r="341" spans="1:8" ht="13.5" x14ac:dyDescent="0.25">
      <c r="A341" s="1"/>
      <c r="B341" s="3">
        <v>45016</v>
      </c>
      <c r="C341" s="4">
        <v>23.1</v>
      </c>
      <c r="D341" s="4">
        <v>13.6</v>
      </c>
      <c r="E341" s="4">
        <v>4775</v>
      </c>
      <c r="F341" s="4">
        <v>23.318000000000001</v>
      </c>
      <c r="G341" s="4">
        <v>111343.45</v>
      </c>
      <c r="H341" s="5">
        <f t="shared" si="5"/>
        <v>-1.576227764188224E-2</v>
      </c>
    </row>
    <row r="342" spans="1:8" ht="13.5" x14ac:dyDescent="0.25">
      <c r="A342" s="1"/>
      <c r="B342" s="3">
        <v>45019</v>
      </c>
      <c r="C342" s="4">
        <v>23.05</v>
      </c>
      <c r="D342" s="4">
        <v>13.570600000000001</v>
      </c>
      <c r="E342" s="4">
        <v>1228</v>
      </c>
      <c r="F342" s="4">
        <v>23.05</v>
      </c>
      <c r="G342" s="4">
        <v>28305.4</v>
      </c>
      <c r="H342" s="5">
        <f t="shared" si="5"/>
        <v>-2.161764705882278E-3</v>
      </c>
    </row>
    <row r="343" spans="1:8" ht="13.5" x14ac:dyDescent="0.25">
      <c r="A343" s="1"/>
      <c r="B343" s="3">
        <v>45020</v>
      </c>
      <c r="C343" s="4">
        <v>22.8</v>
      </c>
      <c r="D343" s="4">
        <v>13.423400000000001</v>
      </c>
      <c r="E343" s="4">
        <v>1569</v>
      </c>
      <c r="F343" s="4">
        <v>22.934999999999999</v>
      </c>
      <c r="G343" s="4">
        <v>35985.014999999999</v>
      </c>
      <c r="H343" s="5">
        <f t="shared" si="5"/>
        <v>-1.0846978026026835E-2</v>
      </c>
    </row>
    <row r="344" spans="1:8" ht="13.5" x14ac:dyDescent="0.25">
      <c r="A344" s="1"/>
      <c r="B344" s="3">
        <v>45021</v>
      </c>
      <c r="C344" s="4">
        <v>22.79</v>
      </c>
      <c r="D344" s="4">
        <v>13.4175</v>
      </c>
      <c r="E344" s="4">
        <v>1984</v>
      </c>
      <c r="F344" s="4">
        <v>22.765000000000001</v>
      </c>
      <c r="G344" s="4">
        <v>45165.760000000002</v>
      </c>
      <c r="H344" s="5">
        <f t="shared" si="5"/>
        <v>-4.395309683091065E-4</v>
      </c>
    </row>
    <row r="345" spans="1:8" ht="13.5" x14ac:dyDescent="0.25">
      <c r="A345" s="1"/>
      <c r="B345" s="3">
        <v>45022</v>
      </c>
      <c r="C345" s="4">
        <v>22.8</v>
      </c>
      <c r="D345" s="4">
        <v>13.423400000000001</v>
      </c>
      <c r="E345" s="4">
        <v>1001480</v>
      </c>
      <c r="F345" s="4">
        <v>22.75</v>
      </c>
      <c r="G345" s="4">
        <v>22783670</v>
      </c>
      <c r="H345" s="5">
        <f t="shared" si="5"/>
        <v>4.3972424073042372E-4</v>
      </c>
    </row>
    <row r="346" spans="1:8" ht="13.5" x14ac:dyDescent="0.25">
      <c r="A346" s="1"/>
      <c r="B346" s="3">
        <v>45023</v>
      </c>
      <c r="C346" s="4">
        <v>22.61</v>
      </c>
      <c r="D346" s="4">
        <v>13.311500000000001</v>
      </c>
      <c r="E346" s="4">
        <v>1119</v>
      </c>
      <c r="F346" s="4">
        <v>22.722999999999999</v>
      </c>
      <c r="G346" s="4">
        <v>25427.037</v>
      </c>
      <c r="H346" s="5">
        <f t="shared" si="5"/>
        <v>-8.3361890430144608E-3</v>
      </c>
    </row>
    <row r="347" spans="1:8" ht="13.5" x14ac:dyDescent="0.25">
      <c r="A347" s="1"/>
      <c r="B347" s="3">
        <v>45026</v>
      </c>
      <c r="C347" s="4">
        <v>22.5</v>
      </c>
      <c r="D347" s="4">
        <v>13.2468</v>
      </c>
      <c r="E347" s="4">
        <v>2600</v>
      </c>
      <c r="F347" s="4">
        <v>22.48</v>
      </c>
      <c r="G347" s="4">
        <v>58448</v>
      </c>
      <c r="H347" s="5">
        <f t="shared" si="5"/>
        <v>-4.8604590016151595E-3</v>
      </c>
    </row>
    <row r="348" spans="1:8" ht="13.5" x14ac:dyDescent="0.25">
      <c r="A348" s="1"/>
      <c r="B348" s="3">
        <v>45027</v>
      </c>
      <c r="C348" s="4">
        <v>22.5</v>
      </c>
      <c r="D348" s="4">
        <v>13.2468</v>
      </c>
      <c r="E348" s="4">
        <v>3472</v>
      </c>
      <c r="F348" s="4">
        <v>22.428000000000001</v>
      </c>
      <c r="G348" s="4">
        <v>77870.016000000003</v>
      </c>
      <c r="H348" s="5">
        <f t="shared" si="5"/>
        <v>0</v>
      </c>
    </row>
    <row r="349" spans="1:8" ht="13.5" x14ac:dyDescent="0.25">
      <c r="A349" s="1"/>
      <c r="B349" s="3">
        <v>45028</v>
      </c>
      <c r="C349" s="4">
        <v>22.49</v>
      </c>
      <c r="D349" s="4">
        <v>13.2409</v>
      </c>
      <c r="E349" s="4">
        <v>653</v>
      </c>
      <c r="F349" s="4">
        <v>22.582999999999998</v>
      </c>
      <c r="G349" s="4">
        <v>14746.699000000001</v>
      </c>
      <c r="H349" s="5">
        <f t="shared" si="5"/>
        <v>-4.453905848960096E-4</v>
      </c>
    </row>
    <row r="350" spans="1:8" ht="13.5" x14ac:dyDescent="0.25">
      <c r="A350" s="1"/>
      <c r="B350" s="3">
        <v>45029</v>
      </c>
      <c r="C350" s="4">
        <v>22.45</v>
      </c>
      <c r="D350" s="4">
        <v>13.2173</v>
      </c>
      <c r="E350" s="4">
        <v>194</v>
      </c>
      <c r="F350" s="4">
        <v>22.451000000000001</v>
      </c>
      <c r="G350" s="4">
        <v>4355.4939999999997</v>
      </c>
      <c r="H350" s="5">
        <f t="shared" si="5"/>
        <v>-1.7823561842472994E-3</v>
      </c>
    </row>
    <row r="351" spans="1:8" ht="13.5" x14ac:dyDescent="0.25">
      <c r="A351" s="1"/>
      <c r="B351" s="3">
        <v>45030</v>
      </c>
      <c r="C351" s="4">
        <v>22.8</v>
      </c>
      <c r="D351" s="4">
        <v>13.423400000000001</v>
      </c>
      <c r="E351" s="4">
        <v>1701</v>
      </c>
      <c r="F351" s="4">
        <v>22.524999999999999</v>
      </c>
      <c r="G351" s="4">
        <v>38315.025000000001</v>
      </c>
      <c r="H351" s="5">
        <f t="shared" si="5"/>
        <v>1.5593199821446215E-2</v>
      </c>
    </row>
    <row r="352" spans="1:8" ht="13.5" x14ac:dyDescent="0.25">
      <c r="A352" s="1"/>
      <c r="B352" s="3">
        <v>45033</v>
      </c>
      <c r="C352" s="4">
        <v>22.45</v>
      </c>
      <c r="D352" s="4">
        <v>13.2173</v>
      </c>
      <c r="E352" s="4">
        <v>644</v>
      </c>
      <c r="F352" s="4">
        <v>22.295000000000002</v>
      </c>
      <c r="G352" s="4">
        <v>14357.98</v>
      </c>
      <c r="H352" s="5">
        <f t="shared" si="5"/>
        <v>-1.5353785181101736E-2</v>
      </c>
    </row>
    <row r="353" spans="1:8" ht="13.5" x14ac:dyDescent="0.25">
      <c r="A353" s="1"/>
      <c r="B353" s="3">
        <v>45034</v>
      </c>
      <c r="C353" s="4">
        <v>22.45</v>
      </c>
      <c r="D353" s="4">
        <v>13.2173</v>
      </c>
      <c r="E353" s="4">
        <v>630</v>
      </c>
      <c r="F353" s="4">
        <v>22.45</v>
      </c>
      <c r="G353" s="4">
        <v>14143.5</v>
      </c>
      <c r="H353" s="5">
        <f t="shared" si="5"/>
        <v>0</v>
      </c>
    </row>
    <row r="354" spans="1:8" ht="13.5" x14ac:dyDescent="0.25">
      <c r="A354" s="1"/>
      <c r="B354" s="3">
        <v>45035</v>
      </c>
      <c r="C354" s="4">
        <v>22.4</v>
      </c>
      <c r="D354" s="4">
        <v>13.187900000000001</v>
      </c>
      <c r="E354" s="4">
        <v>909</v>
      </c>
      <c r="F354" s="4">
        <v>22.318999999999999</v>
      </c>
      <c r="G354" s="4">
        <v>20287.971000000001</v>
      </c>
      <c r="H354" s="5">
        <f t="shared" si="5"/>
        <v>-2.2243574708903468E-3</v>
      </c>
    </row>
    <row r="355" spans="1:8" ht="13.5" x14ac:dyDescent="0.25">
      <c r="A355" s="1"/>
      <c r="B355" s="3">
        <v>45036</v>
      </c>
      <c r="C355" s="4">
        <v>22.4</v>
      </c>
      <c r="D355" s="4">
        <v>13.187900000000001</v>
      </c>
      <c r="E355" s="4">
        <v>0</v>
      </c>
      <c r="F355" s="4">
        <v>0</v>
      </c>
      <c r="G355" s="4">
        <v>0</v>
      </c>
      <c r="H355" s="5">
        <f t="shared" si="5"/>
        <v>0</v>
      </c>
    </row>
    <row r="356" spans="1:8" ht="13.5" x14ac:dyDescent="0.25">
      <c r="A356" s="1"/>
      <c r="B356" s="3">
        <v>45040</v>
      </c>
      <c r="C356" s="4">
        <v>22.5</v>
      </c>
      <c r="D356" s="4">
        <v>13.2468</v>
      </c>
      <c r="E356" s="4">
        <v>5057</v>
      </c>
      <c r="F356" s="4">
        <v>22.38</v>
      </c>
      <c r="G356" s="4">
        <v>113175.66</v>
      </c>
      <c r="H356" s="5">
        <f t="shared" si="5"/>
        <v>4.4662152427603716E-3</v>
      </c>
    </row>
    <row r="357" spans="1:8" ht="13.5" x14ac:dyDescent="0.25">
      <c r="A357" s="1"/>
      <c r="B357" s="3">
        <v>45041</v>
      </c>
      <c r="C357" s="4">
        <v>22.48</v>
      </c>
      <c r="D357" s="4">
        <v>13.234999999999999</v>
      </c>
      <c r="E357" s="4">
        <v>645</v>
      </c>
      <c r="F357" s="4">
        <v>22.492999999999999</v>
      </c>
      <c r="G357" s="4">
        <v>14507.985000000001</v>
      </c>
      <c r="H357" s="5">
        <f t="shared" si="5"/>
        <v>-8.907811697920192E-4</v>
      </c>
    </row>
    <row r="358" spans="1:8" ht="13.5" x14ac:dyDescent="0.25">
      <c r="A358" s="1"/>
      <c r="B358" s="3">
        <v>45042</v>
      </c>
      <c r="C358" s="4">
        <v>22.7</v>
      </c>
      <c r="D358" s="4">
        <v>13.3645</v>
      </c>
      <c r="E358" s="4">
        <v>2268</v>
      </c>
      <c r="F358" s="4">
        <v>22.556000000000001</v>
      </c>
      <c r="G358" s="4">
        <v>51157.008000000002</v>
      </c>
      <c r="H358" s="5">
        <f t="shared" si="5"/>
        <v>9.7846618813751552E-3</v>
      </c>
    </row>
    <row r="359" spans="1:8" ht="13.5" x14ac:dyDescent="0.25">
      <c r="A359" s="1"/>
      <c r="B359" s="3">
        <v>45043</v>
      </c>
      <c r="C359" s="4">
        <v>22.55</v>
      </c>
      <c r="D359" s="4">
        <v>13.276199999999999</v>
      </c>
      <c r="E359" s="4">
        <v>826</v>
      </c>
      <c r="F359" s="4">
        <v>22.681999999999999</v>
      </c>
      <c r="G359" s="4">
        <v>18735.331999999999</v>
      </c>
      <c r="H359" s="5">
        <f t="shared" si="5"/>
        <v>-6.6070560065846287E-3</v>
      </c>
    </row>
    <row r="360" spans="1:8" ht="13.5" x14ac:dyDescent="0.25">
      <c r="A360" s="1"/>
      <c r="B360" s="3">
        <v>45044</v>
      </c>
      <c r="C360" s="4">
        <v>23</v>
      </c>
      <c r="D360" s="4">
        <v>13.5411</v>
      </c>
      <c r="E360" s="4">
        <v>2807</v>
      </c>
      <c r="F360" s="4">
        <v>22.713000000000001</v>
      </c>
      <c r="G360" s="4">
        <v>63755.391000000003</v>
      </c>
      <c r="H360" s="5">
        <f t="shared" si="5"/>
        <v>1.9952998598996761E-2</v>
      </c>
    </row>
    <row r="361" spans="1:8" ht="13.5" x14ac:dyDescent="0.25">
      <c r="A361" s="1"/>
      <c r="B361" s="3">
        <v>45048</v>
      </c>
      <c r="C361" s="4">
        <v>23.4</v>
      </c>
      <c r="D361" s="4">
        <v>13.7766</v>
      </c>
      <c r="E361" s="4">
        <v>753</v>
      </c>
      <c r="F361" s="4">
        <v>23.068999999999999</v>
      </c>
      <c r="G361" s="4">
        <v>17370.956999999999</v>
      </c>
      <c r="H361" s="5">
        <f t="shared" si="5"/>
        <v>1.7391496998028229E-2</v>
      </c>
    </row>
    <row r="362" spans="1:8" ht="13.5" x14ac:dyDescent="0.25">
      <c r="A362" s="1"/>
      <c r="B362" s="3">
        <v>45049</v>
      </c>
      <c r="C362" s="4">
        <v>23.4</v>
      </c>
      <c r="D362" s="4">
        <v>13.7766</v>
      </c>
      <c r="E362" s="4">
        <v>1571</v>
      </c>
      <c r="F362" s="4">
        <v>23.414000000000001</v>
      </c>
      <c r="G362" s="4">
        <v>36783.394</v>
      </c>
      <c r="H362" s="5">
        <f t="shared" si="5"/>
        <v>0</v>
      </c>
    </row>
    <row r="363" spans="1:8" ht="13.5" x14ac:dyDescent="0.25">
      <c r="A363" s="1"/>
      <c r="B363" s="3">
        <v>45050</v>
      </c>
      <c r="C363" s="4">
        <v>23.35</v>
      </c>
      <c r="D363" s="4">
        <v>13.747199999999999</v>
      </c>
      <c r="E363" s="4">
        <v>1081</v>
      </c>
      <c r="F363" s="4">
        <v>23.268999999999998</v>
      </c>
      <c r="G363" s="4">
        <v>25153.789000000001</v>
      </c>
      <c r="H363" s="5">
        <f t="shared" si="5"/>
        <v>-2.1340533948870375E-3</v>
      </c>
    </row>
    <row r="364" spans="1:8" ht="13.5" x14ac:dyDescent="0.25">
      <c r="A364" s="1"/>
      <c r="B364" s="3">
        <v>45051</v>
      </c>
      <c r="C364" s="4">
        <v>23.35</v>
      </c>
      <c r="D364" s="4">
        <v>13.747199999999999</v>
      </c>
      <c r="E364" s="4">
        <v>1257</v>
      </c>
      <c r="F364" s="4">
        <v>23.082999999999998</v>
      </c>
      <c r="G364" s="4">
        <v>29015.330999999998</v>
      </c>
      <c r="H364" s="5">
        <f t="shared" si="5"/>
        <v>0</v>
      </c>
    </row>
    <row r="365" spans="1:8" ht="13.5" x14ac:dyDescent="0.25">
      <c r="A365" s="1"/>
      <c r="B365" s="3">
        <v>45054</v>
      </c>
      <c r="C365" s="4">
        <v>23.3</v>
      </c>
      <c r="D365" s="4">
        <v>13.7178</v>
      </c>
      <c r="E365" s="4">
        <v>549</v>
      </c>
      <c r="F365" s="4">
        <v>23.263999999999999</v>
      </c>
      <c r="G365" s="4">
        <v>12771.936</v>
      </c>
      <c r="H365" s="5">
        <f t="shared" si="5"/>
        <v>-2.1386173184356804E-3</v>
      </c>
    </row>
    <row r="366" spans="1:8" ht="13.5" x14ac:dyDescent="0.25">
      <c r="A366" s="1"/>
      <c r="B366" s="3">
        <v>45055</v>
      </c>
      <c r="C366" s="4">
        <v>23</v>
      </c>
      <c r="D366" s="4">
        <v>13.5411</v>
      </c>
      <c r="E366" s="4">
        <v>1699</v>
      </c>
      <c r="F366" s="4">
        <v>23.056000000000001</v>
      </c>
      <c r="G366" s="4">
        <v>39172.144</v>
      </c>
      <c r="H366" s="5">
        <f t="shared" si="5"/>
        <v>-1.2881074224729935E-2</v>
      </c>
    </row>
    <row r="367" spans="1:8" ht="13.5" x14ac:dyDescent="0.25">
      <c r="A367" s="1"/>
      <c r="B367" s="3">
        <v>45056</v>
      </c>
      <c r="C367" s="4">
        <v>22.89</v>
      </c>
      <c r="D367" s="4">
        <v>13.4764</v>
      </c>
      <c r="E367" s="4">
        <v>425</v>
      </c>
      <c r="F367" s="4">
        <v>22.864000000000001</v>
      </c>
      <c r="G367" s="4">
        <v>9717.2000000000007</v>
      </c>
      <c r="H367" s="5">
        <f t="shared" si="5"/>
        <v>-4.7780460966982147E-3</v>
      </c>
    </row>
    <row r="368" spans="1:8" ht="13.5" x14ac:dyDescent="0.25">
      <c r="A368" s="1"/>
      <c r="B368" s="3">
        <v>45057</v>
      </c>
      <c r="C368" s="4">
        <v>22.9</v>
      </c>
      <c r="D368" s="4">
        <v>13.4823</v>
      </c>
      <c r="E368" s="4">
        <v>178</v>
      </c>
      <c r="F368" s="4">
        <v>22.898</v>
      </c>
      <c r="G368" s="4">
        <v>4075.8440000000001</v>
      </c>
      <c r="H368" s="5">
        <f t="shared" si="5"/>
        <v>4.3780238045772315E-4</v>
      </c>
    </row>
    <row r="369" spans="1:8" ht="13.5" x14ac:dyDescent="0.25">
      <c r="A369" s="1"/>
      <c r="B369" s="3">
        <v>45058</v>
      </c>
      <c r="C369" s="4">
        <v>22.85</v>
      </c>
      <c r="D369" s="4">
        <v>13.4528</v>
      </c>
      <c r="E369" s="4">
        <v>1129</v>
      </c>
      <c r="F369" s="4">
        <v>22.759</v>
      </c>
      <c r="G369" s="4">
        <v>25694.911</v>
      </c>
      <c r="H369" s="5">
        <f t="shared" si="5"/>
        <v>-2.1880539670531382E-3</v>
      </c>
    </row>
    <row r="370" spans="1:8" ht="13.5" x14ac:dyDescent="0.25">
      <c r="A370" s="1"/>
      <c r="B370" s="3">
        <v>45061</v>
      </c>
      <c r="C370" s="4">
        <v>22.8</v>
      </c>
      <c r="D370" s="4">
        <v>13.423400000000001</v>
      </c>
      <c r="E370" s="4">
        <v>256</v>
      </c>
      <c r="F370" s="4">
        <v>22.777000000000001</v>
      </c>
      <c r="G370" s="4">
        <v>5830.9120000000003</v>
      </c>
      <c r="H370" s="5">
        <f t="shared" si="5"/>
        <v>-2.1854186489057284E-3</v>
      </c>
    </row>
    <row r="371" spans="1:8" ht="13.5" x14ac:dyDescent="0.25">
      <c r="A371" s="1"/>
      <c r="B371" s="3">
        <v>45062</v>
      </c>
      <c r="C371" s="4">
        <v>22.66</v>
      </c>
      <c r="D371" s="4">
        <v>13.340999999999999</v>
      </c>
      <c r="E371" s="4">
        <v>1324</v>
      </c>
      <c r="F371" s="4">
        <v>22.66</v>
      </c>
      <c r="G371" s="4">
        <v>30001.84</v>
      </c>
      <c r="H371" s="5">
        <f t="shared" si="5"/>
        <v>-6.1385342014691939E-3</v>
      </c>
    </row>
    <row r="372" spans="1:8" ht="13.5" x14ac:dyDescent="0.25">
      <c r="A372" s="1"/>
      <c r="B372" s="3">
        <v>45063</v>
      </c>
      <c r="C372" s="4">
        <v>22.66</v>
      </c>
      <c r="D372" s="4">
        <v>13.340999999999999</v>
      </c>
      <c r="E372" s="4">
        <v>406</v>
      </c>
      <c r="F372" s="4">
        <v>22.638999999999999</v>
      </c>
      <c r="G372" s="4">
        <v>9191.4339999999993</v>
      </c>
      <c r="H372" s="5">
        <f t="shared" si="5"/>
        <v>0</v>
      </c>
    </row>
    <row r="373" spans="1:8" ht="13.5" x14ac:dyDescent="0.25">
      <c r="A373" s="1"/>
      <c r="B373" s="3">
        <v>45064</v>
      </c>
      <c r="C373" s="4">
        <v>22.95</v>
      </c>
      <c r="D373" s="4">
        <v>13.511699999999999</v>
      </c>
      <c r="E373" s="4">
        <v>1607</v>
      </c>
      <c r="F373" s="4">
        <v>22.763000000000002</v>
      </c>
      <c r="G373" s="4">
        <v>36580.141000000003</v>
      </c>
      <c r="H373" s="5">
        <f t="shared" si="5"/>
        <v>1.2795142792894091E-2</v>
      </c>
    </row>
    <row r="374" spans="1:8" ht="13.5" x14ac:dyDescent="0.25">
      <c r="A374" s="1"/>
      <c r="B374" s="3">
        <v>45065</v>
      </c>
      <c r="C374" s="4">
        <v>22.95</v>
      </c>
      <c r="D374" s="4">
        <v>13.511699999999999</v>
      </c>
      <c r="E374" s="4">
        <v>570</v>
      </c>
      <c r="F374" s="4">
        <v>22.946000000000002</v>
      </c>
      <c r="G374" s="4">
        <v>13079.22</v>
      </c>
      <c r="H374" s="5">
        <f t="shared" si="5"/>
        <v>0</v>
      </c>
    </row>
    <row r="375" spans="1:8" ht="13.5" x14ac:dyDescent="0.25">
      <c r="A375" s="1"/>
      <c r="B375" s="3">
        <v>45068</v>
      </c>
      <c r="C375" s="4">
        <v>22.89</v>
      </c>
      <c r="D375" s="4">
        <v>13.4764</v>
      </c>
      <c r="E375" s="4">
        <v>1750</v>
      </c>
      <c r="F375" s="4">
        <v>22.617000000000001</v>
      </c>
      <c r="G375" s="4">
        <v>39579.75</v>
      </c>
      <c r="H375" s="5">
        <f t="shared" si="5"/>
        <v>-2.6125506042910546E-3</v>
      </c>
    </row>
    <row r="376" spans="1:8" ht="13.5" x14ac:dyDescent="0.25">
      <c r="A376" s="1"/>
      <c r="B376" s="3">
        <v>45069</v>
      </c>
      <c r="C376" s="4">
        <v>22.9</v>
      </c>
      <c r="D376" s="4">
        <v>13.4823</v>
      </c>
      <c r="E376" s="4">
        <v>909</v>
      </c>
      <c r="F376" s="4">
        <v>22.626999999999999</v>
      </c>
      <c r="G376" s="4">
        <v>20567.942999999999</v>
      </c>
      <c r="H376" s="5">
        <f t="shared" si="5"/>
        <v>4.3780238045772315E-4</v>
      </c>
    </row>
    <row r="377" spans="1:8" ht="13.5" x14ac:dyDescent="0.25">
      <c r="A377" s="1"/>
      <c r="B377" s="3">
        <v>45070</v>
      </c>
      <c r="C377" s="4">
        <v>23.45</v>
      </c>
      <c r="D377" s="4">
        <v>13.806100000000001</v>
      </c>
      <c r="E377" s="4">
        <v>4997</v>
      </c>
      <c r="F377" s="4">
        <v>23.195</v>
      </c>
      <c r="G377" s="4">
        <v>115905.41499999999</v>
      </c>
      <c r="H377" s="5">
        <f t="shared" si="5"/>
        <v>2.4016673712942176E-2</v>
      </c>
    </row>
    <row r="378" spans="1:8" ht="13.5" x14ac:dyDescent="0.25">
      <c r="A378" s="1"/>
      <c r="B378" s="3">
        <v>45071</v>
      </c>
      <c r="C378" s="4">
        <v>23.9</v>
      </c>
      <c r="D378" s="4">
        <v>14.071</v>
      </c>
      <c r="E378" s="4">
        <v>6635</v>
      </c>
      <c r="F378" s="4">
        <v>23.533999999999999</v>
      </c>
      <c r="G378" s="4">
        <v>156148.09</v>
      </c>
      <c r="H378" s="5">
        <f t="shared" si="5"/>
        <v>1.9187170888230493E-2</v>
      </c>
    </row>
    <row r="379" spans="1:8" ht="13.5" x14ac:dyDescent="0.25">
      <c r="A379" s="1"/>
      <c r="B379" s="3">
        <v>45072</v>
      </c>
      <c r="C379" s="4">
        <v>23.9</v>
      </c>
      <c r="D379" s="4">
        <v>14.071</v>
      </c>
      <c r="E379" s="4">
        <v>870</v>
      </c>
      <c r="F379" s="4">
        <v>23.667000000000002</v>
      </c>
      <c r="G379" s="4">
        <v>20590.29</v>
      </c>
      <c r="H379" s="5">
        <f t="shared" si="5"/>
        <v>0</v>
      </c>
    </row>
    <row r="380" spans="1:8" ht="13.5" x14ac:dyDescent="0.25">
      <c r="A380" s="1"/>
      <c r="B380" s="3">
        <v>45075</v>
      </c>
      <c r="C380" s="4">
        <v>23.85</v>
      </c>
      <c r="D380" s="4">
        <v>14.041600000000001</v>
      </c>
      <c r="E380" s="4">
        <v>2522</v>
      </c>
      <c r="F380" s="4">
        <v>23.603000000000002</v>
      </c>
      <c r="G380" s="4">
        <v>59526.766000000003</v>
      </c>
      <c r="H380" s="5">
        <f t="shared" si="5"/>
        <v>-2.0894037381848471E-3</v>
      </c>
    </row>
    <row r="381" spans="1:8" ht="13.5" x14ac:dyDescent="0.25">
      <c r="A381" s="1"/>
      <c r="B381" s="3">
        <v>45076</v>
      </c>
      <c r="C381" s="4">
        <v>23.7</v>
      </c>
      <c r="D381" s="4">
        <v>13.9533</v>
      </c>
      <c r="E381" s="4">
        <v>1609</v>
      </c>
      <c r="F381" s="4">
        <v>23.614000000000001</v>
      </c>
      <c r="G381" s="4">
        <v>37994.925999999999</v>
      </c>
      <c r="H381" s="5">
        <f t="shared" si="5"/>
        <v>-6.2884571558796901E-3</v>
      </c>
    </row>
    <row r="382" spans="1:8" ht="13.5" x14ac:dyDescent="0.25">
      <c r="A382" s="1"/>
      <c r="B382" s="3">
        <v>45077</v>
      </c>
      <c r="C382" s="4">
        <v>23.5</v>
      </c>
      <c r="D382" s="4">
        <v>13.8355</v>
      </c>
      <c r="E382" s="4">
        <v>5933</v>
      </c>
      <c r="F382" s="4">
        <v>23.507999999999999</v>
      </c>
      <c r="G382" s="4">
        <v>139472.96400000001</v>
      </c>
      <c r="H382" s="5">
        <f t="shared" si="5"/>
        <v>-8.4424473063720255E-3</v>
      </c>
    </row>
    <row r="383" spans="1:8" ht="13.5" x14ac:dyDescent="0.25">
      <c r="A383" s="1"/>
      <c r="B383" s="3">
        <v>45078</v>
      </c>
      <c r="C383" s="4">
        <v>23.7</v>
      </c>
      <c r="D383" s="4">
        <v>13.9533</v>
      </c>
      <c r="E383" s="4">
        <v>813</v>
      </c>
      <c r="F383" s="4">
        <v>23.681999999999999</v>
      </c>
      <c r="G383" s="4">
        <v>19253.466</v>
      </c>
      <c r="H383" s="5">
        <f t="shared" si="5"/>
        <v>8.5143290809873724E-3</v>
      </c>
    </row>
    <row r="384" spans="1:8" ht="13.5" x14ac:dyDescent="0.25">
      <c r="A384" s="1"/>
      <c r="B384" s="3">
        <v>45079</v>
      </c>
      <c r="C384" s="4">
        <v>23.5</v>
      </c>
      <c r="D384" s="4">
        <v>13.8355</v>
      </c>
      <c r="E384" s="4">
        <v>2813</v>
      </c>
      <c r="F384" s="4">
        <v>23.523</v>
      </c>
      <c r="G384" s="4">
        <v>66170.198999999993</v>
      </c>
      <c r="H384" s="5">
        <f t="shared" si="5"/>
        <v>-8.4424473063720255E-3</v>
      </c>
    </row>
    <row r="385" spans="1:8" ht="13.5" x14ac:dyDescent="0.25">
      <c r="A385" s="1"/>
      <c r="B385" s="3">
        <v>45082</v>
      </c>
      <c r="C385" s="4">
        <v>23.54</v>
      </c>
      <c r="D385" s="4">
        <v>13.8591</v>
      </c>
      <c r="E385" s="4">
        <v>1277</v>
      </c>
      <c r="F385" s="4">
        <v>23.673999999999999</v>
      </c>
      <c r="G385" s="4">
        <v>30231.698</v>
      </c>
      <c r="H385" s="5">
        <f t="shared" si="5"/>
        <v>1.7057569296375313E-3</v>
      </c>
    </row>
    <row r="386" spans="1:8" ht="13.5" x14ac:dyDescent="0.25">
      <c r="A386" s="1"/>
      <c r="B386" s="3">
        <v>45083</v>
      </c>
      <c r="C386" s="4">
        <v>23.53</v>
      </c>
      <c r="D386" s="4">
        <v>13.853199999999999</v>
      </c>
      <c r="E386" s="4">
        <v>4451</v>
      </c>
      <c r="F386" s="4">
        <v>23.667000000000002</v>
      </c>
      <c r="G386" s="4">
        <v>105341.817</v>
      </c>
      <c r="H386" s="5">
        <f t="shared" si="5"/>
        <v>-4.2571306939126355E-4</v>
      </c>
    </row>
    <row r="387" spans="1:8" ht="13.5" x14ac:dyDescent="0.25">
      <c r="A387" s="1"/>
      <c r="B387" s="3">
        <v>45084</v>
      </c>
      <c r="C387" s="4">
        <v>18.440000000000001</v>
      </c>
      <c r="D387" s="4">
        <v>13.8443</v>
      </c>
      <c r="E387" s="4">
        <v>457</v>
      </c>
      <c r="F387" s="4">
        <v>18.565000000000001</v>
      </c>
      <c r="G387" s="4">
        <v>8484.2049999999999</v>
      </c>
      <c r="H387" s="5">
        <f t="shared" si="5"/>
        <v>-6.4245084168270132E-4</v>
      </c>
    </row>
    <row r="388" spans="1:8" ht="13.5" x14ac:dyDescent="0.25">
      <c r="A388" s="1"/>
      <c r="B388" s="3">
        <v>45085</v>
      </c>
      <c r="C388" s="4">
        <v>18.440000000000001</v>
      </c>
      <c r="D388" s="4">
        <v>13.8443</v>
      </c>
      <c r="E388" s="4">
        <v>983</v>
      </c>
      <c r="F388" s="4">
        <v>18.442</v>
      </c>
      <c r="G388" s="4">
        <v>18128.486000000001</v>
      </c>
      <c r="H388" s="5">
        <f t="shared" si="5"/>
        <v>0</v>
      </c>
    </row>
    <row r="389" spans="1:8" ht="13.5" x14ac:dyDescent="0.25">
      <c r="A389" s="1"/>
      <c r="B389" s="3">
        <v>45086</v>
      </c>
      <c r="C389" s="4">
        <v>18.39</v>
      </c>
      <c r="D389" s="4">
        <v>13.806699999999999</v>
      </c>
      <c r="E389" s="4">
        <v>1548</v>
      </c>
      <c r="F389" s="4">
        <v>18.396000000000001</v>
      </c>
      <c r="G389" s="4">
        <v>28477.008000000002</v>
      </c>
      <c r="H389" s="5">
        <f t="shared" si="5"/>
        <v>-2.7159191869578951E-3</v>
      </c>
    </row>
    <row r="390" spans="1:8" ht="13.5" x14ac:dyDescent="0.25">
      <c r="A390" s="1"/>
      <c r="B390" s="3">
        <v>45089</v>
      </c>
      <c r="C390" s="4">
        <v>18.149999999999999</v>
      </c>
      <c r="D390" s="4">
        <v>13.6265</v>
      </c>
      <c r="E390" s="4">
        <v>221</v>
      </c>
      <c r="F390" s="4">
        <v>18.097999999999999</v>
      </c>
      <c r="G390" s="4">
        <v>3999.6579999999999</v>
      </c>
      <c r="H390" s="5">
        <f t="shared" si="5"/>
        <v>-1.3051634351438017E-2</v>
      </c>
    </row>
    <row r="391" spans="1:8" ht="13.5" x14ac:dyDescent="0.25">
      <c r="A391" s="1"/>
      <c r="B391" s="3">
        <v>45090</v>
      </c>
      <c r="C391" s="4">
        <v>17.690000000000001</v>
      </c>
      <c r="D391" s="4">
        <v>13.2812</v>
      </c>
      <c r="E391" s="4">
        <v>2182</v>
      </c>
      <c r="F391" s="4">
        <v>17.771000000000001</v>
      </c>
      <c r="G391" s="4">
        <v>38776.322</v>
      </c>
      <c r="H391" s="5">
        <f t="shared" ref="H391:H454" si="6">(D391-D390)/D390</f>
        <v>-2.534032950500862E-2</v>
      </c>
    </row>
    <row r="392" spans="1:8" ht="13.5" x14ac:dyDescent="0.25">
      <c r="A392" s="1"/>
      <c r="B392" s="3">
        <v>45091</v>
      </c>
      <c r="C392" s="4">
        <v>17.8</v>
      </c>
      <c r="D392" s="4">
        <v>13.363799999999999</v>
      </c>
      <c r="E392" s="4">
        <v>2130</v>
      </c>
      <c r="F392" s="4">
        <v>17.95</v>
      </c>
      <c r="G392" s="4">
        <v>38233.5</v>
      </c>
      <c r="H392" s="5">
        <f t="shared" si="6"/>
        <v>6.2193175315483048E-3</v>
      </c>
    </row>
    <row r="393" spans="1:8" ht="13.5" x14ac:dyDescent="0.25">
      <c r="A393" s="1"/>
      <c r="B393" s="3">
        <v>45092</v>
      </c>
      <c r="C393" s="4">
        <v>17.78</v>
      </c>
      <c r="D393" s="4">
        <v>13.348699999999999</v>
      </c>
      <c r="E393" s="4">
        <v>2744</v>
      </c>
      <c r="F393" s="4">
        <v>17.79</v>
      </c>
      <c r="G393" s="4">
        <v>48815.76</v>
      </c>
      <c r="H393" s="5">
        <f t="shared" si="6"/>
        <v>-1.1299181370568504E-3</v>
      </c>
    </row>
    <row r="394" spans="1:8" ht="13.5" x14ac:dyDescent="0.25">
      <c r="A394" s="1"/>
      <c r="B394" s="3">
        <v>45093</v>
      </c>
      <c r="C394" s="4">
        <v>17.7</v>
      </c>
      <c r="D394" s="4">
        <v>13.2887</v>
      </c>
      <c r="E394" s="4">
        <v>391</v>
      </c>
      <c r="F394" s="4">
        <v>17.707999999999998</v>
      </c>
      <c r="G394" s="4">
        <v>6923.8280000000004</v>
      </c>
      <c r="H394" s="5">
        <f t="shared" si="6"/>
        <v>-4.4948197202722903E-3</v>
      </c>
    </row>
    <row r="395" spans="1:8" ht="13.5" x14ac:dyDescent="0.25">
      <c r="A395" s="1"/>
      <c r="B395" s="3">
        <v>45096</v>
      </c>
      <c r="C395" s="4">
        <v>17.350000000000001</v>
      </c>
      <c r="D395" s="4">
        <v>13.0259</v>
      </c>
      <c r="E395" s="4">
        <v>2925</v>
      </c>
      <c r="F395" s="4">
        <v>17.702000000000002</v>
      </c>
      <c r="G395" s="4">
        <v>51778.35</v>
      </c>
      <c r="H395" s="5">
        <f t="shared" si="6"/>
        <v>-1.9776200832286105E-2</v>
      </c>
    </row>
    <row r="396" spans="1:8" ht="13.5" x14ac:dyDescent="0.25">
      <c r="A396" s="1"/>
      <c r="B396" s="3">
        <v>45097</v>
      </c>
      <c r="C396" s="4">
        <v>17</v>
      </c>
      <c r="D396" s="4">
        <v>12.7631</v>
      </c>
      <c r="E396" s="4">
        <v>1165</v>
      </c>
      <c r="F396" s="4">
        <v>16.904</v>
      </c>
      <c r="G396" s="4">
        <v>19693.16</v>
      </c>
      <c r="H396" s="5">
        <f t="shared" si="6"/>
        <v>-2.0175189430288915E-2</v>
      </c>
    </row>
    <row r="397" spans="1:8" ht="13.5" x14ac:dyDescent="0.25">
      <c r="A397" s="1"/>
      <c r="B397" s="3">
        <v>45098</v>
      </c>
      <c r="C397" s="4">
        <v>17.649999999999999</v>
      </c>
      <c r="D397" s="4">
        <v>13.251099999999999</v>
      </c>
      <c r="E397" s="4">
        <v>2599</v>
      </c>
      <c r="F397" s="4">
        <v>17.41</v>
      </c>
      <c r="G397" s="4">
        <v>45248.59</v>
      </c>
      <c r="H397" s="5">
        <f t="shared" si="6"/>
        <v>3.8235224984525668E-2</v>
      </c>
    </row>
    <row r="398" spans="1:8" ht="13.5" x14ac:dyDescent="0.25">
      <c r="A398" s="1"/>
      <c r="B398" s="3">
        <v>45099</v>
      </c>
      <c r="C398" s="4">
        <v>17.149999999999999</v>
      </c>
      <c r="D398" s="4">
        <v>12.8758</v>
      </c>
      <c r="E398" s="4">
        <v>2876</v>
      </c>
      <c r="F398" s="4">
        <v>17.332000000000001</v>
      </c>
      <c r="G398" s="4">
        <v>49846.832000000002</v>
      </c>
      <c r="H398" s="5">
        <f t="shared" si="6"/>
        <v>-2.8322177026812816E-2</v>
      </c>
    </row>
    <row r="399" spans="1:8" ht="13.5" x14ac:dyDescent="0.25">
      <c r="A399" s="1"/>
      <c r="B399" s="3">
        <v>45100</v>
      </c>
      <c r="C399" s="4">
        <v>17.489999999999998</v>
      </c>
      <c r="D399" s="4">
        <v>13.131</v>
      </c>
      <c r="E399" s="4">
        <v>2616</v>
      </c>
      <c r="F399" s="4">
        <v>17.271000000000001</v>
      </c>
      <c r="G399" s="4">
        <v>45180.936000000002</v>
      </c>
      <c r="H399" s="5">
        <f t="shared" si="6"/>
        <v>1.9820127681386811E-2</v>
      </c>
    </row>
    <row r="400" spans="1:8" ht="13.5" x14ac:dyDescent="0.25">
      <c r="A400" s="1"/>
      <c r="B400" s="3">
        <v>45103</v>
      </c>
      <c r="C400" s="4">
        <v>17.600000000000001</v>
      </c>
      <c r="D400" s="4">
        <v>13.2136</v>
      </c>
      <c r="E400" s="4">
        <v>510</v>
      </c>
      <c r="F400" s="4">
        <v>17.602</v>
      </c>
      <c r="G400" s="4">
        <v>8977.02</v>
      </c>
      <c r="H400" s="5">
        <f t="shared" si="6"/>
        <v>6.2904576955296124E-3</v>
      </c>
    </row>
    <row r="401" spans="1:8" ht="13.5" x14ac:dyDescent="0.25">
      <c r="A401" s="1"/>
      <c r="B401" s="3">
        <v>45104</v>
      </c>
      <c r="C401" s="4">
        <v>17.5</v>
      </c>
      <c r="D401" s="4">
        <v>13.138500000000001</v>
      </c>
      <c r="E401" s="4">
        <v>1127</v>
      </c>
      <c r="F401" s="4">
        <v>17.5</v>
      </c>
      <c r="G401" s="4">
        <v>19722.5</v>
      </c>
      <c r="H401" s="5">
        <f t="shared" si="6"/>
        <v>-5.683538172791598E-3</v>
      </c>
    </row>
    <row r="402" spans="1:8" ht="13.5" x14ac:dyDescent="0.25">
      <c r="A402" s="1"/>
      <c r="B402" s="3">
        <v>45107</v>
      </c>
      <c r="C402" s="4">
        <v>17.5</v>
      </c>
      <c r="D402" s="4">
        <v>13.138500000000001</v>
      </c>
      <c r="E402" s="4">
        <v>1225</v>
      </c>
      <c r="F402" s="4">
        <v>17.5</v>
      </c>
      <c r="G402" s="4">
        <v>21437.5</v>
      </c>
      <c r="H402" s="5">
        <f t="shared" si="6"/>
        <v>0</v>
      </c>
    </row>
    <row r="403" spans="1:8" ht="13.5" x14ac:dyDescent="0.25">
      <c r="A403" s="1"/>
      <c r="B403" s="3">
        <v>45110</v>
      </c>
      <c r="C403" s="4">
        <v>17.5</v>
      </c>
      <c r="D403" s="4">
        <v>13.138500000000001</v>
      </c>
      <c r="E403" s="4">
        <v>49</v>
      </c>
      <c r="F403" s="4">
        <v>17.5</v>
      </c>
      <c r="G403" s="4">
        <v>857.5</v>
      </c>
      <c r="H403" s="5">
        <f t="shared" si="6"/>
        <v>0</v>
      </c>
    </row>
    <row r="404" spans="1:8" ht="13.5" x14ac:dyDescent="0.25">
      <c r="A404" s="1"/>
      <c r="B404" s="3">
        <v>45111</v>
      </c>
      <c r="C404" s="4">
        <v>17.5</v>
      </c>
      <c r="D404" s="4">
        <v>13.138500000000001</v>
      </c>
      <c r="E404" s="4">
        <v>625</v>
      </c>
      <c r="F404" s="4">
        <v>17.324000000000002</v>
      </c>
      <c r="G404" s="4">
        <v>10827.5</v>
      </c>
      <c r="H404" s="5">
        <f t="shared" si="6"/>
        <v>0</v>
      </c>
    </row>
    <row r="405" spans="1:8" ht="13.5" x14ac:dyDescent="0.25">
      <c r="A405" s="1"/>
      <c r="B405" s="3">
        <v>45112</v>
      </c>
      <c r="C405" s="4">
        <v>17.5</v>
      </c>
      <c r="D405" s="4">
        <v>13.138500000000001</v>
      </c>
      <c r="E405" s="4">
        <v>140</v>
      </c>
      <c r="F405" s="4">
        <v>17.498000000000001</v>
      </c>
      <c r="G405" s="4">
        <v>2449.7199999999998</v>
      </c>
      <c r="H405" s="5">
        <f t="shared" si="6"/>
        <v>0</v>
      </c>
    </row>
    <row r="406" spans="1:8" ht="13.5" x14ac:dyDescent="0.25">
      <c r="A406" s="1"/>
      <c r="B406" s="3">
        <v>45113</v>
      </c>
      <c r="C406" s="4">
        <v>17.5</v>
      </c>
      <c r="D406" s="4">
        <v>13.138500000000001</v>
      </c>
      <c r="E406" s="4">
        <v>0</v>
      </c>
      <c r="F406" s="4">
        <v>0</v>
      </c>
      <c r="G406" s="4">
        <v>0</v>
      </c>
      <c r="H406" s="5">
        <f t="shared" si="6"/>
        <v>0</v>
      </c>
    </row>
    <row r="407" spans="1:8" ht="13.5" x14ac:dyDescent="0.25">
      <c r="A407" s="1"/>
      <c r="B407" s="3">
        <v>45114</v>
      </c>
      <c r="C407" s="4">
        <v>17.5</v>
      </c>
      <c r="D407" s="4">
        <v>13.138500000000001</v>
      </c>
      <c r="E407" s="4">
        <v>0</v>
      </c>
      <c r="F407" s="4">
        <v>0</v>
      </c>
      <c r="G407" s="4">
        <v>0</v>
      </c>
      <c r="H407" s="5">
        <f t="shared" si="6"/>
        <v>0</v>
      </c>
    </row>
    <row r="408" spans="1:8" ht="13.5" x14ac:dyDescent="0.25">
      <c r="A408" s="1"/>
      <c r="B408" s="3">
        <v>45117</v>
      </c>
      <c r="C408" s="4">
        <v>17.47</v>
      </c>
      <c r="D408" s="4">
        <v>13.116</v>
      </c>
      <c r="E408" s="4">
        <v>89</v>
      </c>
      <c r="F408" s="4">
        <v>17.481999999999999</v>
      </c>
      <c r="G408" s="4">
        <v>1555.8979999999999</v>
      </c>
      <c r="H408" s="5">
        <f t="shared" si="6"/>
        <v>-1.7125242607604256E-3</v>
      </c>
    </row>
    <row r="409" spans="1:8" ht="13.5" x14ac:dyDescent="0.25">
      <c r="A409" s="1"/>
      <c r="B409" s="3">
        <v>45118</v>
      </c>
      <c r="C409" s="4">
        <v>17.489999999999998</v>
      </c>
      <c r="D409" s="4">
        <v>13.131</v>
      </c>
      <c r="E409" s="4">
        <v>140</v>
      </c>
      <c r="F409" s="4">
        <v>17.489999999999998</v>
      </c>
      <c r="G409" s="4">
        <v>2448.6</v>
      </c>
      <c r="H409" s="5">
        <f t="shared" si="6"/>
        <v>1.1436413540714067E-3</v>
      </c>
    </row>
    <row r="410" spans="1:8" ht="13.5" x14ac:dyDescent="0.25">
      <c r="A410" s="1"/>
      <c r="B410" s="3">
        <v>45119</v>
      </c>
      <c r="C410" s="4">
        <v>17.48</v>
      </c>
      <c r="D410" s="4">
        <v>13.1235</v>
      </c>
      <c r="E410" s="4">
        <v>785</v>
      </c>
      <c r="F410" s="4">
        <v>17.489999999999998</v>
      </c>
      <c r="G410" s="4">
        <v>13729.65</v>
      </c>
      <c r="H410" s="5">
        <f t="shared" si="6"/>
        <v>-5.7116746630114117E-4</v>
      </c>
    </row>
    <row r="411" spans="1:8" ht="13.5" x14ac:dyDescent="0.25">
      <c r="A411" s="1"/>
      <c r="B411" s="3">
        <v>45120</v>
      </c>
      <c r="C411" s="4">
        <v>17.2</v>
      </c>
      <c r="D411" s="4">
        <v>12.9133</v>
      </c>
      <c r="E411" s="4">
        <v>165</v>
      </c>
      <c r="F411" s="4">
        <v>17.425000000000001</v>
      </c>
      <c r="G411" s="4">
        <v>2875.125</v>
      </c>
      <c r="H411" s="5">
        <f t="shared" si="6"/>
        <v>-1.6017068617365824E-2</v>
      </c>
    </row>
    <row r="412" spans="1:8" ht="13.5" x14ac:dyDescent="0.25">
      <c r="A412" s="1"/>
      <c r="B412" s="3">
        <v>45121</v>
      </c>
      <c r="C412" s="4">
        <v>17.399999999999999</v>
      </c>
      <c r="D412" s="4">
        <v>13.0634</v>
      </c>
      <c r="E412" s="4">
        <v>46</v>
      </c>
      <c r="F412" s="4">
        <v>17.41</v>
      </c>
      <c r="G412" s="4">
        <v>800.86</v>
      </c>
      <c r="H412" s="5">
        <f t="shared" si="6"/>
        <v>1.1623674815887506E-2</v>
      </c>
    </row>
    <row r="413" spans="1:8" ht="13.5" x14ac:dyDescent="0.25">
      <c r="A413" s="1"/>
      <c r="B413" s="3">
        <v>45124</v>
      </c>
      <c r="C413" s="4">
        <v>17.25</v>
      </c>
      <c r="D413" s="4">
        <v>12.950799999999999</v>
      </c>
      <c r="E413" s="4">
        <v>302</v>
      </c>
      <c r="F413" s="4">
        <v>17.07</v>
      </c>
      <c r="G413" s="4">
        <v>5155.1400000000003</v>
      </c>
      <c r="H413" s="5">
        <f t="shared" si="6"/>
        <v>-8.6195018142291042E-3</v>
      </c>
    </row>
    <row r="414" spans="1:8" ht="13.5" x14ac:dyDescent="0.25">
      <c r="A414" s="1"/>
      <c r="B414" s="3">
        <v>45125</v>
      </c>
      <c r="C414" s="4">
        <v>17.149999999999999</v>
      </c>
      <c r="D414" s="4">
        <v>12.8758</v>
      </c>
      <c r="E414" s="4">
        <v>258</v>
      </c>
      <c r="F414" s="4">
        <v>17.151</v>
      </c>
      <c r="G414" s="4">
        <v>4424.9579999999996</v>
      </c>
      <c r="H414" s="5">
        <f t="shared" si="6"/>
        <v>-5.7911480371868372E-3</v>
      </c>
    </row>
    <row r="415" spans="1:8" ht="13.5" x14ac:dyDescent="0.25">
      <c r="A415" s="1"/>
      <c r="B415" s="3">
        <v>45127</v>
      </c>
      <c r="C415" s="4">
        <v>17</v>
      </c>
      <c r="D415" s="4">
        <v>12.7631</v>
      </c>
      <c r="E415" s="4">
        <v>2045</v>
      </c>
      <c r="F415" s="4">
        <v>17.001999999999999</v>
      </c>
      <c r="G415" s="4">
        <v>34769.089999999997</v>
      </c>
      <c r="H415" s="5">
        <f t="shared" si="6"/>
        <v>-8.752854191584232E-3</v>
      </c>
    </row>
    <row r="416" spans="1:8" ht="13.5" x14ac:dyDescent="0.25">
      <c r="A416" s="1"/>
      <c r="B416" s="3">
        <v>45128</v>
      </c>
      <c r="C416" s="4">
        <v>16.75</v>
      </c>
      <c r="D416" s="4">
        <v>12.5754</v>
      </c>
      <c r="E416" s="4">
        <v>2859</v>
      </c>
      <c r="F416" s="4">
        <v>16.908000000000001</v>
      </c>
      <c r="G416" s="4">
        <v>48339.972000000002</v>
      </c>
      <c r="H416" s="5">
        <f t="shared" si="6"/>
        <v>-1.4706458462285773E-2</v>
      </c>
    </row>
    <row r="417" spans="1:8" ht="13.5" x14ac:dyDescent="0.25">
      <c r="A417" s="1"/>
      <c r="B417" s="3">
        <v>45131</v>
      </c>
      <c r="C417" s="4">
        <v>16.739999999999998</v>
      </c>
      <c r="D417" s="4">
        <v>12.5679</v>
      </c>
      <c r="E417" s="4">
        <v>12</v>
      </c>
      <c r="F417" s="4">
        <v>16.765000000000001</v>
      </c>
      <c r="G417" s="4">
        <v>201.18</v>
      </c>
      <c r="H417" s="5">
        <f t="shared" si="6"/>
        <v>-5.9640250011930307E-4</v>
      </c>
    </row>
    <row r="418" spans="1:8" ht="13.5" x14ac:dyDescent="0.25">
      <c r="A418" s="1"/>
      <c r="B418" s="3">
        <v>45133</v>
      </c>
      <c r="C418" s="4">
        <v>16.739999999999998</v>
      </c>
      <c r="D418" s="4">
        <v>12.5679</v>
      </c>
      <c r="E418" s="4">
        <v>2008</v>
      </c>
      <c r="F418" s="4">
        <v>16.579000000000001</v>
      </c>
      <c r="G418" s="4">
        <v>33290.631999999998</v>
      </c>
      <c r="H418" s="5">
        <f t="shared" si="6"/>
        <v>0</v>
      </c>
    </row>
    <row r="419" spans="1:8" ht="13.5" x14ac:dyDescent="0.25">
      <c r="A419" s="1"/>
      <c r="B419" s="3">
        <v>45134</v>
      </c>
      <c r="C419" s="4">
        <v>16.739999999999998</v>
      </c>
      <c r="D419" s="4">
        <v>12.5679</v>
      </c>
      <c r="E419" s="4">
        <v>2181</v>
      </c>
      <c r="F419" s="4">
        <v>16.702000000000002</v>
      </c>
      <c r="G419" s="4">
        <v>36427.061999999998</v>
      </c>
      <c r="H419" s="5">
        <f t="shared" si="6"/>
        <v>0</v>
      </c>
    </row>
    <row r="420" spans="1:8" ht="13.5" x14ac:dyDescent="0.25">
      <c r="A420" s="1"/>
      <c r="B420" s="3">
        <v>45135</v>
      </c>
      <c r="C420" s="4">
        <v>16.68</v>
      </c>
      <c r="D420" s="4">
        <v>12.5229</v>
      </c>
      <c r="E420" s="4">
        <v>20</v>
      </c>
      <c r="F420" s="4">
        <v>16.68</v>
      </c>
      <c r="G420" s="4">
        <v>333.6</v>
      </c>
      <c r="H420" s="5">
        <f t="shared" si="6"/>
        <v>-3.5805504499558344E-3</v>
      </c>
    </row>
    <row r="421" spans="1:8" ht="13.5" x14ac:dyDescent="0.25">
      <c r="A421" s="1"/>
      <c r="B421" s="3">
        <v>45138</v>
      </c>
      <c r="C421" s="4">
        <v>16.5</v>
      </c>
      <c r="D421" s="4">
        <v>12.3878</v>
      </c>
      <c r="E421" s="4">
        <v>1261</v>
      </c>
      <c r="F421" s="4">
        <v>16.504999999999999</v>
      </c>
      <c r="G421" s="4">
        <v>20812.805</v>
      </c>
      <c r="H421" s="5">
        <f t="shared" si="6"/>
        <v>-1.0788235951736383E-2</v>
      </c>
    </row>
    <row r="422" spans="1:8" ht="13.5" x14ac:dyDescent="0.25">
      <c r="A422" s="1"/>
      <c r="B422" s="3">
        <v>45139</v>
      </c>
      <c r="C422" s="4">
        <v>16.2</v>
      </c>
      <c r="D422" s="4">
        <v>12.1625</v>
      </c>
      <c r="E422" s="4">
        <v>1196</v>
      </c>
      <c r="F422" s="4">
        <v>16.030999999999999</v>
      </c>
      <c r="G422" s="4">
        <v>19173.076000000001</v>
      </c>
      <c r="H422" s="5">
        <f t="shared" si="6"/>
        <v>-1.8187248744732779E-2</v>
      </c>
    </row>
    <row r="423" spans="1:8" ht="13.5" x14ac:dyDescent="0.25">
      <c r="A423" s="1"/>
      <c r="B423" s="3">
        <v>45140</v>
      </c>
      <c r="C423" s="4">
        <v>16.2</v>
      </c>
      <c r="D423" s="4">
        <v>12.1625</v>
      </c>
      <c r="E423" s="4">
        <v>205</v>
      </c>
      <c r="F423" s="4">
        <v>16.212</v>
      </c>
      <c r="G423" s="4">
        <v>3323.46</v>
      </c>
      <c r="H423" s="5">
        <f t="shared" si="6"/>
        <v>0</v>
      </c>
    </row>
    <row r="424" spans="1:8" ht="13.5" x14ac:dyDescent="0.25">
      <c r="A424" s="1"/>
      <c r="B424" s="3">
        <v>45141</v>
      </c>
      <c r="C424" s="4">
        <v>16.2</v>
      </c>
      <c r="D424" s="4">
        <v>12.1625</v>
      </c>
      <c r="E424" s="4">
        <v>177</v>
      </c>
      <c r="F424" s="4">
        <v>16.2</v>
      </c>
      <c r="G424" s="4">
        <v>2867.4</v>
      </c>
      <c r="H424" s="5">
        <f t="shared" si="6"/>
        <v>0</v>
      </c>
    </row>
    <row r="425" spans="1:8" ht="13.5" x14ac:dyDescent="0.25">
      <c r="A425" s="1"/>
      <c r="B425" s="3">
        <v>45142</v>
      </c>
      <c r="C425" s="4">
        <v>16.190000000000001</v>
      </c>
      <c r="D425" s="4">
        <v>12.154999999999999</v>
      </c>
      <c r="E425" s="4">
        <v>22</v>
      </c>
      <c r="F425" s="4">
        <v>16.190000000000001</v>
      </c>
      <c r="G425" s="4">
        <v>356.18</v>
      </c>
      <c r="H425" s="5">
        <f t="shared" si="6"/>
        <v>-6.166495375128703E-4</v>
      </c>
    </row>
    <row r="426" spans="1:8" ht="13.5" x14ac:dyDescent="0.25">
      <c r="A426" s="1"/>
      <c r="B426" s="3">
        <v>45145</v>
      </c>
      <c r="C426" s="4">
        <v>16.190000000000001</v>
      </c>
      <c r="D426" s="4">
        <v>12.154999999999999</v>
      </c>
      <c r="E426" s="4">
        <v>21</v>
      </c>
      <c r="F426" s="4">
        <v>16.103999999999999</v>
      </c>
      <c r="G426" s="4">
        <v>338.18400000000003</v>
      </c>
      <c r="H426" s="5">
        <f t="shared" si="6"/>
        <v>0</v>
      </c>
    </row>
    <row r="427" spans="1:8" ht="13.5" x14ac:dyDescent="0.25">
      <c r="A427" s="1"/>
      <c r="B427" s="3">
        <v>45146</v>
      </c>
      <c r="C427" s="4">
        <v>16.100000000000001</v>
      </c>
      <c r="D427" s="4">
        <v>12.087400000000001</v>
      </c>
      <c r="E427" s="4">
        <v>1960</v>
      </c>
      <c r="F427" s="4">
        <v>16.013000000000002</v>
      </c>
      <c r="G427" s="4">
        <v>31385.48</v>
      </c>
      <c r="H427" s="5">
        <f t="shared" si="6"/>
        <v>-5.5614973262031082E-3</v>
      </c>
    </row>
    <row r="428" spans="1:8" ht="13.5" x14ac:dyDescent="0.25">
      <c r="A428" s="1"/>
      <c r="B428" s="3">
        <v>45147</v>
      </c>
      <c r="C428" s="4">
        <v>16.149999999999999</v>
      </c>
      <c r="D428" s="4">
        <v>12.125</v>
      </c>
      <c r="E428" s="4">
        <v>137</v>
      </c>
      <c r="F428" s="4">
        <v>15.984</v>
      </c>
      <c r="G428" s="4">
        <v>2189.808</v>
      </c>
      <c r="H428" s="5">
        <f t="shared" si="6"/>
        <v>3.1106772341445979E-3</v>
      </c>
    </row>
    <row r="429" spans="1:8" ht="13.5" x14ac:dyDescent="0.25">
      <c r="A429" s="1"/>
      <c r="B429" s="3">
        <v>45148</v>
      </c>
      <c r="C429" s="4">
        <v>16.170000000000002</v>
      </c>
      <c r="D429" s="4">
        <v>12.14</v>
      </c>
      <c r="E429" s="4">
        <v>601</v>
      </c>
      <c r="F429" s="4">
        <v>15.958</v>
      </c>
      <c r="G429" s="4">
        <v>9590.7579999999998</v>
      </c>
      <c r="H429" s="5">
        <f t="shared" si="6"/>
        <v>1.2371134020619026E-3</v>
      </c>
    </row>
    <row r="430" spans="1:8" ht="13.5" x14ac:dyDescent="0.25">
      <c r="A430" s="1"/>
      <c r="B430" s="3">
        <v>45149</v>
      </c>
      <c r="C430" s="4">
        <v>16.170000000000002</v>
      </c>
      <c r="D430" s="4">
        <v>12.14</v>
      </c>
      <c r="E430" s="4">
        <v>0</v>
      </c>
      <c r="F430" s="4">
        <v>0</v>
      </c>
      <c r="G430" s="4">
        <v>0</v>
      </c>
      <c r="H430" s="5">
        <f t="shared" si="6"/>
        <v>0</v>
      </c>
    </row>
    <row r="431" spans="1:8" ht="13.5" x14ac:dyDescent="0.25">
      <c r="A431" s="1"/>
      <c r="B431" s="3">
        <v>45152</v>
      </c>
      <c r="C431" s="4">
        <v>16.170000000000002</v>
      </c>
      <c r="D431" s="4">
        <v>12.14</v>
      </c>
      <c r="E431" s="4">
        <v>0</v>
      </c>
      <c r="F431" s="4">
        <v>0</v>
      </c>
      <c r="G431" s="4">
        <v>0</v>
      </c>
      <c r="H431" s="5">
        <f t="shared" si="6"/>
        <v>0</v>
      </c>
    </row>
    <row r="432" spans="1:8" ht="13.5" x14ac:dyDescent="0.25">
      <c r="A432" s="1"/>
      <c r="B432" s="3">
        <v>45153</v>
      </c>
      <c r="C432" s="4">
        <v>16.170000000000002</v>
      </c>
      <c r="D432" s="4">
        <v>12.14</v>
      </c>
      <c r="E432" s="4">
        <v>0</v>
      </c>
      <c r="F432" s="4">
        <v>0</v>
      </c>
      <c r="G432" s="4">
        <v>0</v>
      </c>
      <c r="H432" s="5">
        <f t="shared" si="6"/>
        <v>0</v>
      </c>
    </row>
    <row r="433" spans="1:8" ht="13.5" x14ac:dyDescent="0.25">
      <c r="A433" s="1"/>
      <c r="B433" s="3">
        <v>45154</v>
      </c>
      <c r="C433" s="4">
        <v>16.170000000000002</v>
      </c>
      <c r="D433" s="4">
        <v>12.14</v>
      </c>
      <c r="E433" s="4">
        <v>0</v>
      </c>
      <c r="F433" s="4">
        <v>0</v>
      </c>
      <c r="G433" s="4">
        <v>0</v>
      </c>
      <c r="H433" s="5">
        <f t="shared" si="6"/>
        <v>0</v>
      </c>
    </row>
    <row r="434" spans="1:8" ht="13.5" x14ac:dyDescent="0.25">
      <c r="A434" s="1"/>
      <c r="B434" s="3">
        <v>45155</v>
      </c>
      <c r="C434" s="4">
        <v>16</v>
      </c>
      <c r="D434" s="4">
        <v>12.0124</v>
      </c>
      <c r="E434" s="4">
        <v>433</v>
      </c>
      <c r="F434" s="4">
        <v>15.988</v>
      </c>
      <c r="G434" s="4">
        <v>6922.8040000000001</v>
      </c>
      <c r="H434" s="5">
        <f t="shared" si="6"/>
        <v>-1.0510708401977022E-2</v>
      </c>
    </row>
    <row r="435" spans="1:8" ht="13.5" x14ac:dyDescent="0.25">
      <c r="A435" s="1"/>
      <c r="B435" s="3">
        <v>45156</v>
      </c>
      <c r="C435" s="4">
        <v>15.87</v>
      </c>
      <c r="D435" s="4">
        <v>11.9148</v>
      </c>
      <c r="E435" s="4">
        <v>829</v>
      </c>
      <c r="F435" s="4">
        <v>15.903</v>
      </c>
      <c r="G435" s="4">
        <v>13183.587</v>
      </c>
      <c r="H435" s="5">
        <f t="shared" si="6"/>
        <v>-8.1249375645166596E-3</v>
      </c>
    </row>
    <row r="436" spans="1:8" ht="13.5" x14ac:dyDescent="0.25">
      <c r="A436" s="1"/>
      <c r="B436" s="3">
        <v>45159</v>
      </c>
      <c r="C436" s="4">
        <v>16.07</v>
      </c>
      <c r="D436" s="4">
        <v>12.0649</v>
      </c>
      <c r="E436" s="4">
        <v>770</v>
      </c>
      <c r="F436" s="4">
        <v>15.855</v>
      </c>
      <c r="G436" s="4">
        <v>12208.35</v>
      </c>
      <c r="H436" s="5">
        <f t="shared" si="6"/>
        <v>1.2597777553966506E-2</v>
      </c>
    </row>
    <row r="437" spans="1:8" ht="13.5" x14ac:dyDescent="0.25">
      <c r="A437" s="1"/>
      <c r="B437" s="3">
        <v>45160</v>
      </c>
      <c r="C437" s="4">
        <v>15.8</v>
      </c>
      <c r="D437" s="4">
        <v>11.8622</v>
      </c>
      <c r="E437" s="4">
        <v>1925</v>
      </c>
      <c r="F437" s="4">
        <v>15.773999999999999</v>
      </c>
      <c r="G437" s="4">
        <v>30364.95</v>
      </c>
      <c r="H437" s="5">
        <f t="shared" si="6"/>
        <v>-1.6800802327412587E-2</v>
      </c>
    </row>
    <row r="438" spans="1:8" ht="13.5" x14ac:dyDescent="0.25">
      <c r="A438" s="1"/>
      <c r="B438" s="3">
        <v>45161</v>
      </c>
      <c r="C438" s="4">
        <v>15.8</v>
      </c>
      <c r="D438" s="4">
        <v>11.8622</v>
      </c>
      <c r="E438" s="4">
        <v>155</v>
      </c>
      <c r="F438" s="4">
        <v>15.813000000000001</v>
      </c>
      <c r="G438" s="4">
        <v>2451.0149999999999</v>
      </c>
      <c r="H438" s="5">
        <f t="shared" si="6"/>
        <v>0</v>
      </c>
    </row>
    <row r="439" spans="1:8" ht="13.5" x14ac:dyDescent="0.25">
      <c r="A439" s="1"/>
      <c r="B439" s="3">
        <v>45162</v>
      </c>
      <c r="C439" s="4">
        <v>15.8</v>
      </c>
      <c r="D439" s="4">
        <v>11.8622</v>
      </c>
      <c r="E439" s="4">
        <v>818</v>
      </c>
      <c r="F439" s="4">
        <v>15.613</v>
      </c>
      <c r="G439" s="4">
        <v>12771.433999999999</v>
      </c>
      <c r="H439" s="5">
        <f t="shared" si="6"/>
        <v>0</v>
      </c>
    </row>
    <row r="440" spans="1:8" ht="13.5" x14ac:dyDescent="0.25">
      <c r="A440" s="1"/>
      <c r="B440" s="3">
        <v>45163</v>
      </c>
      <c r="C440" s="4">
        <v>16.07</v>
      </c>
      <c r="D440" s="4">
        <v>12.0649</v>
      </c>
      <c r="E440" s="4">
        <v>2951</v>
      </c>
      <c r="F440" s="4">
        <v>15.8</v>
      </c>
      <c r="G440" s="4">
        <v>46625.8</v>
      </c>
      <c r="H440" s="5">
        <f t="shared" si="6"/>
        <v>1.7087892633744172E-2</v>
      </c>
    </row>
    <row r="441" spans="1:8" ht="13.5" x14ac:dyDescent="0.25">
      <c r="A441" s="1"/>
      <c r="B441" s="3">
        <v>45166</v>
      </c>
      <c r="C441" s="4">
        <v>15.95</v>
      </c>
      <c r="D441" s="4">
        <v>11.9748</v>
      </c>
      <c r="E441" s="4">
        <v>49</v>
      </c>
      <c r="F441" s="4">
        <v>15.656000000000001</v>
      </c>
      <c r="G441" s="4">
        <v>767.14400000000001</v>
      </c>
      <c r="H441" s="5">
        <f t="shared" si="6"/>
        <v>-7.467944201775367E-3</v>
      </c>
    </row>
    <row r="442" spans="1:8" ht="13.5" x14ac:dyDescent="0.25">
      <c r="A442" s="1"/>
      <c r="B442" s="3">
        <v>45167</v>
      </c>
      <c r="C442" s="4">
        <v>15.72</v>
      </c>
      <c r="D442" s="4">
        <v>11.802199999999999</v>
      </c>
      <c r="E442" s="4">
        <v>1593</v>
      </c>
      <c r="F442" s="4">
        <v>15.772</v>
      </c>
      <c r="G442" s="4">
        <v>25124.795999999998</v>
      </c>
      <c r="H442" s="5">
        <f t="shared" si="6"/>
        <v>-1.4413601897317782E-2</v>
      </c>
    </row>
    <row r="443" spans="1:8" ht="13.5" x14ac:dyDescent="0.25">
      <c r="A443" s="1"/>
      <c r="B443" s="3">
        <v>45168</v>
      </c>
      <c r="C443" s="4">
        <v>16.059999999999999</v>
      </c>
      <c r="D443" s="4">
        <v>12.057399999999999</v>
      </c>
      <c r="E443" s="4">
        <v>990</v>
      </c>
      <c r="F443" s="4">
        <v>15.724</v>
      </c>
      <c r="G443" s="4">
        <v>15566.76</v>
      </c>
      <c r="H443" s="5">
        <f t="shared" si="6"/>
        <v>2.1623087221026616E-2</v>
      </c>
    </row>
    <row r="444" spans="1:8" ht="13.5" x14ac:dyDescent="0.25">
      <c r="A444" s="1"/>
      <c r="B444" s="3">
        <v>45169</v>
      </c>
      <c r="C444" s="4">
        <v>15.99</v>
      </c>
      <c r="D444" s="4">
        <v>12.004899999999999</v>
      </c>
      <c r="E444" s="4">
        <v>1223</v>
      </c>
      <c r="F444" s="4">
        <v>15.43</v>
      </c>
      <c r="G444" s="4">
        <v>18870.89</v>
      </c>
      <c r="H444" s="5">
        <f t="shared" si="6"/>
        <v>-4.3541725413439227E-3</v>
      </c>
    </row>
    <row r="445" spans="1:8" ht="13.5" x14ac:dyDescent="0.25">
      <c r="A445" s="1"/>
      <c r="B445" s="3">
        <v>45170</v>
      </c>
      <c r="C445" s="4">
        <v>16</v>
      </c>
      <c r="D445" s="4">
        <v>12.0124</v>
      </c>
      <c r="E445" s="4">
        <v>275</v>
      </c>
      <c r="F445" s="4">
        <v>15.981</v>
      </c>
      <c r="G445" s="4">
        <v>4394.7749999999996</v>
      </c>
      <c r="H445" s="5">
        <f t="shared" si="6"/>
        <v>6.2474489583422472E-4</v>
      </c>
    </row>
    <row r="446" spans="1:8" ht="13.5" x14ac:dyDescent="0.25">
      <c r="A446" s="1"/>
      <c r="B446" s="3">
        <v>45173</v>
      </c>
      <c r="C446" s="4">
        <v>15.97</v>
      </c>
      <c r="D446" s="4">
        <v>11.989800000000001</v>
      </c>
      <c r="E446" s="4">
        <v>1547</v>
      </c>
      <c r="F446" s="4">
        <v>15.137</v>
      </c>
      <c r="G446" s="4">
        <v>23416.938999999998</v>
      </c>
      <c r="H446" s="5">
        <f t="shared" si="6"/>
        <v>-1.8813892311277383E-3</v>
      </c>
    </row>
    <row r="447" spans="1:8" ht="13.5" x14ac:dyDescent="0.25">
      <c r="A447" s="1"/>
      <c r="B447" s="3">
        <v>45174</v>
      </c>
      <c r="C447" s="4">
        <v>15.88</v>
      </c>
      <c r="D447" s="4">
        <v>11.9223</v>
      </c>
      <c r="E447" s="4">
        <v>918</v>
      </c>
      <c r="F447" s="4">
        <v>15.531000000000001</v>
      </c>
      <c r="G447" s="4">
        <v>14257.458000000001</v>
      </c>
      <c r="H447" s="5">
        <f t="shared" si="6"/>
        <v>-5.6297853175199565E-3</v>
      </c>
    </row>
    <row r="448" spans="1:8" ht="13.5" x14ac:dyDescent="0.25">
      <c r="A448" s="1"/>
      <c r="B448" s="3">
        <v>45175</v>
      </c>
      <c r="C448" s="4">
        <v>15.75</v>
      </c>
      <c r="D448" s="4">
        <v>11.8247</v>
      </c>
      <c r="E448" s="4">
        <v>13</v>
      </c>
      <c r="F448" s="4">
        <v>15.57</v>
      </c>
      <c r="G448" s="4">
        <v>202.41</v>
      </c>
      <c r="H448" s="5">
        <f t="shared" si="6"/>
        <v>-8.1863398840827609E-3</v>
      </c>
    </row>
    <row r="449" spans="1:8" ht="13.5" x14ac:dyDescent="0.25">
      <c r="A449" s="1"/>
      <c r="B449" s="3">
        <v>45176</v>
      </c>
      <c r="C449" s="4">
        <v>15.35</v>
      </c>
      <c r="D449" s="4">
        <v>11.5244</v>
      </c>
      <c r="E449" s="4">
        <v>117</v>
      </c>
      <c r="F449" s="4">
        <v>15.693</v>
      </c>
      <c r="G449" s="4">
        <v>1836.0809999999999</v>
      </c>
      <c r="H449" s="5">
        <f t="shared" si="6"/>
        <v>-2.5395993133018175E-2</v>
      </c>
    </row>
    <row r="450" spans="1:8" ht="13.5" x14ac:dyDescent="0.25">
      <c r="A450" s="1"/>
      <c r="B450" s="3">
        <v>45177</v>
      </c>
      <c r="C450" s="4">
        <v>15.59</v>
      </c>
      <c r="D450" s="4">
        <v>11.704599999999999</v>
      </c>
      <c r="E450" s="4">
        <v>4</v>
      </c>
      <c r="F450" s="4">
        <v>15.58</v>
      </c>
      <c r="G450" s="4">
        <v>62.32</v>
      </c>
      <c r="H450" s="5">
        <f t="shared" si="6"/>
        <v>1.5636388879247443E-2</v>
      </c>
    </row>
    <row r="451" spans="1:8" ht="13.5" x14ac:dyDescent="0.25">
      <c r="A451" s="1"/>
      <c r="B451" s="3">
        <v>45180</v>
      </c>
      <c r="C451" s="4">
        <v>15.06</v>
      </c>
      <c r="D451" s="4">
        <v>11.3066</v>
      </c>
      <c r="E451" s="4">
        <v>358</v>
      </c>
      <c r="F451" s="4">
        <v>15.493</v>
      </c>
      <c r="G451" s="4">
        <v>5546.4939999999997</v>
      </c>
      <c r="H451" s="5">
        <f t="shared" si="6"/>
        <v>-3.4003725031184297E-2</v>
      </c>
    </row>
    <row r="452" spans="1:8" ht="13.5" x14ac:dyDescent="0.25">
      <c r="A452" s="1"/>
      <c r="B452" s="3">
        <v>45181</v>
      </c>
      <c r="C452" s="4">
        <v>15.46</v>
      </c>
      <c r="D452" s="4">
        <v>11.606999999999999</v>
      </c>
      <c r="E452" s="4">
        <v>1743</v>
      </c>
      <c r="F452" s="4">
        <v>15.209</v>
      </c>
      <c r="G452" s="4">
        <v>26509.287</v>
      </c>
      <c r="H452" s="5">
        <f t="shared" si="6"/>
        <v>2.6568552880618383E-2</v>
      </c>
    </row>
    <row r="453" spans="1:8" ht="13.5" x14ac:dyDescent="0.25">
      <c r="A453" s="1"/>
      <c r="B453" s="3">
        <v>45182</v>
      </c>
      <c r="C453" s="4">
        <v>15.45</v>
      </c>
      <c r="D453" s="4">
        <v>11.599399999999999</v>
      </c>
      <c r="E453" s="4">
        <v>4</v>
      </c>
      <c r="F453" s="4">
        <v>15.45</v>
      </c>
      <c r="G453" s="4">
        <v>61.8</v>
      </c>
      <c r="H453" s="5">
        <f t="shared" si="6"/>
        <v>-6.5477728956664523E-4</v>
      </c>
    </row>
    <row r="454" spans="1:8" ht="13.5" x14ac:dyDescent="0.25">
      <c r="A454" s="1"/>
      <c r="B454" s="3">
        <v>45183</v>
      </c>
      <c r="C454" s="4">
        <v>15.44</v>
      </c>
      <c r="D454" s="4">
        <v>11.591900000000001</v>
      </c>
      <c r="E454" s="4">
        <v>1002</v>
      </c>
      <c r="F454" s="4">
        <v>15.2</v>
      </c>
      <c r="G454" s="4">
        <v>15230.4</v>
      </c>
      <c r="H454" s="5">
        <f t="shared" si="6"/>
        <v>-6.4658516819822648E-4</v>
      </c>
    </row>
    <row r="455" spans="1:8" ht="13.5" x14ac:dyDescent="0.25">
      <c r="A455" s="1"/>
      <c r="B455" s="3">
        <v>45184</v>
      </c>
      <c r="C455" s="4">
        <v>15.3</v>
      </c>
      <c r="D455" s="4">
        <v>11.486800000000001</v>
      </c>
      <c r="E455" s="4">
        <v>830</v>
      </c>
      <c r="F455" s="4">
        <v>15.276</v>
      </c>
      <c r="G455" s="4">
        <v>12679.08</v>
      </c>
      <c r="H455" s="5">
        <f t="shared" ref="H455:H518" si="7">(D455-D454)/D454</f>
        <v>-9.0666758684943959E-3</v>
      </c>
    </row>
    <row r="456" spans="1:8" ht="13.5" x14ac:dyDescent="0.25">
      <c r="A456" s="1"/>
      <c r="B456" s="3">
        <v>45187</v>
      </c>
      <c r="C456" s="4">
        <v>15.19</v>
      </c>
      <c r="D456" s="4">
        <v>11.404199999999999</v>
      </c>
      <c r="E456" s="4">
        <v>2813</v>
      </c>
      <c r="F456" s="4">
        <v>15.023999999999999</v>
      </c>
      <c r="G456" s="4">
        <v>42262.512000000002</v>
      </c>
      <c r="H456" s="5">
        <f t="shared" si="7"/>
        <v>-7.1908625552809411E-3</v>
      </c>
    </row>
    <row r="457" spans="1:8" ht="13.5" x14ac:dyDescent="0.25">
      <c r="A457" s="1"/>
      <c r="B457" s="3">
        <v>45188</v>
      </c>
      <c r="C457" s="4">
        <v>15.18</v>
      </c>
      <c r="D457" s="4">
        <v>11.396699999999999</v>
      </c>
      <c r="E457" s="4">
        <v>36</v>
      </c>
      <c r="F457" s="4">
        <v>15.182</v>
      </c>
      <c r="G457" s="4">
        <v>546.55200000000002</v>
      </c>
      <c r="H457" s="5">
        <f t="shared" si="7"/>
        <v>-6.5765244383650628E-4</v>
      </c>
    </row>
    <row r="458" spans="1:8" ht="13.5" x14ac:dyDescent="0.25">
      <c r="A458" s="1"/>
      <c r="B458" s="3">
        <v>45189</v>
      </c>
      <c r="C458" s="4">
        <v>15</v>
      </c>
      <c r="D458" s="4">
        <v>11.2616</v>
      </c>
      <c r="E458" s="4">
        <v>1695</v>
      </c>
      <c r="F458" s="4">
        <v>15.023</v>
      </c>
      <c r="G458" s="4">
        <v>25463.985000000001</v>
      </c>
      <c r="H458" s="5">
        <f t="shared" si="7"/>
        <v>-1.1854308703396559E-2</v>
      </c>
    </row>
    <row r="459" spans="1:8" ht="13.5" x14ac:dyDescent="0.25">
      <c r="A459" s="1"/>
      <c r="B459" s="3">
        <v>45190</v>
      </c>
      <c r="C459" s="4">
        <v>15</v>
      </c>
      <c r="D459" s="4">
        <v>11.2616</v>
      </c>
      <c r="E459" s="4">
        <v>0</v>
      </c>
      <c r="F459" s="4">
        <v>0</v>
      </c>
      <c r="G459" s="4">
        <v>0</v>
      </c>
      <c r="H459" s="5">
        <f t="shared" si="7"/>
        <v>0</v>
      </c>
    </row>
    <row r="460" spans="1:8" ht="13.5" x14ac:dyDescent="0.25">
      <c r="A460" s="1"/>
      <c r="B460" s="3">
        <v>45191</v>
      </c>
      <c r="C460" s="4">
        <v>15</v>
      </c>
      <c r="D460" s="4">
        <v>11.2616</v>
      </c>
      <c r="E460" s="4">
        <v>1771</v>
      </c>
      <c r="F460" s="4">
        <v>14.981999999999999</v>
      </c>
      <c r="G460" s="4">
        <v>26533.121999999999</v>
      </c>
      <c r="H460" s="5">
        <f t="shared" si="7"/>
        <v>0</v>
      </c>
    </row>
    <row r="461" spans="1:8" ht="13.5" x14ac:dyDescent="0.25">
      <c r="A461" s="1"/>
      <c r="B461" s="3">
        <v>45194</v>
      </c>
      <c r="C461" s="4">
        <v>15</v>
      </c>
      <c r="D461" s="4">
        <v>11.2616</v>
      </c>
      <c r="E461" s="4">
        <v>71</v>
      </c>
      <c r="F461" s="4">
        <v>14.98</v>
      </c>
      <c r="G461" s="4">
        <v>1063.58</v>
      </c>
      <c r="H461" s="5">
        <f t="shared" si="7"/>
        <v>0</v>
      </c>
    </row>
    <row r="462" spans="1:8" ht="13.5" x14ac:dyDescent="0.25">
      <c r="A462" s="1"/>
      <c r="B462" s="3">
        <v>45195</v>
      </c>
      <c r="C462" s="4">
        <v>14.8</v>
      </c>
      <c r="D462" s="4">
        <v>11.1114</v>
      </c>
      <c r="E462" s="4">
        <v>2455</v>
      </c>
      <c r="F462" s="4">
        <v>14.944000000000001</v>
      </c>
      <c r="G462" s="4">
        <v>36687.519999999997</v>
      </c>
      <c r="H462" s="5">
        <f t="shared" si="7"/>
        <v>-1.3337358812246918E-2</v>
      </c>
    </row>
    <row r="463" spans="1:8" ht="13.5" x14ac:dyDescent="0.25">
      <c r="A463" s="1"/>
      <c r="B463" s="3">
        <v>45197</v>
      </c>
      <c r="C463" s="4">
        <v>15</v>
      </c>
      <c r="D463" s="4">
        <v>11.2616</v>
      </c>
      <c r="E463" s="4">
        <v>2395</v>
      </c>
      <c r="F463" s="4">
        <v>14.801</v>
      </c>
      <c r="G463" s="4">
        <v>35448.394999999997</v>
      </c>
      <c r="H463" s="5">
        <f t="shared" si="7"/>
        <v>1.3517648541137921E-2</v>
      </c>
    </row>
    <row r="464" spans="1:8" ht="13.5" x14ac:dyDescent="0.25">
      <c r="A464" s="1"/>
      <c r="B464" s="3">
        <v>45198</v>
      </c>
      <c r="C464" s="4">
        <v>15</v>
      </c>
      <c r="D464" s="4">
        <v>11.2616</v>
      </c>
      <c r="E464" s="4">
        <v>0</v>
      </c>
      <c r="F464" s="4">
        <v>0</v>
      </c>
      <c r="G464" s="4">
        <v>0</v>
      </c>
      <c r="H464" s="5">
        <f t="shared" si="7"/>
        <v>0</v>
      </c>
    </row>
    <row r="465" spans="1:8" ht="13.5" x14ac:dyDescent="0.25">
      <c r="A465" s="1"/>
      <c r="B465" s="3">
        <v>45201</v>
      </c>
      <c r="C465" s="4">
        <v>15.3</v>
      </c>
      <c r="D465" s="4">
        <v>11.486800000000001</v>
      </c>
      <c r="E465" s="4">
        <v>7973</v>
      </c>
      <c r="F465" s="4">
        <v>15.041</v>
      </c>
      <c r="G465" s="4">
        <v>119921.893</v>
      </c>
      <c r="H465" s="5">
        <f t="shared" si="7"/>
        <v>1.9997158485472843E-2</v>
      </c>
    </row>
    <row r="466" spans="1:8" ht="13.5" x14ac:dyDescent="0.25">
      <c r="A466" s="1"/>
      <c r="B466" s="3">
        <v>45202</v>
      </c>
      <c r="C466" s="4">
        <v>15.3</v>
      </c>
      <c r="D466" s="4">
        <v>11.486800000000001</v>
      </c>
      <c r="E466" s="4">
        <v>649</v>
      </c>
      <c r="F466" s="4">
        <v>15.37</v>
      </c>
      <c r="G466" s="4">
        <v>9975.1299999999992</v>
      </c>
      <c r="H466" s="5">
        <f t="shared" si="7"/>
        <v>0</v>
      </c>
    </row>
    <row r="467" spans="1:8" ht="13.5" x14ac:dyDescent="0.25">
      <c r="A467" s="1"/>
      <c r="B467" s="3">
        <v>45203</v>
      </c>
      <c r="C467" s="4">
        <v>15.21</v>
      </c>
      <c r="D467" s="4">
        <v>11.4193</v>
      </c>
      <c r="E467" s="4">
        <v>10</v>
      </c>
      <c r="F467" s="4">
        <v>15.166</v>
      </c>
      <c r="G467" s="4">
        <v>151.66</v>
      </c>
      <c r="H467" s="5">
        <f t="shared" si="7"/>
        <v>-5.8763101995334454E-3</v>
      </c>
    </row>
    <row r="468" spans="1:8" ht="13.5" x14ac:dyDescent="0.25">
      <c r="A468" s="1"/>
      <c r="B468" s="3">
        <v>45204</v>
      </c>
      <c r="C468" s="4">
        <v>15.21</v>
      </c>
      <c r="D468" s="4">
        <v>11.4193</v>
      </c>
      <c r="E468" s="4">
        <v>100</v>
      </c>
      <c r="F468" s="4">
        <v>15.2</v>
      </c>
      <c r="G468" s="4">
        <v>1520</v>
      </c>
      <c r="H468" s="5">
        <f t="shared" si="7"/>
        <v>0</v>
      </c>
    </row>
    <row r="469" spans="1:8" ht="13.5" x14ac:dyDescent="0.25">
      <c r="A469" s="1"/>
      <c r="B469" s="3">
        <v>45205</v>
      </c>
      <c r="C469" s="4">
        <v>15.9</v>
      </c>
      <c r="D469" s="4">
        <v>11.9373</v>
      </c>
      <c r="E469" s="4">
        <v>152</v>
      </c>
      <c r="F469" s="4">
        <v>15.342000000000001</v>
      </c>
      <c r="G469" s="4">
        <v>2331.9839999999999</v>
      </c>
      <c r="H469" s="5">
        <f t="shared" si="7"/>
        <v>4.5361799760055409E-2</v>
      </c>
    </row>
    <row r="470" spans="1:8" ht="13.5" x14ac:dyDescent="0.25">
      <c r="A470" s="1"/>
      <c r="B470" s="3">
        <v>45208</v>
      </c>
      <c r="C470" s="4">
        <v>15.26</v>
      </c>
      <c r="D470" s="4">
        <v>11.456799999999999</v>
      </c>
      <c r="E470" s="4">
        <v>28</v>
      </c>
      <c r="F470" s="4">
        <v>15.573</v>
      </c>
      <c r="G470" s="4">
        <v>436.04399999999998</v>
      </c>
      <c r="H470" s="5">
        <f t="shared" si="7"/>
        <v>-4.0251983279301101E-2</v>
      </c>
    </row>
    <row r="471" spans="1:8" ht="13.5" x14ac:dyDescent="0.25">
      <c r="A471" s="1"/>
      <c r="B471" s="3">
        <v>45209</v>
      </c>
      <c r="C471" s="4">
        <v>15.85</v>
      </c>
      <c r="D471" s="4">
        <v>11.899800000000001</v>
      </c>
      <c r="E471" s="4">
        <v>322</v>
      </c>
      <c r="F471" s="4">
        <v>15.644</v>
      </c>
      <c r="G471" s="4">
        <v>5037.3680000000004</v>
      </c>
      <c r="H471" s="5">
        <f t="shared" si="7"/>
        <v>3.866699252845484E-2</v>
      </c>
    </row>
    <row r="472" spans="1:8" ht="13.5" x14ac:dyDescent="0.25">
      <c r="A472" s="1"/>
      <c r="B472" s="3">
        <v>45210</v>
      </c>
      <c r="C472" s="4">
        <v>15.78</v>
      </c>
      <c r="D472" s="4">
        <v>11.847200000000001</v>
      </c>
      <c r="E472" s="4">
        <v>53</v>
      </c>
      <c r="F472" s="4">
        <v>15.544</v>
      </c>
      <c r="G472" s="4">
        <v>823.83199999999999</v>
      </c>
      <c r="H472" s="5">
        <f t="shared" si="7"/>
        <v>-4.420242357014402E-3</v>
      </c>
    </row>
    <row r="473" spans="1:8" ht="13.5" x14ac:dyDescent="0.25">
      <c r="A473" s="1"/>
      <c r="B473" s="3">
        <v>45211</v>
      </c>
      <c r="C473" s="4">
        <v>15.76</v>
      </c>
      <c r="D473" s="4">
        <v>11.8322</v>
      </c>
      <c r="E473" s="4">
        <v>11</v>
      </c>
      <c r="F473" s="4">
        <v>15.714</v>
      </c>
      <c r="G473" s="4">
        <v>172.85400000000001</v>
      </c>
      <c r="H473" s="5">
        <f t="shared" si="7"/>
        <v>-1.2661219528665481E-3</v>
      </c>
    </row>
    <row r="474" spans="1:8" ht="13.5" x14ac:dyDescent="0.25">
      <c r="A474" s="1"/>
      <c r="B474" s="3">
        <v>45212</v>
      </c>
      <c r="C474" s="4">
        <v>15.5</v>
      </c>
      <c r="D474" s="4">
        <v>11.637</v>
      </c>
      <c r="E474" s="4">
        <v>16070</v>
      </c>
      <c r="F474" s="4">
        <v>15.45</v>
      </c>
      <c r="G474" s="4">
        <v>248281.5</v>
      </c>
      <c r="H474" s="5">
        <f t="shared" si="7"/>
        <v>-1.6497354676222497E-2</v>
      </c>
    </row>
    <row r="475" spans="1:8" ht="13.5" x14ac:dyDescent="0.25">
      <c r="A475" s="1"/>
      <c r="B475" s="3">
        <v>45215</v>
      </c>
      <c r="C475" s="4">
        <v>15.38</v>
      </c>
      <c r="D475" s="4">
        <v>11.546900000000001</v>
      </c>
      <c r="E475" s="4">
        <v>202</v>
      </c>
      <c r="F475" s="4">
        <v>15.38</v>
      </c>
      <c r="G475" s="4">
        <v>3106.76</v>
      </c>
      <c r="H475" s="5">
        <f t="shared" si="7"/>
        <v>-7.7425453295522579E-3</v>
      </c>
    </row>
    <row r="476" spans="1:8" ht="13.5" x14ac:dyDescent="0.25">
      <c r="A476" s="1"/>
      <c r="B476" s="3">
        <v>45216</v>
      </c>
      <c r="C476" s="4">
        <v>15.26</v>
      </c>
      <c r="D476" s="4">
        <v>11.456799999999999</v>
      </c>
      <c r="E476" s="4">
        <v>65</v>
      </c>
      <c r="F476" s="4">
        <v>15.26</v>
      </c>
      <c r="G476" s="4">
        <v>991.9</v>
      </c>
      <c r="H476" s="5">
        <f t="shared" si="7"/>
        <v>-7.8029601018456381E-3</v>
      </c>
    </row>
    <row r="477" spans="1:8" ht="13.5" x14ac:dyDescent="0.25">
      <c r="A477" s="1"/>
      <c r="B477" s="3">
        <v>45217</v>
      </c>
      <c r="C477" s="4">
        <v>15.38</v>
      </c>
      <c r="D477" s="4">
        <v>11.546900000000001</v>
      </c>
      <c r="E477" s="4">
        <v>2</v>
      </c>
      <c r="F477" s="4">
        <v>15.38</v>
      </c>
      <c r="G477" s="4">
        <v>30.76</v>
      </c>
      <c r="H477" s="5">
        <f t="shared" si="7"/>
        <v>7.864325116961229E-3</v>
      </c>
    </row>
    <row r="478" spans="1:8" ht="13.5" x14ac:dyDescent="0.25">
      <c r="A478" s="1"/>
      <c r="B478" s="3">
        <v>45218</v>
      </c>
      <c r="C478" s="4">
        <v>15.2</v>
      </c>
      <c r="D478" s="4">
        <v>11.4117</v>
      </c>
      <c r="E478" s="4">
        <v>101</v>
      </c>
      <c r="F478" s="4">
        <v>15.2</v>
      </c>
      <c r="G478" s="4">
        <v>1535.2</v>
      </c>
      <c r="H478" s="5">
        <f t="shared" si="7"/>
        <v>-1.1708770319306575E-2</v>
      </c>
    </row>
    <row r="479" spans="1:8" ht="13.5" x14ac:dyDescent="0.25">
      <c r="A479" s="1"/>
      <c r="B479" s="3">
        <v>45219</v>
      </c>
      <c r="C479" s="4">
        <v>15.2</v>
      </c>
      <c r="D479" s="4">
        <v>11.4117</v>
      </c>
      <c r="E479" s="4">
        <v>721</v>
      </c>
      <c r="F479" s="4">
        <v>15.092000000000001</v>
      </c>
      <c r="G479" s="4">
        <v>10881.332</v>
      </c>
      <c r="H479" s="5">
        <f t="shared" si="7"/>
        <v>0</v>
      </c>
    </row>
    <row r="480" spans="1:8" ht="13.5" x14ac:dyDescent="0.25">
      <c r="A480" s="1"/>
      <c r="B480" s="3">
        <v>45222</v>
      </c>
      <c r="C480" s="4">
        <v>14.9</v>
      </c>
      <c r="D480" s="4">
        <v>11.186500000000001</v>
      </c>
      <c r="E480" s="4">
        <v>926</v>
      </c>
      <c r="F480" s="4">
        <v>14.9</v>
      </c>
      <c r="G480" s="4">
        <v>13797.4</v>
      </c>
      <c r="H480" s="5">
        <f t="shared" si="7"/>
        <v>-1.9734132513122424E-2</v>
      </c>
    </row>
    <row r="481" spans="1:8" ht="13.5" x14ac:dyDescent="0.25">
      <c r="A481" s="1"/>
      <c r="B481" s="3">
        <v>45223</v>
      </c>
      <c r="C481" s="4">
        <v>14.9</v>
      </c>
      <c r="D481" s="4">
        <v>11.186500000000001</v>
      </c>
      <c r="E481" s="4">
        <v>1407</v>
      </c>
      <c r="F481" s="4">
        <v>14.9</v>
      </c>
      <c r="G481" s="4">
        <v>20964.3</v>
      </c>
      <c r="H481" s="5">
        <f t="shared" si="7"/>
        <v>0</v>
      </c>
    </row>
    <row r="482" spans="1:8" ht="13.5" x14ac:dyDescent="0.25">
      <c r="A482" s="1"/>
      <c r="B482" s="3">
        <v>45224</v>
      </c>
      <c r="C482" s="4">
        <v>14.9</v>
      </c>
      <c r="D482" s="4">
        <v>11.186500000000001</v>
      </c>
      <c r="E482" s="4">
        <v>865</v>
      </c>
      <c r="F482" s="4">
        <v>14.859</v>
      </c>
      <c r="G482" s="4">
        <v>12853.035</v>
      </c>
      <c r="H482" s="5">
        <f t="shared" si="7"/>
        <v>0</v>
      </c>
    </row>
    <row r="483" spans="1:8" ht="13.5" x14ac:dyDescent="0.25">
      <c r="A483" s="1"/>
      <c r="B483" s="3">
        <v>45225</v>
      </c>
      <c r="C483" s="4">
        <v>14.7</v>
      </c>
      <c r="D483" s="4">
        <v>11.0364</v>
      </c>
      <c r="E483" s="4">
        <v>718</v>
      </c>
      <c r="F483" s="4">
        <v>14.715</v>
      </c>
      <c r="G483" s="4">
        <v>10565.37</v>
      </c>
      <c r="H483" s="5">
        <f t="shared" si="7"/>
        <v>-1.3417959147186352E-2</v>
      </c>
    </row>
    <row r="484" spans="1:8" ht="13.5" x14ac:dyDescent="0.25">
      <c r="A484" s="1"/>
      <c r="B484" s="3">
        <v>45226</v>
      </c>
      <c r="C484" s="4">
        <v>14.75</v>
      </c>
      <c r="D484" s="4">
        <v>11.0739</v>
      </c>
      <c r="E484" s="4">
        <v>181</v>
      </c>
      <c r="F484" s="4">
        <v>14.701000000000001</v>
      </c>
      <c r="G484" s="4">
        <v>2660.8809999999999</v>
      </c>
      <c r="H484" s="5">
        <f t="shared" si="7"/>
        <v>3.3978471240621619E-3</v>
      </c>
    </row>
    <row r="485" spans="1:8" ht="13.5" x14ac:dyDescent="0.25">
      <c r="A485" s="1"/>
      <c r="B485" s="3">
        <v>45229</v>
      </c>
      <c r="C485" s="4">
        <v>14.75</v>
      </c>
      <c r="D485" s="4">
        <v>11.0739</v>
      </c>
      <c r="E485" s="4">
        <v>2433</v>
      </c>
      <c r="F485" s="4">
        <v>14.204000000000001</v>
      </c>
      <c r="G485" s="4">
        <v>34558.332000000002</v>
      </c>
      <c r="H485" s="5">
        <f t="shared" si="7"/>
        <v>0</v>
      </c>
    </row>
    <row r="486" spans="1:8" ht="13.5" x14ac:dyDescent="0.25">
      <c r="A486" s="1"/>
      <c r="B486" s="3">
        <v>45230</v>
      </c>
      <c r="C486" s="4">
        <v>14.66</v>
      </c>
      <c r="D486" s="4">
        <v>11.0063</v>
      </c>
      <c r="E486" s="4">
        <v>68</v>
      </c>
      <c r="F486" s="4">
        <v>14.539</v>
      </c>
      <c r="G486" s="4">
        <v>988.65200000000004</v>
      </c>
      <c r="H486" s="5">
        <f t="shared" si="7"/>
        <v>-6.1044437822267263E-3</v>
      </c>
    </row>
    <row r="487" spans="1:8" ht="13.5" x14ac:dyDescent="0.25">
      <c r="A487" s="1"/>
      <c r="B487" s="3">
        <v>45231</v>
      </c>
      <c r="C487" s="4">
        <v>14.37</v>
      </c>
      <c r="D487" s="4">
        <v>10.788600000000001</v>
      </c>
      <c r="E487" s="4">
        <v>4119</v>
      </c>
      <c r="F487" s="4">
        <v>14.573</v>
      </c>
      <c r="G487" s="4">
        <v>60026.186999999998</v>
      </c>
      <c r="H487" s="5">
        <f t="shared" si="7"/>
        <v>-1.9779580785549995E-2</v>
      </c>
    </row>
    <row r="488" spans="1:8" ht="13.5" x14ac:dyDescent="0.25">
      <c r="A488" s="1"/>
      <c r="B488" s="3">
        <v>45232</v>
      </c>
      <c r="C488" s="4">
        <v>14.84</v>
      </c>
      <c r="D488" s="4">
        <v>11.141500000000001</v>
      </c>
      <c r="E488" s="4">
        <v>2443</v>
      </c>
      <c r="F488" s="4">
        <v>14.491</v>
      </c>
      <c r="G488" s="4">
        <v>35401.512999999999</v>
      </c>
      <c r="H488" s="5">
        <f t="shared" si="7"/>
        <v>3.2710453626976624E-2</v>
      </c>
    </row>
    <row r="489" spans="1:8" ht="13.5" x14ac:dyDescent="0.25">
      <c r="A489" s="1"/>
      <c r="B489" s="3">
        <v>45233</v>
      </c>
      <c r="C489" s="4">
        <v>14.85</v>
      </c>
      <c r="D489" s="4">
        <v>11.148999999999999</v>
      </c>
      <c r="E489" s="4">
        <v>695</v>
      </c>
      <c r="F489" s="4">
        <v>14.516</v>
      </c>
      <c r="G489" s="4">
        <v>10088.620000000001</v>
      </c>
      <c r="H489" s="5">
        <f t="shared" si="7"/>
        <v>6.7315891037997646E-4</v>
      </c>
    </row>
    <row r="490" spans="1:8" ht="13.5" x14ac:dyDescent="0.25">
      <c r="A490" s="1"/>
      <c r="B490" s="3">
        <v>45236</v>
      </c>
      <c r="C490" s="4">
        <v>14.37</v>
      </c>
      <c r="D490" s="4">
        <v>10.788600000000001</v>
      </c>
      <c r="E490" s="4">
        <v>6669</v>
      </c>
      <c r="F490" s="4">
        <v>13.977</v>
      </c>
      <c r="G490" s="4">
        <v>93212.612999999998</v>
      </c>
      <c r="H490" s="5">
        <f t="shared" si="7"/>
        <v>-3.2325769127275854E-2</v>
      </c>
    </row>
    <row r="491" spans="1:8" ht="13.5" x14ac:dyDescent="0.25">
      <c r="A491" s="1"/>
      <c r="B491" s="3">
        <v>45237</v>
      </c>
      <c r="C491" s="4">
        <v>14.78</v>
      </c>
      <c r="D491" s="4">
        <v>11.096399999999999</v>
      </c>
      <c r="E491" s="4">
        <v>3</v>
      </c>
      <c r="F491" s="4">
        <v>14.55</v>
      </c>
      <c r="G491" s="4">
        <v>43.65</v>
      </c>
      <c r="H491" s="5">
        <f t="shared" si="7"/>
        <v>2.8530115121517017E-2</v>
      </c>
    </row>
    <row r="492" spans="1:8" ht="13.5" x14ac:dyDescent="0.25">
      <c r="A492" s="1"/>
      <c r="B492" s="3">
        <v>45238</v>
      </c>
      <c r="C492" s="4">
        <v>14.2</v>
      </c>
      <c r="D492" s="4">
        <v>10.661</v>
      </c>
      <c r="E492" s="4">
        <v>1559</v>
      </c>
      <c r="F492" s="4">
        <v>14.018000000000001</v>
      </c>
      <c r="G492" s="4">
        <v>21854.062000000002</v>
      </c>
      <c r="H492" s="5">
        <f t="shared" si="7"/>
        <v>-3.9237951047186435E-2</v>
      </c>
    </row>
    <row r="493" spans="1:8" ht="13.5" x14ac:dyDescent="0.25">
      <c r="A493" s="1"/>
      <c r="B493" s="3">
        <v>45239</v>
      </c>
      <c r="C493" s="4">
        <v>14.59</v>
      </c>
      <c r="D493" s="4">
        <v>10.953799999999999</v>
      </c>
      <c r="E493" s="4">
        <v>785</v>
      </c>
      <c r="F493" s="4">
        <v>14.362</v>
      </c>
      <c r="G493" s="4">
        <v>11274.17</v>
      </c>
      <c r="H493" s="5">
        <f t="shared" si="7"/>
        <v>2.746459056373696E-2</v>
      </c>
    </row>
    <row r="494" spans="1:8" ht="13.5" x14ac:dyDescent="0.25">
      <c r="A494" s="1"/>
      <c r="B494" s="3">
        <v>45240</v>
      </c>
      <c r="C494" s="4">
        <v>14.2</v>
      </c>
      <c r="D494" s="4">
        <v>10.661</v>
      </c>
      <c r="E494" s="4">
        <v>611</v>
      </c>
      <c r="F494" s="4">
        <v>14.215999999999999</v>
      </c>
      <c r="G494" s="4">
        <v>8685.9760000000006</v>
      </c>
      <c r="H494" s="5">
        <f t="shared" si="7"/>
        <v>-2.6730449706950991E-2</v>
      </c>
    </row>
    <row r="495" spans="1:8" ht="13.5" x14ac:dyDescent="0.25">
      <c r="A495" s="1"/>
      <c r="B495" s="3">
        <v>45243</v>
      </c>
      <c r="C495" s="4">
        <v>14.19</v>
      </c>
      <c r="D495" s="4">
        <v>10.653499999999999</v>
      </c>
      <c r="E495" s="4">
        <v>360</v>
      </c>
      <c r="F495" s="4">
        <v>14.108000000000001</v>
      </c>
      <c r="G495" s="4">
        <v>5078.88</v>
      </c>
      <c r="H495" s="5">
        <f t="shared" si="7"/>
        <v>-7.0349873370230604E-4</v>
      </c>
    </row>
    <row r="496" spans="1:8" ht="13.5" x14ac:dyDescent="0.25">
      <c r="A496" s="1"/>
      <c r="B496" s="3">
        <v>45244</v>
      </c>
      <c r="C496" s="4">
        <v>14.18</v>
      </c>
      <c r="D496" s="4">
        <v>10.646000000000001</v>
      </c>
      <c r="E496" s="4">
        <v>620</v>
      </c>
      <c r="F496" s="4">
        <v>14.183</v>
      </c>
      <c r="G496" s="4">
        <v>8793.4599999999991</v>
      </c>
      <c r="H496" s="5">
        <f t="shared" si="7"/>
        <v>-7.0399399258445656E-4</v>
      </c>
    </row>
    <row r="497" spans="1:8" ht="13.5" x14ac:dyDescent="0.25">
      <c r="A497" s="1"/>
      <c r="B497" s="3">
        <v>45245</v>
      </c>
      <c r="C497" s="4">
        <v>14.18</v>
      </c>
      <c r="D497" s="4">
        <v>10.646000000000001</v>
      </c>
      <c r="E497" s="4">
        <v>6436</v>
      </c>
      <c r="F497" s="4">
        <v>14.082000000000001</v>
      </c>
      <c r="G497" s="4">
        <v>90631.751999999993</v>
      </c>
      <c r="H497" s="5">
        <f t="shared" si="7"/>
        <v>0</v>
      </c>
    </row>
    <row r="498" spans="1:8" ht="13.5" x14ac:dyDescent="0.25">
      <c r="A498" s="1"/>
      <c r="B498" s="3">
        <v>45246</v>
      </c>
      <c r="C498" s="4">
        <v>14.18</v>
      </c>
      <c r="D498" s="4">
        <v>10.646000000000001</v>
      </c>
      <c r="E498" s="4">
        <v>3633</v>
      </c>
      <c r="F498" s="4">
        <v>14.186999999999999</v>
      </c>
      <c r="G498" s="4">
        <v>51541.370999999999</v>
      </c>
      <c r="H498" s="5">
        <f t="shared" si="7"/>
        <v>0</v>
      </c>
    </row>
    <row r="499" spans="1:8" ht="13.5" x14ac:dyDescent="0.25">
      <c r="A499" s="1"/>
      <c r="B499" s="3">
        <v>45247</v>
      </c>
      <c r="C499" s="4">
        <v>14.58</v>
      </c>
      <c r="D499" s="4">
        <v>10.946300000000001</v>
      </c>
      <c r="E499" s="4">
        <v>3640</v>
      </c>
      <c r="F499" s="4">
        <v>14.186999999999999</v>
      </c>
      <c r="G499" s="4">
        <v>51640.68</v>
      </c>
      <c r="H499" s="5">
        <f t="shared" si="7"/>
        <v>2.8207777569040013E-2</v>
      </c>
    </row>
    <row r="500" spans="1:8" ht="13.5" x14ac:dyDescent="0.25">
      <c r="A500" s="1"/>
      <c r="B500" s="3">
        <v>45250</v>
      </c>
      <c r="C500" s="4">
        <v>14.58</v>
      </c>
      <c r="D500" s="4">
        <v>10.946300000000001</v>
      </c>
      <c r="E500" s="4">
        <v>329</v>
      </c>
      <c r="F500" s="4">
        <v>14.49</v>
      </c>
      <c r="G500" s="4">
        <v>4767.21</v>
      </c>
      <c r="H500" s="5">
        <f t="shared" si="7"/>
        <v>0</v>
      </c>
    </row>
    <row r="501" spans="1:8" ht="13.5" x14ac:dyDescent="0.25">
      <c r="A501" s="1"/>
      <c r="B501" s="3">
        <v>45251</v>
      </c>
      <c r="C501" s="4">
        <v>14.3</v>
      </c>
      <c r="D501" s="4">
        <v>10.7361</v>
      </c>
      <c r="E501" s="4">
        <v>3362</v>
      </c>
      <c r="F501" s="4">
        <v>14.3</v>
      </c>
      <c r="G501" s="4">
        <v>48076.6</v>
      </c>
      <c r="H501" s="5">
        <f t="shared" si="7"/>
        <v>-1.9202835661365061E-2</v>
      </c>
    </row>
    <row r="502" spans="1:8" ht="13.5" x14ac:dyDescent="0.25">
      <c r="A502" s="1"/>
      <c r="B502" s="3">
        <v>45252</v>
      </c>
      <c r="C502" s="4">
        <v>14.3</v>
      </c>
      <c r="D502" s="4">
        <v>10.7361</v>
      </c>
      <c r="E502" s="4">
        <v>634</v>
      </c>
      <c r="F502" s="4">
        <v>14.298999999999999</v>
      </c>
      <c r="G502" s="4">
        <v>9065.5660000000007</v>
      </c>
      <c r="H502" s="5">
        <f t="shared" si="7"/>
        <v>0</v>
      </c>
    </row>
    <row r="503" spans="1:8" ht="13.5" x14ac:dyDescent="0.25">
      <c r="A503" s="1"/>
      <c r="B503" s="3">
        <v>45253</v>
      </c>
      <c r="C503" s="4">
        <v>15.12</v>
      </c>
      <c r="D503" s="4">
        <v>11.351699999999999</v>
      </c>
      <c r="E503" s="4">
        <v>10418</v>
      </c>
      <c r="F503" s="4">
        <v>14.467000000000001</v>
      </c>
      <c r="G503" s="4">
        <v>150717.20600000001</v>
      </c>
      <c r="H503" s="5">
        <f t="shared" si="7"/>
        <v>5.7339257272193703E-2</v>
      </c>
    </row>
    <row r="504" spans="1:8" ht="13.5" x14ac:dyDescent="0.25">
      <c r="A504" s="1"/>
      <c r="B504" s="3">
        <v>45254</v>
      </c>
      <c r="C504" s="4">
        <v>15.29</v>
      </c>
      <c r="D504" s="4">
        <v>11.4793</v>
      </c>
      <c r="E504" s="4">
        <v>1587</v>
      </c>
      <c r="F504" s="4">
        <v>15.101000000000001</v>
      </c>
      <c r="G504" s="4">
        <v>23965.287</v>
      </c>
      <c r="H504" s="5">
        <f t="shared" si="7"/>
        <v>1.1240607133733366E-2</v>
      </c>
    </row>
    <row r="505" spans="1:8" ht="13.5" x14ac:dyDescent="0.25">
      <c r="A505" s="1"/>
      <c r="B505" s="3">
        <v>45257</v>
      </c>
      <c r="C505" s="4">
        <v>16</v>
      </c>
      <c r="D505" s="4">
        <v>12.0124</v>
      </c>
      <c r="E505" s="4">
        <v>4076</v>
      </c>
      <c r="F505" s="4">
        <v>15.497</v>
      </c>
      <c r="G505" s="4">
        <v>63165.771999999997</v>
      </c>
      <c r="H505" s="5">
        <f t="shared" si="7"/>
        <v>4.6440113944229984E-2</v>
      </c>
    </row>
    <row r="506" spans="1:8" ht="13.5" x14ac:dyDescent="0.25">
      <c r="A506" s="1"/>
      <c r="B506" s="3">
        <v>45258</v>
      </c>
      <c r="C506" s="4">
        <v>16.88</v>
      </c>
      <c r="D506" s="4">
        <v>12.673</v>
      </c>
      <c r="E506" s="4">
        <v>4708</v>
      </c>
      <c r="F506" s="4">
        <v>16.63</v>
      </c>
      <c r="G506" s="4">
        <v>78294.039999999994</v>
      </c>
      <c r="H506" s="5">
        <f t="shared" si="7"/>
        <v>5.4993173720488876E-2</v>
      </c>
    </row>
    <row r="507" spans="1:8" ht="13.5" x14ac:dyDescent="0.25">
      <c r="A507" s="1"/>
      <c r="B507" s="3">
        <v>45259</v>
      </c>
      <c r="C507" s="4">
        <v>16.96</v>
      </c>
      <c r="D507" s="4">
        <v>12.7331</v>
      </c>
      <c r="E507" s="4">
        <v>8302</v>
      </c>
      <c r="F507" s="4">
        <v>16.995000000000001</v>
      </c>
      <c r="G507" s="4">
        <v>141092.49</v>
      </c>
      <c r="H507" s="5">
        <f t="shared" si="7"/>
        <v>4.7423656592756464E-3</v>
      </c>
    </row>
    <row r="508" spans="1:8" ht="13.5" x14ac:dyDescent="0.25">
      <c r="A508" s="1"/>
      <c r="B508" s="3">
        <v>45260</v>
      </c>
      <c r="C508" s="4">
        <v>16.940000000000001</v>
      </c>
      <c r="D508" s="4">
        <v>12.7181</v>
      </c>
      <c r="E508" s="4">
        <v>633</v>
      </c>
      <c r="F508" s="4">
        <v>16.879000000000001</v>
      </c>
      <c r="G508" s="4">
        <v>10684.406999999999</v>
      </c>
      <c r="H508" s="5">
        <f t="shared" si="7"/>
        <v>-1.1780320581791211E-3</v>
      </c>
    </row>
    <row r="509" spans="1:8" ht="13.5" x14ac:dyDescent="0.25">
      <c r="A509" s="1"/>
      <c r="B509" s="3">
        <v>45261</v>
      </c>
      <c r="C509" s="4">
        <v>16.75</v>
      </c>
      <c r="D509" s="4">
        <v>12.5754</v>
      </c>
      <c r="E509" s="4">
        <v>349</v>
      </c>
      <c r="F509" s="4">
        <v>16.788</v>
      </c>
      <c r="G509" s="4">
        <v>5859.0119999999997</v>
      </c>
      <c r="H509" s="5">
        <f t="shared" si="7"/>
        <v>-1.122022943678691E-2</v>
      </c>
    </row>
    <row r="510" spans="1:8" ht="13.5" x14ac:dyDescent="0.25">
      <c r="A510" s="1"/>
      <c r="B510" s="3">
        <v>45264</v>
      </c>
      <c r="C510" s="4">
        <v>16.63</v>
      </c>
      <c r="D510" s="4">
        <v>12.4854</v>
      </c>
      <c r="E510" s="4">
        <v>1076</v>
      </c>
      <c r="F510" s="4">
        <v>16.628</v>
      </c>
      <c r="G510" s="4">
        <v>17891.727999999999</v>
      </c>
      <c r="H510" s="5">
        <f t="shared" si="7"/>
        <v>-7.1568300014313545E-3</v>
      </c>
    </row>
    <row r="511" spans="1:8" ht="13.5" x14ac:dyDescent="0.25">
      <c r="A511" s="1"/>
      <c r="B511" s="3">
        <v>45265</v>
      </c>
      <c r="C511" s="4">
        <v>16.75</v>
      </c>
      <c r="D511" s="4">
        <v>12.5754</v>
      </c>
      <c r="E511" s="4">
        <v>1996</v>
      </c>
      <c r="F511" s="4">
        <v>16.504999999999999</v>
      </c>
      <c r="G511" s="4">
        <v>32943.980000000003</v>
      </c>
      <c r="H511" s="5">
        <f t="shared" si="7"/>
        <v>7.2084194338987821E-3</v>
      </c>
    </row>
    <row r="512" spans="1:8" ht="13.5" x14ac:dyDescent="0.25">
      <c r="A512" s="1"/>
      <c r="B512" s="3">
        <v>45266</v>
      </c>
      <c r="C512" s="4">
        <v>16.84</v>
      </c>
      <c r="D512" s="4">
        <v>12.643000000000001</v>
      </c>
      <c r="E512" s="4">
        <v>962</v>
      </c>
      <c r="F512" s="4">
        <v>16.794</v>
      </c>
      <c r="G512" s="4">
        <v>16155.828</v>
      </c>
      <c r="H512" s="5">
        <f t="shared" si="7"/>
        <v>5.3755745344084916E-3</v>
      </c>
    </row>
    <row r="513" spans="1:8" ht="13.5" x14ac:dyDescent="0.25">
      <c r="A513" s="1"/>
      <c r="B513" s="3">
        <v>45267</v>
      </c>
      <c r="C513" s="4">
        <v>16.78</v>
      </c>
      <c r="D513" s="4">
        <v>12.598000000000001</v>
      </c>
      <c r="E513" s="4">
        <v>118</v>
      </c>
      <c r="F513" s="4">
        <v>16.757000000000001</v>
      </c>
      <c r="G513" s="4">
        <v>1977.326</v>
      </c>
      <c r="H513" s="5">
        <f t="shared" si="7"/>
        <v>-3.559281816024672E-3</v>
      </c>
    </row>
    <row r="514" spans="1:8" ht="13.5" x14ac:dyDescent="0.25">
      <c r="A514" s="1"/>
      <c r="B514" s="3">
        <v>45268</v>
      </c>
      <c r="C514" s="4">
        <v>16.75</v>
      </c>
      <c r="D514" s="4">
        <v>12.5754</v>
      </c>
      <c r="E514" s="4">
        <v>200</v>
      </c>
      <c r="F514" s="4">
        <v>16.692</v>
      </c>
      <c r="G514" s="4">
        <v>3338.4</v>
      </c>
      <c r="H514" s="5">
        <f t="shared" si="7"/>
        <v>-1.7939355453247038E-3</v>
      </c>
    </row>
    <row r="515" spans="1:8" ht="13.5" x14ac:dyDescent="0.25">
      <c r="A515" s="1"/>
      <c r="B515" s="3">
        <v>45271</v>
      </c>
      <c r="C515" s="4">
        <v>16.75</v>
      </c>
      <c r="D515" s="4">
        <v>12.5754</v>
      </c>
      <c r="E515" s="4">
        <v>1328</v>
      </c>
      <c r="F515" s="4">
        <v>16.501000000000001</v>
      </c>
      <c r="G515" s="4">
        <v>21913.328000000001</v>
      </c>
      <c r="H515" s="5">
        <f t="shared" si="7"/>
        <v>0</v>
      </c>
    </row>
    <row r="516" spans="1:8" ht="13.5" x14ac:dyDescent="0.25">
      <c r="A516" s="1"/>
      <c r="B516" s="3">
        <v>45272</v>
      </c>
      <c r="C516" s="4">
        <v>16.75</v>
      </c>
      <c r="D516" s="4">
        <v>12.5754</v>
      </c>
      <c r="E516" s="4">
        <v>969</v>
      </c>
      <c r="F516" s="4">
        <v>16.742000000000001</v>
      </c>
      <c r="G516" s="4">
        <v>16222.998</v>
      </c>
      <c r="H516" s="5">
        <f t="shared" si="7"/>
        <v>0</v>
      </c>
    </row>
    <row r="517" spans="1:8" ht="13.5" x14ac:dyDescent="0.25">
      <c r="A517" s="1"/>
      <c r="B517" s="3">
        <v>45273</v>
      </c>
      <c r="C517" s="4">
        <v>16.75</v>
      </c>
      <c r="D517" s="4">
        <v>12.5754</v>
      </c>
      <c r="E517" s="4">
        <v>20</v>
      </c>
      <c r="F517" s="4">
        <v>16.664000000000001</v>
      </c>
      <c r="G517" s="4">
        <v>333.28</v>
      </c>
      <c r="H517" s="5">
        <f t="shared" si="7"/>
        <v>0</v>
      </c>
    </row>
    <row r="518" spans="1:8" ht="13.5" x14ac:dyDescent="0.25">
      <c r="A518" s="1"/>
      <c r="B518" s="3">
        <v>45274</v>
      </c>
      <c r="C518" s="4">
        <v>16.739999999999998</v>
      </c>
      <c r="D518" s="4">
        <v>12.5679</v>
      </c>
      <c r="E518" s="4">
        <v>507</v>
      </c>
      <c r="F518" s="4">
        <v>16.503</v>
      </c>
      <c r="G518" s="4">
        <v>8367.0210000000006</v>
      </c>
      <c r="H518" s="5">
        <f t="shared" si="7"/>
        <v>-5.9640250011930307E-4</v>
      </c>
    </row>
    <row r="519" spans="1:8" ht="13.5" x14ac:dyDescent="0.25">
      <c r="A519" s="1"/>
      <c r="B519" s="3">
        <v>45275</v>
      </c>
      <c r="C519" s="4">
        <v>16.649999999999999</v>
      </c>
      <c r="D519" s="4">
        <v>12.500400000000001</v>
      </c>
      <c r="E519" s="4">
        <v>102</v>
      </c>
      <c r="F519" s="4">
        <v>16.503</v>
      </c>
      <c r="G519" s="4">
        <v>1683.306</v>
      </c>
      <c r="H519" s="5">
        <f t="shared" ref="H519:H582" si="8">(D519-D518)/D518</f>
        <v>-5.3708256749336811E-3</v>
      </c>
    </row>
    <row r="520" spans="1:8" ht="13.5" x14ac:dyDescent="0.25">
      <c r="A520" s="1"/>
      <c r="B520" s="3">
        <v>45278</v>
      </c>
      <c r="C520" s="4">
        <v>16.649999999999999</v>
      </c>
      <c r="D520" s="4">
        <v>12.500400000000001</v>
      </c>
      <c r="E520" s="4">
        <v>6500</v>
      </c>
      <c r="F520" s="4">
        <v>16.645</v>
      </c>
      <c r="G520" s="4">
        <v>108192.5</v>
      </c>
      <c r="H520" s="5">
        <f t="shared" si="8"/>
        <v>0</v>
      </c>
    </row>
    <row r="521" spans="1:8" ht="13.5" x14ac:dyDescent="0.25">
      <c r="A521" s="1"/>
      <c r="B521" s="3">
        <v>45279</v>
      </c>
      <c r="C521" s="4">
        <v>16.399999999999999</v>
      </c>
      <c r="D521" s="4">
        <v>12.3127</v>
      </c>
      <c r="E521" s="4">
        <v>2272</v>
      </c>
      <c r="F521" s="4">
        <v>16.472000000000001</v>
      </c>
      <c r="G521" s="4">
        <v>37424.383999999998</v>
      </c>
      <c r="H521" s="5">
        <f t="shared" si="8"/>
        <v>-1.5015519503375995E-2</v>
      </c>
    </row>
    <row r="522" spans="1:8" ht="13.5" x14ac:dyDescent="0.25">
      <c r="A522" s="1"/>
      <c r="B522" s="3">
        <v>45280</v>
      </c>
      <c r="C522" s="4">
        <v>16.45</v>
      </c>
      <c r="D522" s="4">
        <v>12.350199999999999</v>
      </c>
      <c r="E522" s="4">
        <v>501</v>
      </c>
      <c r="F522" s="4">
        <v>16.417999999999999</v>
      </c>
      <c r="G522" s="4">
        <v>8225.4179999999997</v>
      </c>
      <c r="H522" s="5">
        <f t="shared" si="8"/>
        <v>3.045635806931026E-3</v>
      </c>
    </row>
    <row r="523" spans="1:8" ht="13.5" x14ac:dyDescent="0.25">
      <c r="A523" s="1"/>
      <c r="B523" s="3">
        <v>45281</v>
      </c>
      <c r="C523" s="4">
        <v>16.36</v>
      </c>
      <c r="D523" s="4">
        <v>12.2826</v>
      </c>
      <c r="E523" s="4">
        <v>744</v>
      </c>
      <c r="F523" s="4">
        <v>16.431000000000001</v>
      </c>
      <c r="G523" s="4">
        <v>12224.664000000001</v>
      </c>
      <c r="H523" s="5">
        <f t="shared" si="8"/>
        <v>-5.4735955693024224E-3</v>
      </c>
    </row>
    <row r="524" spans="1:8" ht="13.5" x14ac:dyDescent="0.25">
      <c r="A524" s="1"/>
      <c r="B524" s="3">
        <v>45282</v>
      </c>
      <c r="C524" s="4">
        <v>16.600000000000001</v>
      </c>
      <c r="D524" s="4">
        <v>12.4628</v>
      </c>
      <c r="E524" s="4">
        <v>635</v>
      </c>
      <c r="F524" s="4">
        <v>16.425000000000001</v>
      </c>
      <c r="G524" s="4">
        <v>10429.875</v>
      </c>
      <c r="H524" s="5">
        <f t="shared" si="8"/>
        <v>1.4671160829140349E-2</v>
      </c>
    </row>
    <row r="525" spans="1:8" ht="13.5" x14ac:dyDescent="0.25">
      <c r="A525" s="1"/>
      <c r="B525" s="3">
        <v>45285</v>
      </c>
      <c r="C525" s="4">
        <v>16.600000000000001</v>
      </c>
      <c r="D525" s="4">
        <v>12.4628</v>
      </c>
      <c r="E525" s="4">
        <v>0</v>
      </c>
      <c r="F525" s="4">
        <v>0</v>
      </c>
      <c r="G525" s="4">
        <v>0</v>
      </c>
      <c r="H525" s="5">
        <f t="shared" si="8"/>
        <v>0</v>
      </c>
    </row>
    <row r="526" spans="1:8" ht="13.5" x14ac:dyDescent="0.25">
      <c r="A526" s="1"/>
      <c r="B526" s="3">
        <v>45286</v>
      </c>
      <c r="C526" s="4">
        <v>16.600000000000001</v>
      </c>
      <c r="D526" s="4">
        <v>12.4628</v>
      </c>
      <c r="E526" s="4">
        <v>619</v>
      </c>
      <c r="F526" s="4">
        <v>16.573</v>
      </c>
      <c r="G526" s="4">
        <v>10258.687</v>
      </c>
      <c r="H526" s="5">
        <f t="shared" si="8"/>
        <v>0</v>
      </c>
    </row>
    <row r="527" spans="1:8" ht="13.5" x14ac:dyDescent="0.25">
      <c r="A527" s="1"/>
      <c r="B527" s="3">
        <v>45287</v>
      </c>
      <c r="C527" s="4">
        <v>16.579999999999998</v>
      </c>
      <c r="D527" s="4">
        <v>12.447800000000001</v>
      </c>
      <c r="E527" s="4">
        <v>404</v>
      </c>
      <c r="F527" s="4">
        <v>16.300999999999998</v>
      </c>
      <c r="G527" s="4">
        <v>6585.6040000000003</v>
      </c>
      <c r="H527" s="5">
        <f t="shared" si="8"/>
        <v>-1.2035818596141149E-3</v>
      </c>
    </row>
    <row r="528" spans="1:8" ht="13.5" x14ac:dyDescent="0.25">
      <c r="A528" s="1"/>
      <c r="B528" s="3">
        <v>45288</v>
      </c>
      <c r="C528" s="4">
        <v>16.55</v>
      </c>
      <c r="D528" s="4">
        <v>12.4253</v>
      </c>
      <c r="E528" s="4">
        <v>5442</v>
      </c>
      <c r="F528" s="4">
        <v>16.614999999999998</v>
      </c>
      <c r="G528" s="4">
        <v>90418.83</v>
      </c>
      <c r="H528" s="5">
        <f t="shared" si="8"/>
        <v>-1.8075483217918709E-3</v>
      </c>
    </row>
    <row r="529" spans="1:8" ht="13.5" x14ac:dyDescent="0.25">
      <c r="A529" s="1"/>
      <c r="B529" s="3">
        <v>45289</v>
      </c>
      <c r="C529" s="4">
        <v>16.53</v>
      </c>
      <c r="D529" s="4">
        <v>12.410299999999999</v>
      </c>
      <c r="E529" s="4">
        <v>1338</v>
      </c>
      <c r="F529" s="4">
        <v>16.536999999999999</v>
      </c>
      <c r="G529" s="4">
        <v>22126.506000000001</v>
      </c>
      <c r="H529" s="5">
        <f t="shared" si="8"/>
        <v>-1.2072143127329375E-3</v>
      </c>
    </row>
    <row r="530" spans="1:8" ht="13.5" x14ac:dyDescent="0.25">
      <c r="A530" s="1"/>
      <c r="B530" s="3">
        <v>45293</v>
      </c>
      <c r="C530" s="4">
        <v>16.399999999999999</v>
      </c>
      <c r="D530" s="4">
        <v>12.3127</v>
      </c>
      <c r="E530" s="4">
        <v>1197</v>
      </c>
      <c r="F530" s="4">
        <v>16.350000000000001</v>
      </c>
      <c r="G530" s="4">
        <v>19570.95</v>
      </c>
      <c r="H530" s="5">
        <f t="shared" si="8"/>
        <v>-7.8644351869011954E-3</v>
      </c>
    </row>
    <row r="531" spans="1:8" ht="13.5" x14ac:dyDescent="0.25">
      <c r="A531" s="1"/>
      <c r="B531" s="3">
        <v>45294</v>
      </c>
      <c r="C531" s="4">
        <v>16.25</v>
      </c>
      <c r="D531" s="4">
        <v>12.200100000000001</v>
      </c>
      <c r="E531" s="4">
        <v>5657</v>
      </c>
      <c r="F531" s="4">
        <v>16.254000000000001</v>
      </c>
      <c r="G531" s="4">
        <v>91948.877999999997</v>
      </c>
      <c r="H531" s="5">
        <f t="shared" si="8"/>
        <v>-9.14502911627821E-3</v>
      </c>
    </row>
    <row r="532" spans="1:8" ht="13.5" x14ac:dyDescent="0.25">
      <c r="A532" s="1"/>
      <c r="B532" s="3">
        <v>45295</v>
      </c>
      <c r="C532" s="4">
        <v>16.2</v>
      </c>
      <c r="D532" s="4">
        <v>12.1625</v>
      </c>
      <c r="E532" s="4">
        <v>643</v>
      </c>
      <c r="F532" s="4">
        <v>16.151</v>
      </c>
      <c r="G532" s="4">
        <v>10385.093000000001</v>
      </c>
      <c r="H532" s="5">
        <f t="shared" si="8"/>
        <v>-3.0819419512955783E-3</v>
      </c>
    </row>
    <row r="533" spans="1:8" ht="13.5" x14ac:dyDescent="0.25">
      <c r="A533" s="1"/>
      <c r="B533" s="3">
        <v>45296</v>
      </c>
      <c r="C533" s="4">
        <v>16</v>
      </c>
      <c r="D533" s="4">
        <v>12.0124</v>
      </c>
      <c r="E533" s="4">
        <v>1465</v>
      </c>
      <c r="F533" s="4">
        <v>15.935</v>
      </c>
      <c r="G533" s="4">
        <v>23344.775000000001</v>
      </c>
      <c r="H533" s="5">
        <f t="shared" si="8"/>
        <v>-1.2341212744090453E-2</v>
      </c>
    </row>
    <row r="534" spans="1:8" ht="13.5" x14ac:dyDescent="0.25">
      <c r="A534" s="1"/>
      <c r="B534" s="3">
        <v>45299</v>
      </c>
      <c r="C534" s="4">
        <v>16</v>
      </c>
      <c r="D534" s="4">
        <v>12.0124</v>
      </c>
      <c r="E534" s="4">
        <v>274</v>
      </c>
      <c r="F534" s="4">
        <v>15.916</v>
      </c>
      <c r="G534" s="4">
        <v>4360.9840000000004</v>
      </c>
      <c r="H534" s="5">
        <f t="shared" si="8"/>
        <v>0</v>
      </c>
    </row>
    <row r="535" spans="1:8" ht="13.5" x14ac:dyDescent="0.25">
      <c r="A535" s="1"/>
      <c r="B535" s="3">
        <v>45300</v>
      </c>
      <c r="C535" s="4">
        <v>15.8</v>
      </c>
      <c r="D535" s="4">
        <v>11.8622</v>
      </c>
      <c r="E535" s="4">
        <v>1229</v>
      </c>
      <c r="F535" s="4">
        <v>15.904999999999999</v>
      </c>
      <c r="G535" s="4">
        <v>19547.244999999999</v>
      </c>
      <c r="H535" s="5">
        <f t="shared" si="8"/>
        <v>-1.2503746129000024E-2</v>
      </c>
    </row>
    <row r="536" spans="1:8" ht="13.5" x14ac:dyDescent="0.25">
      <c r="A536" s="1"/>
      <c r="B536" s="3">
        <v>45301</v>
      </c>
      <c r="C536" s="4">
        <v>15.33</v>
      </c>
      <c r="D536" s="4">
        <v>11.5093</v>
      </c>
      <c r="E536" s="4">
        <v>5808</v>
      </c>
      <c r="F536" s="4">
        <v>15.435</v>
      </c>
      <c r="G536" s="4">
        <v>89646.48</v>
      </c>
      <c r="H536" s="5">
        <f t="shared" si="8"/>
        <v>-2.9749962064372543E-2</v>
      </c>
    </row>
    <row r="537" spans="1:8" ht="13.5" x14ac:dyDescent="0.25">
      <c r="A537" s="1"/>
      <c r="B537" s="3">
        <v>45302</v>
      </c>
      <c r="C537" s="4">
        <v>15.3</v>
      </c>
      <c r="D537" s="4">
        <v>11.486800000000001</v>
      </c>
      <c r="E537" s="4">
        <v>1290</v>
      </c>
      <c r="F537" s="4">
        <v>15.298999999999999</v>
      </c>
      <c r="G537" s="4">
        <v>19735.71</v>
      </c>
      <c r="H537" s="5">
        <f t="shared" si="8"/>
        <v>-1.9549407870156376E-3</v>
      </c>
    </row>
    <row r="538" spans="1:8" ht="13.5" x14ac:dyDescent="0.25">
      <c r="A538" s="1"/>
      <c r="B538" s="3">
        <v>45303</v>
      </c>
      <c r="C538" s="4">
        <v>16</v>
      </c>
      <c r="D538" s="4">
        <v>12.0124</v>
      </c>
      <c r="E538" s="4">
        <v>2487</v>
      </c>
      <c r="F538" s="4">
        <v>15.602</v>
      </c>
      <c r="G538" s="4">
        <v>38802.173999999999</v>
      </c>
      <c r="H538" s="5">
        <f t="shared" si="8"/>
        <v>4.5756868753699803E-2</v>
      </c>
    </row>
    <row r="539" spans="1:8" ht="13.5" x14ac:dyDescent="0.25">
      <c r="A539" s="1"/>
      <c r="B539" s="3">
        <v>45306</v>
      </c>
      <c r="C539" s="4">
        <v>15.85</v>
      </c>
      <c r="D539" s="4">
        <v>11.899800000000001</v>
      </c>
      <c r="E539" s="4">
        <v>8317</v>
      </c>
      <c r="F539" s="4">
        <v>15.984</v>
      </c>
      <c r="G539" s="4">
        <v>132938.92800000001</v>
      </c>
      <c r="H539" s="5">
        <f t="shared" si="8"/>
        <v>-9.3736472311943247E-3</v>
      </c>
    </row>
    <row r="540" spans="1:8" ht="13.5" x14ac:dyDescent="0.25">
      <c r="A540" s="1"/>
      <c r="B540" s="3">
        <v>45307</v>
      </c>
      <c r="C540" s="4">
        <v>16.09</v>
      </c>
      <c r="D540" s="4">
        <v>12.0799</v>
      </c>
      <c r="E540" s="4">
        <v>2201</v>
      </c>
      <c r="F540" s="4">
        <v>15.975</v>
      </c>
      <c r="G540" s="4">
        <v>35160.974999999999</v>
      </c>
      <c r="H540" s="5">
        <f t="shared" si="8"/>
        <v>1.5134708146355357E-2</v>
      </c>
    </row>
    <row r="541" spans="1:8" ht="13.5" x14ac:dyDescent="0.25">
      <c r="A541" s="1"/>
      <c r="B541" s="3">
        <v>45308</v>
      </c>
      <c r="C541" s="4">
        <v>16</v>
      </c>
      <c r="D541" s="4">
        <v>12.0124</v>
      </c>
      <c r="E541" s="4">
        <v>50</v>
      </c>
      <c r="F541" s="4">
        <v>16</v>
      </c>
      <c r="G541" s="4">
        <v>800</v>
      </c>
      <c r="H541" s="5">
        <f t="shared" si="8"/>
        <v>-5.5877946009487483E-3</v>
      </c>
    </row>
    <row r="542" spans="1:8" ht="13.5" x14ac:dyDescent="0.25">
      <c r="A542" s="1"/>
      <c r="B542" s="3">
        <v>45309</v>
      </c>
      <c r="C542" s="4">
        <v>15.7</v>
      </c>
      <c r="D542" s="4">
        <v>11.787100000000001</v>
      </c>
      <c r="E542" s="4">
        <v>1797</v>
      </c>
      <c r="F542" s="4">
        <v>15.746</v>
      </c>
      <c r="G542" s="4">
        <v>28295.562000000002</v>
      </c>
      <c r="H542" s="5">
        <f t="shared" si="8"/>
        <v>-1.8755619193499964E-2</v>
      </c>
    </row>
    <row r="543" spans="1:8" ht="13.5" x14ac:dyDescent="0.25">
      <c r="A543" s="1"/>
      <c r="B543" s="3">
        <v>45310</v>
      </c>
      <c r="C543" s="4">
        <v>15.8</v>
      </c>
      <c r="D543" s="4">
        <v>11.8622</v>
      </c>
      <c r="E543" s="4">
        <v>635</v>
      </c>
      <c r="F543" s="4">
        <v>15.721</v>
      </c>
      <c r="G543" s="4">
        <v>9982.8349999999991</v>
      </c>
      <c r="H543" s="5">
        <f t="shared" si="8"/>
        <v>6.371372093220474E-3</v>
      </c>
    </row>
    <row r="544" spans="1:8" ht="13.5" x14ac:dyDescent="0.25">
      <c r="A544" s="1"/>
      <c r="B544" s="3">
        <v>45313</v>
      </c>
      <c r="C544" s="4">
        <v>15.8</v>
      </c>
      <c r="D544" s="4">
        <v>11.8622</v>
      </c>
      <c r="E544" s="4">
        <v>472</v>
      </c>
      <c r="F544" s="4">
        <v>15.666</v>
      </c>
      <c r="G544" s="4">
        <v>7394.3519999999999</v>
      </c>
      <c r="H544" s="5">
        <f t="shared" si="8"/>
        <v>0</v>
      </c>
    </row>
    <row r="545" spans="1:8" ht="13.5" x14ac:dyDescent="0.25">
      <c r="A545" s="1"/>
      <c r="B545" s="3">
        <v>45314</v>
      </c>
      <c r="C545" s="4">
        <v>15.72</v>
      </c>
      <c r="D545" s="4">
        <v>11.802199999999999</v>
      </c>
      <c r="E545" s="4">
        <v>393</v>
      </c>
      <c r="F545" s="4">
        <v>15.754</v>
      </c>
      <c r="G545" s="4">
        <v>6191.3220000000001</v>
      </c>
      <c r="H545" s="5">
        <f t="shared" si="8"/>
        <v>-5.05808366070379E-3</v>
      </c>
    </row>
    <row r="546" spans="1:8" ht="13.5" x14ac:dyDescent="0.25">
      <c r="A546" s="1"/>
      <c r="B546" s="3">
        <v>45315</v>
      </c>
      <c r="C546" s="4">
        <v>15.72</v>
      </c>
      <c r="D546" s="4">
        <v>11.802199999999999</v>
      </c>
      <c r="E546" s="4">
        <v>919</v>
      </c>
      <c r="F546" s="4">
        <v>15.667</v>
      </c>
      <c r="G546" s="4">
        <v>14397.973</v>
      </c>
      <c r="H546" s="5">
        <f t="shared" si="8"/>
        <v>0</v>
      </c>
    </row>
    <row r="547" spans="1:8" ht="13.5" x14ac:dyDescent="0.25">
      <c r="A547" s="1"/>
      <c r="B547" s="3">
        <v>45316</v>
      </c>
      <c r="C547" s="4">
        <v>15.85</v>
      </c>
      <c r="D547" s="4">
        <v>11.899800000000001</v>
      </c>
      <c r="E547" s="4">
        <v>4457</v>
      </c>
      <c r="F547" s="4">
        <v>15.835000000000001</v>
      </c>
      <c r="G547" s="4">
        <v>70576.595000000001</v>
      </c>
      <c r="H547" s="5">
        <f t="shared" si="8"/>
        <v>8.2696446425244187E-3</v>
      </c>
    </row>
    <row r="548" spans="1:8" ht="13.5" x14ac:dyDescent="0.25">
      <c r="A548" s="1"/>
      <c r="B548" s="3">
        <v>45317</v>
      </c>
      <c r="C548" s="4">
        <v>15.85</v>
      </c>
      <c r="D548" s="4">
        <v>11.899800000000001</v>
      </c>
      <c r="E548" s="4">
        <v>425</v>
      </c>
      <c r="F548" s="4">
        <v>15.85</v>
      </c>
      <c r="G548" s="4">
        <v>6736.25</v>
      </c>
      <c r="H548" s="5">
        <f t="shared" si="8"/>
        <v>0</v>
      </c>
    </row>
    <row r="549" spans="1:8" ht="13.5" x14ac:dyDescent="0.25">
      <c r="A549" s="1"/>
      <c r="B549" s="3">
        <v>45320</v>
      </c>
      <c r="C549" s="4">
        <v>15.99</v>
      </c>
      <c r="D549" s="4">
        <v>12.004899999999999</v>
      </c>
      <c r="E549" s="4">
        <v>760</v>
      </c>
      <c r="F549" s="4">
        <v>15.847</v>
      </c>
      <c r="G549" s="4">
        <v>12043.72</v>
      </c>
      <c r="H549" s="5">
        <f t="shared" si="8"/>
        <v>8.832081211448798E-3</v>
      </c>
    </row>
    <row r="550" spans="1:8" ht="13.5" x14ac:dyDescent="0.25">
      <c r="A550" s="1"/>
      <c r="B550" s="3">
        <v>45321</v>
      </c>
      <c r="C550" s="4">
        <v>15.99</v>
      </c>
      <c r="D550" s="4">
        <v>12.004899999999999</v>
      </c>
      <c r="E550" s="4">
        <v>1572</v>
      </c>
      <c r="F550" s="4">
        <v>15.7</v>
      </c>
      <c r="G550" s="4">
        <v>24680.400000000001</v>
      </c>
      <c r="H550" s="5">
        <f t="shared" si="8"/>
        <v>0</v>
      </c>
    </row>
    <row r="551" spans="1:8" ht="13.5" x14ac:dyDescent="0.25">
      <c r="A551" s="1"/>
      <c r="B551" s="3">
        <v>45322</v>
      </c>
      <c r="C551" s="4">
        <v>15.9</v>
      </c>
      <c r="D551" s="4">
        <v>11.9373</v>
      </c>
      <c r="E551" s="4">
        <v>113</v>
      </c>
      <c r="F551" s="4">
        <v>15.91</v>
      </c>
      <c r="G551" s="4">
        <v>1797.83</v>
      </c>
      <c r="H551" s="5">
        <f t="shared" si="8"/>
        <v>-5.6310339944521635E-3</v>
      </c>
    </row>
    <row r="552" spans="1:8" ht="13.5" x14ac:dyDescent="0.25">
      <c r="A552" s="1"/>
      <c r="B552" s="3">
        <v>45323</v>
      </c>
      <c r="C552" s="4">
        <v>15.9</v>
      </c>
      <c r="D552" s="4">
        <v>11.9373</v>
      </c>
      <c r="E552" s="4">
        <v>110</v>
      </c>
      <c r="F552" s="4">
        <v>15.9</v>
      </c>
      <c r="G552" s="4">
        <v>1749</v>
      </c>
      <c r="H552" s="5">
        <f t="shared" si="8"/>
        <v>0</v>
      </c>
    </row>
    <row r="553" spans="1:8" ht="13.5" x14ac:dyDescent="0.25">
      <c r="A553" s="1"/>
      <c r="B553" s="3">
        <v>45324</v>
      </c>
      <c r="C553" s="4">
        <v>15.9</v>
      </c>
      <c r="D553" s="4">
        <v>11.9373</v>
      </c>
      <c r="E553" s="4">
        <v>118</v>
      </c>
      <c r="F553" s="4">
        <v>15.840999999999999</v>
      </c>
      <c r="G553" s="4">
        <v>1869.2380000000001</v>
      </c>
      <c r="H553" s="5">
        <f t="shared" si="8"/>
        <v>0</v>
      </c>
    </row>
    <row r="554" spans="1:8" ht="13.5" x14ac:dyDescent="0.25">
      <c r="A554" s="1"/>
      <c r="B554" s="3">
        <v>45327</v>
      </c>
      <c r="C554" s="4">
        <v>15.89</v>
      </c>
      <c r="D554" s="4">
        <v>11.9298</v>
      </c>
      <c r="E554" s="4">
        <v>87</v>
      </c>
      <c r="F554" s="4">
        <v>15.89</v>
      </c>
      <c r="G554" s="4">
        <v>1382.43</v>
      </c>
      <c r="H554" s="5">
        <f t="shared" si="8"/>
        <v>-6.2828277751252666E-4</v>
      </c>
    </row>
    <row r="555" spans="1:8" ht="13.5" x14ac:dyDescent="0.25">
      <c r="A555" s="1"/>
      <c r="B555" s="3">
        <v>45328</v>
      </c>
      <c r="C555" s="4">
        <v>15.9</v>
      </c>
      <c r="D555" s="4">
        <v>11.9373</v>
      </c>
      <c r="E555" s="4">
        <v>2078</v>
      </c>
      <c r="F555" s="4">
        <v>15.9</v>
      </c>
      <c r="G555" s="4">
        <v>33040.199999999997</v>
      </c>
      <c r="H555" s="5">
        <f t="shared" si="8"/>
        <v>6.2867776492483399E-4</v>
      </c>
    </row>
    <row r="556" spans="1:8" ht="13.5" x14ac:dyDescent="0.25">
      <c r="A556" s="1"/>
      <c r="B556" s="3">
        <v>45329</v>
      </c>
      <c r="C556" s="4">
        <v>15.9</v>
      </c>
      <c r="D556" s="4">
        <v>11.9373</v>
      </c>
      <c r="E556" s="4">
        <v>161</v>
      </c>
      <c r="F556" s="4">
        <v>15.898999999999999</v>
      </c>
      <c r="G556" s="4">
        <v>2559.739</v>
      </c>
      <c r="H556" s="5">
        <f t="shared" si="8"/>
        <v>0</v>
      </c>
    </row>
    <row r="557" spans="1:8" ht="13.5" x14ac:dyDescent="0.25">
      <c r="A557" s="1"/>
      <c r="B557" s="3">
        <v>45330</v>
      </c>
      <c r="C557" s="4">
        <v>15.85</v>
      </c>
      <c r="D557" s="4">
        <v>11.899800000000001</v>
      </c>
      <c r="E557" s="4">
        <v>1328</v>
      </c>
      <c r="F557" s="4">
        <v>15.851000000000001</v>
      </c>
      <c r="G557" s="4">
        <v>21050.128000000001</v>
      </c>
      <c r="H557" s="5">
        <f t="shared" si="8"/>
        <v>-3.1414138875624845E-3</v>
      </c>
    </row>
    <row r="558" spans="1:8" ht="13.5" x14ac:dyDescent="0.25">
      <c r="A558" s="1"/>
      <c r="B558" s="3">
        <v>45331</v>
      </c>
      <c r="C558" s="4">
        <v>15.85</v>
      </c>
      <c r="D558" s="4">
        <v>11.899800000000001</v>
      </c>
      <c r="E558" s="4">
        <v>1536</v>
      </c>
      <c r="F558" s="4">
        <v>15.856999999999999</v>
      </c>
      <c r="G558" s="4">
        <v>24356.351999999999</v>
      </c>
      <c r="H558" s="5">
        <f t="shared" si="8"/>
        <v>0</v>
      </c>
    </row>
    <row r="559" spans="1:8" ht="13.5" x14ac:dyDescent="0.25">
      <c r="A559" s="1"/>
      <c r="B559" s="3">
        <v>45334</v>
      </c>
      <c r="C559" s="4">
        <v>15.85</v>
      </c>
      <c r="D559" s="4">
        <v>11.899800000000001</v>
      </c>
      <c r="E559" s="4">
        <v>810</v>
      </c>
      <c r="F559" s="4">
        <v>15.778</v>
      </c>
      <c r="G559" s="4">
        <v>12780.18</v>
      </c>
      <c r="H559" s="5">
        <f t="shared" si="8"/>
        <v>0</v>
      </c>
    </row>
    <row r="560" spans="1:8" ht="13.5" x14ac:dyDescent="0.25">
      <c r="A560" s="1"/>
      <c r="B560" s="3">
        <v>45335</v>
      </c>
      <c r="C560" s="4">
        <v>15.85</v>
      </c>
      <c r="D560" s="4">
        <v>11.899800000000001</v>
      </c>
      <c r="E560" s="4">
        <v>397</v>
      </c>
      <c r="F560" s="4">
        <v>15.849</v>
      </c>
      <c r="G560" s="4">
        <v>6292.0529999999999</v>
      </c>
      <c r="H560" s="5">
        <f t="shared" si="8"/>
        <v>0</v>
      </c>
    </row>
    <row r="561" spans="1:8" ht="13.5" x14ac:dyDescent="0.25">
      <c r="A561" s="1"/>
      <c r="B561" s="3">
        <v>45336</v>
      </c>
      <c r="C561" s="4">
        <v>15.75</v>
      </c>
      <c r="D561" s="4">
        <v>11.8247</v>
      </c>
      <c r="E561" s="4">
        <v>225</v>
      </c>
      <c r="F561" s="4">
        <v>15.75</v>
      </c>
      <c r="G561" s="4">
        <v>3543.75</v>
      </c>
      <c r="H561" s="5">
        <f t="shared" si="8"/>
        <v>-6.3110304374864139E-3</v>
      </c>
    </row>
    <row r="562" spans="1:8" ht="13.5" x14ac:dyDescent="0.25">
      <c r="A562" s="1"/>
      <c r="B562" s="3">
        <v>45337</v>
      </c>
      <c r="C562" s="4">
        <v>15.75</v>
      </c>
      <c r="D562" s="4">
        <v>11.8247</v>
      </c>
      <c r="E562" s="4">
        <v>142</v>
      </c>
      <c r="F562" s="4">
        <v>15.75</v>
      </c>
      <c r="G562" s="4">
        <v>2236.5</v>
      </c>
      <c r="H562" s="5">
        <f t="shared" si="8"/>
        <v>0</v>
      </c>
    </row>
    <row r="563" spans="1:8" ht="13.5" x14ac:dyDescent="0.25">
      <c r="A563" s="1"/>
      <c r="B563" s="3">
        <v>45338</v>
      </c>
      <c r="C563" s="4">
        <v>15.6</v>
      </c>
      <c r="D563" s="4">
        <v>11.7121</v>
      </c>
      <c r="E563" s="4">
        <v>334</v>
      </c>
      <c r="F563" s="4">
        <v>15.6</v>
      </c>
      <c r="G563" s="4">
        <v>5210.3999999999996</v>
      </c>
      <c r="H563" s="5">
        <f t="shared" si="8"/>
        <v>-9.5224403156105846E-3</v>
      </c>
    </row>
    <row r="564" spans="1:8" ht="13.5" x14ac:dyDescent="0.25">
      <c r="A564" s="1"/>
      <c r="B564" s="3">
        <v>45341</v>
      </c>
      <c r="C564" s="4">
        <v>15.75</v>
      </c>
      <c r="D564" s="4">
        <v>11.8247</v>
      </c>
      <c r="E564" s="4">
        <v>1764</v>
      </c>
      <c r="F564" s="4">
        <v>15.542</v>
      </c>
      <c r="G564" s="4">
        <v>27416.088</v>
      </c>
      <c r="H564" s="5">
        <f t="shared" si="8"/>
        <v>9.6139889515971071E-3</v>
      </c>
    </row>
    <row r="565" spans="1:8" ht="13.5" x14ac:dyDescent="0.25">
      <c r="A565" s="1"/>
      <c r="B565" s="3">
        <v>45342</v>
      </c>
      <c r="C565" s="4">
        <v>15.75</v>
      </c>
      <c r="D565" s="4">
        <v>11.8247</v>
      </c>
      <c r="E565" s="4">
        <v>10</v>
      </c>
      <c r="F565" s="4">
        <v>15.75</v>
      </c>
      <c r="G565" s="4">
        <v>157.5</v>
      </c>
      <c r="H565" s="5">
        <f t="shared" si="8"/>
        <v>0</v>
      </c>
    </row>
    <row r="566" spans="1:8" ht="13.5" x14ac:dyDescent="0.25">
      <c r="A566" s="1"/>
      <c r="B566" s="3">
        <v>45343</v>
      </c>
      <c r="C566" s="4">
        <v>15.75</v>
      </c>
      <c r="D566" s="4">
        <v>11.8247</v>
      </c>
      <c r="E566" s="4">
        <v>779</v>
      </c>
      <c r="F566" s="4">
        <v>15.747999999999999</v>
      </c>
      <c r="G566" s="4">
        <v>12267.691999999999</v>
      </c>
      <c r="H566" s="5">
        <f t="shared" si="8"/>
        <v>0</v>
      </c>
    </row>
    <row r="567" spans="1:8" ht="13.5" x14ac:dyDescent="0.25">
      <c r="A567" s="1"/>
      <c r="B567" s="3">
        <v>45344</v>
      </c>
      <c r="C567" s="4">
        <v>15.7</v>
      </c>
      <c r="D567" s="4">
        <v>11.787100000000001</v>
      </c>
      <c r="E567" s="4">
        <v>565</v>
      </c>
      <c r="F567" s="4">
        <v>15.47</v>
      </c>
      <c r="G567" s="4">
        <v>8740.5499999999993</v>
      </c>
      <c r="H567" s="5">
        <f t="shared" si="8"/>
        <v>-3.1797846879835778E-3</v>
      </c>
    </row>
    <row r="568" spans="1:8" ht="13.5" x14ac:dyDescent="0.25">
      <c r="A568" s="1"/>
      <c r="B568" s="3">
        <v>45345</v>
      </c>
      <c r="C568" s="4">
        <v>15.7</v>
      </c>
      <c r="D568" s="4">
        <v>11.787100000000001</v>
      </c>
      <c r="E568" s="4">
        <v>441</v>
      </c>
      <c r="F568" s="4">
        <v>15.7</v>
      </c>
      <c r="G568" s="4">
        <v>6923.7</v>
      </c>
      <c r="H568" s="5">
        <f t="shared" si="8"/>
        <v>0</v>
      </c>
    </row>
    <row r="569" spans="1:8" ht="13.5" x14ac:dyDescent="0.25">
      <c r="A569" s="1"/>
      <c r="B569" s="3">
        <v>45348</v>
      </c>
      <c r="C569" s="4">
        <v>15.7</v>
      </c>
      <c r="D569" s="4">
        <v>11.787100000000001</v>
      </c>
      <c r="E569" s="4">
        <v>1859</v>
      </c>
      <c r="F569" s="4">
        <v>15.7</v>
      </c>
      <c r="G569" s="4">
        <v>29186.3</v>
      </c>
      <c r="H569" s="5">
        <f t="shared" si="8"/>
        <v>0</v>
      </c>
    </row>
    <row r="570" spans="1:8" ht="13.5" x14ac:dyDescent="0.25">
      <c r="A570" s="1"/>
      <c r="B570" s="3">
        <v>45349</v>
      </c>
      <c r="C570" s="4">
        <v>16</v>
      </c>
      <c r="D570" s="4">
        <v>12.0124</v>
      </c>
      <c r="E570" s="4">
        <v>799</v>
      </c>
      <c r="F570" s="4">
        <v>15.836</v>
      </c>
      <c r="G570" s="4">
        <v>12652.964</v>
      </c>
      <c r="H570" s="5">
        <f t="shared" si="8"/>
        <v>1.9114116279661572E-2</v>
      </c>
    </row>
    <row r="571" spans="1:8" ht="13.5" x14ac:dyDescent="0.25">
      <c r="A571" s="1"/>
      <c r="B571" s="3">
        <v>45350</v>
      </c>
      <c r="C571" s="4">
        <v>16</v>
      </c>
      <c r="D571" s="4">
        <v>12.0124</v>
      </c>
      <c r="E571" s="4">
        <v>98</v>
      </c>
      <c r="F571" s="4">
        <v>16</v>
      </c>
      <c r="G571" s="4">
        <v>1568</v>
      </c>
      <c r="H571" s="5">
        <f t="shared" si="8"/>
        <v>0</v>
      </c>
    </row>
    <row r="572" spans="1:8" ht="13.5" x14ac:dyDescent="0.25">
      <c r="A572" s="1"/>
      <c r="B572" s="3">
        <v>45351</v>
      </c>
      <c r="C572" s="4">
        <v>16</v>
      </c>
      <c r="D572" s="4">
        <v>12.0124</v>
      </c>
      <c r="E572" s="4">
        <v>8</v>
      </c>
      <c r="F572" s="4">
        <v>16</v>
      </c>
      <c r="G572" s="4">
        <v>128</v>
      </c>
      <c r="H572" s="5">
        <f t="shared" si="8"/>
        <v>0</v>
      </c>
    </row>
    <row r="573" spans="1:8" ht="13.5" x14ac:dyDescent="0.25">
      <c r="A573" s="1"/>
      <c r="B573" s="3">
        <v>45352</v>
      </c>
      <c r="C573" s="4">
        <v>16</v>
      </c>
      <c r="D573" s="4">
        <v>12.0124</v>
      </c>
      <c r="E573" s="4">
        <v>630</v>
      </c>
      <c r="F573" s="4">
        <v>15.786</v>
      </c>
      <c r="G573" s="4">
        <v>9945.18</v>
      </c>
      <c r="H573" s="5">
        <f t="shared" si="8"/>
        <v>0</v>
      </c>
    </row>
    <row r="574" spans="1:8" ht="13.5" x14ac:dyDescent="0.25">
      <c r="A574" s="1"/>
      <c r="B574" s="3">
        <v>45355</v>
      </c>
      <c r="C574" s="4">
        <v>16</v>
      </c>
      <c r="D574" s="4">
        <v>12.0124</v>
      </c>
      <c r="E574" s="4">
        <v>0</v>
      </c>
      <c r="F574" s="4">
        <v>0</v>
      </c>
      <c r="G574" s="4">
        <v>0</v>
      </c>
      <c r="H574" s="5">
        <f t="shared" si="8"/>
        <v>0</v>
      </c>
    </row>
    <row r="575" spans="1:8" ht="13.5" x14ac:dyDescent="0.25">
      <c r="A575" s="1"/>
      <c r="B575" s="3">
        <v>45356</v>
      </c>
      <c r="C575" s="4">
        <v>16</v>
      </c>
      <c r="D575" s="4">
        <v>12.0124</v>
      </c>
      <c r="E575" s="4">
        <v>1338</v>
      </c>
      <c r="F575" s="4">
        <v>15.742000000000001</v>
      </c>
      <c r="G575" s="4">
        <v>21062.795999999998</v>
      </c>
      <c r="H575" s="5">
        <f t="shared" si="8"/>
        <v>0</v>
      </c>
    </row>
    <row r="576" spans="1:8" ht="13.5" x14ac:dyDescent="0.25">
      <c r="A576" s="1"/>
      <c r="B576" s="3">
        <v>45357</v>
      </c>
      <c r="C576" s="4">
        <v>16</v>
      </c>
      <c r="D576" s="4">
        <v>12.0124</v>
      </c>
      <c r="E576" s="4">
        <v>515</v>
      </c>
      <c r="F576" s="4">
        <v>15.91</v>
      </c>
      <c r="G576" s="4">
        <v>8193.65</v>
      </c>
      <c r="H576" s="5">
        <f t="shared" si="8"/>
        <v>0</v>
      </c>
    </row>
    <row r="577" spans="1:8" ht="13.5" x14ac:dyDescent="0.25">
      <c r="A577" s="1"/>
      <c r="B577" s="3">
        <v>45358</v>
      </c>
      <c r="C577" s="4">
        <v>16.7</v>
      </c>
      <c r="D577" s="4">
        <v>12.5379</v>
      </c>
      <c r="E577" s="4">
        <v>1117</v>
      </c>
      <c r="F577" s="4">
        <v>16.285</v>
      </c>
      <c r="G577" s="4">
        <v>18190.345000000001</v>
      </c>
      <c r="H577" s="5">
        <f t="shared" si="8"/>
        <v>4.3746461989277827E-2</v>
      </c>
    </row>
    <row r="578" spans="1:8" ht="13.5" x14ac:dyDescent="0.25">
      <c r="A578" s="1"/>
      <c r="B578" s="3">
        <v>45359</v>
      </c>
      <c r="C578" s="4">
        <v>17.600000000000001</v>
      </c>
      <c r="D578" s="4">
        <v>13.2136</v>
      </c>
      <c r="E578" s="4">
        <v>21225</v>
      </c>
      <c r="F578" s="4">
        <v>17.148</v>
      </c>
      <c r="G578" s="4">
        <v>363966.3</v>
      </c>
      <c r="H578" s="5">
        <f t="shared" si="8"/>
        <v>5.3892597643943489E-2</v>
      </c>
    </row>
    <row r="579" spans="1:8" ht="13.5" x14ac:dyDescent="0.25">
      <c r="A579" s="1"/>
      <c r="B579" s="3">
        <v>45362</v>
      </c>
      <c r="C579" s="4">
        <v>17.5</v>
      </c>
      <c r="D579" s="4">
        <v>13.138500000000001</v>
      </c>
      <c r="E579" s="4">
        <v>810</v>
      </c>
      <c r="F579" s="4">
        <v>17.262</v>
      </c>
      <c r="G579" s="4">
        <v>13982.22</v>
      </c>
      <c r="H579" s="5">
        <f t="shared" si="8"/>
        <v>-5.683538172791598E-3</v>
      </c>
    </row>
    <row r="580" spans="1:8" ht="13.5" x14ac:dyDescent="0.25">
      <c r="A580" s="1"/>
      <c r="B580" s="3">
        <v>45363</v>
      </c>
      <c r="C580" s="4">
        <v>17.600000000000001</v>
      </c>
      <c r="D580" s="4">
        <v>13.2136</v>
      </c>
      <c r="E580" s="4">
        <v>33</v>
      </c>
      <c r="F580" s="4">
        <v>17.57</v>
      </c>
      <c r="G580" s="4">
        <v>579.80999999999995</v>
      </c>
      <c r="H580" s="5">
        <f t="shared" si="8"/>
        <v>5.716025421471177E-3</v>
      </c>
    </row>
    <row r="581" spans="1:8" ht="13.5" x14ac:dyDescent="0.25">
      <c r="A581" s="1"/>
      <c r="B581" s="3">
        <v>45364</v>
      </c>
      <c r="C581" s="4">
        <v>17.489999999999998</v>
      </c>
      <c r="D581" s="4">
        <v>13.131</v>
      </c>
      <c r="E581" s="4">
        <v>1401</v>
      </c>
      <c r="F581" s="4">
        <v>17.126999999999999</v>
      </c>
      <c r="G581" s="4">
        <v>23994.927</v>
      </c>
      <c r="H581" s="5">
        <f t="shared" si="8"/>
        <v>-6.2511351940424519E-3</v>
      </c>
    </row>
    <row r="582" spans="1:8" ht="13.5" x14ac:dyDescent="0.25">
      <c r="A582" s="1"/>
      <c r="B582" s="3">
        <v>45365</v>
      </c>
      <c r="C582" s="4">
        <v>17.39</v>
      </c>
      <c r="D582" s="4">
        <v>13.055899999999999</v>
      </c>
      <c r="E582" s="4">
        <v>242</v>
      </c>
      <c r="F582" s="4">
        <v>17.257000000000001</v>
      </c>
      <c r="G582" s="4">
        <v>4176.1940000000004</v>
      </c>
      <c r="H582" s="5">
        <f t="shared" si="8"/>
        <v>-5.7192902292286067E-3</v>
      </c>
    </row>
    <row r="583" spans="1:8" ht="13.5" x14ac:dyDescent="0.25">
      <c r="A583" s="1"/>
      <c r="B583" s="3">
        <v>45366</v>
      </c>
      <c r="C583" s="4">
        <v>17.25</v>
      </c>
      <c r="D583" s="4">
        <v>12.950799999999999</v>
      </c>
      <c r="E583" s="4">
        <v>355</v>
      </c>
      <c r="F583" s="4">
        <v>17.18</v>
      </c>
      <c r="G583" s="4">
        <v>6098.9</v>
      </c>
      <c r="H583" s="5">
        <f t="shared" ref="H583:H646" si="9">(D583-D582)/D582</f>
        <v>-8.0500003829686341E-3</v>
      </c>
    </row>
    <row r="584" spans="1:8" ht="13.5" x14ac:dyDescent="0.25">
      <c r="A584" s="1"/>
      <c r="B584" s="3">
        <v>45369</v>
      </c>
      <c r="C584" s="4">
        <v>17.239999999999998</v>
      </c>
      <c r="D584" s="4">
        <v>12.943300000000001</v>
      </c>
      <c r="E584" s="4">
        <v>47</v>
      </c>
      <c r="F584" s="4">
        <v>17.026</v>
      </c>
      <c r="G584" s="4">
        <v>800.22199999999998</v>
      </c>
      <c r="H584" s="5">
        <f t="shared" si="9"/>
        <v>-5.7911480371857405E-4</v>
      </c>
    </row>
    <row r="585" spans="1:8" ht="13.5" x14ac:dyDescent="0.25">
      <c r="A585" s="1"/>
      <c r="B585" s="3">
        <v>45370</v>
      </c>
      <c r="C585" s="4">
        <v>17</v>
      </c>
      <c r="D585" s="4">
        <v>12.7631</v>
      </c>
      <c r="E585" s="4">
        <v>2116</v>
      </c>
      <c r="F585" s="4">
        <v>17.155000000000001</v>
      </c>
      <c r="G585" s="4">
        <v>36299.980000000003</v>
      </c>
      <c r="H585" s="5">
        <f t="shared" si="9"/>
        <v>-1.3922260938091601E-2</v>
      </c>
    </row>
    <row r="586" spans="1:8" ht="13.5" x14ac:dyDescent="0.25">
      <c r="A586" s="1"/>
      <c r="B586" s="3">
        <v>45372</v>
      </c>
      <c r="C586" s="4">
        <v>17.3</v>
      </c>
      <c r="D586" s="4">
        <v>12.9884</v>
      </c>
      <c r="E586" s="4">
        <v>410</v>
      </c>
      <c r="F586" s="4">
        <v>17.295000000000002</v>
      </c>
      <c r="G586" s="4">
        <v>7090.95</v>
      </c>
      <c r="H586" s="5">
        <f t="shared" si="9"/>
        <v>1.7652451206995223E-2</v>
      </c>
    </row>
    <row r="587" spans="1:8" ht="13.5" x14ac:dyDescent="0.25">
      <c r="A587" s="1"/>
      <c r="B587" s="3">
        <v>45373</v>
      </c>
      <c r="C587" s="4">
        <v>17.239999999999998</v>
      </c>
      <c r="D587" s="4">
        <v>12.943300000000001</v>
      </c>
      <c r="E587" s="4">
        <v>680</v>
      </c>
      <c r="F587" s="4">
        <v>17.001000000000001</v>
      </c>
      <c r="G587" s="4">
        <v>11560.68</v>
      </c>
      <c r="H587" s="5">
        <f t="shared" si="9"/>
        <v>-3.4723291552461962E-3</v>
      </c>
    </row>
    <row r="588" spans="1:8" ht="13.5" x14ac:dyDescent="0.25">
      <c r="A588" s="1"/>
      <c r="B588" s="3">
        <v>45376</v>
      </c>
      <c r="C588" s="4">
        <v>17.25</v>
      </c>
      <c r="D588" s="4">
        <v>12.950799999999999</v>
      </c>
      <c r="E588" s="4">
        <v>35</v>
      </c>
      <c r="F588" s="4">
        <v>17.25</v>
      </c>
      <c r="G588" s="4">
        <v>603.75</v>
      </c>
      <c r="H588" s="5">
        <f t="shared" si="9"/>
        <v>5.7945037200702351E-4</v>
      </c>
    </row>
    <row r="589" spans="1:8" ht="13.5" x14ac:dyDescent="0.25">
      <c r="A589" s="1"/>
      <c r="B589" s="3">
        <v>45377</v>
      </c>
      <c r="C589" s="4">
        <v>17.190000000000001</v>
      </c>
      <c r="D589" s="4">
        <v>12.905799999999999</v>
      </c>
      <c r="E589" s="4">
        <v>1888</v>
      </c>
      <c r="F589" s="4">
        <v>17.116</v>
      </c>
      <c r="G589" s="4">
        <v>32315.008000000002</v>
      </c>
      <c r="H589" s="5">
        <f t="shared" si="9"/>
        <v>-3.4746888223121299E-3</v>
      </c>
    </row>
    <row r="590" spans="1:8" ht="13.5" x14ac:dyDescent="0.25">
      <c r="A590" s="1"/>
      <c r="B590" s="3">
        <v>45378</v>
      </c>
      <c r="C590" s="4">
        <v>17.190000000000001</v>
      </c>
      <c r="D590" s="4">
        <v>12.905799999999999</v>
      </c>
      <c r="E590" s="4">
        <v>398</v>
      </c>
      <c r="F590" s="4">
        <v>17.190000000000001</v>
      </c>
      <c r="G590" s="4">
        <v>6841.62</v>
      </c>
      <c r="H590" s="5">
        <f t="shared" si="9"/>
        <v>0</v>
      </c>
    </row>
    <row r="591" spans="1:8" ht="13.5" x14ac:dyDescent="0.25">
      <c r="A591" s="1"/>
      <c r="B591" s="3">
        <v>45379</v>
      </c>
      <c r="C591" s="4">
        <v>17</v>
      </c>
      <c r="D591" s="4">
        <v>12.7631</v>
      </c>
      <c r="E591" s="4">
        <v>1804</v>
      </c>
      <c r="F591" s="4">
        <v>16.994</v>
      </c>
      <c r="G591" s="4">
        <v>30657.175999999999</v>
      </c>
      <c r="H591" s="5">
        <f t="shared" si="9"/>
        <v>-1.105704411969809E-2</v>
      </c>
    </row>
    <row r="592" spans="1:8" ht="13.5" x14ac:dyDescent="0.25">
      <c r="A592" s="1"/>
      <c r="B592" s="3">
        <v>45380</v>
      </c>
      <c r="C592" s="4">
        <v>16.989999999999998</v>
      </c>
      <c r="D592" s="4">
        <v>12.755599999999999</v>
      </c>
      <c r="E592" s="4">
        <v>701</v>
      </c>
      <c r="F592" s="4">
        <v>16.965</v>
      </c>
      <c r="G592" s="4">
        <v>11892.465</v>
      </c>
      <c r="H592" s="5">
        <f t="shared" si="9"/>
        <v>-5.8763153152449512E-4</v>
      </c>
    </row>
    <row r="593" spans="1:8" ht="13.5" x14ac:dyDescent="0.25">
      <c r="A593" s="1"/>
      <c r="B593" s="3">
        <v>45383</v>
      </c>
      <c r="C593" s="4">
        <v>16.989999999999998</v>
      </c>
      <c r="D593" s="4">
        <v>12.755599999999999</v>
      </c>
      <c r="E593" s="4">
        <v>0</v>
      </c>
      <c r="F593" s="4">
        <v>0</v>
      </c>
      <c r="G593" s="4">
        <v>0</v>
      </c>
      <c r="H593" s="5">
        <f t="shared" si="9"/>
        <v>0</v>
      </c>
    </row>
    <row r="594" spans="1:8" ht="13.5" x14ac:dyDescent="0.25">
      <c r="A594" s="1"/>
      <c r="B594" s="3">
        <v>45384</v>
      </c>
      <c r="C594" s="4">
        <v>16.989999999999998</v>
      </c>
      <c r="D594" s="4">
        <v>12.755599999999999</v>
      </c>
      <c r="E594" s="4">
        <v>1573</v>
      </c>
      <c r="F594" s="4">
        <v>16.704999999999998</v>
      </c>
      <c r="G594" s="4">
        <v>26276.965</v>
      </c>
      <c r="H594" s="5">
        <f t="shared" si="9"/>
        <v>0</v>
      </c>
    </row>
    <row r="595" spans="1:8" ht="13.5" x14ac:dyDescent="0.25">
      <c r="A595" s="1"/>
      <c r="B595" s="3">
        <v>45385</v>
      </c>
      <c r="C595" s="4">
        <v>16.96</v>
      </c>
      <c r="D595" s="4">
        <v>12.7331</v>
      </c>
      <c r="E595" s="4">
        <v>8774</v>
      </c>
      <c r="F595" s="4">
        <v>16.817</v>
      </c>
      <c r="G595" s="4">
        <v>147552.35800000001</v>
      </c>
      <c r="H595" s="5">
        <f t="shared" si="9"/>
        <v>-1.7639311361283732E-3</v>
      </c>
    </row>
    <row r="596" spans="1:8" ht="13.5" x14ac:dyDescent="0.25">
      <c r="A596" s="1"/>
      <c r="B596" s="3">
        <v>45386</v>
      </c>
      <c r="C596" s="4">
        <v>16.600000000000001</v>
      </c>
      <c r="D596" s="4">
        <v>12.4628</v>
      </c>
      <c r="E596" s="4">
        <v>2923</v>
      </c>
      <c r="F596" s="4">
        <v>16.634</v>
      </c>
      <c r="G596" s="4">
        <v>48621.182000000001</v>
      </c>
      <c r="H596" s="5">
        <f t="shared" si="9"/>
        <v>-2.1228137688387012E-2</v>
      </c>
    </row>
    <row r="597" spans="1:8" ht="13.5" x14ac:dyDescent="0.25">
      <c r="A597" s="1"/>
      <c r="B597" s="3">
        <v>45387</v>
      </c>
      <c r="C597" s="4">
        <v>16.600000000000001</v>
      </c>
      <c r="D597" s="4">
        <v>12.4628</v>
      </c>
      <c r="E597" s="4">
        <v>911</v>
      </c>
      <c r="F597" s="4">
        <v>16.638000000000002</v>
      </c>
      <c r="G597" s="4">
        <v>15157.218000000001</v>
      </c>
      <c r="H597" s="5">
        <f t="shared" si="9"/>
        <v>0</v>
      </c>
    </row>
    <row r="598" spans="1:8" ht="13.5" x14ac:dyDescent="0.25">
      <c r="A598" s="1"/>
      <c r="B598" s="3">
        <v>45390</v>
      </c>
      <c r="C598" s="4">
        <v>16.57</v>
      </c>
      <c r="D598" s="4">
        <v>12.440300000000001</v>
      </c>
      <c r="E598" s="4">
        <v>5054</v>
      </c>
      <c r="F598" s="4">
        <v>16.559000000000001</v>
      </c>
      <c r="G598" s="4">
        <v>83689.186000000002</v>
      </c>
      <c r="H598" s="5">
        <f t="shared" si="9"/>
        <v>-1.8053727894212438E-3</v>
      </c>
    </row>
    <row r="599" spans="1:8" ht="13.5" x14ac:dyDescent="0.25">
      <c r="A599" s="1"/>
      <c r="B599" s="3">
        <v>45394</v>
      </c>
      <c r="C599" s="4">
        <v>15.85</v>
      </c>
      <c r="D599" s="4">
        <v>11.899800000000001</v>
      </c>
      <c r="E599" s="4">
        <v>3557</v>
      </c>
      <c r="F599" s="4">
        <v>16.076000000000001</v>
      </c>
      <c r="G599" s="4">
        <v>57182.332000000002</v>
      </c>
      <c r="H599" s="5">
        <f t="shared" si="9"/>
        <v>-4.3447505285242292E-2</v>
      </c>
    </row>
    <row r="600" spans="1:8" ht="13.5" x14ac:dyDescent="0.25">
      <c r="A600" s="1"/>
      <c r="B600" s="3">
        <v>45397</v>
      </c>
      <c r="C600" s="4">
        <v>16.16</v>
      </c>
      <c r="D600" s="4">
        <v>12.1325</v>
      </c>
      <c r="E600" s="4">
        <v>799</v>
      </c>
      <c r="F600" s="4">
        <v>15.879</v>
      </c>
      <c r="G600" s="4">
        <v>12687.321</v>
      </c>
      <c r="H600" s="5">
        <f t="shared" si="9"/>
        <v>1.9554950503369757E-2</v>
      </c>
    </row>
    <row r="601" spans="1:8" ht="13.5" x14ac:dyDescent="0.25">
      <c r="A601" s="1"/>
      <c r="B601" s="3">
        <v>45398</v>
      </c>
      <c r="C601" s="4">
        <v>16.399999999999999</v>
      </c>
      <c r="D601" s="4">
        <v>12.3127</v>
      </c>
      <c r="E601" s="4">
        <v>4513</v>
      </c>
      <c r="F601" s="4">
        <v>16.087</v>
      </c>
      <c r="G601" s="4">
        <v>72600.630999999994</v>
      </c>
      <c r="H601" s="5">
        <f t="shared" si="9"/>
        <v>1.4852668452503544E-2</v>
      </c>
    </row>
    <row r="602" spans="1:8" ht="13.5" x14ac:dyDescent="0.25">
      <c r="A602" s="1"/>
      <c r="B602" s="3">
        <v>45399</v>
      </c>
      <c r="C602" s="4">
        <v>16.600000000000001</v>
      </c>
      <c r="D602" s="4">
        <v>12.4628</v>
      </c>
      <c r="E602" s="4">
        <v>19091</v>
      </c>
      <c r="F602" s="4">
        <v>16.434999999999999</v>
      </c>
      <c r="G602" s="4">
        <v>313760.58500000002</v>
      </c>
      <c r="H602" s="5">
        <f t="shared" si="9"/>
        <v>1.2190664923209379E-2</v>
      </c>
    </row>
    <row r="603" spans="1:8" ht="13.5" x14ac:dyDescent="0.25">
      <c r="A603" s="1"/>
      <c r="B603" s="3">
        <v>45400</v>
      </c>
      <c r="C603" s="4">
        <v>16.5</v>
      </c>
      <c r="D603" s="4">
        <v>12.3878</v>
      </c>
      <c r="E603" s="4">
        <v>871</v>
      </c>
      <c r="F603" s="4">
        <v>16.408999999999999</v>
      </c>
      <c r="G603" s="4">
        <v>14292.239</v>
      </c>
      <c r="H603" s="5">
        <f t="shared" si="9"/>
        <v>-6.0179092980710029E-3</v>
      </c>
    </row>
    <row r="604" spans="1:8" ht="13.5" x14ac:dyDescent="0.25">
      <c r="A604" s="1"/>
      <c r="B604" s="3">
        <v>45401</v>
      </c>
      <c r="C604" s="4">
        <v>16.5</v>
      </c>
      <c r="D604" s="4">
        <v>12.3878</v>
      </c>
      <c r="E604" s="4">
        <v>1103</v>
      </c>
      <c r="F604" s="4">
        <v>16.21</v>
      </c>
      <c r="G604" s="4">
        <v>17879.63</v>
      </c>
      <c r="H604" s="5">
        <f t="shared" si="9"/>
        <v>0</v>
      </c>
    </row>
    <row r="605" spans="1:8" ht="13.5" x14ac:dyDescent="0.25">
      <c r="A605" s="1"/>
      <c r="B605" s="3">
        <v>45404</v>
      </c>
      <c r="C605" s="4">
        <v>16.45</v>
      </c>
      <c r="D605" s="4">
        <v>12.350199999999999</v>
      </c>
      <c r="E605" s="4">
        <v>514</v>
      </c>
      <c r="F605" s="4">
        <v>16.315999999999999</v>
      </c>
      <c r="G605" s="4">
        <v>8386.4240000000009</v>
      </c>
      <c r="H605" s="5">
        <f t="shared" si="9"/>
        <v>-3.0352443533154545E-3</v>
      </c>
    </row>
    <row r="606" spans="1:8" ht="13.5" x14ac:dyDescent="0.25">
      <c r="A606" s="1"/>
      <c r="B606" s="3">
        <v>45405</v>
      </c>
      <c r="C606" s="4">
        <v>16.8</v>
      </c>
      <c r="D606" s="4">
        <v>12.613</v>
      </c>
      <c r="E606" s="4">
        <v>8191</v>
      </c>
      <c r="F606" s="4">
        <v>16.506</v>
      </c>
      <c r="G606" s="4">
        <v>135200.64600000001</v>
      </c>
      <c r="H606" s="5">
        <f t="shared" si="9"/>
        <v>2.1279007627406876E-2</v>
      </c>
    </row>
    <row r="607" spans="1:8" ht="13.5" x14ac:dyDescent="0.25">
      <c r="A607" s="1"/>
      <c r="B607" s="3">
        <v>45406</v>
      </c>
      <c r="C607" s="4">
        <v>16.95</v>
      </c>
      <c r="D607" s="4">
        <v>12.7256</v>
      </c>
      <c r="E607" s="4">
        <v>12512</v>
      </c>
      <c r="F607" s="4">
        <v>17.047999999999998</v>
      </c>
      <c r="G607" s="4">
        <v>213304.576</v>
      </c>
      <c r="H607" s="5">
        <f t="shared" si="9"/>
        <v>8.9272972330135952E-3</v>
      </c>
    </row>
    <row r="608" spans="1:8" ht="13.5" x14ac:dyDescent="0.25">
      <c r="A608" s="1"/>
      <c r="B608" s="3">
        <v>45407</v>
      </c>
      <c r="C608" s="4">
        <v>17.149999999999999</v>
      </c>
      <c r="D608" s="4">
        <v>12.8758</v>
      </c>
      <c r="E608" s="4">
        <v>32249</v>
      </c>
      <c r="F608" s="4">
        <v>17.425999999999998</v>
      </c>
      <c r="G608" s="4">
        <v>561971.07400000002</v>
      </c>
      <c r="H608" s="5">
        <f t="shared" si="9"/>
        <v>1.1802979820204932E-2</v>
      </c>
    </row>
    <row r="609" spans="1:8" ht="13.5" x14ac:dyDescent="0.25">
      <c r="A609" s="1"/>
      <c r="B609" s="3">
        <v>45408</v>
      </c>
      <c r="C609" s="4">
        <v>17.14</v>
      </c>
      <c r="D609" s="4">
        <v>12.8682</v>
      </c>
      <c r="E609" s="4">
        <v>1939</v>
      </c>
      <c r="F609" s="4">
        <v>17.053999999999998</v>
      </c>
      <c r="G609" s="4">
        <v>33067.705999999998</v>
      </c>
      <c r="H609" s="5">
        <f t="shared" si="9"/>
        <v>-5.9025458612280797E-4</v>
      </c>
    </row>
    <row r="610" spans="1:8" ht="13.5" x14ac:dyDescent="0.25">
      <c r="A610" s="1"/>
      <c r="B610" s="3">
        <v>45411</v>
      </c>
      <c r="C610" s="4">
        <v>17</v>
      </c>
      <c r="D610" s="4">
        <v>12.7631</v>
      </c>
      <c r="E610" s="4">
        <v>4791</v>
      </c>
      <c r="F610" s="4">
        <v>16.934000000000001</v>
      </c>
      <c r="G610" s="4">
        <v>81130.793999999994</v>
      </c>
      <c r="H610" s="5">
        <f t="shared" si="9"/>
        <v>-8.1674204628464121E-3</v>
      </c>
    </row>
    <row r="611" spans="1:8" ht="13.5" x14ac:dyDescent="0.25">
      <c r="A611" s="1"/>
      <c r="B611" s="3">
        <v>45412</v>
      </c>
      <c r="C611" s="4">
        <v>17</v>
      </c>
      <c r="D611" s="4">
        <v>12.7631</v>
      </c>
      <c r="E611" s="4">
        <v>756</v>
      </c>
      <c r="F611" s="4">
        <v>16.757000000000001</v>
      </c>
      <c r="G611" s="4">
        <v>12668.291999999999</v>
      </c>
      <c r="H611" s="5">
        <f t="shared" si="9"/>
        <v>0</v>
      </c>
    </row>
    <row r="612" spans="1:8" ht="13.5" x14ac:dyDescent="0.25">
      <c r="A612" s="1"/>
      <c r="B612" s="3">
        <v>45414</v>
      </c>
      <c r="C612" s="4">
        <v>16.899999999999999</v>
      </c>
      <c r="D612" s="4">
        <v>12.6881</v>
      </c>
      <c r="E612" s="4">
        <v>368</v>
      </c>
      <c r="F612" s="4">
        <v>16.375</v>
      </c>
      <c r="G612" s="4">
        <v>6026</v>
      </c>
      <c r="H612" s="5">
        <f t="shared" si="9"/>
        <v>-5.8763153152446733E-3</v>
      </c>
    </row>
    <row r="613" spans="1:8" ht="13.5" x14ac:dyDescent="0.25">
      <c r="A613" s="1"/>
      <c r="B613" s="3">
        <v>45415</v>
      </c>
      <c r="C613" s="4">
        <v>16.899999999999999</v>
      </c>
      <c r="D613" s="4">
        <v>12.6881</v>
      </c>
      <c r="E613" s="4">
        <v>1517</v>
      </c>
      <c r="F613" s="4">
        <v>16.899999999999999</v>
      </c>
      <c r="G613" s="4">
        <v>25637.3</v>
      </c>
      <c r="H613" s="5">
        <f t="shared" si="9"/>
        <v>0</v>
      </c>
    </row>
    <row r="614" spans="1:8" ht="13.5" x14ac:dyDescent="0.25">
      <c r="A614" s="1"/>
      <c r="B614" s="3">
        <v>45418</v>
      </c>
      <c r="C614" s="4">
        <v>16.8</v>
      </c>
      <c r="D614" s="4">
        <v>12.613</v>
      </c>
      <c r="E614" s="4">
        <v>125</v>
      </c>
      <c r="F614" s="4">
        <v>16.8</v>
      </c>
      <c r="G614" s="4">
        <v>2100</v>
      </c>
      <c r="H614" s="5">
        <f t="shared" si="9"/>
        <v>-5.9189319125795689E-3</v>
      </c>
    </row>
    <row r="615" spans="1:8" ht="13.5" x14ac:dyDescent="0.25">
      <c r="A615" s="1"/>
      <c r="B615" s="3">
        <v>45419</v>
      </c>
      <c r="C615" s="4">
        <v>16.100000000000001</v>
      </c>
      <c r="D615" s="4">
        <v>12.087400000000001</v>
      </c>
      <c r="E615" s="4">
        <v>7744</v>
      </c>
      <c r="F615" s="4">
        <v>16.071999999999999</v>
      </c>
      <c r="G615" s="4">
        <v>124461.568</v>
      </c>
      <c r="H615" s="5">
        <f t="shared" si="9"/>
        <v>-4.1671291524617377E-2</v>
      </c>
    </row>
    <row r="616" spans="1:8" ht="13.5" x14ac:dyDescent="0.25">
      <c r="A616" s="1"/>
      <c r="B616" s="3">
        <v>45420</v>
      </c>
      <c r="C616" s="4">
        <v>16.690000000000001</v>
      </c>
      <c r="D616" s="4">
        <v>12.5304</v>
      </c>
      <c r="E616" s="4">
        <v>6</v>
      </c>
      <c r="F616" s="4">
        <v>16.692</v>
      </c>
      <c r="G616" s="4">
        <v>100.152</v>
      </c>
      <c r="H616" s="5">
        <f t="shared" si="9"/>
        <v>3.6649734434204176E-2</v>
      </c>
    </row>
    <row r="617" spans="1:8" ht="13.5" x14ac:dyDescent="0.25">
      <c r="A617" s="1"/>
      <c r="B617" s="3">
        <v>45421</v>
      </c>
      <c r="C617" s="4">
        <v>16.41</v>
      </c>
      <c r="D617" s="4">
        <v>12.3202</v>
      </c>
      <c r="E617" s="4">
        <v>1045</v>
      </c>
      <c r="F617" s="4">
        <v>16.443000000000001</v>
      </c>
      <c r="G617" s="4">
        <v>17182.935000000001</v>
      </c>
      <c r="H617" s="5">
        <f t="shared" si="9"/>
        <v>-1.6775202707016566E-2</v>
      </c>
    </row>
    <row r="618" spans="1:8" ht="13.5" x14ac:dyDescent="0.25">
      <c r="A618" s="1"/>
      <c r="B618" s="3">
        <v>45422</v>
      </c>
      <c r="C618" s="4">
        <v>16.41</v>
      </c>
      <c r="D618" s="4">
        <v>12.3202</v>
      </c>
      <c r="E618" s="4">
        <v>1756</v>
      </c>
      <c r="F618" s="4">
        <v>16.221</v>
      </c>
      <c r="G618" s="4">
        <v>28484.076000000001</v>
      </c>
      <c r="H618" s="5">
        <f t="shared" si="9"/>
        <v>0</v>
      </c>
    </row>
    <row r="619" spans="1:8" ht="13.5" x14ac:dyDescent="0.25">
      <c r="A619" s="1"/>
      <c r="B619" s="3">
        <v>45425</v>
      </c>
      <c r="C619" s="4">
        <v>16.41</v>
      </c>
      <c r="D619" s="4">
        <v>12.3202</v>
      </c>
      <c r="E619" s="4">
        <v>222</v>
      </c>
      <c r="F619" s="4">
        <v>16.41</v>
      </c>
      <c r="G619" s="4">
        <v>3643.02</v>
      </c>
      <c r="H619" s="5">
        <f t="shared" si="9"/>
        <v>0</v>
      </c>
    </row>
    <row r="620" spans="1:8" ht="13.5" x14ac:dyDescent="0.25">
      <c r="A620" s="1"/>
      <c r="B620" s="3">
        <v>45426</v>
      </c>
      <c r="C620" s="4">
        <v>16.39</v>
      </c>
      <c r="D620" s="4">
        <v>12.305199999999999</v>
      </c>
      <c r="E620" s="4">
        <v>2304</v>
      </c>
      <c r="F620" s="4">
        <v>16.155000000000001</v>
      </c>
      <c r="G620" s="4">
        <v>37221.120000000003</v>
      </c>
      <c r="H620" s="5">
        <f t="shared" si="9"/>
        <v>-1.2175127027159111E-3</v>
      </c>
    </row>
    <row r="621" spans="1:8" ht="13.5" x14ac:dyDescent="0.25">
      <c r="A621" s="1"/>
      <c r="B621" s="3">
        <v>45427</v>
      </c>
      <c r="C621" s="4">
        <v>16.600000000000001</v>
      </c>
      <c r="D621" s="4">
        <v>12.4628</v>
      </c>
      <c r="E621" s="4">
        <v>978</v>
      </c>
      <c r="F621" s="4">
        <v>16.417000000000002</v>
      </c>
      <c r="G621" s="4">
        <v>16055.825999999999</v>
      </c>
      <c r="H621" s="5">
        <f t="shared" si="9"/>
        <v>1.2807593537691416E-2</v>
      </c>
    </row>
    <row r="622" spans="1:8" ht="13.5" x14ac:dyDescent="0.25">
      <c r="A622" s="1"/>
      <c r="B622" s="3">
        <v>45428</v>
      </c>
      <c r="C622" s="4">
        <v>16.55</v>
      </c>
      <c r="D622" s="4">
        <v>12.4253</v>
      </c>
      <c r="E622" s="4">
        <v>810</v>
      </c>
      <c r="F622" s="4">
        <v>16.382999999999999</v>
      </c>
      <c r="G622" s="4">
        <v>13270.23</v>
      </c>
      <c r="H622" s="5">
        <f t="shared" si="9"/>
        <v>-3.0089546490355014E-3</v>
      </c>
    </row>
    <row r="623" spans="1:8" ht="13.5" x14ac:dyDescent="0.25">
      <c r="A623" s="1"/>
      <c r="B623" s="3">
        <v>45429</v>
      </c>
      <c r="C623" s="4">
        <v>16.55</v>
      </c>
      <c r="D623" s="4">
        <v>12.4253</v>
      </c>
      <c r="E623" s="4">
        <v>0</v>
      </c>
      <c r="F623" s="4">
        <v>0</v>
      </c>
      <c r="G623" s="4">
        <v>0</v>
      </c>
      <c r="H623" s="5">
        <f t="shared" si="9"/>
        <v>0</v>
      </c>
    </row>
    <row r="624" spans="1:8" ht="13.5" x14ac:dyDescent="0.25">
      <c r="A624" s="1"/>
      <c r="B624" s="3">
        <v>45432</v>
      </c>
      <c r="C624" s="4">
        <v>16.48</v>
      </c>
      <c r="D624" s="4">
        <v>12.3727</v>
      </c>
      <c r="E624" s="4">
        <v>15</v>
      </c>
      <c r="F624" s="4">
        <v>16.48</v>
      </c>
      <c r="G624" s="4">
        <v>247.2</v>
      </c>
      <c r="H624" s="5">
        <f t="shared" si="9"/>
        <v>-4.2332981899833389E-3</v>
      </c>
    </row>
    <row r="625" spans="1:8" ht="13.5" x14ac:dyDescent="0.25">
      <c r="A625" s="1"/>
      <c r="B625" s="3">
        <v>45433</v>
      </c>
      <c r="C625" s="4">
        <v>16.45</v>
      </c>
      <c r="D625" s="4">
        <v>12.350199999999999</v>
      </c>
      <c r="E625" s="4">
        <v>3978</v>
      </c>
      <c r="F625" s="4">
        <v>16.48</v>
      </c>
      <c r="G625" s="4">
        <v>65557.440000000002</v>
      </c>
      <c r="H625" s="5">
        <f t="shared" si="9"/>
        <v>-1.8185198057013305E-3</v>
      </c>
    </row>
    <row r="626" spans="1:8" ht="13.5" x14ac:dyDescent="0.25">
      <c r="A626" s="1"/>
      <c r="B626" s="3">
        <v>45434</v>
      </c>
      <c r="C626" s="4">
        <v>16.45</v>
      </c>
      <c r="D626" s="4">
        <v>12.350199999999999</v>
      </c>
      <c r="E626" s="4">
        <v>858</v>
      </c>
      <c r="F626" s="4">
        <v>16.408000000000001</v>
      </c>
      <c r="G626" s="4">
        <v>14078.064</v>
      </c>
      <c r="H626" s="5">
        <f t="shared" si="9"/>
        <v>0</v>
      </c>
    </row>
    <row r="627" spans="1:8" ht="13.5" x14ac:dyDescent="0.25">
      <c r="A627" s="1"/>
      <c r="B627" s="3">
        <v>45435</v>
      </c>
      <c r="C627" s="4">
        <v>16.3</v>
      </c>
      <c r="D627" s="4">
        <v>12.2376</v>
      </c>
      <c r="E627" s="4">
        <v>2932</v>
      </c>
      <c r="F627" s="4">
        <v>16.309000000000001</v>
      </c>
      <c r="G627" s="4">
        <v>47817.987999999998</v>
      </c>
      <c r="H627" s="5">
        <f t="shared" si="9"/>
        <v>-9.1172612589268762E-3</v>
      </c>
    </row>
    <row r="628" spans="1:8" ht="13.5" x14ac:dyDescent="0.25">
      <c r="A628" s="1"/>
      <c r="B628" s="3">
        <v>45436</v>
      </c>
      <c r="C628" s="4">
        <v>16.45</v>
      </c>
      <c r="D628" s="4">
        <v>12.350199999999999</v>
      </c>
      <c r="E628" s="4">
        <v>768</v>
      </c>
      <c r="F628" s="4">
        <v>16.423999999999999</v>
      </c>
      <c r="G628" s="4">
        <v>12613.632</v>
      </c>
      <c r="H628" s="5">
        <f t="shared" si="9"/>
        <v>9.2011505523957888E-3</v>
      </c>
    </row>
    <row r="629" spans="1:8" ht="13.5" x14ac:dyDescent="0.25">
      <c r="A629" s="1"/>
      <c r="B629" s="3">
        <v>45439</v>
      </c>
      <c r="C629" s="4">
        <v>16.45</v>
      </c>
      <c r="D629" s="4">
        <v>12.350199999999999</v>
      </c>
      <c r="E629" s="4">
        <v>511</v>
      </c>
      <c r="F629" s="4">
        <v>16.399999999999999</v>
      </c>
      <c r="G629" s="4">
        <v>8380.4</v>
      </c>
      <c r="H629" s="5">
        <f t="shared" si="9"/>
        <v>0</v>
      </c>
    </row>
    <row r="630" spans="1:8" ht="13.5" x14ac:dyDescent="0.25">
      <c r="A630" s="1"/>
      <c r="B630" s="3">
        <v>45440</v>
      </c>
      <c r="C630" s="4">
        <v>16.399999999999999</v>
      </c>
      <c r="D630" s="4">
        <v>12.3127</v>
      </c>
      <c r="E630" s="4">
        <v>2191</v>
      </c>
      <c r="F630" s="4">
        <v>16.32</v>
      </c>
      <c r="G630" s="4">
        <v>35757.120000000003</v>
      </c>
      <c r="H630" s="5">
        <f t="shared" si="9"/>
        <v>-3.036388074687021E-3</v>
      </c>
    </row>
    <row r="631" spans="1:8" ht="13.5" x14ac:dyDescent="0.25">
      <c r="A631" s="1"/>
      <c r="B631" s="3">
        <v>45441</v>
      </c>
      <c r="C631" s="4">
        <v>17</v>
      </c>
      <c r="D631" s="4">
        <v>12.7631</v>
      </c>
      <c r="E631" s="4">
        <v>7834</v>
      </c>
      <c r="F631" s="4">
        <v>16.670000000000002</v>
      </c>
      <c r="G631" s="4">
        <v>130592.78</v>
      </c>
      <c r="H631" s="5">
        <f t="shared" si="9"/>
        <v>3.658011646511327E-2</v>
      </c>
    </row>
    <row r="632" spans="1:8" ht="13.5" x14ac:dyDescent="0.25">
      <c r="A632" s="1"/>
      <c r="B632" s="3">
        <v>45442</v>
      </c>
      <c r="C632" s="4">
        <v>16.989999999999998</v>
      </c>
      <c r="D632" s="4">
        <v>12.755599999999999</v>
      </c>
      <c r="E632" s="4">
        <v>3555</v>
      </c>
      <c r="F632" s="4">
        <v>16.539000000000001</v>
      </c>
      <c r="G632" s="4">
        <v>58796.144999999997</v>
      </c>
      <c r="H632" s="5">
        <f t="shared" si="9"/>
        <v>-5.8763153152449512E-4</v>
      </c>
    </row>
    <row r="633" spans="1:8" ht="13.5" x14ac:dyDescent="0.25">
      <c r="A633" s="1"/>
      <c r="B633" s="3">
        <v>45443</v>
      </c>
      <c r="C633" s="4">
        <v>17</v>
      </c>
      <c r="D633" s="4">
        <v>12.7631</v>
      </c>
      <c r="E633" s="4">
        <v>4035</v>
      </c>
      <c r="F633" s="4">
        <v>17.048999999999999</v>
      </c>
      <c r="G633" s="4">
        <v>68792.714999999997</v>
      </c>
      <c r="H633" s="5">
        <f t="shared" si="9"/>
        <v>5.8797704537617086E-4</v>
      </c>
    </row>
    <row r="634" spans="1:8" ht="13.5" x14ac:dyDescent="0.25">
      <c r="A634" s="1"/>
      <c r="B634" s="3">
        <v>45446</v>
      </c>
      <c r="C634" s="4">
        <v>17.100000000000001</v>
      </c>
      <c r="D634" s="4">
        <v>12.838200000000001</v>
      </c>
      <c r="E634" s="4">
        <v>5070</v>
      </c>
      <c r="F634" s="4">
        <v>17.09</v>
      </c>
      <c r="G634" s="4">
        <v>86646.3</v>
      </c>
      <c r="H634" s="5">
        <f t="shared" si="9"/>
        <v>5.8841504023317871E-3</v>
      </c>
    </row>
    <row r="635" spans="1:8" ht="13.5" x14ac:dyDescent="0.25">
      <c r="A635" s="1"/>
      <c r="B635" s="3">
        <v>45447</v>
      </c>
      <c r="C635" s="4">
        <v>16.649999999999999</v>
      </c>
      <c r="D635" s="4">
        <v>12.500400000000001</v>
      </c>
      <c r="E635" s="4">
        <v>500</v>
      </c>
      <c r="F635" s="4">
        <v>16.649999999999999</v>
      </c>
      <c r="G635" s="4">
        <v>8325</v>
      </c>
      <c r="H635" s="5">
        <f t="shared" si="9"/>
        <v>-2.6312099827078536E-2</v>
      </c>
    </row>
    <row r="636" spans="1:8" ht="13.5" x14ac:dyDescent="0.25">
      <c r="A636" s="1"/>
      <c r="B636" s="3">
        <v>45448</v>
      </c>
      <c r="C636" s="4">
        <v>17</v>
      </c>
      <c r="D636" s="4">
        <v>12.7631</v>
      </c>
      <c r="E636" s="4">
        <v>1054</v>
      </c>
      <c r="F636" s="4">
        <v>16.809000000000001</v>
      </c>
      <c r="G636" s="4">
        <v>17716.686000000002</v>
      </c>
      <c r="H636" s="5">
        <f t="shared" si="9"/>
        <v>2.10153275095196E-2</v>
      </c>
    </row>
    <row r="637" spans="1:8" ht="13.5" x14ac:dyDescent="0.25">
      <c r="A637" s="1"/>
      <c r="B637" s="3">
        <v>45449</v>
      </c>
      <c r="C637" s="4">
        <v>17.100000000000001</v>
      </c>
      <c r="D637" s="4">
        <v>12.838200000000001</v>
      </c>
      <c r="E637" s="4">
        <v>3420</v>
      </c>
      <c r="F637" s="4">
        <v>16.989000000000001</v>
      </c>
      <c r="G637" s="4">
        <v>58102.38</v>
      </c>
      <c r="H637" s="5">
        <f t="shared" si="9"/>
        <v>5.8841504023317871E-3</v>
      </c>
    </row>
    <row r="638" spans="1:8" ht="13.5" x14ac:dyDescent="0.25">
      <c r="A638" s="1"/>
      <c r="B638" s="3">
        <v>45450</v>
      </c>
      <c r="C638" s="4">
        <v>17.05</v>
      </c>
      <c r="D638" s="4">
        <v>12.800700000000001</v>
      </c>
      <c r="E638" s="4">
        <v>991</v>
      </c>
      <c r="F638" s="4">
        <v>16.978000000000002</v>
      </c>
      <c r="G638" s="4">
        <v>16825.198</v>
      </c>
      <c r="H638" s="5">
        <f t="shared" si="9"/>
        <v>-2.9209702294713934E-3</v>
      </c>
    </row>
    <row r="639" spans="1:8" ht="13.5" x14ac:dyDescent="0.25">
      <c r="A639" s="1"/>
      <c r="B639" s="3">
        <v>45453</v>
      </c>
      <c r="C639" s="4">
        <v>16.989999999999998</v>
      </c>
      <c r="D639" s="4">
        <v>12.755599999999999</v>
      </c>
      <c r="E639" s="4">
        <v>50</v>
      </c>
      <c r="F639" s="4">
        <v>17.03</v>
      </c>
      <c r="G639" s="4">
        <v>851.5</v>
      </c>
      <c r="H639" s="5">
        <f t="shared" si="9"/>
        <v>-3.5232448225488815E-3</v>
      </c>
    </row>
    <row r="640" spans="1:8" ht="13.5" x14ac:dyDescent="0.25">
      <c r="A640" s="1"/>
      <c r="B640" s="3">
        <v>45454</v>
      </c>
      <c r="C640" s="4">
        <v>16.71</v>
      </c>
      <c r="D640" s="4">
        <v>12.545400000000001</v>
      </c>
      <c r="E640" s="4">
        <v>2389</v>
      </c>
      <c r="F640" s="4">
        <v>16.724</v>
      </c>
      <c r="G640" s="4">
        <v>39953.635999999999</v>
      </c>
      <c r="H640" s="5">
        <f t="shared" si="9"/>
        <v>-1.6479036658408747E-2</v>
      </c>
    </row>
    <row r="641" spans="1:8" ht="13.5" x14ac:dyDescent="0.25">
      <c r="A641" s="1"/>
      <c r="B641" s="3">
        <v>45455</v>
      </c>
      <c r="C641" s="4">
        <v>15.9</v>
      </c>
      <c r="D641" s="4">
        <v>12.725</v>
      </c>
      <c r="E641" s="4">
        <v>8053</v>
      </c>
      <c r="F641" s="4">
        <v>15.98</v>
      </c>
      <c r="G641" s="4">
        <v>128686.94</v>
      </c>
      <c r="H641" s="5">
        <f t="shared" si="9"/>
        <v>1.4316004272482254E-2</v>
      </c>
    </row>
    <row r="642" spans="1:8" ht="13.5" x14ac:dyDescent="0.25">
      <c r="A642" s="1"/>
      <c r="B642" s="3">
        <v>45456</v>
      </c>
      <c r="C642" s="4">
        <v>15.9</v>
      </c>
      <c r="D642" s="4">
        <v>12.725</v>
      </c>
      <c r="E642" s="4">
        <v>15952</v>
      </c>
      <c r="F642" s="4">
        <v>15.927</v>
      </c>
      <c r="G642" s="4">
        <v>254067.50399999999</v>
      </c>
      <c r="H642" s="5">
        <f t="shared" si="9"/>
        <v>0</v>
      </c>
    </row>
    <row r="643" spans="1:8" ht="13.5" x14ac:dyDescent="0.25">
      <c r="A643" s="1"/>
      <c r="B643" s="3">
        <v>45457</v>
      </c>
      <c r="C643" s="4">
        <v>15.89</v>
      </c>
      <c r="D643" s="4">
        <v>12.717000000000001</v>
      </c>
      <c r="E643" s="4">
        <v>1942</v>
      </c>
      <c r="F643" s="4">
        <v>15.968999999999999</v>
      </c>
      <c r="G643" s="4">
        <v>31011.797999999999</v>
      </c>
      <c r="H643" s="5">
        <f t="shared" si="9"/>
        <v>-6.2868369351663019E-4</v>
      </c>
    </row>
    <row r="644" spans="1:8" ht="13.5" x14ac:dyDescent="0.25">
      <c r="A644" s="1"/>
      <c r="B644" s="3">
        <v>45461</v>
      </c>
      <c r="C644" s="4">
        <v>15.74</v>
      </c>
      <c r="D644" s="4">
        <v>12.5969</v>
      </c>
      <c r="E644" s="4">
        <v>6963</v>
      </c>
      <c r="F644" s="4">
        <v>15.372999999999999</v>
      </c>
      <c r="G644" s="4">
        <v>107042.19899999999</v>
      </c>
      <c r="H644" s="5">
        <f t="shared" si="9"/>
        <v>-9.4440512699536655E-3</v>
      </c>
    </row>
    <row r="645" spans="1:8" ht="13.5" x14ac:dyDescent="0.25">
      <c r="A645" s="1"/>
      <c r="B645" s="3">
        <v>45462</v>
      </c>
      <c r="C645" s="4">
        <v>15.25</v>
      </c>
      <c r="D645" s="4">
        <v>12.204800000000001</v>
      </c>
      <c r="E645" s="4">
        <v>4398</v>
      </c>
      <c r="F645" s="4">
        <v>15.301</v>
      </c>
      <c r="G645" s="4">
        <v>67293.797999999995</v>
      </c>
      <c r="H645" s="5">
        <f t="shared" si="9"/>
        <v>-3.1126705776818045E-2</v>
      </c>
    </row>
    <row r="646" spans="1:8" ht="13.5" x14ac:dyDescent="0.25">
      <c r="A646" s="1"/>
      <c r="B646" s="3">
        <v>45463</v>
      </c>
      <c r="C646" s="4">
        <v>15.1</v>
      </c>
      <c r="D646" s="4">
        <v>12.0847</v>
      </c>
      <c r="E646" s="4">
        <v>3238</v>
      </c>
      <c r="F646" s="4">
        <v>14.706</v>
      </c>
      <c r="G646" s="4">
        <v>47618.027999999998</v>
      </c>
      <c r="H646" s="5">
        <f t="shared" si="9"/>
        <v>-9.8403906659675494E-3</v>
      </c>
    </row>
    <row r="647" spans="1:8" ht="13.5" x14ac:dyDescent="0.25">
      <c r="A647" s="1"/>
      <c r="B647" s="3">
        <v>45464</v>
      </c>
      <c r="C647" s="4">
        <v>15.05</v>
      </c>
      <c r="D647" s="4">
        <v>12.044700000000001</v>
      </c>
      <c r="E647" s="4">
        <v>1946</v>
      </c>
      <c r="F647" s="4">
        <v>15.086</v>
      </c>
      <c r="G647" s="4">
        <v>29357.356</v>
      </c>
      <c r="H647" s="5">
        <f t="shared" ref="H647:H710" si="10">(D647-D646)/D646</f>
        <v>-3.3099704585135871E-3</v>
      </c>
    </row>
    <row r="648" spans="1:8" ht="13.5" x14ac:dyDescent="0.25">
      <c r="A648" s="1"/>
      <c r="B648" s="3">
        <v>45467</v>
      </c>
      <c r="C648" s="4">
        <v>15</v>
      </c>
      <c r="D648" s="4">
        <v>12.0047</v>
      </c>
      <c r="E648" s="4">
        <v>42</v>
      </c>
      <c r="F648" s="4">
        <v>15</v>
      </c>
      <c r="G648" s="4">
        <v>630</v>
      </c>
      <c r="H648" s="5">
        <f t="shared" si="10"/>
        <v>-3.3209627471004607E-3</v>
      </c>
    </row>
    <row r="649" spans="1:8" ht="13.5" x14ac:dyDescent="0.25">
      <c r="A649" s="1"/>
      <c r="B649" s="3">
        <v>45468</v>
      </c>
      <c r="C649" s="4">
        <v>14.89</v>
      </c>
      <c r="D649" s="4">
        <v>11.916700000000001</v>
      </c>
      <c r="E649" s="4">
        <v>2967</v>
      </c>
      <c r="F649" s="4">
        <v>14.616</v>
      </c>
      <c r="G649" s="4">
        <v>43365.671999999999</v>
      </c>
      <c r="H649" s="5">
        <f t="shared" si="10"/>
        <v>-7.3304622356243129E-3</v>
      </c>
    </row>
    <row r="650" spans="1:8" ht="13.5" x14ac:dyDescent="0.25">
      <c r="A650" s="1"/>
      <c r="B650" s="3">
        <v>45469</v>
      </c>
      <c r="C650" s="4">
        <v>14.25</v>
      </c>
      <c r="D650" s="4">
        <v>11.404500000000001</v>
      </c>
      <c r="E650" s="4">
        <v>4268</v>
      </c>
      <c r="F650" s="4">
        <v>14.352</v>
      </c>
      <c r="G650" s="4">
        <v>61254.336000000003</v>
      </c>
      <c r="H650" s="5">
        <f t="shared" si="10"/>
        <v>-4.2981697953292437E-2</v>
      </c>
    </row>
    <row r="651" spans="1:8" ht="13.5" x14ac:dyDescent="0.25">
      <c r="A651" s="1"/>
      <c r="B651" s="3">
        <v>45470</v>
      </c>
      <c r="C651" s="4">
        <v>14.7</v>
      </c>
      <c r="D651" s="4">
        <v>11.7646</v>
      </c>
      <c r="E651" s="4">
        <v>11309</v>
      </c>
      <c r="F651" s="4">
        <v>14.336</v>
      </c>
      <c r="G651" s="4">
        <v>162125.82399999999</v>
      </c>
      <c r="H651" s="5">
        <f t="shared" si="10"/>
        <v>3.1575255381647523E-2</v>
      </c>
    </row>
    <row r="652" spans="1:8" ht="13.5" x14ac:dyDescent="0.25">
      <c r="A652" s="1"/>
      <c r="B652" s="3">
        <v>45471</v>
      </c>
      <c r="C652" s="4">
        <v>15.16</v>
      </c>
      <c r="D652" s="4">
        <v>12.1327</v>
      </c>
      <c r="E652" s="4">
        <v>1350</v>
      </c>
      <c r="F652" s="4">
        <v>14.994999999999999</v>
      </c>
      <c r="G652" s="4">
        <v>20243.25</v>
      </c>
      <c r="H652" s="5">
        <f t="shared" si="10"/>
        <v>3.12887815990344E-2</v>
      </c>
    </row>
    <row r="653" spans="1:8" ht="13.5" x14ac:dyDescent="0.25">
      <c r="A653" s="1"/>
      <c r="B653" s="3">
        <v>45474</v>
      </c>
      <c r="C653" s="4">
        <v>15.16</v>
      </c>
      <c r="D653" s="4">
        <v>12.1327</v>
      </c>
      <c r="E653" s="4">
        <v>0</v>
      </c>
      <c r="F653" s="4">
        <v>0</v>
      </c>
      <c r="G653" s="4">
        <v>0</v>
      </c>
      <c r="H653" s="5">
        <f t="shared" si="10"/>
        <v>0</v>
      </c>
    </row>
    <row r="654" spans="1:8" ht="13.5" x14ac:dyDescent="0.25">
      <c r="A654" s="1"/>
      <c r="B654" s="3">
        <v>45475</v>
      </c>
      <c r="C654" s="4">
        <v>15.1</v>
      </c>
      <c r="D654" s="4">
        <v>12.0847</v>
      </c>
      <c r="E654" s="4">
        <v>1393</v>
      </c>
      <c r="F654" s="4">
        <v>15.007999999999999</v>
      </c>
      <c r="G654" s="4">
        <v>20906.144</v>
      </c>
      <c r="H654" s="5">
        <f t="shared" si="10"/>
        <v>-3.9562504636231049E-3</v>
      </c>
    </row>
    <row r="655" spans="1:8" ht="13.5" x14ac:dyDescent="0.25">
      <c r="A655" s="1"/>
      <c r="B655" s="3">
        <v>45476</v>
      </c>
      <c r="C655" s="4">
        <v>15.69</v>
      </c>
      <c r="D655" s="4">
        <v>12.556900000000001</v>
      </c>
      <c r="E655" s="4">
        <v>10152</v>
      </c>
      <c r="F655" s="4">
        <v>15.102</v>
      </c>
      <c r="G655" s="4">
        <v>153315.50399999999</v>
      </c>
      <c r="H655" s="5">
        <f t="shared" si="10"/>
        <v>3.9074201262753801E-2</v>
      </c>
    </row>
    <row r="656" spans="1:8" ht="13.5" x14ac:dyDescent="0.25">
      <c r="A656" s="1"/>
      <c r="B656" s="3">
        <v>45477</v>
      </c>
      <c r="C656" s="4">
        <v>15.64</v>
      </c>
      <c r="D656" s="4">
        <v>12.5169</v>
      </c>
      <c r="E656" s="4">
        <v>613</v>
      </c>
      <c r="F656" s="4">
        <v>15.493</v>
      </c>
      <c r="G656" s="4">
        <v>9497.2090000000007</v>
      </c>
      <c r="H656" s="5">
        <f t="shared" si="10"/>
        <v>-3.1854996057944971E-3</v>
      </c>
    </row>
    <row r="657" spans="1:8" ht="13.5" x14ac:dyDescent="0.25">
      <c r="A657" s="1"/>
      <c r="B657" s="3">
        <v>45478</v>
      </c>
      <c r="C657" s="4">
        <v>15.6</v>
      </c>
      <c r="D657" s="4">
        <v>12.4849</v>
      </c>
      <c r="E657" s="4">
        <v>781</v>
      </c>
      <c r="F657" s="4">
        <v>15.407</v>
      </c>
      <c r="G657" s="4">
        <v>12032.867</v>
      </c>
      <c r="H657" s="5">
        <f t="shared" si="10"/>
        <v>-2.5565435531161892E-3</v>
      </c>
    </row>
    <row r="658" spans="1:8" ht="13.5" x14ac:dyDescent="0.25">
      <c r="A658" s="1"/>
      <c r="B658" s="3">
        <v>45481</v>
      </c>
      <c r="C658" s="4">
        <v>15.55</v>
      </c>
      <c r="D658" s="4">
        <v>12.444900000000001</v>
      </c>
      <c r="E658" s="4">
        <v>7447</v>
      </c>
      <c r="F658" s="4">
        <v>15.548999999999999</v>
      </c>
      <c r="G658" s="4">
        <v>115793.40300000001</v>
      </c>
      <c r="H658" s="5">
        <f t="shared" si="10"/>
        <v>-3.2038702752924851E-3</v>
      </c>
    </row>
    <row r="659" spans="1:8" ht="13.5" x14ac:dyDescent="0.25">
      <c r="A659" s="1"/>
      <c r="B659" s="3">
        <v>45482</v>
      </c>
      <c r="C659" s="4">
        <v>15.55</v>
      </c>
      <c r="D659" s="4">
        <v>12.444900000000001</v>
      </c>
      <c r="E659" s="4">
        <v>3298</v>
      </c>
      <c r="F659" s="4">
        <v>15.407999999999999</v>
      </c>
      <c r="G659" s="4">
        <v>50815.584000000003</v>
      </c>
      <c r="H659" s="5">
        <f t="shared" si="10"/>
        <v>0</v>
      </c>
    </row>
    <row r="660" spans="1:8" ht="13.5" x14ac:dyDescent="0.25">
      <c r="A660" s="1"/>
      <c r="B660" s="3">
        <v>45483</v>
      </c>
      <c r="C660" s="4">
        <v>15.75</v>
      </c>
      <c r="D660" s="4">
        <v>12.604900000000001</v>
      </c>
      <c r="E660" s="4">
        <v>4626</v>
      </c>
      <c r="F660" s="4">
        <v>15.632</v>
      </c>
      <c r="G660" s="4">
        <v>72313.631999999998</v>
      </c>
      <c r="H660" s="5">
        <f t="shared" si="10"/>
        <v>1.2856672211106569E-2</v>
      </c>
    </row>
    <row r="661" spans="1:8" ht="13.5" x14ac:dyDescent="0.25">
      <c r="A661" s="1"/>
      <c r="B661" s="3">
        <v>45484</v>
      </c>
      <c r="C661" s="4">
        <v>15.75</v>
      </c>
      <c r="D661" s="4">
        <v>12.604900000000001</v>
      </c>
      <c r="E661" s="4">
        <v>892</v>
      </c>
      <c r="F661" s="4">
        <v>15.576000000000001</v>
      </c>
      <c r="G661" s="4">
        <v>13893.791999999999</v>
      </c>
      <c r="H661" s="5">
        <f t="shared" si="10"/>
        <v>0</v>
      </c>
    </row>
    <row r="662" spans="1:8" ht="13.5" x14ac:dyDescent="0.25">
      <c r="A662" s="1"/>
      <c r="B662" s="3">
        <v>45485</v>
      </c>
      <c r="C662" s="4">
        <v>15.9</v>
      </c>
      <c r="D662" s="4">
        <v>12.725</v>
      </c>
      <c r="E662" s="4">
        <v>7849</v>
      </c>
      <c r="F662" s="4">
        <v>15.840999999999999</v>
      </c>
      <c r="G662" s="4">
        <v>124336.00900000001</v>
      </c>
      <c r="H662" s="5">
        <f t="shared" si="10"/>
        <v>9.5280406825916097E-3</v>
      </c>
    </row>
    <row r="663" spans="1:8" ht="13.5" x14ac:dyDescent="0.25">
      <c r="A663" s="1"/>
      <c r="B663" s="3">
        <v>45488</v>
      </c>
      <c r="C663" s="4">
        <v>16.399999999999999</v>
      </c>
      <c r="D663" s="4">
        <v>13.1251</v>
      </c>
      <c r="E663" s="4">
        <v>1370</v>
      </c>
      <c r="F663" s="4">
        <v>15.734999999999999</v>
      </c>
      <c r="G663" s="4">
        <v>21556.95</v>
      </c>
      <c r="H663" s="5">
        <f t="shared" si="10"/>
        <v>3.1442043222003939E-2</v>
      </c>
    </row>
    <row r="664" spans="1:8" ht="13.5" x14ac:dyDescent="0.25">
      <c r="A664" s="1"/>
      <c r="B664" s="3">
        <v>45489</v>
      </c>
      <c r="C664" s="4">
        <v>16.27</v>
      </c>
      <c r="D664" s="4">
        <v>13.021100000000001</v>
      </c>
      <c r="E664" s="4">
        <v>5</v>
      </c>
      <c r="F664" s="4">
        <v>16.27</v>
      </c>
      <c r="G664" s="4">
        <v>81.349999999999994</v>
      </c>
      <c r="H664" s="5">
        <f t="shared" si="10"/>
        <v>-7.92374915238735E-3</v>
      </c>
    </row>
    <row r="665" spans="1:8" ht="13.5" x14ac:dyDescent="0.25">
      <c r="A665" s="1"/>
      <c r="B665" s="3">
        <v>45490</v>
      </c>
      <c r="C665" s="4">
        <v>15.8</v>
      </c>
      <c r="D665" s="4">
        <v>12.6449</v>
      </c>
      <c r="E665" s="4">
        <v>675</v>
      </c>
      <c r="F665" s="4">
        <v>15.8</v>
      </c>
      <c r="G665" s="4">
        <v>10665</v>
      </c>
      <c r="H665" s="5">
        <f t="shared" si="10"/>
        <v>-2.8891568300681261E-2</v>
      </c>
    </row>
    <row r="666" spans="1:8" ht="13.5" x14ac:dyDescent="0.25">
      <c r="A666" s="1"/>
      <c r="B666" s="3">
        <v>45491</v>
      </c>
      <c r="C666" s="4">
        <v>15.95</v>
      </c>
      <c r="D666" s="4">
        <v>12.765000000000001</v>
      </c>
      <c r="E666" s="4">
        <v>4940</v>
      </c>
      <c r="F666" s="4">
        <v>15.739000000000001</v>
      </c>
      <c r="G666" s="4">
        <v>77750.66</v>
      </c>
      <c r="H666" s="5">
        <f t="shared" si="10"/>
        <v>9.4979003392672741E-3</v>
      </c>
    </row>
    <row r="667" spans="1:8" ht="13.5" x14ac:dyDescent="0.25">
      <c r="A667" s="1"/>
      <c r="B667" s="3">
        <v>45492</v>
      </c>
      <c r="C667" s="4">
        <v>15.94</v>
      </c>
      <c r="D667" s="4">
        <v>12.757</v>
      </c>
      <c r="E667" s="4">
        <v>1121</v>
      </c>
      <c r="F667" s="4">
        <v>15.936</v>
      </c>
      <c r="G667" s="4">
        <v>17864.256000000001</v>
      </c>
      <c r="H667" s="5">
        <f t="shared" si="10"/>
        <v>-6.2671367019200117E-4</v>
      </c>
    </row>
    <row r="668" spans="1:8" ht="13.5" x14ac:dyDescent="0.25">
      <c r="A668" s="1"/>
      <c r="B668" s="3">
        <v>45495</v>
      </c>
      <c r="C668" s="4">
        <v>15.9</v>
      </c>
      <c r="D668" s="4">
        <v>12.725</v>
      </c>
      <c r="E668" s="4">
        <v>922</v>
      </c>
      <c r="F668" s="4">
        <v>15.93</v>
      </c>
      <c r="G668" s="4">
        <v>14687.46</v>
      </c>
      <c r="H668" s="5">
        <f t="shared" si="10"/>
        <v>-2.5084267461001827E-3</v>
      </c>
    </row>
    <row r="669" spans="1:8" ht="13.5" x14ac:dyDescent="0.25">
      <c r="A669" s="1"/>
      <c r="B669" s="3">
        <v>45496</v>
      </c>
      <c r="C669" s="4">
        <v>16.77</v>
      </c>
      <c r="D669" s="4">
        <v>13.421200000000001</v>
      </c>
      <c r="E669" s="4">
        <v>6392</v>
      </c>
      <c r="F669" s="4">
        <v>16.178999999999998</v>
      </c>
      <c r="G669" s="4">
        <v>103416.16800000001</v>
      </c>
      <c r="H669" s="5">
        <f t="shared" si="10"/>
        <v>5.471119842829085E-2</v>
      </c>
    </row>
    <row r="670" spans="1:8" ht="13.5" x14ac:dyDescent="0.25">
      <c r="A670" s="1"/>
      <c r="B670" s="3">
        <v>45497</v>
      </c>
      <c r="C670" s="4">
        <v>16.75</v>
      </c>
      <c r="D670" s="4">
        <v>13.405200000000001</v>
      </c>
      <c r="E670" s="4">
        <v>29</v>
      </c>
      <c r="F670" s="4">
        <v>16.75</v>
      </c>
      <c r="G670" s="4">
        <v>485.75</v>
      </c>
      <c r="H670" s="5">
        <f t="shared" si="10"/>
        <v>-1.1921437725389691E-3</v>
      </c>
    </row>
    <row r="671" spans="1:8" ht="13.5" x14ac:dyDescent="0.25">
      <c r="A671" s="1"/>
      <c r="B671" s="3">
        <v>45499</v>
      </c>
      <c r="C671" s="4">
        <v>16.75</v>
      </c>
      <c r="D671" s="4">
        <v>13.405200000000001</v>
      </c>
      <c r="E671" s="4">
        <v>0</v>
      </c>
      <c r="F671" s="4">
        <v>0</v>
      </c>
      <c r="G671" s="4">
        <v>0</v>
      </c>
      <c r="H671" s="5">
        <f t="shared" si="10"/>
        <v>0</v>
      </c>
    </row>
    <row r="672" spans="1:8" ht="13.5" x14ac:dyDescent="0.25">
      <c r="A672" s="1"/>
      <c r="B672" s="3">
        <v>45502</v>
      </c>
      <c r="C672" s="4">
        <v>16.670000000000002</v>
      </c>
      <c r="D672" s="4">
        <v>13.341200000000001</v>
      </c>
      <c r="E672" s="4">
        <v>6083</v>
      </c>
      <c r="F672" s="4">
        <v>16.670000000000002</v>
      </c>
      <c r="G672" s="4">
        <v>101403.61</v>
      </c>
      <c r="H672" s="5">
        <f t="shared" si="10"/>
        <v>-4.7742667024736713E-3</v>
      </c>
    </row>
    <row r="673" spans="1:8" ht="13.5" x14ac:dyDescent="0.25">
      <c r="A673" s="1"/>
      <c r="B673" s="3">
        <v>45503</v>
      </c>
      <c r="C673" s="4">
        <v>16.29</v>
      </c>
      <c r="D673" s="4">
        <v>13.037100000000001</v>
      </c>
      <c r="E673" s="4">
        <v>920</v>
      </c>
      <c r="F673" s="4">
        <v>16.291</v>
      </c>
      <c r="G673" s="4">
        <v>14987.72</v>
      </c>
      <c r="H673" s="5">
        <f t="shared" si="10"/>
        <v>-2.2794051509609333E-2</v>
      </c>
    </row>
    <row r="674" spans="1:8" ht="13.5" x14ac:dyDescent="0.25">
      <c r="A674" s="1"/>
      <c r="B674" s="3">
        <v>45504</v>
      </c>
      <c r="C674" s="4">
        <v>16.54</v>
      </c>
      <c r="D674" s="4">
        <v>13.2372</v>
      </c>
      <c r="E674" s="4">
        <v>1</v>
      </c>
      <c r="F674" s="4">
        <v>16.54</v>
      </c>
      <c r="G674" s="4">
        <v>16.54</v>
      </c>
      <c r="H674" s="5">
        <f t="shared" si="10"/>
        <v>1.5348505419149892E-2</v>
      </c>
    </row>
    <row r="675" spans="1:8" ht="13.5" x14ac:dyDescent="0.25">
      <c r="A675" s="1"/>
      <c r="B675" s="3">
        <v>45505</v>
      </c>
      <c r="C675" s="4">
        <v>16.55</v>
      </c>
      <c r="D675" s="4">
        <v>13.245200000000001</v>
      </c>
      <c r="E675" s="4">
        <v>565</v>
      </c>
      <c r="F675" s="4">
        <v>16.518000000000001</v>
      </c>
      <c r="G675" s="4">
        <v>9332.67</v>
      </c>
      <c r="H675" s="5">
        <f t="shared" si="10"/>
        <v>6.0435741697646749E-4</v>
      </c>
    </row>
    <row r="676" spans="1:8" ht="13.5" x14ac:dyDescent="0.25">
      <c r="A676" s="1"/>
      <c r="B676" s="3">
        <v>45506</v>
      </c>
      <c r="C676" s="4">
        <v>16.5</v>
      </c>
      <c r="D676" s="4">
        <v>13.2052</v>
      </c>
      <c r="E676" s="4">
        <v>11</v>
      </c>
      <c r="F676" s="4">
        <v>16.5</v>
      </c>
      <c r="G676" s="4">
        <v>181.5</v>
      </c>
      <c r="H676" s="5">
        <f t="shared" si="10"/>
        <v>-3.0199619484795187E-3</v>
      </c>
    </row>
    <row r="677" spans="1:8" ht="13.5" x14ac:dyDescent="0.25">
      <c r="A677" s="1"/>
      <c r="B677" s="3">
        <v>45509</v>
      </c>
      <c r="C677" s="4">
        <v>16.489999999999998</v>
      </c>
      <c r="D677" s="4">
        <v>13.1972</v>
      </c>
      <c r="E677" s="4">
        <v>1</v>
      </c>
      <c r="F677" s="4">
        <v>16.489999999999998</v>
      </c>
      <c r="G677" s="4">
        <v>16.489999999999998</v>
      </c>
      <c r="H677" s="5">
        <f t="shared" si="10"/>
        <v>-6.0582194892914304E-4</v>
      </c>
    </row>
    <row r="678" spans="1:8" ht="13.5" x14ac:dyDescent="0.25">
      <c r="A678" s="1"/>
      <c r="B678" s="3">
        <v>45510</v>
      </c>
      <c r="C678" s="4">
        <v>16.440000000000001</v>
      </c>
      <c r="D678" s="4">
        <v>13.1571</v>
      </c>
      <c r="E678" s="4">
        <v>47</v>
      </c>
      <c r="F678" s="4">
        <v>16.109000000000002</v>
      </c>
      <c r="G678" s="4">
        <v>757.12300000000005</v>
      </c>
      <c r="H678" s="5">
        <f t="shared" si="10"/>
        <v>-3.0385233231292009E-3</v>
      </c>
    </row>
    <row r="679" spans="1:8" ht="13.5" x14ac:dyDescent="0.25">
      <c r="A679" s="1"/>
      <c r="B679" s="3">
        <v>45511</v>
      </c>
      <c r="C679" s="4">
        <v>16.03</v>
      </c>
      <c r="D679" s="4">
        <v>12.829000000000001</v>
      </c>
      <c r="E679" s="4">
        <v>911</v>
      </c>
      <c r="F679" s="4">
        <v>16.03</v>
      </c>
      <c r="G679" s="4">
        <v>14603.33</v>
      </c>
      <c r="H679" s="5">
        <f t="shared" si="10"/>
        <v>-2.493710620121449E-2</v>
      </c>
    </row>
    <row r="680" spans="1:8" ht="13.5" x14ac:dyDescent="0.25">
      <c r="A680" s="1"/>
      <c r="B680" s="3">
        <v>45512</v>
      </c>
      <c r="C680" s="4">
        <v>16.100000000000001</v>
      </c>
      <c r="D680" s="4">
        <v>12.885</v>
      </c>
      <c r="E680" s="4">
        <v>2713</v>
      </c>
      <c r="F680" s="4">
        <v>16.004999999999999</v>
      </c>
      <c r="G680" s="4">
        <v>43421.565000000002</v>
      </c>
      <c r="H680" s="5">
        <f t="shared" si="10"/>
        <v>4.3651102969833313E-3</v>
      </c>
    </row>
    <row r="681" spans="1:8" ht="13.5" x14ac:dyDescent="0.25">
      <c r="A681" s="1"/>
      <c r="B681" s="3">
        <v>45513</v>
      </c>
      <c r="C681" s="4">
        <v>16.329999999999998</v>
      </c>
      <c r="D681" s="4">
        <v>13.069100000000001</v>
      </c>
      <c r="E681" s="4">
        <v>3086</v>
      </c>
      <c r="F681" s="4">
        <v>16.065999999999999</v>
      </c>
      <c r="G681" s="4">
        <v>49579.675999999999</v>
      </c>
      <c r="H681" s="5">
        <f t="shared" si="10"/>
        <v>1.4287931703531301E-2</v>
      </c>
    </row>
    <row r="682" spans="1:8" ht="13.5" x14ac:dyDescent="0.25">
      <c r="A682" s="1"/>
      <c r="B682" s="3">
        <v>45516</v>
      </c>
      <c r="C682" s="4">
        <v>16.3</v>
      </c>
      <c r="D682" s="4">
        <v>13.0451</v>
      </c>
      <c r="E682" s="4">
        <v>2153</v>
      </c>
      <c r="F682" s="4">
        <v>16.317</v>
      </c>
      <c r="G682" s="4">
        <v>35130.500999999997</v>
      </c>
      <c r="H682" s="5">
        <f t="shared" si="10"/>
        <v>-1.836392712581655E-3</v>
      </c>
    </row>
    <row r="683" spans="1:8" ht="13.5" x14ac:dyDescent="0.25">
      <c r="A683" s="1"/>
      <c r="B683" s="3">
        <v>45518</v>
      </c>
      <c r="C683" s="4">
        <v>16.3</v>
      </c>
      <c r="D683" s="4">
        <v>13.0451</v>
      </c>
      <c r="E683" s="4">
        <v>667</v>
      </c>
      <c r="F683" s="4">
        <v>16.233000000000001</v>
      </c>
      <c r="G683" s="4">
        <v>10827.411</v>
      </c>
      <c r="H683" s="5">
        <f t="shared" si="10"/>
        <v>0</v>
      </c>
    </row>
    <row r="684" spans="1:8" ht="13.5" x14ac:dyDescent="0.25">
      <c r="A684" s="1"/>
      <c r="B684" s="3">
        <v>45519</v>
      </c>
      <c r="C684" s="4">
        <v>15.88</v>
      </c>
      <c r="D684" s="4">
        <v>12.709</v>
      </c>
      <c r="E684" s="4">
        <v>336</v>
      </c>
      <c r="F684" s="4">
        <v>15.874000000000001</v>
      </c>
      <c r="G684" s="4">
        <v>5333.6639999999998</v>
      </c>
      <c r="H684" s="5">
        <f t="shared" si="10"/>
        <v>-2.5764463285064897E-2</v>
      </c>
    </row>
    <row r="685" spans="1:8" ht="13.5" x14ac:dyDescent="0.25">
      <c r="A685" s="1"/>
      <c r="B685" s="3">
        <v>45520</v>
      </c>
      <c r="C685" s="4">
        <v>16.329999999999998</v>
      </c>
      <c r="D685" s="4">
        <v>13.069100000000001</v>
      </c>
      <c r="E685" s="4">
        <v>4009</v>
      </c>
      <c r="F685" s="4">
        <v>16.202999999999999</v>
      </c>
      <c r="G685" s="4">
        <v>64957.826999999997</v>
      </c>
      <c r="H685" s="5">
        <f t="shared" si="10"/>
        <v>2.8334251317963726E-2</v>
      </c>
    </row>
    <row r="686" spans="1:8" ht="13.5" x14ac:dyDescent="0.25">
      <c r="A686" s="1"/>
      <c r="B686" s="3">
        <v>45523</v>
      </c>
      <c r="C686" s="4">
        <v>16.32</v>
      </c>
      <c r="D686" s="4">
        <v>13.0611</v>
      </c>
      <c r="E686" s="4">
        <v>84</v>
      </c>
      <c r="F686" s="4">
        <v>16.335999999999999</v>
      </c>
      <c r="G686" s="4">
        <v>1372.2239999999999</v>
      </c>
      <c r="H686" s="5">
        <f t="shared" si="10"/>
        <v>-6.1213090419393035E-4</v>
      </c>
    </row>
    <row r="687" spans="1:8" ht="13.5" x14ac:dyDescent="0.25">
      <c r="A687" s="1"/>
      <c r="B687" s="3">
        <v>45524</v>
      </c>
      <c r="C687" s="4">
        <v>16.32</v>
      </c>
      <c r="D687" s="4">
        <v>13.0611</v>
      </c>
      <c r="E687" s="4">
        <v>765</v>
      </c>
      <c r="F687" s="4">
        <v>16.024999999999999</v>
      </c>
      <c r="G687" s="4">
        <v>12259.125</v>
      </c>
      <c r="H687" s="5">
        <f t="shared" si="10"/>
        <v>0</v>
      </c>
    </row>
    <row r="688" spans="1:8" ht="13.5" x14ac:dyDescent="0.25">
      <c r="A688" s="1"/>
      <c r="B688" s="3">
        <v>45525</v>
      </c>
      <c r="C688" s="4">
        <v>15.92</v>
      </c>
      <c r="D688" s="4">
        <v>12.741</v>
      </c>
      <c r="E688" s="4">
        <v>4663</v>
      </c>
      <c r="F688" s="4">
        <v>16.143000000000001</v>
      </c>
      <c r="G688" s="4">
        <v>75274.808999999994</v>
      </c>
      <c r="H688" s="5">
        <f t="shared" si="10"/>
        <v>-2.450788984082505E-2</v>
      </c>
    </row>
    <row r="689" spans="1:8" ht="13.5" x14ac:dyDescent="0.25">
      <c r="A689" s="1"/>
      <c r="B689" s="3">
        <v>45526</v>
      </c>
      <c r="C689" s="4">
        <v>16.100000000000001</v>
      </c>
      <c r="D689" s="4">
        <v>12.885</v>
      </c>
      <c r="E689" s="4">
        <v>2173</v>
      </c>
      <c r="F689" s="4">
        <v>15.968999999999999</v>
      </c>
      <c r="G689" s="4">
        <v>34700.637000000002</v>
      </c>
      <c r="H689" s="5">
        <f t="shared" si="10"/>
        <v>1.1302095596891933E-2</v>
      </c>
    </row>
    <row r="690" spans="1:8" ht="13.5" x14ac:dyDescent="0.25">
      <c r="A690" s="1"/>
      <c r="B690" s="3">
        <v>45527</v>
      </c>
      <c r="C690" s="4">
        <v>15.97</v>
      </c>
      <c r="D690" s="4">
        <v>12.781000000000001</v>
      </c>
      <c r="E690" s="4">
        <v>57</v>
      </c>
      <c r="F690" s="4">
        <v>15.994999999999999</v>
      </c>
      <c r="G690" s="4">
        <v>911.71500000000003</v>
      </c>
      <c r="H690" s="5">
        <f t="shared" si="10"/>
        <v>-8.0714008537057982E-3</v>
      </c>
    </row>
    <row r="691" spans="1:8" ht="13.5" x14ac:dyDescent="0.25">
      <c r="A691" s="1"/>
      <c r="B691" s="3">
        <v>45530</v>
      </c>
      <c r="C691" s="4">
        <v>16.149999999999999</v>
      </c>
      <c r="D691" s="4">
        <v>12.925000000000001</v>
      </c>
      <c r="E691" s="4">
        <v>10682</v>
      </c>
      <c r="F691" s="4">
        <v>15.879</v>
      </c>
      <c r="G691" s="4">
        <v>169619.478</v>
      </c>
      <c r="H691" s="5">
        <f t="shared" si="10"/>
        <v>1.1266724043502083E-2</v>
      </c>
    </row>
    <row r="692" spans="1:8" ht="13.5" x14ac:dyDescent="0.25">
      <c r="A692" s="1"/>
      <c r="B692" s="3">
        <v>45531</v>
      </c>
      <c r="C692" s="4">
        <v>15.97</v>
      </c>
      <c r="D692" s="4">
        <v>12.781000000000001</v>
      </c>
      <c r="E692" s="4">
        <v>323330</v>
      </c>
      <c r="F692" s="4">
        <v>15.701000000000001</v>
      </c>
      <c r="G692" s="4">
        <v>5076604.33</v>
      </c>
      <c r="H692" s="5">
        <f t="shared" si="10"/>
        <v>-1.1141199226305619E-2</v>
      </c>
    </row>
    <row r="693" spans="1:8" ht="13.5" x14ac:dyDescent="0.25">
      <c r="A693" s="1"/>
      <c r="B693" s="3">
        <v>45532</v>
      </c>
      <c r="C693" s="4">
        <v>15.7</v>
      </c>
      <c r="D693" s="4">
        <v>12.5649</v>
      </c>
      <c r="E693" s="4">
        <v>1527</v>
      </c>
      <c r="F693" s="4">
        <v>15.739000000000001</v>
      </c>
      <c r="G693" s="4">
        <v>24033.453000000001</v>
      </c>
      <c r="H693" s="5">
        <f t="shared" si="10"/>
        <v>-1.6907910179172276E-2</v>
      </c>
    </row>
    <row r="694" spans="1:8" ht="13.5" x14ac:dyDescent="0.25">
      <c r="A694" s="1"/>
      <c r="B694" s="3">
        <v>45533</v>
      </c>
      <c r="C694" s="4">
        <v>15.97</v>
      </c>
      <c r="D694" s="4">
        <v>12.781000000000001</v>
      </c>
      <c r="E694" s="4">
        <v>67265</v>
      </c>
      <c r="F694" s="4">
        <v>15.885</v>
      </c>
      <c r="G694" s="4">
        <v>1068504.5249999999</v>
      </c>
      <c r="H694" s="5">
        <f t="shared" si="10"/>
        <v>1.719870432713359E-2</v>
      </c>
    </row>
    <row r="695" spans="1:8" ht="13.5" x14ac:dyDescent="0.25">
      <c r="A695" s="1"/>
      <c r="B695" s="3">
        <v>45534</v>
      </c>
      <c r="C695" s="4">
        <v>15.97</v>
      </c>
      <c r="D695" s="4">
        <v>12.781000000000001</v>
      </c>
      <c r="E695" s="4">
        <v>0</v>
      </c>
      <c r="F695" s="4">
        <v>0</v>
      </c>
      <c r="G695" s="4">
        <v>0</v>
      </c>
      <c r="H695" s="5">
        <f t="shared" si="10"/>
        <v>0</v>
      </c>
    </row>
    <row r="696" spans="1:8" ht="13.5" x14ac:dyDescent="0.25">
      <c r="A696" s="1"/>
      <c r="B696" s="3">
        <v>45537</v>
      </c>
      <c r="C696" s="4">
        <v>16.14</v>
      </c>
      <c r="D696" s="4">
        <v>12.917</v>
      </c>
      <c r="E696" s="4">
        <v>1624</v>
      </c>
      <c r="F696" s="4">
        <v>15.698</v>
      </c>
      <c r="G696" s="4">
        <v>25493.552</v>
      </c>
      <c r="H696" s="5">
        <f t="shared" si="10"/>
        <v>1.0640794929974121E-2</v>
      </c>
    </row>
    <row r="697" spans="1:8" ht="13.5" x14ac:dyDescent="0.25">
      <c r="A697" s="1"/>
      <c r="B697" s="3">
        <v>45538</v>
      </c>
      <c r="C697" s="4">
        <v>16.18</v>
      </c>
      <c r="D697" s="4">
        <v>12.9491</v>
      </c>
      <c r="E697" s="4">
        <v>521</v>
      </c>
      <c r="F697" s="4">
        <v>16.154</v>
      </c>
      <c r="G697" s="4">
        <v>8416.2340000000004</v>
      </c>
      <c r="H697" s="5">
        <f t="shared" si="10"/>
        <v>2.4850971587829832E-3</v>
      </c>
    </row>
    <row r="698" spans="1:8" ht="13.5" x14ac:dyDescent="0.25">
      <c r="A698" s="1"/>
      <c r="B698" s="3">
        <v>45539</v>
      </c>
      <c r="C698" s="4">
        <v>16</v>
      </c>
      <c r="D698" s="4">
        <v>12.805</v>
      </c>
      <c r="E698" s="4">
        <v>52395</v>
      </c>
      <c r="F698" s="4">
        <v>16.071999999999999</v>
      </c>
      <c r="G698" s="4">
        <v>842092.44</v>
      </c>
      <c r="H698" s="5">
        <f t="shared" si="10"/>
        <v>-1.112818651489292E-2</v>
      </c>
    </row>
    <row r="699" spans="1:8" ht="13.5" x14ac:dyDescent="0.25">
      <c r="A699" s="1"/>
      <c r="B699" s="3">
        <v>45540</v>
      </c>
      <c r="C699" s="4">
        <v>16</v>
      </c>
      <c r="D699" s="4">
        <v>12.805</v>
      </c>
      <c r="E699" s="4">
        <v>35</v>
      </c>
      <c r="F699" s="4">
        <v>15.997</v>
      </c>
      <c r="G699" s="4">
        <v>559.89499999999998</v>
      </c>
      <c r="H699" s="5">
        <f t="shared" si="10"/>
        <v>0</v>
      </c>
    </row>
    <row r="700" spans="1:8" ht="13.5" x14ac:dyDescent="0.25">
      <c r="A700" s="1"/>
      <c r="B700" s="3">
        <v>45541</v>
      </c>
      <c r="C700" s="4">
        <v>16.39</v>
      </c>
      <c r="D700" s="4">
        <v>13.117100000000001</v>
      </c>
      <c r="E700" s="4">
        <v>11394</v>
      </c>
      <c r="F700" s="4">
        <v>16.085000000000001</v>
      </c>
      <c r="G700" s="4">
        <v>183272.49</v>
      </c>
      <c r="H700" s="5">
        <f t="shared" si="10"/>
        <v>2.4373291682936428E-2</v>
      </c>
    </row>
    <row r="701" spans="1:8" ht="13.5" x14ac:dyDescent="0.25">
      <c r="A701" s="1"/>
      <c r="B701" s="3">
        <v>45544</v>
      </c>
      <c r="C701" s="4">
        <v>16.350000000000001</v>
      </c>
      <c r="D701" s="4">
        <v>13.085100000000001</v>
      </c>
      <c r="E701" s="4">
        <v>1</v>
      </c>
      <c r="F701" s="4">
        <v>16.350000000000001</v>
      </c>
      <c r="G701" s="4">
        <v>16.350000000000001</v>
      </c>
      <c r="H701" s="5">
        <f t="shared" si="10"/>
        <v>-2.4395636230569277E-3</v>
      </c>
    </row>
    <row r="702" spans="1:8" ht="13.5" x14ac:dyDescent="0.25">
      <c r="A702" s="1"/>
      <c r="B702" s="3">
        <v>45545</v>
      </c>
      <c r="C702" s="4">
        <v>16.29</v>
      </c>
      <c r="D702" s="4">
        <v>13.037100000000001</v>
      </c>
      <c r="E702" s="4">
        <v>34</v>
      </c>
      <c r="F702" s="4">
        <v>16.276</v>
      </c>
      <c r="G702" s="4">
        <v>553.38400000000001</v>
      </c>
      <c r="H702" s="5">
        <f t="shared" si="10"/>
        <v>-3.66829447233877E-3</v>
      </c>
    </row>
    <row r="703" spans="1:8" ht="13.5" x14ac:dyDescent="0.25">
      <c r="A703" s="1"/>
      <c r="B703" s="3">
        <v>45546</v>
      </c>
      <c r="C703" s="4">
        <v>17.12</v>
      </c>
      <c r="D703" s="4">
        <v>13.7013</v>
      </c>
      <c r="E703" s="4">
        <v>9100</v>
      </c>
      <c r="F703" s="4">
        <v>16.748999999999999</v>
      </c>
      <c r="G703" s="4">
        <v>152415.9</v>
      </c>
      <c r="H703" s="5">
        <f t="shared" si="10"/>
        <v>5.094691304047673E-2</v>
      </c>
    </row>
    <row r="704" spans="1:8" ht="13.5" x14ac:dyDescent="0.25">
      <c r="A704" s="1"/>
      <c r="B704" s="3">
        <v>45547</v>
      </c>
      <c r="C704" s="4">
        <v>17.12</v>
      </c>
      <c r="D704" s="4">
        <v>13.7013</v>
      </c>
      <c r="E704" s="4">
        <v>6411</v>
      </c>
      <c r="F704" s="4">
        <v>16.962</v>
      </c>
      <c r="G704" s="4">
        <v>108743.382</v>
      </c>
      <c r="H704" s="5">
        <f t="shared" si="10"/>
        <v>0</v>
      </c>
    </row>
    <row r="705" spans="1:8" ht="13.5" x14ac:dyDescent="0.25">
      <c r="A705" s="1"/>
      <c r="B705" s="3">
        <v>45548</v>
      </c>
      <c r="C705" s="4">
        <v>17</v>
      </c>
      <c r="D705" s="4">
        <v>13.6053</v>
      </c>
      <c r="E705" s="4">
        <v>6024</v>
      </c>
      <c r="F705" s="4">
        <v>17.094000000000001</v>
      </c>
      <c r="G705" s="4">
        <v>102974.25599999999</v>
      </c>
      <c r="H705" s="5">
        <f t="shared" si="10"/>
        <v>-7.0066344069540914E-3</v>
      </c>
    </row>
    <row r="706" spans="1:8" ht="13.5" x14ac:dyDescent="0.25">
      <c r="A706" s="1"/>
      <c r="B706" s="3">
        <v>45551</v>
      </c>
      <c r="C706" s="4">
        <v>16.899999999999999</v>
      </c>
      <c r="D706" s="4">
        <v>13.5253</v>
      </c>
      <c r="E706" s="4">
        <v>3</v>
      </c>
      <c r="F706" s="4">
        <v>16.96</v>
      </c>
      <c r="G706" s="4">
        <v>50.88</v>
      </c>
      <c r="H706" s="5">
        <f t="shared" si="10"/>
        <v>-5.8800614466421224E-3</v>
      </c>
    </row>
    <row r="707" spans="1:8" ht="13.5" x14ac:dyDescent="0.25">
      <c r="A707" s="1"/>
      <c r="B707" s="3">
        <v>45552</v>
      </c>
      <c r="C707" s="4">
        <v>16.98</v>
      </c>
      <c r="D707" s="4">
        <v>13.5893</v>
      </c>
      <c r="E707" s="4">
        <v>2367</v>
      </c>
      <c r="F707" s="4">
        <v>16.847999999999999</v>
      </c>
      <c r="G707" s="4">
        <v>39879.216</v>
      </c>
      <c r="H707" s="5">
        <f t="shared" si="10"/>
        <v>4.7318728604910836E-3</v>
      </c>
    </row>
    <row r="708" spans="1:8" ht="13.5" x14ac:dyDescent="0.25">
      <c r="A708" s="1"/>
      <c r="B708" s="3">
        <v>45553</v>
      </c>
      <c r="C708" s="4">
        <v>16.98</v>
      </c>
      <c r="D708" s="4">
        <v>13.5893</v>
      </c>
      <c r="E708" s="4">
        <v>0</v>
      </c>
      <c r="F708" s="4">
        <v>0</v>
      </c>
      <c r="G708" s="4">
        <v>0</v>
      </c>
      <c r="H708" s="5">
        <f t="shared" si="10"/>
        <v>0</v>
      </c>
    </row>
    <row r="709" spans="1:8" ht="13.5" x14ac:dyDescent="0.25">
      <c r="A709" s="1"/>
      <c r="B709" s="3">
        <v>45554</v>
      </c>
      <c r="C709" s="4">
        <v>16.899999999999999</v>
      </c>
      <c r="D709" s="4">
        <v>13.5253</v>
      </c>
      <c r="E709" s="4">
        <v>2408</v>
      </c>
      <c r="F709" s="4">
        <v>16.960999999999999</v>
      </c>
      <c r="G709" s="4">
        <v>40842.088000000003</v>
      </c>
      <c r="H709" s="5">
        <f t="shared" si="10"/>
        <v>-4.7095876903151786E-3</v>
      </c>
    </row>
    <row r="710" spans="1:8" ht="13.5" x14ac:dyDescent="0.25">
      <c r="A710" s="1"/>
      <c r="B710" s="3">
        <v>45555</v>
      </c>
      <c r="C710" s="4">
        <v>16.899999999999999</v>
      </c>
      <c r="D710" s="4">
        <v>13.5253</v>
      </c>
      <c r="E710" s="4">
        <v>0</v>
      </c>
      <c r="F710" s="4">
        <v>0</v>
      </c>
      <c r="G710" s="4">
        <v>0</v>
      </c>
      <c r="H710" s="5">
        <f t="shared" si="10"/>
        <v>0</v>
      </c>
    </row>
    <row r="711" spans="1:8" ht="13.5" x14ac:dyDescent="0.25">
      <c r="A711" s="1"/>
      <c r="B711" s="3">
        <v>45558</v>
      </c>
      <c r="C711" s="4">
        <v>16.87</v>
      </c>
      <c r="D711" s="4">
        <v>13.501300000000001</v>
      </c>
      <c r="E711" s="4">
        <v>1217</v>
      </c>
      <c r="F711" s="4">
        <v>16.893000000000001</v>
      </c>
      <c r="G711" s="4">
        <v>20558.780999999999</v>
      </c>
      <c r="H711" s="5">
        <f t="shared" ref="H711:H774" si="11">(D711-D710)/D710</f>
        <v>-1.7744523226840907E-3</v>
      </c>
    </row>
    <row r="712" spans="1:8" ht="13.5" x14ac:dyDescent="0.25">
      <c r="A712" s="1"/>
      <c r="B712" s="3">
        <v>45559</v>
      </c>
      <c r="C712" s="4">
        <v>16.87</v>
      </c>
      <c r="D712" s="4">
        <v>13.501300000000001</v>
      </c>
      <c r="E712" s="4">
        <v>0</v>
      </c>
      <c r="F712" s="4">
        <v>0</v>
      </c>
      <c r="G712" s="4">
        <v>0</v>
      </c>
      <c r="H712" s="5">
        <f t="shared" si="11"/>
        <v>0</v>
      </c>
    </row>
    <row r="713" spans="1:8" ht="13.5" x14ac:dyDescent="0.25">
      <c r="A713" s="1"/>
      <c r="B713" s="3">
        <v>45560</v>
      </c>
      <c r="C713" s="4">
        <v>16.8</v>
      </c>
      <c r="D713" s="4">
        <v>13.4452</v>
      </c>
      <c r="E713" s="4">
        <v>1</v>
      </c>
      <c r="F713" s="4">
        <v>16.8</v>
      </c>
      <c r="G713" s="4">
        <v>16.8</v>
      </c>
      <c r="H713" s="5">
        <f t="shared" si="11"/>
        <v>-4.1551554294772131E-3</v>
      </c>
    </row>
    <row r="714" spans="1:8" ht="13.5" x14ac:dyDescent="0.25">
      <c r="A714" s="1"/>
      <c r="B714" s="3">
        <v>45561</v>
      </c>
      <c r="C714" s="4">
        <v>16.86</v>
      </c>
      <c r="D714" s="4">
        <v>13.4933</v>
      </c>
      <c r="E714" s="4">
        <v>2102</v>
      </c>
      <c r="F714" s="4">
        <v>16.748999999999999</v>
      </c>
      <c r="G714" s="4">
        <v>35206.398000000001</v>
      </c>
      <c r="H714" s="5">
        <f t="shared" si="11"/>
        <v>3.5774849016749332E-3</v>
      </c>
    </row>
    <row r="715" spans="1:8" ht="13.5" x14ac:dyDescent="0.25">
      <c r="A715" s="1"/>
      <c r="B715" s="3">
        <v>45562</v>
      </c>
      <c r="C715" s="4">
        <v>16.7</v>
      </c>
      <c r="D715" s="4">
        <v>13.3652</v>
      </c>
      <c r="E715" s="4">
        <v>4363</v>
      </c>
      <c r="F715" s="4">
        <v>16.768999999999998</v>
      </c>
      <c r="G715" s="4">
        <v>73163.146999999997</v>
      </c>
      <c r="H715" s="5">
        <f t="shared" si="11"/>
        <v>-9.4936005276692794E-3</v>
      </c>
    </row>
    <row r="716" spans="1:8" ht="13.5" x14ac:dyDescent="0.25">
      <c r="A716" s="1"/>
      <c r="B716" s="3">
        <v>45565</v>
      </c>
      <c r="C716" s="4">
        <v>16.649999999999999</v>
      </c>
      <c r="D716" s="4">
        <v>13.325200000000001</v>
      </c>
      <c r="E716" s="4">
        <v>1302</v>
      </c>
      <c r="F716" s="4">
        <v>16.611999999999998</v>
      </c>
      <c r="G716" s="4">
        <v>21628.824000000001</v>
      </c>
      <c r="H716" s="5">
        <f t="shared" si="11"/>
        <v>-2.9928470954418301E-3</v>
      </c>
    </row>
    <row r="717" spans="1:8" ht="13.5" x14ac:dyDescent="0.25">
      <c r="A717" s="1"/>
      <c r="B717" s="3">
        <v>45566</v>
      </c>
      <c r="C717" s="4">
        <v>16.579999999999998</v>
      </c>
      <c r="D717" s="4">
        <v>13.2692</v>
      </c>
      <c r="E717" s="4">
        <v>702</v>
      </c>
      <c r="F717" s="4">
        <v>16.052</v>
      </c>
      <c r="G717" s="4">
        <v>11268.504000000001</v>
      </c>
      <c r="H717" s="5">
        <f t="shared" si="11"/>
        <v>-4.2025635637739723E-3</v>
      </c>
    </row>
    <row r="718" spans="1:8" ht="13.5" x14ac:dyDescent="0.25">
      <c r="A718" s="1"/>
      <c r="B718" s="3">
        <v>45567</v>
      </c>
      <c r="C718" s="4">
        <v>16.059999999999999</v>
      </c>
      <c r="D718" s="4">
        <v>12.853</v>
      </c>
      <c r="E718" s="4">
        <v>12463</v>
      </c>
      <c r="F718" s="4">
        <v>16.103000000000002</v>
      </c>
      <c r="G718" s="4">
        <v>200691.68900000001</v>
      </c>
      <c r="H718" s="5">
        <f t="shared" si="11"/>
        <v>-3.1365869833901057E-2</v>
      </c>
    </row>
    <row r="719" spans="1:8" ht="13.5" x14ac:dyDescent="0.25">
      <c r="A719" s="1"/>
      <c r="B719" s="3">
        <v>45568</v>
      </c>
      <c r="C719" s="4">
        <v>16.29</v>
      </c>
      <c r="D719" s="4">
        <v>13.037100000000001</v>
      </c>
      <c r="E719" s="4">
        <v>2547</v>
      </c>
      <c r="F719" s="4">
        <v>16.155000000000001</v>
      </c>
      <c r="G719" s="4">
        <v>41146.785000000003</v>
      </c>
      <c r="H719" s="5">
        <f t="shared" si="11"/>
        <v>1.4323504240255257E-2</v>
      </c>
    </row>
    <row r="720" spans="1:8" ht="13.5" x14ac:dyDescent="0.25">
      <c r="A720" s="1"/>
      <c r="B720" s="3">
        <v>45569</v>
      </c>
      <c r="C720" s="4">
        <v>16</v>
      </c>
      <c r="D720" s="4">
        <v>12.805</v>
      </c>
      <c r="E720" s="4">
        <v>3750</v>
      </c>
      <c r="F720" s="4">
        <v>15.851000000000001</v>
      </c>
      <c r="G720" s="4">
        <v>59441.25</v>
      </c>
      <c r="H720" s="5">
        <f t="shared" si="11"/>
        <v>-1.780303901941389E-2</v>
      </c>
    </row>
    <row r="721" spans="1:8" ht="13.5" x14ac:dyDescent="0.25">
      <c r="A721" s="1"/>
      <c r="B721" s="3">
        <v>45572</v>
      </c>
      <c r="C721" s="4">
        <v>15.75</v>
      </c>
      <c r="D721" s="4">
        <v>12.604900000000001</v>
      </c>
      <c r="E721" s="4">
        <v>1851</v>
      </c>
      <c r="F721" s="4">
        <v>15.817</v>
      </c>
      <c r="G721" s="4">
        <v>29277.267</v>
      </c>
      <c r="H721" s="5">
        <f t="shared" si="11"/>
        <v>-1.5626708317063573E-2</v>
      </c>
    </row>
    <row r="722" spans="1:8" ht="13.5" x14ac:dyDescent="0.25">
      <c r="A722" s="1"/>
      <c r="B722" s="3">
        <v>45573</v>
      </c>
      <c r="C722" s="4">
        <v>16</v>
      </c>
      <c r="D722" s="4">
        <v>12.805</v>
      </c>
      <c r="E722" s="4">
        <v>404</v>
      </c>
      <c r="F722" s="4">
        <v>15.972</v>
      </c>
      <c r="G722" s="4">
        <v>6452.6880000000001</v>
      </c>
      <c r="H722" s="5">
        <f t="shared" si="11"/>
        <v>1.5874778855841699E-2</v>
      </c>
    </row>
    <row r="723" spans="1:8" ht="13.5" x14ac:dyDescent="0.25">
      <c r="A723" s="1"/>
      <c r="B723" s="3">
        <v>45574</v>
      </c>
      <c r="C723" s="4">
        <v>16</v>
      </c>
      <c r="D723" s="4">
        <v>12.805</v>
      </c>
      <c r="E723" s="4">
        <v>589</v>
      </c>
      <c r="F723" s="4">
        <v>15.709</v>
      </c>
      <c r="G723" s="4">
        <v>9252.6010000000006</v>
      </c>
      <c r="H723" s="5">
        <f t="shared" si="11"/>
        <v>0</v>
      </c>
    </row>
    <row r="724" spans="1:8" ht="13.5" x14ac:dyDescent="0.25">
      <c r="A724" s="1"/>
      <c r="B724" s="3">
        <v>45575</v>
      </c>
      <c r="C724" s="4">
        <v>15.6</v>
      </c>
      <c r="D724" s="4">
        <v>12.4849</v>
      </c>
      <c r="E724" s="4">
        <v>7723</v>
      </c>
      <c r="F724" s="4">
        <v>15.627000000000001</v>
      </c>
      <c r="G724" s="4">
        <v>120687.321</v>
      </c>
      <c r="H724" s="5">
        <f t="shared" si="11"/>
        <v>-2.499804763764155E-2</v>
      </c>
    </row>
    <row r="725" spans="1:8" ht="13.5" x14ac:dyDescent="0.25">
      <c r="A725" s="1"/>
      <c r="B725" s="3">
        <v>45576</v>
      </c>
      <c r="C725" s="4">
        <v>15.99</v>
      </c>
      <c r="D725" s="4">
        <v>12.797000000000001</v>
      </c>
      <c r="E725" s="4">
        <v>3130</v>
      </c>
      <c r="F725" s="4">
        <v>15.61</v>
      </c>
      <c r="G725" s="4">
        <v>48859.3</v>
      </c>
      <c r="H725" s="5">
        <f t="shared" si="11"/>
        <v>2.4998197822970223E-2</v>
      </c>
    </row>
    <row r="726" spans="1:8" ht="13.5" x14ac:dyDescent="0.25">
      <c r="A726" s="1"/>
      <c r="B726" s="3">
        <v>45579</v>
      </c>
      <c r="C726" s="4">
        <v>16</v>
      </c>
      <c r="D726" s="4">
        <v>12.805</v>
      </c>
      <c r="E726" s="4">
        <v>1237</v>
      </c>
      <c r="F726" s="4">
        <v>15.677</v>
      </c>
      <c r="G726" s="4">
        <v>19392.449000000001</v>
      </c>
      <c r="H726" s="5">
        <f t="shared" si="11"/>
        <v>6.2514651871525503E-4</v>
      </c>
    </row>
    <row r="727" spans="1:8" ht="13.5" x14ac:dyDescent="0.25">
      <c r="A727" s="1"/>
      <c r="B727" s="3">
        <v>45581</v>
      </c>
      <c r="C727" s="4">
        <v>15.6</v>
      </c>
      <c r="D727" s="4">
        <v>12.4849</v>
      </c>
      <c r="E727" s="4">
        <v>12382</v>
      </c>
      <c r="F727" s="4">
        <v>15.603999999999999</v>
      </c>
      <c r="G727" s="4">
        <v>193208.728</v>
      </c>
      <c r="H727" s="5">
        <f t="shared" si="11"/>
        <v>-2.499804763764155E-2</v>
      </c>
    </row>
    <row r="728" spans="1:8" ht="13.5" x14ac:dyDescent="0.25">
      <c r="A728" s="1"/>
      <c r="B728" s="3">
        <v>45582</v>
      </c>
      <c r="C728" s="4">
        <v>15.93</v>
      </c>
      <c r="D728" s="4">
        <v>12.749000000000001</v>
      </c>
      <c r="E728" s="4">
        <v>508</v>
      </c>
      <c r="F728" s="4">
        <v>15.654999999999999</v>
      </c>
      <c r="G728" s="4">
        <v>7952.74</v>
      </c>
      <c r="H728" s="5">
        <f t="shared" si="11"/>
        <v>2.1153553492619156E-2</v>
      </c>
    </row>
    <row r="729" spans="1:8" ht="13.5" x14ac:dyDescent="0.25">
      <c r="A729" s="1"/>
      <c r="B729" s="3">
        <v>45583</v>
      </c>
      <c r="C729" s="4">
        <v>15.94</v>
      </c>
      <c r="D729" s="4">
        <v>12.757</v>
      </c>
      <c r="E729" s="4">
        <v>200</v>
      </c>
      <c r="F729" s="4">
        <v>15.94</v>
      </c>
      <c r="G729" s="4">
        <v>3188</v>
      </c>
      <c r="H729" s="5">
        <f t="shared" si="11"/>
        <v>6.2750019609374218E-4</v>
      </c>
    </row>
    <row r="730" spans="1:8" ht="13.5" x14ac:dyDescent="0.25">
      <c r="A730" s="1"/>
      <c r="B730" s="3">
        <v>45586</v>
      </c>
      <c r="C730" s="4">
        <v>16.2</v>
      </c>
      <c r="D730" s="4">
        <v>12.9651</v>
      </c>
      <c r="E730" s="4">
        <v>9439</v>
      </c>
      <c r="F730" s="4">
        <v>16.113</v>
      </c>
      <c r="G730" s="4">
        <v>152090.60699999999</v>
      </c>
      <c r="H730" s="5">
        <f t="shared" si="11"/>
        <v>1.6312612683232731E-2</v>
      </c>
    </row>
    <row r="731" spans="1:8" ht="13.5" x14ac:dyDescent="0.25">
      <c r="A731" s="1"/>
      <c r="B731" s="3">
        <v>45587</v>
      </c>
      <c r="C731" s="4">
        <v>16.239999999999998</v>
      </c>
      <c r="D731" s="4">
        <v>12.9971</v>
      </c>
      <c r="E731" s="4">
        <v>176</v>
      </c>
      <c r="F731" s="4">
        <v>15.968</v>
      </c>
      <c r="G731" s="4">
        <v>2810.3679999999999</v>
      </c>
      <c r="H731" s="5">
        <f t="shared" si="11"/>
        <v>2.4681645340182512E-3</v>
      </c>
    </row>
    <row r="732" spans="1:8" ht="13.5" x14ac:dyDescent="0.25">
      <c r="A732" s="1"/>
      <c r="B732" s="3">
        <v>45588</v>
      </c>
      <c r="C732" s="4">
        <v>16.23</v>
      </c>
      <c r="D732" s="4">
        <v>12.989100000000001</v>
      </c>
      <c r="E732" s="4">
        <v>1015</v>
      </c>
      <c r="F732" s="4">
        <v>16.016999999999999</v>
      </c>
      <c r="G732" s="4">
        <v>16257.254999999999</v>
      </c>
      <c r="H732" s="5">
        <f t="shared" si="11"/>
        <v>-6.1552192412146702E-4</v>
      </c>
    </row>
    <row r="733" spans="1:8" ht="13.5" x14ac:dyDescent="0.25">
      <c r="A733" s="1"/>
      <c r="B733" s="3">
        <v>45589</v>
      </c>
      <c r="C733" s="4">
        <v>16.170000000000002</v>
      </c>
      <c r="D733" s="4">
        <v>12.9411</v>
      </c>
      <c r="E733" s="4">
        <v>2220</v>
      </c>
      <c r="F733" s="4">
        <v>15.959</v>
      </c>
      <c r="G733" s="4">
        <v>35428.980000000003</v>
      </c>
      <c r="H733" s="5">
        <f t="shared" si="11"/>
        <v>-3.6954061482319823E-3</v>
      </c>
    </row>
    <row r="734" spans="1:8" ht="13.5" x14ac:dyDescent="0.25">
      <c r="A734" s="1"/>
      <c r="B734" s="3">
        <v>45590</v>
      </c>
      <c r="C734" s="4">
        <v>16.16</v>
      </c>
      <c r="D734" s="4">
        <v>12.933</v>
      </c>
      <c r="E734" s="4">
        <v>2396</v>
      </c>
      <c r="F734" s="4">
        <v>15.83</v>
      </c>
      <c r="G734" s="4">
        <v>37928.68</v>
      </c>
      <c r="H734" s="5">
        <f t="shared" si="11"/>
        <v>-6.2591278948471627E-4</v>
      </c>
    </row>
    <row r="735" spans="1:8" ht="13.5" x14ac:dyDescent="0.25">
      <c r="A735" s="1"/>
      <c r="B735" s="3">
        <v>45593</v>
      </c>
      <c r="C735" s="4">
        <v>16.149999999999999</v>
      </c>
      <c r="D735" s="4">
        <v>12.925000000000001</v>
      </c>
      <c r="E735" s="4">
        <v>2389</v>
      </c>
      <c r="F735" s="4">
        <v>15.85</v>
      </c>
      <c r="G735" s="4">
        <v>37865.65</v>
      </c>
      <c r="H735" s="5">
        <f t="shared" si="11"/>
        <v>-6.1857264362476759E-4</v>
      </c>
    </row>
    <row r="736" spans="1:8" ht="13.5" x14ac:dyDescent="0.25">
      <c r="A736" s="1"/>
      <c r="B736" s="3">
        <v>45594</v>
      </c>
      <c r="C736" s="4">
        <v>16.149999999999999</v>
      </c>
      <c r="D736" s="4">
        <v>12.925000000000001</v>
      </c>
      <c r="E736" s="4">
        <v>0</v>
      </c>
      <c r="F736" s="4">
        <v>0</v>
      </c>
      <c r="G736" s="4">
        <v>0</v>
      </c>
      <c r="H736" s="5">
        <f t="shared" si="11"/>
        <v>0</v>
      </c>
    </row>
    <row r="737" spans="1:8" ht="13.5" x14ac:dyDescent="0.25">
      <c r="A737" s="1"/>
      <c r="B737" s="3">
        <v>45595</v>
      </c>
      <c r="C737" s="4">
        <v>16.149999999999999</v>
      </c>
      <c r="D737" s="4">
        <v>12.925000000000001</v>
      </c>
      <c r="E737" s="4">
        <v>472</v>
      </c>
      <c r="F737" s="4">
        <v>16.001000000000001</v>
      </c>
      <c r="G737" s="4">
        <v>7552.4719999999998</v>
      </c>
      <c r="H737" s="5">
        <f t="shared" si="11"/>
        <v>0</v>
      </c>
    </row>
    <row r="738" spans="1:8" ht="13.5" x14ac:dyDescent="0.25">
      <c r="A738" s="1"/>
      <c r="B738" s="3">
        <v>45596</v>
      </c>
      <c r="C738" s="4">
        <v>16.149999999999999</v>
      </c>
      <c r="D738" s="4">
        <v>12.925000000000001</v>
      </c>
      <c r="E738" s="4">
        <v>0</v>
      </c>
      <c r="F738" s="4">
        <v>0</v>
      </c>
      <c r="G738" s="4">
        <v>0</v>
      </c>
      <c r="H738" s="5">
        <f t="shared" si="11"/>
        <v>0</v>
      </c>
    </row>
    <row r="739" spans="1:8" ht="13.5" x14ac:dyDescent="0.25">
      <c r="A739" s="1"/>
      <c r="B739" s="3">
        <v>45597</v>
      </c>
      <c r="C739" s="4">
        <v>16.96</v>
      </c>
      <c r="D739" s="4">
        <v>13.5733</v>
      </c>
      <c r="E739" s="4">
        <v>12829</v>
      </c>
      <c r="F739" s="4">
        <v>16.998999999999999</v>
      </c>
      <c r="G739" s="4">
        <v>218080.171</v>
      </c>
      <c r="H739" s="5">
        <f t="shared" si="11"/>
        <v>5.0158607350096633E-2</v>
      </c>
    </row>
    <row r="740" spans="1:8" ht="13.5" x14ac:dyDescent="0.25">
      <c r="A740" s="1"/>
      <c r="B740" s="3">
        <v>45600</v>
      </c>
      <c r="C740" s="4">
        <v>16.89</v>
      </c>
      <c r="D740" s="4">
        <v>13.517300000000001</v>
      </c>
      <c r="E740" s="4">
        <v>2082</v>
      </c>
      <c r="F740" s="4">
        <v>16.855</v>
      </c>
      <c r="G740" s="4">
        <v>35092.11</v>
      </c>
      <c r="H740" s="5">
        <f t="shared" si="11"/>
        <v>-4.1257468706946106E-3</v>
      </c>
    </row>
    <row r="741" spans="1:8" ht="13.5" x14ac:dyDescent="0.25">
      <c r="A741" s="1"/>
      <c r="B741" s="3">
        <v>45601</v>
      </c>
      <c r="C741" s="4">
        <v>16.72</v>
      </c>
      <c r="D741" s="4">
        <v>13.3812</v>
      </c>
      <c r="E741" s="4">
        <v>1324</v>
      </c>
      <c r="F741" s="4">
        <v>16.706</v>
      </c>
      <c r="G741" s="4">
        <v>22118.743999999999</v>
      </c>
      <c r="H741" s="5">
        <f t="shared" si="11"/>
        <v>-1.0068578784224718E-2</v>
      </c>
    </row>
    <row r="742" spans="1:8" ht="13.5" x14ac:dyDescent="0.25">
      <c r="A742" s="1"/>
      <c r="B742" s="3">
        <v>45602</v>
      </c>
      <c r="C742" s="4">
        <v>16.7</v>
      </c>
      <c r="D742" s="4">
        <v>13.3652</v>
      </c>
      <c r="E742" s="4">
        <v>4217</v>
      </c>
      <c r="F742" s="4">
        <v>16.596</v>
      </c>
      <c r="G742" s="4">
        <v>69985.331999999995</v>
      </c>
      <c r="H742" s="5">
        <f t="shared" si="11"/>
        <v>-1.195707410396677E-3</v>
      </c>
    </row>
    <row r="743" spans="1:8" ht="13.5" x14ac:dyDescent="0.25">
      <c r="A743" s="1"/>
      <c r="B743" s="3">
        <v>45603</v>
      </c>
      <c r="C743" s="4">
        <v>16.649999999999999</v>
      </c>
      <c r="D743" s="4">
        <v>13.325200000000001</v>
      </c>
      <c r="E743" s="4">
        <v>292</v>
      </c>
      <c r="F743" s="4">
        <v>16.533999999999999</v>
      </c>
      <c r="G743" s="4">
        <v>4827.9279999999999</v>
      </c>
      <c r="H743" s="5">
        <f t="shared" si="11"/>
        <v>-2.9928470954418301E-3</v>
      </c>
    </row>
    <row r="744" spans="1:8" ht="13.5" x14ac:dyDescent="0.25">
      <c r="A744" s="1"/>
      <c r="B744" s="3">
        <v>45604</v>
      </c>
      <c r="C744" s="4">
        <v>16.600000000000001</v>
      </c>
      <c r="D744" s="4">
        <v>13.2852</v>
      </c>
      <c r="E744" s="4">
        <v>3261</v>
      </c>
      <c r="F744" s="4">
        <v>16.581</v>
      </c>
      <c r="G744" s="4">
        <v>54070.641000000003</v>
      </c>
      <c r="H744" s="5">
        <f t="shared" si="11"/>
        <v>-3.001831116981428E-3</v>
      </c>
    </row>
    <row r="745" spans="1:8" ht="13.5" x14ac:dyDescent="0.25">
      <c r="A745" s="1"/>
      <c r="B745" s="3">
        <v>45607</v>
      </c>
      <c r="C745" s="4">
        <v>14.25</v>
      </c>
      <c r="D745" s="4">
        <v>13.2981</v>
      </c>
      <c r="E745" s="4">
        <v>1948</v>
      </c>
      <c r="F745" s="4">
        <v>14.455</v>
      </c>
      <c r="G745" s="4">
        <v>28158.34</v>
      </c>
      <c r="H745" s="5">
        <f t="shared" si="11"/>
        <v>9.7100532923856126E-4</v>
      </c>
    </row>
    <row r="746" spans="1:8" ht="13.5" x14ac:dyDescent="0.25">
      <c r="A746" s="1"/>
      <c r="B746" s="3">
        <v>45608</v>
      </c>
      <c r="C746" s="4">
        <v>14.2</v>
      </c>
      <c r="D746" s="4">
        <v>13.2514</v>
      </c>
      <c r="E746" s="4">
        <v>462</v>
      </c>
      <c r="F746" s="4">
        <v>14.236000000000001</v>
      </c>
      <c r="G746" s="4">
        <v>6577.0320000000002</v>
      </c>
      <c r="H746" s="5">
        <f t="shared" si="11"/>
        <v>-3.5117798783284469E-3</v>
      </c>
    </row>
    <row r="747" spans="1:8" ht="13.5" x14ac:dyDescent="0.25">
      <c r="A747" s="1"/>
      <c r="B747" s="3">
        <v>45609</v>
      </c>
      <c r="C747" s="4">
        <v>14</v>
      </c>
      <c r="D747" s="4">
        <v>13.0648</v>
      </c>
      <c r="E747" s="4">
        <v>514</v>
      </c>
      <c r="F747" s="4">
        <v>14.065</v>
      </c>
      <c r="G747" s="4">
        <v>7229.41</v>
      </c>
      <c r="H747" s="5">
        <f t="shared" si="11"/>
        <v>-1.4081531008044457E-2</v>
      </c>
    </row>
    <row r="748" spans="1:8" ht="13.5" x14ac:dyDescent="0.25">
      <c r="A748" s="1"/>
      <c r="B748" s="3">
        <v>45610</v>
      </c>
      <c r="C748" s="4">
        <v>13.79</v>
      </c>
      <c r="D748" s="4">
        <v>12.8688</v>
      </c>
      <c r="E748" s="4">
        <v>5631</v>
      </c>
      <c r="F748" s="4">
        <v>13.462</v>
      </c>
      <c r="G748" s="4">
        <v>75804.521999999997</v>
      </c>
      <c r="H748" s="5">
        <f t="shared" si="11"/>
        <v>-1.5002143163309023E-2</v>
      </c>
    </row>
    <row r="749" spans="1:8" ht="13.5" x14ac:dyDescent="0.25">
      <c r="A749" s="1"/>
      <c r="B749" s="3">
        <v>45611</v>
      </c>
      <c r="C749" s="4">
        <v>13.51</v>
      </c>
      <c r="D749" s="4">
        <v>12.6075</v>
      </c>
      <c r="E749" s="4">
        <v>1710</v>
      </c>
      <c r="F749" s="4">
        <v>13.537000000000001</v>
      </c>
      <c r="G749" s="4">
        <v>23148.27</v>
      </c>
      <c r="H749" s="5">
        <f t="shared" si="11"/>
        <v>-2.0304923535994057E-2</v>
      </c>
    </row>
    <row r="750" spans="1:8" ht="13.5" x14ac:dyDescent="0.25">
      <c r="A750" s="1"/>
      <c r="B750" s="3">
        <v>45614</v>
      </c>
      <c r="C750" s="4">
        <v>13.55</v>
      </c>
      <c r="D750" s="4">
        <v>12.6449</v>
      </c>
      <c r="E750" s="4">
        <v>741</v>
      </c>
      <c r="F750" s="4">
        <v>13.72</v>
      </c>
      <c r="G750" s="4">
        <v>10166.52</v>
      </c>
      <c r="H750" s="5">
        <f t="shared" si="11"/>
        <v>2.9664882014673708E-3</v>
      </c>
    </row>
    <row r="751" spans="1:8" ht="13.5" x14ac:dyDescent="0.25">
      <c r="A751" s="1"/>
      <c r="B751" s="3">
        <v>45615</v>
      </c>
      <c r="C751" s="4">
        <v>14.1</v>
      </c>
      <c r="D751" s="4">
        <v>13.158099999999999</v>
      </c>
      <c r="E751" s="4">
        <v>4692</v>
      </c>
      <c r="F751" s="4">
        <v>13.693</v>
      </c>
      <c r="G751" s="4">
        <v>64247.555999999997</v>
      </c>
      <c r="H751" s="5">
        <f t="shared" si="11"/>
        <v>4.0585532507176759E-2</v>
      </c>
    </row>
    <row r="752" spans="1:8" ht="13.5" x14ac:dyDescent="0.25">
      <c r="A752" s="1"/>
      <c r="B752" s="3">
        <v>45616</v>
      </c>
      <c r="C752" s="4">
        <v>13.78</v>
      </c>
      <c r="D752" s="4">
        <v>12.859500000000001</v>
      </c>
      <c r="E752" s="4">
        <v>13</v>
      </c>
      <c r="F752" s="4">
        <v>13.898</v>
      </c>
      <c r="G752" s="4">
        <v>180.67400000000001</v>
      </c>
      <c r="H752" s="5">
        <f t="shared" si="11"/>
        <v>-2.2693245985362525E-2</v>
      </c>
    </row>
    <row r="753" spans="1:8" ht="13.5" x14ac:dyDescent="0.25">
      <c r="A753" s="1"/>
      <c r="B753" s="3">
        <v>45617</v>
      </c>
      <c r="C753" s="4">
        <v>13.69</v>
      </c>
      <c r="D753" s="4">
        <v>12.775499999999999</v>
      </c>
      <c r="E753" s="4">
        <v>247</v>
      </c>
      <c r="F753" s="4">
        <v>13.507</v>
      </c>
      <c r="G753" s="4">
        <v>3336.2289999999998</v>
      </c>
      <c r="H753" s="5">
        <f t="shared" si="11"/>
        <v>-6.5321357751080061E-3</v>
      </c>
    </row>
    <row r="754" spans="1:8" ht="13.5" x14ac:dyDescent="0.25">
      <c r="A754" s="1"/>
      <c r="B754" s="3">
        <v>45618</v>
      </c>
      <c r="C754" s="4">
        <v>13.69</v>
      </c>
      <c r="D754" s="4">
        <v>12.775499999999999</v>
      </c>
      <c r="E754" s="4">
        <v>106</v>
      </c>
      <c r="F754" s="4">
        <v>13.541</v>
      </c>
      <c r="G754" s="4">
        <v>1435.346</v>
      </c>
      <c r="H754" s="5">
        <f t="shared" si="11"/>
        <v>0</v>
      </c>
    </row>
    <row r="755" spans="1:8" ht="13.5" x14ac:dyDescent="0.25">
      <c r="A755" s="1"/>
      <c r="B755" s="3">
        <v>45621</v>
      </c>
      <c r="C755" s="4">
        <v>13.78</v>
      </c>
      <c r="D755" s="4">
        <v>12.859500000000001</v>
      </c>
      <c r="E755" s="4">
        <v>1215</v>
      </c>
      <c r="F755" s="4">
        <v>13.75</v>
      </c>
      <c r="G755" s="4">
        <v>16706.25</v>
      </c>
      <c r="H755" s="5">
        <f t="shared" si="11"/>
        <v>6.575085123870018E-3</v>
      </c>
    </row>
    <row r="756" spans="1:8" ht="13.5" x14ac:dyDescent="0.25">
      <c r="A756" s="1"/>
      <c r="B756" s="3">
        <v>45622</v>
      </c>
      <c r="C756" s="4">
        <v>13.78</v>
      </c>
      <c r="D756" s="4">
        <v>12.859500000000001</v>
      </c>
      <c r="E756" s="4">
        <v>1231</v>
      </c>
      <c r="F756" s="4">
        <v>13.788</v>
      </c>
      <c r="G756" s="4">
        <v>16973.027999999998</v>
      </c>
      <c r="H756" s="5">
        <f t="shared" si="11"/>
        <v>0</v>
      </c>
    </row>
    <row r="757" spans="1:8" ht="13.5" x14ac:dyDescent="0.25">
      <c r="A757" s="1"/>
      <c r="B757" s="3">
        <v>45623</v>
      </c>
      <c r="C757" s="4">
        <v>13.78</v>
      </c>
      <c r="D757" s="4">
        <v>12.859500000000001</v>
      </c>
      <c r="E757" s="4">
        <v>255</v>
      </c>
      <c r="F757" s="4">
        <v>13.694000000000001</v>
      </c>
      <c r="G757" s="4">
        <v>3491.97</v>
      </c>
      <c r="H757" s="5">
        <f t="shared" si="11"/>
        <v>0</v>
      </c>
    </row>
    <row r="758" spans="1:8" ht="13.5" x14ac:dyDescent="0.25">
      <c r="A758" s="1"/>
      <c r="B758" s="3">
        <v>45624</v>
      </c>
      <c r="C758" s="4">
        <v>13.77</v>
      </c>
      <c r="D758" s="4">
        <v>12.850199999999999</v>
      </c>
      <c r="E758" s="4">
        <v>10062</v>
      </c>
      <c r="F758" s="4">
        <v>13.78</v>
      </c>
      <c r="G758" s="4">
        <v>138654.35999999999</v>
      </c>
      <c r="H758" s="5">
        <f t="shared" si="11"/>
        <v>-7.232007465299131E-4</v>
      </c>
    </row>
    <row r="759" spans="1:8" ht="13.5" x14ac:dyDescent="0.25">
      <c r="A759" s="1"/>
      <c r="B759" s="3">
        <v>45625</v>
      </c>
      <c r="C759" s="4">
        <v>13.79</v>
      </c>
      <c r="D759" s="4">
        <v>12.8688</v>
      </c>
      <c r="E759" s="4">
        <v>3572</v>
      </c>
      <c r="F759" s="4">
        <v>13.750999999999999</v>
      </c>
      <c r="G759" s="4">
        <v>49118.572</v>
      </c>
      <c r="H759" s="5">
        <f t="shared" si="11"/>
        <v>1.4474482887426702E-3</v>
      </c>
    </row>
    <row r="760" spans="1:8" ht="13.5" x14ac:dyDescent="0.25">
      <c r="A760" s="1"/>
      <c r="B760" s="3">
        <v>45628</v>
      </c>
      <c r="C760" s="4">
        <v>13.69</v>
      </c>
      <c r="D760" s="4">
        <v>12.775499999999999</v>
      </c>
      <c r="E760" s="4">
        <v>152</v>
      </c>
      <c r="F760" s="4">
        <v>13.694000000000001</v>
      </c>
      <c r="G760" s="4">
        <v>2081.4879999999998</v>
      </c>
      <c r="H760" s="5">
        <f t="shared" si="11"/>
        <v>-7.2500932487878471E-3</v>
      </c>
    </row>
    <row r="761" spans="1:8" ht="13.5" x14ac:dyDescent="0.25">
      <c r="A761" s="1"/>
      <c r="B761" s="3">
        <v>45629</v>
      </c>
      <c r="C761" s="4">
        <v>13.8</v>
      </c>
      <c r="D761" s="4">
        <v>12.8782</v>
      </c>
      <c r="E761" s="4">
        <v>1315</v>
      </c>
      <c r="F761" s="4">
        <v>13.688000000000001</v>
      </c>
      <c r="G761" s="4">
        <v>17999.72</v>
      </c>
      <c r="H761" s="5">
        <f t="shared" si="11"/>
        <v>8.0388243121600304E-3</v>
      </c>
    </row>
    <row r="762" spans="1:8" ht="13.5" x14ac:dyDescent="0.25">
      <c r="A762" s="1"/>
      <c r="B762" s="3">
        <v>45630</v>
      </c>
      <c r="C762" s="4">
        <v>14</v>
      </c>
      <c r="D762" s="4">
        <v>13.0648</v>
      </c>
      <c r="E762" s="4">
        <v>1094</v>
      </c>
      <c r="F762" s="4">
        <v>13.907999999999999</v>
      </c>
      <c r="G762" s="4">
        <v>15215.352000000001</v>
      </c>
      <c r="H762" s="5">
        <f t="shared" si="11"/>
        <v>1.4489602584212105E-2</v>
      </c>
    </row>
    <row r="763" spans="1:8" ht="13.5" x14ac:dyDescent="0.25">
      <c r="A763" s="1"/>
      <c r="B763" s="3">
        <v>45631</v>
      </c>
      <c r="C763" s="4">
        <v>13.9</v>
      </c>
      <c r="D763" s="4">
        <v>12.971500000000001</v>
      </c>
      <c r="E763" s="4">
        <v>257</v>
      </c>
      <c r="F763" s="4">
        <v>13.673999999999999</v>
      </c>
      <c r="G763" s="4">
        <v>3514.2179999999998</v>
      </c>
      <c r="H763" s="5">
        <f t="shared" si="11"/>
        <v>-7.1413263119220558E-3</v>
      </c>
    </row>
    <row r="764" spans="1:8" ht="13.5" x14ac:dyDescent="0.25">
      <c r="A764" s="1"/>
      <c r="B764" s="3">
        <v>45632</v>
      </c>
      <c r="C764" s="4">
        <v>13.8</v>
      </c>
      <c r="D764" s="4">
        <v>12.8782</v>
      </c>
      <c r="E764" s="4">
        <v>117</v>
      </c>
      <c r="F764" s="4">
        <v>13.804</v>
      </c>
      <c r="G764" s="4">
        <v>1615.068</v>
      </c>
      <c r="H764" s="5">
        <f t="shared" si="11"/>
        <v>-7.1926916702001343E-3</v>
      </c>
    </row>
    <row r="765" spans="1:8" ht="13.5" x14ac:dyDescent="0.25">
      <c r="A765" s="1"/>
      <c r="B765" s="3">
        <v>45635</v>
      </c>
      <c r="C765" s="4">
        <v>13.75</v>
      </c>
      <c r="D765" s="4">
        <v>12.8315</v>
      </c>
      <c r="E765" s="4">
        <v>157</v>
      </c>
      <c r="F765" s="4">
        <v>13.718</v>
      </c>
      <c r="G765" s="4">
        <v>2153.7260000000001</v>
      </c>
      <c r="H765" s="5">
        <f t="shared" si="11"/>
        <v>-3.6262831762202421E-3</v>
      </c>
    </row>
    <row r="766" spans="1:8" ht="13.5" x14ac:dyDescent="0.25">
      <c r="A766" s="1"/>
      <c r="B766" s="3">
        <v>45636</v>
      </c>
      <c r="C766" s="4">
        <v>13.75</v>
      </c>
      <c r="D766" s="4">
        <v>12.8315</v>
      </c>
      <c r="E766" s="4">
        <v>260</v>
      </c>
      <c r="F766" s="4">
        <v>13.75</v>
      </c>
      <c r="G766" s="4">
        <v>3575</v>
      </c>
      <c r="H766" s="5">
        <f t="shared" si="11"/>
        <v>0</v>
      </c>
    </row>
    <row r="767" spans="1:8" ht="13.5" x14ac:dyDescent="0.25">
      <c r="A767" s="1"/>
      <c r="B767" s="3">
        <v>45637</v>
      </c>
      <c r="C767" s="4">
        <v>13.75</v>
      </c>
      <c r="D767" s="4">
        <v>12.8315</v>
      </c>
      <c r="E767" s="4">
        <v>314</v>
      </c>
      <c r="F767" s="4">
        <v>13.756</v>
      </c>
      <c r="G767" s="4">
        <v>4319.384</v>
      </c>
      <c r="H767" s="5">
        <f t="shared" si="11"/>
        <v>0</v>
      </c>
    </row>
    <row r="768" spans="1:8" ht="13.5" x14ac:dyDescent="0.25">
      <c r="A768" s="1"/>
      <c r="B768" s="3">
        <v>45638</v>
      </c>
      <c r="C768" s="4">
        <v>13.95</v>
      </c>
      <c r="D768" s="4">
        <v>13.0181</v>
      </c>
      <c r="E768" s="4">
        <v>6200</v>
      </c>
      <c r="F768" s="4">
        <v>13.843</v>
      </c>
      <c r="G768" s="4">
        <v>85826.6</v>
      </c>
      <c r="H768" s="5">
        <f t="shared" si="11"/>
        <v>1.4542337217005052E-2</v>
      </c>
    </row>
    <row r="769" spans="1:8" ht="13.5" x14ac:dyDescent="0.25">
      <c r="A769" s="1"/>
      <c r="B769" s="3">
        <v>45639</v>
      </c>
      <c r="C769" s="4">
        <v>14.07</v>
      </c>
      <c r="D769" s="4">
        <v>13.130100000000001</v>
      </c>
      <c r="E769" s="4">
        <v>1</v>
      </c>
      <c r="F769" s="4">
        <v>14.07</v>
      </c>
      <c r="G769" s="4">
        <v>14.07</v>
      </c>
      <c r="H769" s="5">
        <f t="shared" si="11"/>
        <v>8.6034060269931933E-3</v>
      </c>
    </row>
    <row r="770" spans="1:8" ht="13.5" x14ac:dyDescent="0.25">
      <c r="A770" s="1"/>
      <c r="B770" s="3">
        <v>45642</v>
      </c>
      <c r="C770" s="4">
        <v>13.8</v>
      </c>
      <c r="D770" s="4">
        <v>12.8782</v>
      </c>
      <c r="E770" s="4">
        <v>3767</v>
      </c>
      <c r="F770" s="4">
        <v>13.965999999999999</v>
      </c>
      <c r="G770" s="4">
        <v>52609.921999999999</v>
      </c>
      <c r="H770" s="5">
        <f t="shared" si="11"/>
        <v>-1.9184926238185612E-2</v>
      </c>
    </row>
    <row r="771" spans="1:8" ht="13.5" x14ac:dyDescent="0.25">
      <c r="A771" s="1"/>
      <c r="B771" s="3">
        <v>45644</v>
      </c>
      <c r="C771" s="4">
        <v>13.76</v>
      </c>
      <c r="D771" s="4">
        <v>12.8408</v>
      </c>
      <c r="E771" s="4">
        <v>618</v>
      </c>
      <c r="F771" s="4">
        <v>13.76</v>
      </c>
      <c r="G771" s="4">
        <v>8503.68</v>
      </c>
      <c r="H771" s="5">
        <f t="shared" si="11"/>
        <v>-2.9041325651100215E-3</v>
      </c>
    </row>
    <row r="772" spans="1:8" ht="13.5" x14ac:dyDescent="0.25">
      <c r="A772" s="1"/>
      <c r="B772" s="3">
        <v>45645</v>
      </c>
      <c r="C772" s="4">
        <v>14.03</v>
      </c>
      <c r="D772" s="4">
        <v>13.0928</v>
      </c>
      <c r="E772" s="4">
        <v>22355</v>
      </c>
      <c r="F772" s="4">
        <v>13.797000000000001</v>
      </c>
      <c r="G772" s="4">
        <v>308431.935</v>
      </c>
      <c r="H772" s="5">
        <f t="shared" si="11"/>
        <v>1.962494548626259E-2</v>
      </c>
    </row>
    <row r="773" spans="1:8" ht="13.5" x14ac:dyDescent="0.25">
      <c r="A773" s="1"/>
      <c r="B773" s="3">
        <v>45646</v>
      </c>
      <c r="C773" s="4">
        <v>13.48</v>
      </c>
      <c r="D773" s="4">
        <v>12.579499999999999</v>
      </c>
      <c r="E773" s="4">
        <v>5337</v>
      </c>
      <c r="F773" s="4">
        <v>13.659000000000001</v>
      </c>
      <c r="G773" s="4">
        <v>72898.082999999999</v>
      </c>
      <c r="H773" s="5">
        <f t="shared" si="11"/>
        <v>-3.9204753757790617E-2</v>
      </c>
    </row>
    <row r="774" spans="1:8" ht="13.5" x14ac:dyDescent="0.25">
      <c r="A774" s="1"/>
      <c r="B774" s="3">
        <v>45649</v>
      </c>
      <c r="C774" s="4">
        <v>13.95</v>
      </c>
      <c r="D774" s="4">
        <v>13.0181</v>
      </c>
      <c r="E774" s="4">
        <v>3298</v>
      </c>
      <c r="F774" s="4">
        <v>13.635</v>
      </c>
      <c r="G774" s="4">
        <v>44968.23</v>
      </c>
      <c r="H774" s="5">
        <f t="shared" si="11"/>
        <v>3.4866250645892209E-2</v>
      </c>
    </row>
    <row r="775" spans="1:8" ht="13.5" x14ac:dyDescent="0.25">
      <c r="A775" s="1"/>
      <c r="B775" s="3">
        <v>45650</v>
      </c>
      <c r="C775" s="4">
        <v>13.5</v>
      </c>
      <c r="D775" s="4">
        <v>12.5982</v>
      </c>
      <c r="E775" s="4">
        <v>1225</v>
      </c>
      <c r="F775" s="4">
        <v>13.593999999999999</v>
      </c>
      <c r="G775" s="4">
        <v>16652.650000000001</v>
      </c>
      <c r="H775" s="5">
        <f t="shared" ref="H775:H838" si="12">(D775-D774)/D774</f>
        <v>-3.2255090988700358E-2</v>
      </c>
    </row>
    <row r="776" spans="1:8" ht="13.5" x14ac:dyDescent="0.25">
      <c r="A776" s="1"/>
      <c r="B776" s="3">
        <v>45651</v>
      </c>
      <c r="C776" s="4">
        <v>13.66</v>
      </c>
      <c r="D776" s="4">
        <v>12.7475</v>
      </c>
      <c r="E776" s="4">
        <v>1524</v>
      </c>
      <c r="F776" s="4">
        <v>13.54</v>
      </c>
      <c r="G776" s="4">
        <v>20634.96</v>
      </c>
      <c r="H776" s="5">
        <f t="shared" si="12"/>
        <v>1.1850899334825627E-2</v>
      </c>
    </row>
    <row r="777" spans="1:8" ht="13.5" x14ac:dyDescent="0.25">
      <c r="A777" s="1"/>
      <c r="B777" s="3">
        <v>45652</v>
      </c>
      <c r="C777" s="4">
        <v>13.65</v>
      </c>
      <c r="D777" s="4">
        <v>12.738200000000001</v>
      </c>
      <c r="E777" s="4">
        <v>36</v>
      </c>
      <c r="F777" s="4">
        <v>13.651999999999999</v>
      </c>
      <c r="G777" s="4">
        <v>491.47199999999998</v>
      </c>
      <c r="H777" s="5">
        <f t="shared" si="12"/>
        <v>-7.2955481466951489E-4</v>
      </c>
    </row>
    <row r="778" spans="1:8" ht="13.5" x14ac:dyDescent="0.25">
      <c r="A778" s="1"/>
      <c r="B778" s="3">
        <v>45653</v>
      </c>
      <c r="C778" s="4">
        <v>13.5</v>
      </c>
      <c r="D778" s="4">
        <v>12.5982</v>
      </c>
      <c r="E778" s="4">
        <v>3025</v>
      </c>
      <c r="F778" s="4">
        <v>13.548999999999999</v>
      </c>
      <c r="G778" s="4">
        <v>40985.724999999999</v>
      </c>
      <c r="H778" s="5">
        <f t="shared" si="12"/>
        <v>-1.0990563815923801E-2</v>
      </c>
    </row>
    <row r="779" spans="1:8" ht="13.5" x14ac:dyDescent="0.25">
      <c r="A779" s="1"/>
      <c r="B779" s="3">
        <v>45656</v>
      </c>
      <c r="C779" s="4">
        <v>13.65</v>
      </c>
      <c r="D779" s="4">
        <v>12.738200000000001</v>
      </c>
      <c r="E779" s="4">
        <v>857</v>
      </c>
      <c r="F779" s="4">
        <v>13.500999999999999</v>
      </c>
      <c r="G779" s="4">
        <v>11570.357</v>
      </c>
      <c r="H779" s="5">
        <f t="shared" si="12"/>
        <v>1.1112698639488225E-2</v>
      </c>
    </row>
    <row r="780" spans="1:8" ht="13.5" x14ac:dyDescent="0.25">
      <c r="A780" s="1"/>
      <c r="B780" s="3">
        <v>45657</v>
      </c>
      <c r="C780" s="4">
        <v>13.65</v>
      </c>
      <c r="D780" s="4">
        <v>12.738200000000001</v>
      </c>
      <c r="E780" s="4">
        <v>971</v>
      </c>
      <c r="F780" s="4">
        <v>13.686999999999999</v>
      </c>
      <c r="G780" s="4">
        <v>13290.076999999999</v>
      </c>
      <c r="H780" s="5">
        <f t="shared" si="12"/>
        <v>0</v>
      </c>
    </row>
    <row r="781" spans="1:8" ht="13.5" x14ac:dyDescent="0.25">
      <c r="A781" s="1"/>
      <c r="B781" s="3">
        <v>45659</v>
      </c>
      <c r="C781" s="4">
        <v>13.65</v>
      </c>
      <c r="D781" s="4">
        <v>12.738200000000001</v>
      </c>
      <c r="E781" s="4">
        <v>6734</v>
      </c>
      <c r="F781" s="4">
        <v>13.577</v>
      </c>
      <c r="G781" s="4">
        <v>91427.517999999996</v>
      </c>
      <c r="H781" s="5">
        <f t="shared" si="12"/>
        <v>0</v>
      </c>
    </row>
    <row r="782" spans="1:8" ht="13.5" x14ac:dyDescent="0.25">
      <c r="A782" s="1"/>
      <c r="B782" s="3">
        <v>45660</v>
      </c>
      <c r="C782" s="4">
        <v>13.62</v>
      </c>
      <c r="D782" s="4">
        <v>12.7102</v>
      </c>
      <c r="E782" s="4">
        <v>131</v>
      </c>
      <c r="F782" s="4">
        <v>13.525</v>
      </c>
      <c r="G782" s="4">
        <v>1771.7750000000001</v>
      </c>
      <c r="H782" s="5">
        <f t="shared" si="12"/>
        <v>-2.1981127631847878E-3</v>
      </c>
    </row>
    <row r="783" spans="1:8" ht="13.5" x14ac:dyDescent="0.25">
      <c r="A783" s="1"/>
      <c r="B783" s="3">
        <v>45663</v>
      </c>
      <c r="C783" s="4">
        <v>13.41</v>
      </c>
      <c r="D783" s="4">
        <v>12.514200000000001</v>
      </c>
      <c r="E783" s="4">
        <v>9564</v>
      </c>
      <c r="F783" s="4">
        <v>13.369</v>
      </c>
      <c r="G783" s="4">
        <v>127861.11599999999</v>
      </c>
      <c r="H783" s="5">
        <f t="shared" si="12"/>
        <v>-1.5420685748453976E-2</v>
      </c>
    </row>
    <row r="784" spans="1:8" ht="13.5" x14ac:dyDescent="0.25">
      <c r="A784" s="1"/>
      <c r="B784" s="3">
        <v>45664</v>
      </c>
      <c r="C784" s="4">
        <v>13.4</v>
      </c>
      <c r="D784" s="4">
        <v>12.504899999999999</v>
      </c>
      <c r="E784" s="4">
        <v>1900</v>
      </c>
      <c r="F784" s="4">
        <v>13.472</v>
      </c>
      <c r="G784" s="4">
        <v>25596.799999999999</v>
      </c>
      <c r="H784" s="5">
        <f t="shared" si="12"/>
        <v>-7.431557750396683E-4</v>
      </c>
    </row>
    <row r="785" spans="1:8" ht="13.5" x14ac:dyDescent="0.25">
      <c r="A785" s="1"/>
      <c r="B785" s="3">
        <v>45665</v>
      </c>
      <c r="C785" s="4">
        <v>13.3</v>
      </c>
      <c r="D785" s="4">
        <v>12.4116</v>
      </c>
      <c r="E785" s="4">
        <v>2992</v>
      </c>
      <c r="F785" s="4">
        <v>13.339</v>
      </c>
      <c r="G785" s="4">
        <v>39910.288</v>
      </c>
      <c r="H785" s="5">
        <f t="shared" si="12"/>
        <v>-7.4610752584986107E-3</v>
      </c>
    </row>
    <row r="786" spans="1:8" ht="13.5" x14ac:dyDescent="0.25">
      <c r="A786" s="1"/>
      <c r="B786" s="3">
        <v>45666</v>
      </c>
      <c r="C786" s="4">
        <v>13.3</v>
      </c>
      <c r="D786" s="4">
        <v>12.4116</v>
      </c>
      <c r="E786" s="4">
        <v>1014</v>
      </c>
      <c r="F786" s="4">
        <v>13.303000000000001</v>
      </c>
      <c r="G786" s="4">
        <v>13489.242</v>
      </c>
      <c r="H786" s="5">
        <f t="shared" si="12"/>
        <v>0</v>
      </c>
    </row>
    <row r="787" spans="1:8" ht="13.5" x14ac:dyDescent="0.25">
      <c r="A787" s="1"/>
      <c r="B787" s="3">
        <v>45667</v>
      </c>
      <c r="C787" s="4">
        <v>13.2</v>
      </c>
      <c r="D787" s="4">
        <v>12.318199999999999</v>
      </c>
      <c r="E787" s="4">
        <v>4718</v>
      </c>
      <c r="F787" s="4">
        <v>13.238</v>
      </c>
      <c r="G787" s="4">
        <v>62456.883999999998</v>
      </c>
      <c r="H787" s="5">
        <f t="shared" si="12"/>
        <v>-7.5252183441297509E-3</v>
      </c>
    </row>
    <row r="788" spans="1:8" ht="13.5" x14ac:dyDescent="0.25">
      <c r="A788" s="1"/>
      <c r="B788" s="3">
        <v>45670</v>
      </c>
      <c r="C788" s="4">
        <v>13.15</v>
      </c>
      <c r="D788" s="4">
        <v>12.271599999999999</v>
      </c>
      <c r="E788" s="4">
        <v>2987</v>
      </c>
      <c r="F788" s="4">
        <v>13.13</v>
      </c>
      <c r="G788" s="4">
        <v>39219.31</v>
      </c>
      <c r="H788" s="5">
        <f t="shared" si="12"/>
        <v>-3.7830202464645612E-3</v>
      </c>
    </row>
    <row r="789" spans="1:8" ht="13.5" x14ac:dyDescent="0.25">
      <c r="A789" s="1"/>
      <c r="B789" s="3">
        <v>45671</v>
      </c>
      <c r="C789" s="4">
        <v>13.34</v>
      </c>
      <c r="D789" s="4">
        <v>12.4489</v>
      </c>
      <c r="E789" s="4">
        <v>8624</v>
      </c>
      <c r="F789" s="4">
        <v>13.180999999999999</v>
      </c>
      <c r="G789" s="4">
        <v>113672.944</v>
      </c>
      <c r="H789" s="5">
        <f t="shared" si="12"/>
        <v>1.4447993741647437E-2</v>
      </c>
    </row>
    <row r="790" spans="1:8" ht="13.5" x14ac:dyDescent="0.25">
      <c r="A790" s="1"/>
      <c r="B790" s="3">
        <v>45672</v>
      </c>
      <c r="C790" s="4">
        <v>13.2</v>
      </c>
      <c r="D790" s="4">
        <v>12.318199999999999</v>
      </c>
      <c r="E790" s="4">
        <v>5979</v>
      </c>
      <c r="F790" s="4">
        <v>13.198</v>
      </c>
      <c r="G790" s="4">
        <v>78910.842000000004</v>
      </c>
      <c r="H790" s="5">
        <f t="shared" si="12"/>
        <v>-1.0498919583256426E-2</v>
      </c>
    </row>
    <row r="791" spans="1:8" ht="13.5" x14ac:dyDescent="0.25">
      <c r="A791" s="1"/>
      <c r="B791" s="3">
        <v>45673</v>
      </c>
      <c r="C791" s="4">
        <v>13.1</v>
      </c>
      <c r="D791" s="4">
        <v>12.2249</v>
      </c>
      <c r="E791" s="4">
        <v>8285</v>
      </c>
      <c r="F791" s="4">
        <v>13.11</v>
      </c>
      <c r="G791" s="4">
        <v>108616.35</v>
      </c>
      <c r="H791" s="5">
        <f t="shared" si="12"/>
        <v>-7.5741585621275252E-3</v>
      </c>
    </row>
    <row r="792" spans="1:8" ht="13.5" x14ac:dyDescent="0.25">
      <c r="A792" s="1"/>
      <c r="B792" s="3">
        <v>45674</v>
      </c>
      <c r="C792" s="4">
        <v>13.1</v>
      </c>
      <c r="D792" s="4">
        <v>12.2249</v>
      </c>
      <c r="E792" s="4">
        <v>3518</v>
      </c>
      <c r="F792" s="4">
        <v>13.02</v>
      </c>
      <c r="G792" s="4">
        <v>45804.36</v>
      </c>
      <c r="H792" s="5">
        <f t="shared" si="12"/>
        <v>0</v>
      </c>
    </row>
    <row r="793" spans="1:8" ht="13.5" x14ac:dyDescent="0.25">
      <c r="A793" s="1"/>
      <c r="B793" s="3">
        <v>45677</v>
      </c>
      <c r="C793" s="4">
        <v>13.18</v>
      </c>
      <c r="D793" s="4">
        <v>12.2996</v>
      </c>
      <c r="E793" s="4">
        <v>1303</v>
      </c>
      <c r="F793" s="4">
        <v>13.118</v>
      </c>
      <c r="G793" s="4">
        <v>17092.754000000001</v>
      </c>
      <c r="H793" s="5">
        <f t="shared" si="12"/>
        <v>6.1104794313245909E-3</v>
      </c>
    </row>
    <row r="794" spans="1:8" ht="13.5" x14ac:dyDescent="0.25">
      <c r="A794" s="1"/>
      <c r="B794" s="3">
        <v>45678</v>
      </c>
      <c r="C794" s="4">
        <v>13.28</v>
      </c>
      <c r="D794" s="4">
        <v>12.392899999999999</v>
      </c>
      <c r="E794" s="4">
        <v>8050</v>
      </c>
      <c r="F794" s="4">
        <v>13.202999999999999</v>
      </c>
      <c r="G794" s="4">
        <v>106284.15</v>
      </c>
      <c r="H794" s="5">
        <f t="shared" si="12"/>
        <v>7.5856125402451518E-3</v>
      </c>
    </row>
    <row r="795" spans="1:8" ht="13.5" x14ac:dyDescent="0.25">
      <c r="A795" s="1"/>
      <c r="B795" s="3">
        <v>45679</v>
      </c>
      <c r="C795" s="4">
        <v>13.7</v>
      </c>
      <c r="D795" s="4">
        <v>12.784800000000001</v>
      </c>
      <c r="E795" s="4">
        <v>31872</v>
      </c>
      <c r="F795" s="4">
        <v>13.683999999999999</v>
      </c>
      <c r="G795" s="4">
        <v>436136.44799999997</v>
      </c>
      <c r="H795" s="5">
        <f t="shared" si="12"/>
        <v>3.1622945396154373E-2</v>
      </c>
    </row>
    <row r="796" spans="1:8" ht="13.5" x14ac:dyDescent="0.25">
      <c r="A796" s="1"/>
      <c r="B796" s="3">
        <v>45680</v>
      </c>
      <c r="C796" s="4">
        <v>13.81</v>
      </c>
      <c r="D796" s="4">
        <v>12.887499999999999</v>
      </c>
      <c r="E796" s="4">
        <v>1748</v>
      </c>
      <c r="F796" s="4">
        <v>13.795999999999999</v>
      </c>
      <c r="G796" s="4">
        <v>24115.407999999999</v>
      </c>
      <c r="H796" s="5">
        <f t="shared" si="12"/>
        <v>8.0329766597833901E-3</v>
      </c>
    </row>
    <row r="797" spans="1:8" ht="13.5" x14ac:dyDescent="0.25">
      <c r="A797" s="1"/>
      <c r="B797" s="3">
        <v>45681</v>
      </c>
      <c r="C797" s="4">
        <v>13.78</v>
      </c>
      <c r="D797" s="4">
        <v>12.859500000000001</v>
      </c>
      <c r="E797" s="4">
        <v>4201</v>
      </c>
      <c r="F797" s="4">
        <v>13.79</v>
      </c>
      <c r="G797" s="4">
        <v>57931.79</v>
      </c>
      <c r="H797" s="5">
        <f t="shared" si="12"/>
        <v>-2.1726479146458736E-3</v>
      </c>
    </row>
    <row r="798" spans="1:8" ht="13.5" x14ac:dyDescent="0.25">
      <c r="A798" s="1"/>
      <c r="B798" s="3">
        <v>45684</v>
      </c>
      <c r="C798" s="4">
        <v>13.61</v>
      </c>
      <c r="D798" s="4">
        <v>12.700900000000001</v>
      </c>
      <c r="E798" s="4">
        <v>3769</v>
      </c>
      <c r="F798" s="4">
        <v>13.641999999999999</v>
      </c>
      <c r="G798" s="4">
        <v>51416.697999999997</v>
      </c>
      <c r="H798" s="5">
        <f t="shared" si="12"/>
        <v>-1.2333294451572755E-2</v>
      </c>
    </row>
    <row r="799" spans="1:8" ht="13.5" x14ac:dyDescent="0.25">
      <c r="A799" s="1"/>
      <c r="B799" s="3">
        <v>45685</v>
      </c>
      <c r="C799" s="4">
        <v>13.52</v>
      </c>
      <c r="D799" s="4">
        <v>12.616899999999999</v>
      </c>
      <c r="E799" s="4">
        <v>9809</v>
      </c>
      <c r="F799" s="4">
        <v>13.513</v>
      </c>
      <c r="G799" s="4">
        <v>132549.01699999999</v>
      </c>
      <c r="H799" s="5">
        <f t="shared" si="12"/>
        <v>-6.6137045406232161E-3</v>
      </c>
    </row>
    <row r="800" spans="1:8" ht="13.5" x14ac:dyDescent="0.25">
      <c r="A800" s="1"/>
      <c r="B800" s="3">
        <v>45686</v>
      </c>
      <c r="C800" s="4">
        <v>13.68</v>
      </c>
      <c r="D800" s="4">
        <v>12.7662</v>
      </c>
      <c r="E800" s="4">
        <v>586</v>
      </c>
      <c r="F800" s="4">
        <v>13.432</v>
      </c>
      <c r="G800" s="4">
        <v>7871.152</v>
      </c>
      <c r="H800" s="5">
        <f t="shared" si="12"/>
        <v>1.1833334654312883E-2</v>
      </c>
    </row>
    <row r="801" spans="1:8" ht="13.5" x14ac:dyDescent="0.25">
      <c r="A801" s="1"/>
      <c r="B801" s="3">
        <v>45687</v>
      </c>
      <c r="C801" s="4">
        <v>13.68</v>
      </c>
      <c r="D801" s="4">
        <v>12.7662</v>
      </c>
      <c r="E801" s="4">
        <v>239</v>
      </c>
      <c r="F801" s="4">
        <v>13.417</v>
      </c>
      <c r="G801" s="4">
        <v>3206.663</v>
      </c>
      <c r="H801" s="5">
        <f t="shared" si="12"/>
        <v>0</v>
      </c>
    </row>
    <row r="802" spans="1:8" ht="13.5" x14ac:dyDescent="0.25">
      <c r="A802" s="1"/>
      <c r="B802" s="3">
        <v>45688</v>
      </c>
      <c r="C802" s="4">
        <v>13.67</v>
      </c>
      <c r="D802" s="4">
        <v>12.7568</v>
      </c>
      <c r="E802" s="4">
        <v>1072</v>
      </c>
      <c r="F802" s="4">
        <v>13.409000000000001</v>
      </c>
      <c r="G802" s="4">
        <v>14374.448</v>
      </c>
      <c r="H802" s="5">
        <f t="shared" si="12"/>
        <v>-7.3631934326576502E-4</v>
      </c>
    </row>
    <row r="803" spans="1:8" ht="13.5" x14ac:dyDescent="0.25">
      <c r="A803" s="1"/>
      <c r="B803" s="3">
        <v>45691</v>
      </c>
      <c r="C803" s="4">
        <v>13.49</v>
      </c>
      <c r="D803" s="4">
        <v>12.588900000000001</v>
      </c>
      <c r="E803" s="4">
        <v>376</v>
      </c>
      <c r="F803" s="4">
        <v>13.391999999999999</v>
      </c>
      <c r="G803" s="4">
        <v>5035.3919999999998</v>
      </c>
      <c r="H803" s="5">
        <f t="shared" si="12"/>
        <v>-1.3161607926752751E-2</v>
      </c>
    </row>
    <row r="804" spans="1:8" ht="13.5" x14ac:dyDescent="0.25">
      <c r="A804" s="1"/>
      <c r="B804" s="3">
        <v>45692</v>
      </c>
      <c r="C804" s="4">
        <v>13.33</v>
      </c>
      <c r="D804" s="4">
        <v>12.4396</v>
      </c>
      <c r="E804" s="4">
        <v>2975</v>
      </c>
      <c r="F804" s="4">
        <v>13.329000000000001</v>
      </c>
      <c r="G804" s="4">
        <v>39653.775000000001</v>
      </c>
      <c r="H804" s="5">
        <f t="shared" si="12"/>
        <v>-1.1859654139758057E-2</v>
      </c>
    </row>
    <row r="805" spans="1:8" ht="13.5" x14ac:dyDescent="0.25">
      <c r="A805" s="1"/>
      <c r="B805" s="3">
        <v>45693</v>
      </c>
      <c r="C805" s="4">
        <v>13.55</v>
      </c>
      <c r="D805" s="4">
        <v>12.6449</v>
      </c>
      <c r="E805" s="4">
        <v>8286</v>
      </c>
      <c r="F805" s="4">
        <v>13.353</v>
      </c>
      <c r="G805" s="4">
        <v>110642.958</v>
      </c>
      <c r="H805" s="5">
        <f t="shared" si="12"/>
        <v>1.6503746101160757E-2</v>
      </c>
    </row>
    <row r="806" spans="1:8" ht="13.5" x14ac:dyDescent="0.25">
      <c r="A806" s="1"/>
      <c r="B806" s="3">
        <v>45694</v>
      </c>
      <c r="C806" s="4">
        <v>13.4</v>
      </c>
      <c r="D806" s="4">
        <v>12.504899999999999</v>
      </c>
      <c r="E806" s="4">
        <v>2054</v>
      </c>
      <c r="F806" s="4">
        <v>13.303000000000001</v>
      </c>
      <c r="G806" s="4">
        <v>27324.362000000001</v>
      </c>
      <c r="H806" s="5">
        <f t="shared" si="12"/>
        <v>-1.1071657348021777E-2</v>
      </c>
    </row>
    <row r="807" spans="1:8" ht="13.5" x14ac:dyDescent="0.25">
      <c r="A807" s="1"/>
      <c r="B807" s="3">
        <v>45695</v>
      </c>
      <c r="C807" s="4">
        <v>13.49</v>
      </c>
      <c r="D807" s="4">
        <v>12.588900000000001</v>
      </c>
      <c r="E807" s="4">
        <v>2110</v>
      </c>
      <c r="F807" s="4">
        <v>13.324999999999999</v>
      </c>
      <c r="G807" s="4">
        <v>28115.75</v>
      </c>
      <c r="H807" s="5">
        <f t="shared" si="12"/>
        <v>6.7173667922175639E-3</v>
      </c>
    </row>
    <row r="808" spans="1:8" ht="13.5" x14ac:dyDescent="0.25">
      <c r="A808" s="1"/>
      <c r="B808" s="3">
        <v>45698</v>
      </c>
      <c r="C808" s="4">
        <v>13.49</v>
      </c>
      <c r="D808" s="4">
        <v>12.588900000000001</v>
      </c>
      <c r="E808" s="4">
        <v>120</v>
      </c>
      <c r="F808" s="4">
        <v>13.49</v>
      </c>
      <c r="G808" s="4">
        <v>1618.8</v>
      </c>
      <c r="H808" s="5">
        <f t="shared" si="12"/>
        <v>0</v>
      </c>
    </row>
    <row r="809" spans="1:8" ht="13.5" x14ac:dyDescent="0.25">
      <c r="A809" s="1"/>
      <c r="B809" s="3">
        <v>45699</v>
      </c>
      <c r="C809" s="4">
        <v>13.47</v>
      </c>
      <c r="D809" s="4">
        <v>12.5702</v>
      </c>
      <c r="E809" s="4">
        <v>344</v>
      </c>
      <c r="F809" s="4">
        <v>13.472</v>
      </c>
      <c r="G809" s="4">
        <v>4634.3680000000004</v>
      </c>
      <c r="H809" s="5">
        <f t="shared" si="12"/>
        <v>-1.4854355821398873E-3</v>
      </c>
    </row>
    <row r="810" spans="1:8" ht="13.5" x14ac:dyDescent="0.25">
      <c r="A810" s="1"/>
      <c r="B810" s="3">
        <v>45700</v>
      </c>
      <c r="C810" s="4">
        <v>13.4</v>
      </c>
      <c r="D810" s="4">
        <v>12.504899999999999</v>
      </c>
      <c r="E810" s="4">
        <v>3155</v>
      </c>
      <c r="F810" s="4">
        <v>13.202999999999999</v>
      </c>
      <c r="G810" s="4">
        <v>41655.464999999997</v>
      </c>
      <c r="H810" s="5">
        <f t="shared" si="12"/>
        <v>-5.1948258579816217E-3</v>
      </c>
    </row>
    <row r="811" spans="1:8" ht="13.5" x14ac:dyDescent="0.25">
      <c r="A811" s="1"/>
      <c r="B811" s="3">
        <v>45701</v>
      </c>
      <c r="C811" s="4">
        <v>13.2</v>
      </c>
      <c r="D811" s="4">
        <v>12.318199999999999</v>
      </c>
      <c r="E811" s="4">
        <v>8424</v>
      </c>
      <c r="F811" s="4">
        <v>13.195</v>
      </c>
      <c r="G811" s="4">
        <v>111154.68</v>
      </c>
      <c r="H811" s="5">
        <f t="shared" si="12"/>
        <v>-1.4930147382226176E-2</v>
      </c>
    </row>
    <row r="812" spans="1:8" ht="13.5" x14ac:dyDescent="0.25">
      <c r="A812" s="1"/>
      <c r="B812" s="3">
        <v>45702</v>
      </c>
      <c r="C812" s="4">
        <v>13.17</v>
      </c>
      <c r="D812" s="4">
        <v>12.2902</v>
      </c>
      <c r="E812" s="4">
        <v>7603</v>
      </c>
      <c r="F812" s="4">
        <v>13.173</v>
      </c>
      <c r="G812" s="4">
        <v>100154.319</v>
      </c>
      <c r="H812" s="5">
        <f t="shared" si="12"/>
        <v>-2.2730593755580114E-3</v>
      </c>
    </row>
    <row r="813" spans="1:8" ht="13.5" x14ac:dyDescent="0.25">
      <c r="A813" s="1"/>
      <c r="B813" s="3">
        <v>45705</v>
      </c>
      <c r="C813" s="4">
        <v>13.65</v>
      </c>
      <c r="D813" s="4">
        <v>12.738200000000001</v>
      </c>
      <c r="E813" s="4">
        <v>8750</v>
      </c>
      <c r="F813" s="4">
        <v>13.430999999999999</v>
      </c>
      <c r="G813" s="4">
        <v>117521.25</v>
      </c>
      <c r="H813" s="5">
        <f t="shared" si="12"/>
        <v>3.6451807130884799E-2</v>
      </c>
    </row>
    <row r="814" spans="1:8" ht="13.5" x14ac:dyDescent="0.25">
      <c r="A814" s="1"/>
      <c r="B814" s="3">
        <v>45706</v>
      </c>
      <c r="C814" s="4">
        <v>13.3</v>
      </c>
      <c r="D814" s="4">
        <v>12.4116</v>
      </c>
      <c r="E814" s="4">
        <v>7827</v>
      </c>
      <c r="F814" s="4">
        <v>13.333</v>
      </c>
      <c r="G814" s="4">
        <v>104357.391</v>
      </c>
      <c r="H814" s="5">
        <f t="shared" si="12"/>
        <v>-2.5639415302005062E-2</v>
      </c>
    </row>
    <row r="815" spans="1:8" ht="13.5" x14ac:dyDescent="0.25">
      <c r="A815" s="1"/>
      <c r="B815" s="3">
        <v>45707</v>
      </c>
      <c r="C815" s="4">
        <v>13.3</v>
      </c>
      <c r="D815" s="4">
        <v>12.4116</v>
      </c>
      <c r="E815" s="4">
        <v>1549</v>
      </c>
      <c r="F815" s="4">
        <v>13.302</v>
      </c>
      <c r="G815" s="4">
        <v>20604.797999999999</v>
      </c>
      <c r="H815" s="5">
        <f t="shared" si="12"/>
        <v>0</v>
      </c>
    </row>
    <row r="816" spans="1:8" ht="13.5" x14ac:dyDescent="0.25">
      <c r="A816" s="1"/>
      <c r="B816" s="3">
        <v>45708</v>
      </c>
      <c r="C816" s="4">
        <v>13.3</v>
      </c>
      <c r="D816" s="4">
        <v>12.4116</v>
      </c>
      <c r="E816" s="4">
        <v>104</v>
      </c>
      <c r="F816" s="4">
        <v>13.302</v>
      </c>
      <c r="G816" s="4">
        <v>1383.4079999999999</v>
      </c>
      <c r="H816" s="5">
        <f t="shared" si="12"/>
        <v>0</v>
      </c>
    </row>
    <row r="817" spans="1:8" ht="13.5" x14ac:dyDescent="0.25">
      <c r="A817" s="1"/>
      <c r="B817" s="3">
        <v>45709</v>
      </c>
      <c r="C817" s="4">
        <v>13.32</v>
      </c>
      <c r="D817" s="4">
        <v>12.430199999999999</v>
      </c>
      <c r="E817" s="4">
        <v>5490</v>
      </c>
      <c r="F817" s="4">
        <v>13.237</v>
      </c>
      <c r="G817" s="4">
        <v>72671.13</v>
      </c>
      <c r="H817" s="5">
        <f t="shared" si="12"/>
        <v>1.4985980856617425E-3</v>
      </c>
    </row>
    <row r="818" spans="1:8" ht="13.5" x14ac:dyDescent="0.25">
      <c r="A818" s="1"/>
      <c r="B818" s="3">
        <v>45712</v>
      </c>
      <c r="C818" s="4">
        <v>13.2</v>
      </c>
      <c r="D818" s="4">
        <v>12.318199999999999</v>
      </c>
      <c r="E818" s="4">
        <v>4348</v>
      </c>
      <c r="F818" s="4">
        <v>13.241</v>
      </c>
      <c r="G818" s="4">
        <v>57571.868000000002</v>
      </c>
      <c r="H818" s="5">
        <f t="shared" si="12"/>
        <v>-9.0103135910926703E-3</v>
      </c>
    </row>
    <row r="819" spans="1:8" ht="13.5" x14ac:dyDescent="0.25">
      <c r="A819" s="1"/>
      <c r="B819" s="3">
        <v>45713</v>
      </c>
      <c r="C819" s="4">
        <v>13.4</v>
      </c>
      <c r="D819" s="4">
        <v>12.504899999999999</v>
      </c>
      <c r="E819" s="4">
        <v>4093</v>
      </c>
      <c r="F819" s="4">
        <v>13.221</v>
      </c>
      <c r="G819" s="4">
        <v>54113.553</v>
      </c>
      <c r="H819" s="5">
        <f t="shared" si="12"/>
        <v>1.5156435193453598E-2</v>
      </c>
    </row>
    <row r="820" spans="1:8" ht="13.5" x14ac:dyDescent="0.25">
      <c r="A820" s="1"/>
      <c r="B820" s="3">
        <v>45714</v>
      </c>
      <c r="C820" s="4">
        <v>13.25</v>
      </c>
      <c r="D820" s="4">
        <v>12.3649</v>
      </c>
      <c r="E820" s="4">
        <v>3211</v>
      </c>
      <c r="F820" s="4">
        <v>13.192</v>
      </c>
      <c r="G820" s="4">
        <v>42359.512000000002</v>
      </c>
      <c r="H820" s="5">
        <f t="shared" si="12"/>
        <v>-1.1195611320362321E-2</v>
      </c>
    </row>
    <row r="821" spans="1:8" ht="13.5" x14ac:dyDescent="0.25">
      <c r="A821" s="1"/>
      <c r="B821" s="3">
        <v>45715</v>
      </c>
      <c r="C821" s="4">
        <v>13.25</v>
      </c>
      <c r="D821" s="4">
        <v>12.3649</v>
      </c>
      <c r="E821" s="4">
        <v>1169</v>
      </c>
      <c r="F821" s="4">
        <v>13.26</v>
      </c>
      <c r="G821" s="4">
        <v>15500.94</v>
      </c>
      <c r="H821" s="5">
        <f t="shared" si="12"/>
        <v>0</v>
      </c>
    </row>
    <row r="822" spans="1:8" ht="13.5" x14ac:dyDescent="0.25">
      <c r="A822" s="1"/>
      <c r="B822" s="3">
        <v>45716</v>
      </c>
      <c r="C822" s="4">
        <v>13.19</v>
      </c>
      <c r="D822" s="4">
        <v>12.3089</v>
      </c>
      <c r="E822" s="4">
        <v>14566</v>
      </c>
      <c r="F822" s="4">
        <v>13.19</v>
      </c>
      <c r="G822" s="4">
        <v>192125.54</v>
      </c>
      <c r="H822" s="5">
        <f t="shared" si="12"/>
        <v>-4.5289488794895989E-3</v>
      </c>
    </row>
    <row r="823" spans="1:8" ht="13.5" x14ac:dyDescent="0.25">
      <c r="A823" s="1"/>
      <c r="B823" s="3">
        <v>45719</v>
      </c>
      <c r="C823" s="4">
        <v>13.17</v>
      </c>
      <c r="D823" s="4">
        <v>12.2902</v>
      </c>
      <c r="E823" s="4">
        <v>3495</v>
      </c>
      <c r="F823" s="4">
        <v>13.147</v>
      </c>
      <c r="G823" s="4">
        <v>45948.764999999999</v>
      </c>
      <c r="H823" s="5">
        <f t="shared" si="12"/>
        <v>-1.5192259259559386E-3</v>
      </c>
    </row>
    <row r="824" spans="1:8" ht="13.5" x14ac:dyDescent="0.25">
      <c r="A824" s="1"/>
      <c r="B824" s="3">
        <v>45720</v>
      </c>
      <c r="C824" s="4">
        <v>13.2</v>
      </c>
      <c r="D824" s="4">
        <v>12.318199999999999</v>
      </c>
      <c r="E824" s="4">
        <v>1177</v>
      </c>
      <c r="F824" s="4">
        <v>13.121</v>
      </c>
      <c r="G824" s="4">
        <v>15443.416999999999</v>
      </c>
      <c r="H824" s="5">
        <f t="shared" si="12"/>
        <v>2.2782379456801915E-3</v>
      </c>
    </row>
    <row r="825" spans="1:8" ht="13.5" x14ac:dyDescent="0.25">
      <c r="A825" s="1"/>
      <c r="B825" s="3">
        <v>45721</v>
      </c>
      <c r="C825" s="4">
        <v>13.44</v>
      </c>
      <c r="D825" s="4">
        <v>12.542199999999999</v>
      </c>
      <c r="E825" s="4">
        <v>832</v>
      </c>
      <c r="F825" s="4">
        <v>13.175000000000001</v>
      </c>
      <c r="G825" s="4">
        <v>10961.6</v>
      </c>
      <c r="H825" s="5">
        <f t="shared" si="12"/>
        <v>1.8184475004464955E-2</v>
      </c>
    </row>
    <row r="826" spans="1:8" ht="13.5" x14ac:dyDescent="0.25">
      <c r="A826" s="1"/>
      <c r="B826" s="3">
        <v>45722</v>
      </c>
      <c r="C826" s="4">
        <v>13.44</v>
      </c>
      <c r="D826" s="4">
        <v>12.542199999999999</v>
      </c>
      <c r="E826" s="4">
        <v>23073</v>
      </c>
      <c r="F826" s="4">
        <v>13.098000000000001</v>
      </c>
      <c r="G826" s="4">
        <v>302210.15399999998</v>
      </c>
      <c r="H826" s="5">
        <f t="shared" si="12"/>
        <v>0</v>
      </c>
    </row>
    <row r="827" spans="1:8" ht="13.5" x14ac:dyDescent="0.25">
      <c r="A827" s="1"/>
      <c r="B827" s="3">
        <v>45723</v>
      </c>
      <c r="C827" s="4">
        <v>13.28</v>
      </c>
      <c r="D827" s="4">
        <v>12.392899999999999</v>
      </c>
      <c r="E827" s="4">
        <v>6731</v>
      </c>
      <c r="F827" s="4">
        <v>13.117000000000001</v>
      </c>
      <c r="G827" s="4">
        <v>88290.527000000002</v>
      </c>
      <c r="H827" s="5">
        <f t="shared" si="12"/>
        <v>-1.1903812728229515E-2</v>
      </c>
    </row>
    <row r="828" spans="1:8" ht="13.5" x14ac:dyDescent="0.25">
      <c r="A828" s="1"/>
      <c r="B828" s="3">
        <v>45726</v>
      </c>
      <c r="C828" s="4">
        <v>13.35</v>
      </c>
      <c r="D828" s="4">
        <v>12.4582</v>
      </c>
      <c r="E828" s="4">
        <v>6335</v>
      </c>
      <c r="F828" s="4">
        <v>13.305</v>
      </c>
      <c r="G828" s="4">
        <v>84287.175000000003</v>
      </c>
      <c r="H828" s="5">
        <f t="shared" si="12"/>
        <v>5.2691460432990325E-3</v>
      </c>
    </row>
    <row r="829" spans="1:8" ht="13.5" x14ac:dyDescent="0.25">
      <c r="A829" s="1"/>
      <c r="B829" s="3">
        <v>45727</v>
      </c>
      <c r="C829" s="4">
        <v>13.2</v>
      </c>
      <c r="D829" s="4">
        <v>12.318199999999999</v>
      </c>
      <c r="E829" s="4">
        <v>1355</v>
      </c>
      <c r="F829" s="4">
        <v>13.173999999999999</v>
      </c>
      <c r="G829" s="4">
        <v>17850.77</v>
      </c>
      <c r="H829" s="5">
        <f t="shared" si="12"/>
        <v>-1.1237578462378238E-2</v>
      </c>
    </row>
    <row r="830" spans="1:8" ht="13.5" x14ac:dyDescent="0.25">
      <c r="A830" s="1"/>
      <c r="B830" s="3">
        <v>45728</v>
      </c>
      <c r="C830" s="4">
        <v>13.2</v>
      </c>
      <c r="D830" s="4">
        <v>12.318199999999999</v>
      </c>
      <c r="E830" s="4">
        <v>1578</v>
      </c>
      <c r="F830" s="4">
        <v>13.122</v>
      </c>
      <c r="G830" s="4">
        <v>20706.516</v>
      </c>
      <c r="H830" s="5">
        <f t="shared" si="12"/>
        <v>0</v>
      </c>
    </row>
    <row r="831" spans="1:8" ht="13.5" x14ac:dyDescent="0.25">
      <c r="A831" s="1"/>
      <c r="B831" s="3">
        <v>45729</v>
      </c>
      <c r="C831" s="4">
        <v>13.8</v>
      </c>
      <c r="D831" s="4">
        <v>12.8782</v>
      </c>
      <c r="E831" s="4">
        <v>16357</v>
      </c>
      <c r="F831" s="4">
        <v>13.257</v>
      </c>
      <c r="G831" s="4">
        <v>216844.74900000001</v>
      </c>
      <c r="H831" s="5">
        <f t="shared" si="12"/>
        <v>4.546118751116239E-2</v>
      </c>
    </row>
    <row r="832" spans="1:8" ht="13.5" x14ac:dyDescent="0.25">
      <c r="A832" s="1"/>
      <c r="B832" s="3">
        <v>45730</v>
      </c>
      <c r="C832" s="4">
        <v>13.8</v>
      </c>
      <c r="D832" s="4">
        <v>12.8782</v>
      </c>
      <c r="E832" s="4">
        <v>7554</v>
      </c>
      <c r="F832" s="4">
        <v>13.686999999999999</v>
      </c>
      <c r="G832" s="4">
        <v>103391.598</v>
      </c>
      <c r="H832" s="5">
        <f t="shared" si="12"/>
        <v>0</v>
      </c>
    </row>
    <row r="833" spans="1:8" ht="13.5" x14ac:dyDescent="0.25">
      <c r="A833" s="1"/>
      <c r="B833" s="3">
        <v>45733</v>
      </c>
      <c r="C833" s="4">
        <v>13.77</v>
      </c>
      <c r="D833" s="4">
        <v>12.850199999999999</v>
      </c>
      <c r="E833" s="4">
        <v>2686</v>
      </c>
      <c r="F833" s="4">
        <v>13.695</v>
      </c>
      <c r="G833" s="4">
        <v>36784.769999999997</v>
      </c>
      <c r="H833" s="5">
        <f t="shared" si="12"/>
        <v>-2.1742168936653003E-3</v>
      </c>
    </row>
    <row r="834" spans="1:8" ht="13.5" x14ac:dyDescent="0.25">
      <c r="A834" s="1"/>
      <c r="B834" s="3">
        <v>45734</v>
      </c>
      <c r="C834" s="4">
        <v>13.8</v>
      </c>
      <c r="D834" s="4">
        <v>12.8782</v>
      </c>
      <c r="E834" s="4">
        <v>1</v>
      </c>
      <c r="F834" s="4">
        <v>13.8</v>
      </c>
      <c r="G834" s="4">
        <v>13.8</v>
      </c>
      <c r="H834" s="5">
        <f t="shared" si="12"/>
        <v>2.1789544131609211E-3</v>
      </c>
    </row>
    <row r="835" spans="1:8" ht="13.5" x14ac:dyDescent="0.25">
      <c r="A835" s="1"/>
      <c r="B835" s="3">
        <v>45735</v>
      </c>
      <c r="C835" s="4">
        <v>13.75</v>
      </c>
      <c r="D835" s="4">
        <v>12.8315</v>
      </c>
      <c r="E835" s="4">
        <v>4163</v>
      </c>
      <c r="F835" s="4">
        <v>13.689</v>
      </c>
      <c r="G835" s="4">
        <v>56987.307000000001</v>
      </c>
      <c r="H835" s="5">
        <f t="shared" si="12"/>
        <v>-3.6262831762202421E-3</v>
      </c>
    </row>
    <row r="836" spans="1:8" ht="13.5" x14ac:dyDescent="0.25">
      <c r="A836" s="1"/>
      <c r="B836" s="3">
        <v>45737</v>
      </c>
      <c r="C836" s="4">
        <v>13.31</v>
      </c>
      <c r="D836" s="4">
        <v>12.4209</v>
      </c>
      <c r="E836" s="4">
        <v>972</v>
      </c>
      <c r="F836" s="4">
        <v>13.31</v>
      </c>
      <c r="G836" s="4">
        <v>12937.32</v>
      </c>
      <c r="H836" s="5">
        <f t="shared" si="12"/>
        <v>-3.1999376534310134E-2</v>
      </c>
    </row>
    <row r="837" spans="1:8" ht="13.5" x14ac:dyDescent="0.25">
      <c r="A837" s="1"/>
      <c r="B837" s="3">
        <v>45740</v>
      </c>
      <c r="C837" s="4">
        <v>13.67</v>
      </c>
      <c r="D837" s="4">
        <v>12.7568</v>
      </c>
      <c r="E837" s="4">
        <v>423</v>
      </c>
      <c r="F837" s="4">
        <v>13.339</v>
      </c>
      <c r="G837" s="4">
        <v>5642.3969999999999</v>
      </c>
      <c r="H837" s="5">
        <f t="shared" si="12"/>
        <v>2.7043128919804565E-2</v>
      </c>
    </row>
    <row r="838" spans="1:8" ht="13.5" x14ac:dyDescent="0.25">
      <c r="A838" s="1"/>
      <c r="B838" s="3">
        <v>45741</v>
      </c>
      <c r="C838" s="4">
        <v>13.7</v>
      </c>
      <c r="D838" s="4">
        <v>12.784800000000001</v>
      </c>
      <c r="E838" s="4">
        <v>680</v>
      </c>
      <c r="F838" s="4">
        <v>13.672000000000001</v>
      </c>
      <c r="G838" s="4">
        <v>9296.9599999999991</v>
      </c>
      <c r="H838" s="5">
        <f t="shared" si="12"/>
        <v>2.1949078138718543E-3</v>
      </c>
    </row>
    <row r="839" spans="1:8" ht="13.5" x14ac:dyDescent="0.25">
      <c r="A839" s="1"/>
      <c r="B839" s="3">
        <v>45742</v>
      </c>
      <c r="C839" s="4">
        <v>13.33</v>
      </c>
      <c r="D839" s="4">
        <v>12.4396</v>
      </c>
      <c r="E839" s="4">
        <v>6088</v>
      </c>
      <c r="F839" s="4">
        <v>13.359</v>
      </c>
      <c r="G839" s="4">
        <v>81329.592000000004</v>
      </c>
      <c r="H839" s="5">
        <f t="shared" ref="H839:H902" si="13">(D839-D838)/D838</f>
        <v>-2.7000813465990876E-2</v>
      </c>
    </row>
    <row r="840" spans="1:8" ht="13.5" x14ac:dyDescent="0.25">
      <c r="A840" s="1"/>
      <c r="B840" s="3">
        <v>45743</v>
      </c>
      <c r="C840" s="4">
        <v>13.66</v>
      </c>
      <c r="D840" s="4">
        <v>12.7475</v>
      </c>
      <c r="E840" s="4">
        <v>127</v>
      </c>
      <c r="F840" s="4">
        <v>13.661</v>
      </c>
      <c r="G840" s="4">
        <v>1734.9469999999999</v>
      </c>
      <c r="H840" s="5">
        <f t="shared" si="13"/>
        <v>2.4751599729894855E-2</v>
      </c>
    </row>
    <row r="841" spans="1:8" ht="13.5" x14ac:dyDescent="0.25">
      <c r="A841" s="1"/>
      <c r="B841" s="3">
        <v>45744</v>
      </c>
      <c r="C841" s="4">
        <v>13.48</v>
      </c>
      <c r="D841" s="4">
        <v>12.579499999999999</v>
      </c>
      <c r="E841" s="4">
        <v>1783</v>
      </c>
      <c r="F841" s="4">
        <v>13.239000000000001</v>
      </c>
      <c r="G841" s="4">
        <v>23605.136999999999</v>
      </c>
      <c r="H841" s="5">
        <f t="shared" si="13"/>
        <v>-1.3179054716611181E-2</v>
      </c>
    </row>
    <row r="842" spans="1:8" ht="13.5" x14ac:dyDescent="0.25">
      <c r="A842" s="1"/>
      <c r="B842" s="3">
        <v>45749</v>
      </c>
      <c r="C842" s="4">
        <v>13.54</v>
      </c>
      <c r="D842" s="4">
        <v>12.6355</v>
      </c>
      <c r="E842" s="4">
        <v>1</v>
      </c>
      <c r="F842" s="4">
        <v>13.54</v>
      </c>
      <c r="G842" s="4">
        <v>13.54</v>
      </c>
      <c r="H842" s="5">
        <f t="shared" si="13"/>
        <v>4.4516872689694294E-3</v>
      </c>
    </row>
    <row r="843" spans="1:8" ht="13.5" x14ac:dyDescent="0.25">
      <c r="A843" s="1"/>
      <c r="B843" s="3">
        <v>45750</v>
      </c>
      <c r="C843" s="4">
        <v>13.25</v>
      </c>
      <c r="D843" s="4">
        <v>12.3649</v>
      </c>
      <c r="E843" s="4">
        <v>1473</v>
      </c>
      <c r="F843" s="4">
        <v>13.284000000000001</v>
      </c>
      <c r="G843" s="4">
        <v>19567.331999999999</v>
      </c>
      <c r="H843" s="5">
        <f t="shared" si="13"/>
        <v>-2.1415852162557869E-2</v>
      </c>
    </row>
    <row r="844" spans="1:8" ht="13.5" x14ac:dyDescent="0.25">
      <c r="A844" s="1"/>
      <c r="B844" s="3">
        <v>45751</v>
      </c>
      <c r="C844" s="4">
        <v>13.3</v>
      </c>
      <c r="D844" s="4">
        <v>12.4116</v>
      </c>
      <c r="E844" s="4">
        <v>2004</v>
      </c>
      <c r="F844" s="4">
        <v>13.238</v>
      </c>
      <c r="G844" s="4">
        <v>26528.952000000001</v>
      </c>
      <c r="H844" s="5">
        <f t="shared" si="13"/>
        <v>3.776819869145688E-3</v>
      </c>
    </row>
    <row r="845" spans="1:8" ht="13.5" x14ac:dyDescent="0.25">
      <c r="A845" s="1"/>
      <c r="B845" s="3">
        <v>45754</v>
      </c>
      <c r="C845" s="4">
        <v>13.3</v>
      </c>
      <c r="D845" s="4">
        <v>12.4116</v>
      </c>
      <c r="E845" s="4">
        <v>9419</v>
      </c>
      <c r="F845" s="4">
        <v>13.282</v>
      </c>
      <c r="G845" s="4">
        <v>125103.158</v>
      </c>
      <c r="H845" s="5">
        <f t="shared" si="13"/>
        <v>0</v>
      </c>
    </row>
    <row r="846" spans="1:8" ht="13.5" x14ac:dyDescent="0.25">
      <c r="A846" s="1"/>
      <c r="B846" s="3">
        <v>45755</v>
      </c>
      <c r="C846" s="4">
        <v>13.29</v>
      </c>
      <c r="D846" s="4">
        <v>12.402200000000001</v>
      </c>
      <c r="E846" s="4">
        <v>8632</v>
      </c>
      <c r="F846" s="4">
        <v>13.298999999999999</v>
      </c>
      <c r="G846" s="4">
        <v>114796.96799999999</v>
      </c>
      <c r="H846" s="5">
        <f t="shared" si="13"/>
        <v>-7.5735602178602344E-4</v>
      </c>
    </row>
    <row r="847" spans="1:8" ht="13.5" x14ac:dyDescent="0.25">
      <c r="A847" s="1"/>
      <c r="B847" s="3">
        <v>45757</v>
      </c>
      <c r="C847" s="4">
        <v>13.29</v>
      </c>
      <c r="D847" s="4">
        <v>12.402200000000001</v>
      </c>
      <c r="E847" s="4">
        <v>2881</v>
      </c>
      <c r="F847" s="4">
        <v>13.298999999999999</v>
      </c>
      <c r="G847" s="4">
        <v>38314.419000000002</v>
      </c>
      <c r="H847" s="5">
        <f t="shared" si="13"/>
        <v>0</v>
      </c>
    </row>
    <row r="848" spans="1:8" ht="13.5" x14ac:dyDescent="0.25">
      <c r="A848" s="1"/>
      <c r="B848" s="3">
        <v>45758</v>
      </c>
      <c r="C848" s="4">
        <v>13.28</v>
      </c>
      <c r="D848" s="4">
        <v>12.392899999999999</v>
      </c>
      <c r="E848" s="4">
        <v>3056</v>
      </c>
      <c r="F848" s="4">
        <v>13.147</v>
      </c>
      <c r="G848" s="4">
        <v>40177.232000000004</v>
      </c>
      <c r="H848" s="5">
        <f t="shared" si="13"/>
        <v>-7.4986695908801806E-4</v>
      </c>
    </row>
    <row r="849" spans="1:8" ht="13.5" x14ac:dyDescent="0.25">
      <c r="A849" s="1"/>
      <c r="B849" s="3">
        <v>45761</v>
      </c>
      <c r="C849" s="4">
        <v>13.28</v>
      </c>
      <c r="D849" s="4">
        <v>12.392899999999999</v>
      </c>
      <c r="E849" s="4">
        <v>2563</v>
      </c>
      <c r="F849" s="4">
        <v>13.124000000000001</v>
      </c>
      <c r="G849" s="4">
        <v>33636.811999999998</v>
      </c>
      <c r="H849" s="5">
        <f t="shared" si="13"/>
        <v>0</v>
      </c>
    </row>
    <row r="850" spans="1:8" ht="13.5" x14ac:dyDescent="0.25">
      <c r="A850" s="1"/>
      <c r="B850" s="3">
        <v>45762</v>
      </c>
      <c r="C850" s="4">
        <v>13.49</v>
      </c>
      <c r="D850" s="4">
        <v>12.588900000000001</v>
      </c>
      <c r="E850" s="4">
        <v>2690</v>
      </c>
      <c r="F850" s="4">
        <v>13.183</v>
      </c>
      <c r="G850" s="4">
        <v>35462.269999999997</v>
      </c>
      <c r="H850" s="5">
        <f t="shared" si="13"/>
        <v>1.5815507266257415E-2</v>
      </c>
    </row>
    <row r="851" spans="1:8" ht="13.5" x14ac:dyDescent="0.25">
      <c r="A851" s="1"/>
      <c r="B851" s="3">
        <v>45763</v>
      </c>
      <c r="C851" s="4">
        <v>13.42</v>
      </c>
      <c r="D851" s="4">
        <v>12.5235</v>
      </c>
      <c r="E851" s="4">
        <v>1110</v>
      </c>
      <c r="F851" s="4">
        <v>13.381</v>
      </c>
      <c r="G851" s="4">
        <v>14852.91</v>
      </c>
      <c r="H851" s="5">
        <f t="shared" si="13"/>
        <v>-5.1950527845959805E-3</v>
      </c>
    </row>
    <row r="852" spans="1:8" ht="13.5" x14ac:dyDescent="0.25">
      <c r="A852" s="1"/>
      <c r="B852" s="3">
        <v>45764</v>
      </c>
      <c r="C852" s="4">
        <v>13.42</v>
      </c>
      <c r="D852" s="4">
        <v>12.5235</v>
      </c>
      <c r="E852" s="4">
        <v>8236</v>
      </c>
      <c r="F852" s="4">
        <v>13.356999999999999</v>
      </c>
      <c r="G852" s="4">
        <v>110008.25199999999</v>
      </c>
      <c r="H852" s="5">
        <f t="shared" si="13"/>
        <v>0</v>
      </c>
    </row>
    <row r="853" spans="1:8" ht="13.5" x14ac:dyDescent="0.25">
      <c r="A853" s="1"/>
      <c r="B853" s="3">
        <v>45765</v>
      </c>
      <c r="C853" s="4">
        <v>13.38</v>
      </c>
      <c r="D853" s="4">
        <v>12.4862</v>
      </c>
      <c r="E853" s="4">
        <v>301</v>
      </c>
      <c r="F853" s="4">
        <v>13.101000000000001</v>
      </c>
      <c r="G853" s="4">
        <v>3943.4009999999998</v>
      </c>
      <c r="H853" s="5">
        <f t="shared" si="13"/>
        <v>-2.9784006068591137E-3</v>
      </c>
    </row>
    <row r="854" spans="1:8" ht="13.5" x14ac:dyDescent="0.25">
      <c r="A854" s="1"/>
      <c r="B854" s="3">
        <v>45768</v>
      </c>
      <c r="C854" s="4">
        <v>13.25</v>
      </c>
      <c r="D854" s="4">
        <v>12.3649</v>
      </c>
      <c r="E854" s="4">
        <v>1191</v>
      </c>
      <c r="F854" s="4">
        <v>13.079000000000001</v>
      </c>
      <c r="G854" s="4">
        <v>15577.089</v>
      </c>
      <c r="H854" s="5">
        <f t="shared" si="13"/>
        <v>-9.7147250564623127E-3</v>
      </c>
    </row>
    <row r="855" spans="1:8" ht="13.5" x14ac:dyDescent="0.25">
      <c r="A855" s="1"/>
      <c r="B855" s="3">
        <v>45769</v>
      </c>
      <c r="C855" s="4">
        <v>13.13</v>
      </c>
      <c r="D855" s="4">
        <v>12.2529</v>
      </c>
      <c r="E855" s="4">
        <v>1420</v>
      </c>
      <c r="F855" s="4">
        <v>13.257</v>
      </c>
      <c r="G855" s="4">
        <v>18824.939999999999</v>
      </c>
      <c r="H855" s="5">
        <f t="shared" si="13"/>
        <v>-9.0578977589790537E-3</v>
      </c>
    </row>
    <row r="856" spans="1:8" ht="13.5" x14ac:dyDescent="0.25">
      <c r="A856" s="1"/>
      <c r="B856" s="3">
        <v>45770</v>
      </c>
      <c r="C856" s="4">
        <v>13.13</v>
      </c>
      <c r="D856" s="4">
        <v>12.2529</v>
      </c>
      <c r="E856" s="4">
        <v>3668</v>
      </c>
      <c r="F856" s="4">
        <v>13.135999999999999</v>
      </c>
      <c r="G856" s="4">
        <v>48182.847999999998</v>
      </c>
      <c r="H856" s="5">
        <f t="shared" si="13"/>
        <v>0</v>
      </c>
    </row>
    <row r="857" spans="1:8" ht="13.5" x14ac:dyDescent="0.25">
      <c r="A857" s="1"/>
      <c r="B857" s="3">
        <v>45771</v>
      </c>
      <c r="C857" s="4">
        <v>13.29</v>
      </c>
      <c r="D857" s="4">
        <v>12.402200000000001</v>
      </c>
      <c r="E857" s="4">
        <v>467</v>
      </c>
      <c r="F857" s="4">
        <v>13.135999999999999</v>
      </c>
      <c r="G857" s="4">
        <v>6134.5119999999997</v>
      </c>
      <c r="H857" s="5">
        <f t="shared" si="13"/>
        <v>1.2184870520448237E-2</v>
      </c>
    </row>
    <row r="858" spans="1:8" ht="13.5" x14ac:dyDescent="0.25">
      <c r="A858" s="1"/>
      <c r="B858" s="3">
        <v>45772</v>
      </c>
      <c r="C858" s="4">
        <v>13.29</v>
      </c>
      <c r="D858" s="4">
        <v>12.402200000000001</v>
      </c>
      <c r="E858" s="4">
        <v>1618</v>
      </c>
      <c r="F858" s="4">
        <v>13.176</v>
      </c>
      <c r="G858" s="4">
        <v>21318.768</v>
      </c>
      <c r="H858" s="5">
        <f t="shared" si="13"/>
        <v>0</v>
      </c>
    </row>
    <row r="859" spans="1:8" ht="13.5" x14ac:dyDescent="0.25">
      <c r="A859" s="1"/>
      <c r="B859" s="3">
        <v>45775</v>
      </c>
      <c r="C859" s="4">
        <v>13.29</v>
      </c>
      <c r="D859" s="4">
        <v>12.402200000000001</v>
      </c>
      <c r="E859" s="4">
        <v>11880</v>
      </c>
      <c r="F859" s="4">
        <v>13.289</v>
      </c>
      <c r="G859" s="4">
        <v>157873.32</v>
      </c>
      <c r="H859" s="5">
        <f t="shared" si="13"/>
        <v>0</v>
      </c>
    </row>
    <row r="860" spans="1:8" ht="13.5" x14ac:dyDescent="0.25">
      <c r="A860" s="1"/>
      <c r="B860" s="3">
        <v>45776</v>
      </c>
      <c r="C860" s="4">
        <v>13.25</v>
      </c>
      <c r="D860" s="4">
        <v>12.3649</v>
      </c>
      <c r="E860" s="4">
        <v>463</v>
      </c>
      <c r="F860" s="4">
        <v>13.191000000000001</v>
      </c>
      <c r="G860" s="4">
        <v>6107.433</v>
      </c>
      <c r="H860" s="5">
        <f t="shared" si="13"/>
        <v>-3.0075309219332142E-3</v>
      </c>
    </row>
    <row r="861" spans="1:8" ht="13.5" x14ac:dyDescent="0.25">
      <c r="A861" s="1"/>
      <c r="B861" s="3">
        <v>45777</v>
      </c>
      <c r="C861" s="4">
        <v>13.24</v>
      </c>
      <c r="D861" s="4">
        <v>12.355600000000001</v>
      </c>
      <c r="E861" s="4">
        <v>444</v>
      </c>
      <c r="F861" s="4">
        <v>13.162000000000001</v>
      </c>
      <c r="G861" s="4">
        <v>5843.9279999999999</v>
      </c>
      <c r="H861" s="5">
        <f t="shared" si="13"/>
        <v>-7.5212901034376679E-4</v>
      </c>
    </row>
    <row r="862" spans="1:8" ht="13.5" x14ac:dyDescent="0.25">
      <c r="A862" s="1"/>
      <c r="B862" s="3">
        <v>45779</v>
      </c>
      <c r="C862" s="4">
        <v>13.48</v>
      </c>
      <c r="D862" s="4">
        <v>12.579499999999999</v>
      </c>
      <c r="E862" s="4">
        <v>4215</v>
      </c>
      <c r="F862" s="4">
        <v>13.244</v>
      </c>
      <c r="G862" s="4">
        <v>55823.46</v>
      </c>
      <c r="H862" s="5">
        <f t="shared" si="13"/>
        <v>1.812133769302977E-2</v>
      </c>
    </row>
    <row r="863" spans="1:8" ht="13.5" x14ac:dyDescent="0.25">
      <c r="A863" s="1"/>
      <c r="B863" s="3">
        <v>45782</v>
      </c>
      <c r="C863" s="4">
        <v>13.44</v>
      </c>
      <c r="D863" s="4">
        <v>12.542199999999999</v>
      </c>
      <c r="E863" s="4">
        <v>257</v>
      </c>
      <c r="F863" s="4">
        <v>13.43</v>
      </c>
      <c r="G863" s="4">
        <v>3451.51</v>
      </c>
      <c r="H863" s="5">
        <f t="shared" si="13"/>
        <v>-2.9651416987956686E-3</v>
      </c>
    </row>
    <row r="864" spans="1:8" ht="13.5" x14ac:dyDescent="0.25">
      <c r="A864" s="1"/>
      <c r="B864" s="3">
        <v>45783</v>
      </c>
      <c r="C864" s="4">
        <v>13.37</v>
      </c>
      <c r="D864" s="4">
        <v>12.476900000000001</v>
      </c>
      <c r="E864" s="4">
        <v>1238</v>
      </c>
      <c r="F864" s="4">
        <v>13.272</v>
      </c>
      <c r="G864" s="4">
        <v>16430.736000000001</v>
      </c>
      <c r="H864" s="5">
        <f t="shared" si="13"/>
        <v>-5.2064231155617684E-3</v>
      </c>
    </row>
    <row r="865" spans="1:8" ht="13.5" x14ac:dyDescent="0.25">
      <c r="A865" s="1"/>
      <c r="B865" s="3">
        <v>45784</v>
      </c>
      <c r="C865" s="4">
        <v>13.34</v>
      </c>
      <c r="D865" s="4">
        <v>12.4489</v>
      </c>
      <c r="E865" s="4">
        <v>988</v>
      </c>
      <c r="F865" s="4">
        <v>13.157</v>
      </c>
      <c r="G865" s="4">
        <v>12999.116</v>
      </c>
      <c r="H865" s="5">
        <f t="shared" si="13"/>
        <v>-2.244147183996062E-3</v>
      </c>
    </row>
    <row r="866" spans="1:8" ht="13.5" x14ac:dyDescent="0.25">
      <c r="A866" s="1"/>
      <c r="B866" s="3">
        <v>45785</v>
      </c>
      <c r="C866" s="4">
        <v>13.34</v>
      </c>
      <c r="D866" s="4">
        <v>12.4489</v>
      </c>
      <c r="E866" s="4">
        <v>2545</v>
      </c>
      <c r="F866" s="4">
        <v>13.172000000000001</v>
      </c>
      <c r="G866" s="4">
        <v>33522.74</v>
      </c>
      <c r="H866" s="5">
        <f t="shared" si="13"/>
        <v>0</v>
      </c>
    </row>
    <row r="867" spans="1:8" ht="13.5" x14ac:dyDescent="0.25">
      <c r="A867" s="1"/>
      <c r="B867" s="3">
        <v>45786</v>
      </c>
      <c r="C867" s="4">
        <v>13.34</v>
      </c>
      <c r="D867" s="4">
        <v>12.4489</v>
      </c>
      <c r="E867" s="4">
        <v>4140</v>
      </c>
      <c r="F867" s="4">
        <v>13.335000000000001</v>
      </c>
      <c r="G867" s="4">
        <v>55206.9</v>
      </c>
      <c r="H867" s="5">
        <f t="shared" si="13"/>
        <v>0</v>
      </c>
    </row>
    <row r="868" spans="1:8" ht="13.5" x14ac:dyDescent="0.25">
      <c r="A868" s="1"/>
      <c r="B868" s="3">
        <v>45789</v>
      </c>
      <c r="C868" s="4">
        <v>13.35</v>
      </c>
      <c r="D868" s="4">
        <v>12.4582</v>
      </c>
      <c r="E868" s="4">
        <v>324</v>
      </c>
      <c r="F868" s="4">
        <v>13.29</v>
      </c>
      <c r="G868" s="4">
        <v>4305.96</v>
      </c>
      <c r="H868" s="5">
        <f t="shared" si="13"/>
        <v>7.4705395657444771E-4</v>
      </c>
    </row>
    <row r="869" spans="1:8" ht="13.5" x14ac:dyDescent="0.25">
      <c r="A869" s="1"/>
      <c r="B869" s="3">
        <v>45790</v>
      </c>
      <c r="C869" s="4">
        <v>13.32</v>
      </c>
      <c r="D869" s="4">
        <v>12.430199999999999</v>
      </c>
      <c r="E869" s="4">
        <v>1530</v>
      </c>
      <c r="F869" s="4">
        <v>13.103999999999999</v>
      </c>
      <c r="G869" s="4">
        <v>20049.12</v>
      </c>
      <c r="H869" s="5">
        <f t="shared" si="13"/>
        <v>-2.247515692475676E-3</v>
      </c>
    </row>
    <row r="870" spans="1:8" ht="13.5" x14ac:dyDescent="0.25">
      <c r="A870" s="1"/>
      <c r="B870" s="3">
        <v>45791</v>
      </c>
      <c r="C870" s="4">
        <v>13.32</v>
      </c>
      <c r="D870" s="4">
        <v>12.430199999999999</v>
      </c>
      <c r="E870" s="4">
        <v>1255</v>
      </c>
      <c r="F870" s="4">
        <v>13.157</v>
      </c>
      <c r="G870" s="4">
        <v>16512.035</v>
      </c>
      <c r="H870" s="5">
        <f t="shared" si="13"/>
        <v>0</v>
      </c>
    </row>
    <row r="871" spans="1:8" ht="13.5" x14ac:dyDescent="0.25">
      <c r="A871" s="1"/>
      <c r="B871" s="3">
        <v>45792</v>
      </c>
      <c r="C871" s="4">
        <v>13.3</v>
      </c>
      <c r="D871" s="4">
        <v>12.4116</v>
      </c>
      <c r="E871" s="4">
        <v>11152</v>
      </c>
      <c r="F871" s="4">
        <v>13.132</v>
      </c>
      <c r="G871" s="4">
        <v>146448.06400000001</v>
      </c>
      <c r="H871" s="5">
        <f t="shared" si="13"/>
        <v>-1.4963556499492596E-3</v>
      </c>
    </row>
    <row r="872" spans="1:8" ht="13.5" x14ac:dyDescent="0.25">
      <c r="A872" s="1"/>
      <c r="B872" s="3">
        <v>45793</v>
      </c>
      <c r="C872" s="4">
        <v>13.07</v>
      </c>
      <c r="D872" s="4">
        <v>12.196899999999999</v>
      </c>
      <c r="E872" s="4">
        <v>501</v>
      </c>
      <c r="F872" s="4">
        <v>13.188000000000001</v>
      </c>
      <c r="G872" s="4">
        <v>6607.1880000000001</v>
      </c>
      <c r="H872" s="5">
        <f t="shared" si="13"/>
        <v>-1.7298333816752116E-2</v>
      </c>
    </row>
    <row r="873" spans="1:8" ht="13.5" x14ac:dyDescent="0.25">
      <c r="A873" s="1"/>
      <c r="B873" s="3">
        <v>45796</v>
      </c>
      <c r="C873" s="4">
        <v>13.2</v>
      </c>
      <c r="D873" s="4">
        <v>12.318199999999999</v>
      </c>
      <c r="E873" s="4">
        <v>519</v>
      </c>
      <c r="F873" s="4">
        <v>13.131</v>
      </c>
      <c r="G873" s="4">
        <v>6814.9889999999996</v>
      </c>
      <c r="H873" s="5">
        <f t="shared" si="13"/>
        <v>9.9451499971303977E-3</v>
      </c>
    </row>
    <row r="874" spans="1:8" ht="13.5" x14ac:dyDescent="0.25">
      <c r="A874" s="1"/>
      <c r="B874" s="3">
        <v>45797</v>
      </c>
      <c r="C874" s="4">
        <v>13.2</v>
      </c>
      <c r="D874" s="4">
        <v>12.318199999999999</v>
      </c>
      <c r="E874" s="4">
        <v>261</v>
      </c>
      <c r="F874" s="4">
        <v>13.122</v>
      </c>
      <c r="G874" s="4">
        <v>3424.8420000000001</v>
      </c>
      <c r="H874" s="5">
        <f t="shared" si="13"/>
        <v>0</v>
      </c>
    </row>
    <row r="875" spans="1:8" ht="13.5" x14ac:dyDescent="0.25">
      <c r="A875" s="1"/>
      <c r="B875" s="3">
        <v>45798</v>
      </c>
      <c r="C875" s="4">
        <v>13.2</v>
      </c>
      <c r="D875" s="4">
        <v>12.318199999999999</v>
      </c>
      <c r="E875" s="4">
        <v>2817</v>
      </c>
      <c r="F875" s="4">
        <v>13.07</v>
      </c>
      <c r="G875" s="4">
        <v>36818.19</v>
      </c>
      <c r="H875" s="5">
        <f t="shared" si="13"/>
        <v>0</v>
      </c>
    </row>
    <row r="876" spans="1:8" ht="13.5" x14ac:dyDescent="0.25">
      <c r="A876" s="1"/>
      <c r="B876" s="3">
        <v>45799</v>
      </c>
      <c r="C876" s="4">
        <v>13.28</v>
      </c>
      <c r="D876" s="4">
        <v>12.392899999999999</v>
      </c>
      <c r="E876" s="4">
        <v>4220</v>
      </c>
      <c r="F876" s="4">
        <v>13.114000000000001</v>
      </c>
      <c r="G876" s="4">
        <v>55341.08</v>
      </c>
      <c r="H876" s="5">
        <f t="shared" si="13"/>
        <v>6.0641976912211197E-3</v>
      </c>
    </row>
    <row r="877" spans="1:8" ht="13.5" x14ac:dyDescent="0.25">
      <c r="A877" s="1"/>
      <c r="B877" s="3">
        <v>45800</v>
      </c>
      <c r="C877" s="4">
        <v>13.37</v>
      </c>
      <c r="D877" s="4">
        <v>12.476900000000001</v>
      </c>
      <c r="E877" s="4">
        <v>2020</v>
      </c>
      <c r="F877" s="4">
        <v>13.343</v>
      </c>
      <c r="G877" s="4">
        <v>26952.86</v>
      </c>
      <c r="H877" s="5">
        <f t="shared" si="13"/>
        <v>6.7780745426818112E-3</v>
      </c>
    </row>
    <row r="878" spans="1:8" ht="13.5" x14ac:dyDescent="0.25">
      <c r="A878" s="1"/>
      <c r="B878" s="3">
        <v>45803</v>
      </c>
      <c r="C878" s="4">
        <v>13.35</v>
      </c>
      <c r="D878" s="4">
        <v>12.4582</v>
      </c>
      <c r="E878" s="4">
        <v>1754</v>
      </c>
      <c r="F878" s="4">
        <v>13.128</v>
      </c>
      <c r="G878" s="4">
        <v>23026.511999999999</v>
      </c>
      <c r="H878" s="5">
        <f t="shared" si="13"/>
        <v>-1.4987697264545541E-3</v>
      </c>
    </row>
    <row r="879" spans="1:8" ht="13.5" x14ac:dyDescent="0.25">
      <c r="A879" s="1"/>
      <c r="B879" s="3">
        <v>45804</v>
      </c>
      <c r="C879" s="4">
        <v>13.44</v>
      </c>
      <c r="D879" s="4">
        <v>12.542199999999999</v>
      </c>
      <c r="E879" s="4">
        <v>1551</v>
      </c>
      <c r="F879" s="4">
        <v>13.327</v>
      </c>
      <c r="G879" s="4">
        <v>20670.177</v>
      </c>
      <c r="H879" s="5">
        <f t="shared" si="13"/>
        <v>6.7425470774268859E-3</v>
      </c>
    </row>
    <row r="880" spans="1:8" ht="13.5" x14ac:dyDescent="0.25">
      <c r="A880" s="1"/>
      <c r="B880" s="3">
        <v>45805</v>
      </c>
      <c r="C880" s="4">
        <v>13.4</v>
      </c>
      <c r="D880" s="4">
        <v>12.504899999999999</v>
      </c>
      <c r="E880" s="4">
        <v>18</v>
      </c>
      <c r="F880" s="4">
        <v>13.4</v>
      </c>
      <c r="G880" s="4">
        <v>241.2</v>
      </c>
      <c r="H880" s="5">
        <f t="shared" si="13"/>
        <v>-2.9739599113393273E-3</v>
      </c>
    </row>
    <row r="881" spans="1:8" ht="13.5" x14ac:dyDescent="0.25">
      <c r="A881" s="1"/>
      <c r="B881" s="3">
        <v>45806</v>
      </c>
      <c r="C881" s="4">
        <v>13.34</v>
      </c>
      <c r="D881" s="4">
        <v>12.4489</v>
      </c>
      <c r="E881" s="4">
        <v>1733</v>
      </c>
      <c r="F881" s="4">
        <v>13.122999999999999</v>
      </c>
      <c r="G881" s="4">
        <v>22742.159</v>
      </c>
      <c r="H881" s="5">
        <f t="shared" si="13"/>
        <v>-4.4782445281449004E-3</v>
      </c>
    </row>
    <row r="882" spans="1:8" ht="13.5" x14ac:dyDescent="0.25">
      <c r="A882" s="1"/>
      <c r="B882" s="3">
        <v>45807</v>
      </c>
      <c r="C882" s="4">
        <v>13.09</v>
      </c>
      <c r="D882" s="4">
        <v>12.2156</v>
      </c>
      <c r="E882" s="4">
        <v>8513</v>
      </c>
      <c r="F882" s="4">
        <v>13.21</v>
      </c>
      <c r="G882" s="4">
        <v>112456.73</v>
      </c>
      <c r="H882" s="5">
        <f t="shared" si="13"/>
        <v>-1.8740611620303788E-2</v>
      </c>
    </row>
    <row r="883" spans="1:8" ht="13.5" x14ac:dyDescent="0.25">
      <c r="A883" s="1"/>
      <c r="B883" s="3">
        <v>45810</v>
      </c>
      <c r="C883" s="4">
        <v>13.3</v>
      </c>
      <c r="D883" s="4">
        <v>12.4116</v>
      </c>
      <c r="E883" s="4">
        <v>372</v>
      </c>
      <c r="F883" s="4">
        <v>13.287000000000001</v>
      </c>
      <c r="G883" s="4">
        <v>4942.7640000000001</v>
      </c>
      <c r="H883" s="5">
        <f t="shared" si="13"/>
        <v>1.6045057140050403E-2</v>
      </c>
    </row>
    <row r="884" spans="1:8" ht="13.5" x14ac:dyDescent="0.25">
      <c r="A884" s="1"/>
      <c r="B884" s="3">
        <v>45811</v>
      </c>
      <c r="C884" s="4">
        <v>13.3</v>
      </c>
      <c r="D884" s="4">
        <v>12.4116</v>
      </c>
      <c r="E884" s="4">
        <v>354</v>
      </c>
      <c r="F884" s="4">
        <v>13.111000000000001</v>
      </c>
      <c r="G884" s="4">
        <v>4641.2939999999999</v>
      </c>
      <c r="H884" s="5">
        <f t="shared" si="13"/>
        <v>0</v>
      </c>
    </row>
    <row r="885" spans="1:8" ht="13.5" x14ac:dyDescent="0.25">
      <c r="A885" s="1"/>
      <c r="B885" s="3">
        <v>45812</v>
      </c>
      <c r="C885" s="4">
        <v>13.29</v>
      </c>
      <c r="D885" s="4">
        <v>12.402200000000001</v>
      </c>
      <c r="E885" s="4">
        <v>589</v>
      </c>
      <c r="F885" s="4">
        <v>13.237</v>
      </c>
      <c r="G885" s="4">
        <v>7796.5929999999998</v>
      </c>
      <c r="H885" s="5">
        <f t="shared" si="13"/>
        <v>-7.5735602178602344E-4</v>
      </c>
    </row>
    <row r="886" spans="1:8" ht="13.5" x14ac:dyDescent="0.25">
      <c r="A886" s="1"/>
      <c r="B886" s="3">
        <v>45813</v>
      </c>
      <c r="C886" s="4">
        <v>13.57</v>
      </c>
      <c r="D886" s="4">
        <v>12.663500000000001</v>
      </c>
      <c r="E886" s="4">
        <v>8436</v>
      </c>
      <c r="F886" s="4">
        <v>13.468999999999999</v>
      </c>
      <c r="G886" s="4">
        <v>113624.484</v>
      </c>
      <c r="H886" s="5">
        <f t="shared" si="13"/>
        <v>2.1068842624695643E-2</v>
      </c>
    </row>
    <row r="887" spans="1:8" ht="13.5" x14ac:dyDescent="0.25">
      <c r="A887" s="1"/>
      <c r="B887" s="3">
        <v>45817</v>
      </c>
      <c r="C887" s="4">
        <v>13.59</v>
      </c>
      <c r="D887" s="4">
        <v>12.6822</v>
      </c>
      <c r="E887" s="4">
        <v>2070</v>
      </c>
      <c r="F887" s="4">
        <v>13.564</v>
      </c>
      <c r="G887" s="4">
        <v>28077.48</v>
      </c>
      <c r="H887" s="5">
        <f t="shared" si="13"/>
        <v>1.4766849607137876E-3</v>
      </c>
    </row>
    <row r="888" spans="1:8" ht="13.5" x14ac:dyDescent="0.25">
      <c r="A888" s="1"/>
      <c r="B888" s="3">
        <v>45818</v>
      </c>
      <c r="C888" s="4">
        <v>13.6</v>
      </c>
      <c r="D888" s="4">
        <v>12.6915</v>
      </c>
      <c r="E888" s="4">
        <v>4891</v>
      </c>
      <c r="F888" s="4">
        <v>13.622</v>
      </c>
      <c r="G888" s="4">
        <v>66625.202000000005</v>
      </c>
      <c r="H888" s="5">
        <f t="shared" si="13"/>
        <v>7.3331125514497812E-4</v>
      </c>
    </row>
    <row r="889" spans="1:8" ht="13.5" x14ac:dyDescent="0.25">
      <c r="A889" s="1"/>
      <c r="B889" s="3">
        <v>45819</v>
      </c>
      <c r="C889" s="4">
        <v>13.6</v>
      </c>
      <c r="D889" s="4">
        <v>12.6915</v>
      </c>
      <c r="E889" s="4">
        <v>9272</v>
      </c>
      <c r="F889" s="4">
        <v>13.52</v>
      </c>
      <c r="G889" s="4">
        <v>125357.44</v>
      </c>
      <c r="H889" s="5">
        <f t="shared" si="13"/>
        <v>0</v>
      </c>
    </row>
    <row r="890" spans="1:8" ht="13.5" x14ac:dyDescent="0.25">
      <c r="A890" s="1"/>
      <c r="B890" s="3">
        <v>45820</v>
      </c>
      <c r="C890" s="4">
        <v>13.57</v>
      </c>
      <c r="D890" s="4">
        <v>12.663500000000001</v>
      </c>
      <c r="E890" s="4">
        <v>201</v>
      </c>
      <c r="F890" s="4">
        <v>13.401</v>
      </c>
      <c r="G890" s="4">
        <v>2693.6010000000001</v>
      </c>
      <c r="H890" s="5">
        <f t="shared" si="13"/>
        <v>-2.2062010006696367E-3</v>
      </c>
    </row>
    <row r="891" spans="1:8" ht="13.5" x14ac:dyDescent="0.25">
      <c r="A891" s="1"/>
      <c r="B891" s="3">
        <v>45821</v>
      </c>
      <c r="C891" s="4">
        <v>13.54</v>
      </c>
      <c r="D891" s="4">
        <v>12.6355</v>
      </c>
      <c r="E891" s="4">
        <v>791</v>
      </c>
      <c r="F891" s="4">
        <v>13.301</v>
      </c>
      <c r="G891" s="4">
        <v>10521.091</v>
      </c>
      <c r="H891" s="5">
        <f t="shared" si="13"/>
        <v>-2.2110790855609007E-3</v>
      </c>
    </row>
    <row r="892" spans="1:8" ht="13.5" x14ac:dyDescent="0.25">
      <c r="A892" s="1"/>
      <c r="B892" s="3">
        <v>45824</v>
      </c>
      <c r="C892" s="4">
        <v>13.54</v>
      </c>
      <c r="D892" s="4">
        <v>12.6355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45825</v>
      </c>
      <c r="C893" s="4">
        <v>13.48</v>
      </c>
      <c r="D893" s="4">
        <v>12.579499999999999</v>
      </c>
      <c r="E893" s="4">
        <v>660</v>
      </c>
      <c r="F893" s="4">
        <v>13.263999999999999</v>
      </c>
      <c r="G893" s="4">
        <v>8754.24</v>
      </c>
      <c r="H893" s="5">
        <f t="shared" si="13"/>
        <v>-4.4319575798346675E-3</v>
      </c>
    </row>
    <row r="894" spans="1:8" ht="13.5" x14ac:dyDescent="0.25">
      <c r="A894" s="1"/>
      <c r="B894" s="3">
        <v>45826</v>
      </c>
      <c r="C894" s="4">
        <v>13.45</v>
      </c>
      <c r="D894" s="4">
        <v>12.551500000000001</v>
      </c>
      <c r="E894" s="4">
        <v>359</v>
      </c>
      <c r="F894" s="4">
        <v>13.253</v>
      </c>
      <c r="G894" s="4">
        <v>4757.8270000000002</v>
      </c>
      <c r="H894" s="5">
        <f t="shared" si="13"/>
        <v>-2.2258436344845737E-3</v>
      </c>
    </row>
    <row r="895" spans="1:8" ht="13.5" x14ac:dyDescent="0.25">
      <c r="A895" s="1"/>
      <c r="B895" s="3">
        <v>45827</v>
      </c>
      <c r="C895" s="4">
        <v>12.19</v>
      </c>
      <c r="D895" s="4">
        <v>12.19</v>
      </c>
      <c r="E895" s="4">
        <v>525</v>
      </c>
      <c r="F895" s="4">
        <v>12.247</v>
      </c>
      <c r="G895" s="4">
        <v>6429.6750000000002</v>
      </c>
      <c r="H895" s="5">
        <f t="shared" si="13"/>
        <v>-2.8801338485440087E-2</v>
      </c>
    </row>
    <row r="896" spans="1:8" ht="13.5" x14ac:dyDescent="0.25">
      <c r="A896" s="1"/>
      <c r="B896" s="3">
        <v>45828</v>
      </c>
      <c r="C896" s="4">
        <v>12.5</v>
      </c>
      <c r="D896" s="4">
        <v>12.5</v>
      </c>
      <c r="E896" s="4">
        <v>7736</v>
      </c>
      <c r="F896" s="4">
        <v>12.372999999999999</v>
      </c>
      <c r="G896" s="4">
        <v>95717.528000000006</v>
      </c>
      <c r="H896" s="5">
        <f t="shared" si="13"/>
        <v>2.543068088597215E-2</v>
      </c>
    </row>
    <row r="897" spans="1:8" ht="13.5" x14ac:dyDescent="0.25">
      <c r="A897" s="1"/>
      <c r="B897" s="3">
        <v>45831</v>
      </c>
      <c r="C897" s="4">
        <v>12.5</v>
      </c>
      <c r="D897" s="4">
        <v>12.5</v>
      </c>
      <c r="E897" s="4">
        <v>3620</v>
      </c>
      <c r="F897" s="4">
        <v>12.311999999999999</v>
      </c>
      <c r="G897" s="4">
        <v>44569.440000000002</v>
      </c>
      <c r="H897" s="5">
        <f t="shared" si="13"/>
        <v>0</v>
      </c>
    </row>
    <row r="898" spans="1:8" ht="13.5" x14ac:dyDescent="0.25">
      <c r="A898" s="1"/>
      <c r="B898" s="3">
        <v>45832</v>
      </c>
      <c r="C898" s="4">
        <v>12.5</v>
      </c>
      <c r="D898" s="4">
        <v>12.5</v>
      </c>
      <c r="E898" s="4">
        <v>779</v>
      </c>
      <c r="F898" s="4">
        <v>12.492000000000001</v>
      </c>
      <c r="G898" s="4">
        <v>9731.268</v>
      </c>
      <c r="H898" s="5">
        <f t="shared" si="13"/>
        <v>0</v>
      </c>
    </row>
    <row r="899" spans="1:8" ht="13.5" x14ac:dyDescent="0.25">
      <c r="A899" s="1"/>
      <c r="B899" s="3">
        <v>45833</v>
      </c>
      <c r="C899" s="4">
        <v>12.5</v>
      </c>
      <c r="D899" s="4">
        <v>12.5</v>
      </c>
      <c r="E899" s="4">
        <v>5</v>
      </c>
      <c r="F899" s="4">
        <v>12.5</v>
      </c>
      <c r="G899" s="4">
        <v>62.5</v>
      </c>
      <c r="H899" s="5">
        <f t="shared" si="13"/>
        <v>0</v>
      </c>
    </row>
    <row r="900" spans="1:8" ht="13.5" x14ac:dyDescent="0.25">
      <c r="A900" s="1"/>
      <c r="B900" s="3">
        <v>45835</v>
      </c>
      <c r="C900" s="4">
        <v>12.5</v>
      </c>
      <c r="D900" s="4">
        <v>12.5</v>
      </c>
      <c r="E900" s="4">
        <v>24975</v>
      </c>
      <c r="F900" s="4">
        <v>12.481999999999999</v>
      </c>
      <c r="G900" s="4">
        <v>311737.95</v>
      </c>
      <c r="H900" s="5">
        <f t="shared" si="13"/>
        <v>0</v>
      </c>
    </row>
    <row r="901" spans="1:8" ht="13.5" x14ac:dyDescent="0.25">
      <c r="A901" s="1"/>
      <c r="B901" s="3">
        <v>45838</v>
      </c>
      <c r="C901" s="4">
        <v>12.36</v>
      </c>
      <c r="D901" s="4">
        <v>12.36</v>
      </c>
      <c r="E901" s="4">
        <v>1413</v>
      </c>
      <c r="F901" s="4">
        <v>12.427</v>
      </c>
      <c r="G901" s="4">
        <v>17559.350999999999</v>
      </c>
      <c r="H901" s="5">
        <f t="shared" si="13"/>
        <v>-1.1200000000000045E-2</v>
      </c>
    </row>
    <row r="902" spans="1:8" ht="13.5" x14ac:dyDescent="0.25">
      <c r="A902" s="1"/>
      <c r="B902" s="3">
        <v>45839</v>
      </c>
      <c r="C902" s="4">
        <v>12.3</v>
      </c>
      <c r="D902" s="4">
        <v>12.3</v>
      </c>
      <c r="E902" s="4">
        <v>925</v>
      </c>
      <c r="F902" s="4">
        <v>12.307</v>
      </c>
      <c r="G902" s="4">
        <v>11383.975</v>
      </c>
      <c r="H902" s="5">
        <f t="shared" si="13"/>
        <v>-4.8543689320387313E-3</v>
      </c>
    </row>
    <row r="903" spans="1:8" ht="13.5" x14ac:dyDescent="0.25">
      <c r="A903" s="1"/>
      <c r="B903" s="3">
        <v>45840</v>
      </c>
      <c r="C903" s="4">
        <v>12.5</v>
      </c>
      <c r="D903" s="4">
        <v>12.5</v>
      </c>
      <c r="E903" s="4">
        <v>27893</v>
      </c>
      <c r="F903" s="4">
        <v>12.505000000000001</v>
      </c>
      <c r="G903" s="4">
        <v>348801.96500000003</v>
      </c>
      <c r="H903" s="5">
        <f t="shared" ref="H903:H966" si="14">(D903-D902)/D902</f>
        <v>1.6260162601625959E-2</v>
      </c>
    </row>
    <row r="904" spans="1:8" ht="13.5" x14ac:dyDescent="0.25">
      <c r="A904" s="1"/>
      <c r="B904" s="3">
        <v>45841</v>
      </c>
      <c r="C904" s="4">
        <v>13.1</v>
      </c>
      <c r="D904" s="4">
        <v>13.1</v>
      </c>
      <c r="E904" s="4">
        <v>8221</v>
      </c>
      <c r="F904" s="4">
        <v>12.625999999999999</v>
      </c>
      <c r="G904" s="4">
        <v>103798.34600000001</v>
      </c>
      <c r="H904" s="5">
        <f t="shared" si="14"/>
        <v>4.7999999999999973E-2</v>
      </c>
    </row>
    <row r="905" spans="1:8" ht="13.5" x14ac:dyDescent="0.25">
      <c r="A905" s="1"/>
      <c r="B905" s="3">
        <v>45842</v>
      </c>
      <c r="C905" s="4">
        <v>13.47</v>
      </c>
      <c r="D905" s="4">
        <v>13.47</v>
      </c>
      <c r="E905" s="4">
        <v>29835</v>
      </c>
      <c r="F905" s="4">
        <v>13.259</v>
      </c>
      <c r="G905" s="4">
        <v>395582.26500000001</v>
      </c>
      <c r="H905" s="5">
        <f t="shared" si="14"/>
        <v>2.8244274809160381E-2</v>
      </c>
    </row>
    <row r="906" spans="1:8" ht="13.5" x14ac:dyDescent="0.25">
      <c r="A906" s="1"/>
      <c r="B906" s="3">
        <v>45845</v>
      </c>
      <c r="C906" s="4">
        <v>14.1</v>
      </c>
      <c r="D906" s="4">
        <v>14.1</v>
      </c>
      <c r="E906" s="4">
        <v>23515</v>
      </c>
      <c r="F906" s="4">
        <v>13.792</v>
      </c>
      <c r="G906" s="4">
        <v>324318.88</v>
      </c>
      <c r="H906" s="5">
        <f t="shared" si="14"/>
        <v>4.6770601336302821E-2</v>
      </c>
    </row>
    <row r="907" spans="1:8" ht="13.5" x14ac:dyDescent="0.25">
      <c r="A907" s="1"/>
      <c r="B907" s="3">
        <v>45846</v>
      </c>
      <c r="C907" s="4">
        <v>14.19</v>
      </c>
      <c r="D907" s="4">
        <v>14.19</v>
      </c>
      <c r="E907" s="4">
        <v>11505</v>
      </c>
      <c r="F907" s="4">
        <v>14.212</v>
      </c>
      <c r="G907" s="4">
        <v>163509.06</v>
      </c>
      <c r="H907" s="5">
        <f t="shared" si="14"/>
        <v>6.3829787234042454E-3</v>
      </c>
    </row>
    <row r="908" spans="1:8" ht="13.5" x14ac:dyDescent="0.25">
      <c r="A908" s="1"/>
      <c r="B908" s="3">
        <v>45847</v>
      </c>
      <c r="C908" s="4">
        <v>14.18</v>
      </c>
      <c r="D908" s="4">
        <v>14.18</v>
      </c>
      <c r="E908" s="4">
        <v>10600</v>
      </c>
      <c r="F908" s="4">
        <v>14.121</v>
      </c>
      <c r="G908" s="4">
        <v>149682.6</v>
      </c>
      <c r="H908" s="5">
        <f t="shared" si="14"/>
        <v>-7.0472163495417805E-4</v>
      </c>
    </row>
    <row r="909" spans="1:8" ht="13.5" x14ac:dyDescent="0.25">
      <c r="A909" s="1"/>
      <c r="B909" s="3">
        <v>45848</v>
      </c>
      <c r="C909" s="4">
        <v>14.2</v>
      </c>
      <c r="D909" s="4">
        <v>14.2</v>
      </c>
      <c r="E909" s="4">
        <v>18971</v>
      </c>
      <c r="F909" s="4">
        <v>14.194000000000001</v>
      </c>
      <c r="G909" s="4">
        <v>269274.37400000001</v>
      </c>
      <c r="H909" s="5">
        <f t="shared" si="14"/>
        <v>1.4104372355429884E-3</v>
      </c>
    </row>
    <row r="910" spans="1:8" ht="13.5" x14ac:dyDescent="0.25">
      <c r="A910" s="1"/>
      <c r="B910" s="3">
        <v>45849</v>
      </c>
      <c r="C910" s="4">
        <v>14.2</v>
      </c>
      <c r="D910" s="4">
        <v>14.2</v>
      </c>
      <c r="E910" s="4">
        <v>14663</v>
      </c>
      <c r="F910" s="4">
        <v>14.204000000000001</v>
      </c>
      <c r="G910" s="4">
        <v>208273.25200000001</v>
      </c>
      <c r="H910" s="5">
        <f t="shared" si="14"/>
        <v>0</v>
      </c>
    </row>
    <row r="911" spans="1:8" ht="13.5" x14ac:dyDescent="0.25">
      <c r="A911" s="1"/>
      <c r="B911" s="3">
        <v>45852</v>
      </c>
      <c r="C911" s="4">
        <v>14.33</v>
      </c>
      <c r="D911" s="4">
        <v>14.33</v>
      </c>
      <c r="E911" s="4">
        <v>18540</v>
      </c>
      <c r="F911" s="4">
        <v>14.303000000000001</v>
      </c>
      <c r="G911" s="4">
        <v>265177.62</v>
      </c>
      <c r="H911" s="5">
        <f t="shared" si="14"/>
        <v>9.1549295774648442E-3</v>
      </c>
    </row>
    <row r="912" spans="1:8" ht="13.5" x14ac:dyDescent="0.25">
      <c r="A912" s="1"/>
      <c r="B912" s="3">
        <v>45853</v>
      </c>
      <c r="C912" s="4">
        <v>14.59</v>
      </c>
      <c r="D912" s="4">
        <v>14.59</v>
      </c>
      <c r="E912" s="4">
        <v>16691</v>
      </c>
      <c r="F912" s="4">
        <v>14.414999999999999</v>
      </c>
      <c r="G912" s="4">
        <v>240600.76500000001</v>
      </c>
      <c r="H912" s="5">
        <f t="shared" si="14"/>
        <v>1.81437543614794E-2</v>
      </c>
    </row>
    <row r="913" spans="1:8" ht="13.5" x14ac:dyDescent="0.25">
      <c r="A913" s="1"/>
      <c r="B913" s="3">
        <v>45854</v>
      </c>
      <c r="C913" s="4">
        <v>14.79</v>
      </c>
      <c r="D913" s="4">
        <v>14.79</v>
      </c>
      <c r="E913" s="4">
        <v>9208</v>
      </c>
      <c r="F913" s="4">
        <v>14.663</v>
      </c>
      <c r="G913" s="4">
        <v>135016.90400000001</v>
      </c>
      <c r="H913" s="5">
        <f t="shared" si="14"/>
        <v>1.3708019191226819E-2</v>
      </c>
    </row>
    <row r="914" spans="1:8" ht="13.5" x14ac:dyDescent="0.25">
      <c r="A914" s="1"/>
      <c r="B914" s="3">
        <v>45855</v>
      </c>
      <c r="C914" s="4">
        <v>14.8</v>
      </c>
      <c r="D914" s="4">
        <v>14.8</v>
      </c>
      <c r="E914" s="4">
        <v>13648</v>
      </c>
      <c r="F914" s="4">
        <v>14.824999999999999</v>
      </c>
      <c r="G914" s="4">
        <v>202331.6</v>
      </c>
      <c r="H914" s="5">
        <f t="shared" si="14"/>
        <v>6.7613252197441266E-4</v>
      </c>
    </row>
    <row r="915" spans="1:8" ht="13.5" x14ac:dyDescent="0.25">
      <c r="A915" s="1"/>
      <c r="B915" s="3">
        <v>45856</v>
      </c>
      <c r="C915" s="4">
        <v>15</v>
      </c>
      <c r="D915" s="4">
        <v>15</v>
      </c>
      <c r="E915" s="4">
        <v>48574</v>
      </c>
      <c r="F915" s="4">
        <v>14.911</v>
      </c>
      <c r="G915" s="4">
        <v>724286.91399999999</v>
      </c>
      <c r="H915" s="5">
        <f t="shared" si="14"/>
        <v>1.3513513513513466E-2</v>
      </c>
    </row>
    <row r="916" spans="1:8" ht="13.5" x14ac:dyDescent="0.25">
      <c r="A916" s="1"/>
      <c r="B916" s="3">
        <v>45859</v>
      </c>
      <c r="C916" s="4">
        <v>15.44</v>
      </c>
      <c r="D916" s="4">
        <v>15.44</v>
      </c>
      <c r="E916" s="4">
        <v>54009</v>
      </c>
      <c r="F916" s="4">
        <v>15.186999999999999</v>
      </c>
      <c r="G916" s="4">
        <v>820234.68299999996</v>
      </c>
      <c r="H916" s="5">
        <f t="shared" si="14"/>
        <v>2.9333333333333302E-2</v>
      </c>
    </row>
    <row r="917" spans="1:8" ht="13.5" x14ac:dyDescent="0.25">
      <c r="A917" s="1"/>
      <c r="B917" s="3">
        <v>45860</v>
      </c>
      <c r="C917" s="4">
        <v>15.2</v>
      </c>
      <c r="D917" s="4">
        <v>15.2</v>
      </c>
      <c r="E917" s="4">
        <v>7726</v>
      </c>
      <c r="F917" s="4">
        <v>15.205</v>
      </c>
      <c r="G917" s="4">
        <v>117473.83</v>
      </c>
      <c r="H917" s="5">
        <f t="shared" si="14"/>
        <v>-1.5544041450777216E-2</v>
      </c>
    </row>
    <row r="918" spans="1:8" ht="13.5" x14ac:dyDescent="0.25">
      <c r="A918" s="1"/>
      <c r="B918" s="3">
        <v>45861</v>
      </c>
      <c r="C918" s="4">
        <v>15.11</v>
      </c>
      <c r="D918" s="4">
        <v>15.11</v>
      </c>
      <c r="E918" s="4">
        <v>6318</v>
      </c>
      <c r="F918" s="4">
        <v>15.122</v>
      </c>
      <c r="G918" s="4">
        <v>95540.796000000002</v>
      </c>
      <c r="H918" s="5">
        <f t="shared" si="14"/>
        <v>-5.921052631578938E-3</v>
      </c>
    </row>
    <row r="919" spans="1:8" ht="13.5" x14ac:dyDescent="0.25">
      <c r="A919" s="1"/>
      <c r="B919" s="3">
        <v>45862</v>
      </c>
      <c r="C919" s="4">
        <v>15.44</v>
      </c>
      <c r="D919" s="4">
        <v>15.44</v>
      </c>
      <c r="E919" s="4">
        <v>41057</v>
      </c>
      <c r="F919" s="4">
        <v>15.297000000000001</v>
      </c>
      <c r="G919" s="4">
        <v>628048.929</v>
      </c>
      <c r="H919" s="5">
        <f t="shared" si="14"/>
        <v>2.1839841164791533E-2</v>
      </c>
    </row>
    <row r="920" spans="1:8" ht="13.5" x14ac:dyDescent="0.25">
      <c r="A920" s="1"/>
      <c r="B920" s="3">
        <v>45866</v>
      </c>
      <c r="C920" s="4">
        <v>15.35</v>
      </c>
      <c r="D920" s="4">
        <v>15.35</v>
      </c>
      <c r="E920" s="4">
        <v>673</v>
      </c>
      <c r="F920" s="4">
        <v>15.382999999999999</v>
      </c>
      <c r="G920" s="4">
        <v>10352.759</v>
      </c>
      <c r="H920" s="5">
        <f t="shared" si="14"/>
        <v>-5.829015544041442E-3</v>
      </c>
    </row>
    <row r="921" spans="1:8" ht="13.5" x14ac:dyDescent="0.25">
      <c r="A921" s="1"/>
      <c r="B921" s="3">
        <v>45867</v>
      </c>
      <c r="C921" s="4">
        <v>15.43</v>
      </c>
      <c r="D921" s="4">
        <v>15.43</v>
      </c>
      <c r="E921" s="4">
        <v>15487</v>
      </c>
      <c r="F921" s="4">
        <v>15.365</v>
      </c>
      <c r="G921" s="4">
        <v>237957.755</v>
      </c>
      <c r="H921" s="5">
        <f t="shared" si="14"/>
        <v>5.2117263843648254E-3</v>
      </c>
    </row>
    <row r="922" spans="1:8" ht="13.5" x14ac:dyDescent="0.25">
      <c r="A922" s="1"/>
      <c r="B922" s="3">
        <v>45868</v>
      </c>
      <c r="C922" s="4">
        <v>16</v>
      </c>
      <c r="D922" s="4">
        <v>16</v>
      </c>
      <c r="E922" s="4">
        <v>11060</v>
      </c>
      <c r="F922" s="4">
        <v>15.582000000000001</v>
      </c>
      <c r="G922" s="4">
        <v>172336.92</v>
      </c>
      <c r="H922" s="5">
        <f t="shared" si="14"/>
        <v>3.6941023979261196E-2</v>
      </c>
    </row>
    <row r="923" spans="1:8" ht="13.5" x14ac:dyDescent="0.25">
      <c r="A923" s="1"/>
      <c r="B923" s="3">
        <v>45869</v>
      </c>
      <c r="C923" s="4">
        <v>15.95</v>
      </c>
      <c r="D923" s="4">
        <v>15.95</v>
      </c>
      <c r="E923" s="4">
        <v>254</v>
      </c>
      <c r="F923" s="4">
        <v>15.602</v>
      </c>
      <c r="G923" s="4">
        <v>3962.9079999999999</v>
      </c>
      <c r="H923" s="5">
        <f t="shared" si="14"/>
        <v>-3.1250000000000444E-3</v>
      </c>
    </row>
    <row r="924" spans="1:8" ht="13.5" x14ac:dyDescent="0.25">
      <c r="A924" s="1"/>
      <c r="B924" s="3">
        <v>45870</v>
      </c>
      <c r="C924" s="4">
        <v>15.95</v>
      </c>
      <c r="D924" s="4">
        <v>15.95</v>
      </c>
      <c r="E924" s="4">
        <v>262</v>
      </c>
      <c r="F924" s="4">
        <v>15.933</v>
      </c>
      <c r="G924" s="4">
        <v>4174.4459999999999</v>
      </c>
      <c r="H924" s="5">
        <f t="shared" si="14"/>
        <v>0</v>
      </c>
    </row>
    <row r="925" spans="1:8" ht="13.5" x14ac:dyDescent="0.25">
      <c r="A925" s="1"/>
      <c r="B925" s="3">
        <v>45873</v>
      </c>
      <c r="C925" s="4">
        <v>15.7</v>
      </c>
      <c r="D925" s="4">
        <v>15.7</v>
      </c>
      <c r="E925" s="4">
        <v>3408</v>
      </c>
      <c r="F925" s="4">
        <v>15.541</v>
      </c>
      <c r="G925" s="4">
        <v>52963.728000000003</v>
      </c>
      <c r="H925" s="5">
        <f t="shared" si="14"/>
        <v>-1.5673981191222573E-2</v>
      </c>
    </row>
    <row r="926" spans="1:8" ht="13.5" x14ac:dyDescent="0.25">
      <c r="A926" s="1"/>
      <c r="B926" s="3">
        <v>45874</v>
      </c>
      <c r="C926" s="4">
        <v>15.9</v>
      </c>
      <c r="D926" s="4">
        <v>15.9</v>
      </c>
      <c r="E926" s="4">
        <v>131</v>
      </c>
      <c r="F926" s="4">
        <v>15.738</v>
      </c>
      <c r="G926" s="4">
        <v>2061.6779999999999</v>
      </c>
      <c r="H926" s="5">
        <f t="shared" si="14"/>
        <v>1.2738853503184782E-2</v>
      </c>
    </row>
    <row r="927" spans="1:8" ht="13.5" x14ac:dyDescent="0.25">
      <c r="A927" s="1"/>
      <c r="B927" s="3">
        <v>45875</v>
      </c>
      <c r="C927" s="4">
        <v>15.4</v>
      </c>
      <c r="D927" s="4">
        <v>15.4</v>
      </c>
      <c r="E927" s="4">
        <v>608</v>
      </c>
      <c r="F927" s="4">
        <v>15.401999999999999</v>
      </c>
      <c r="G927" s="4">
        <v>9364.4159999999993</v>
      </c>
      <c r="H927" s="5">
        <f t="shared" si="14"/>
        <v>-3.1446540880503145E-2</v>
      </c>
    </row>
    <row r="928" spans="1:8" ht="13.5" x14ac:dyDescent="0.25">
      <c r="A928" s="1"/>
      <c r="B928" s="3">
        <v>45876</v>
      </c>
      <c r="C928" s="4">
        <v>15.8</v>
      </c>
      <c r="D928" s="4">
        <v>15.8</v>
      </c>
      <c r="E928" s="4">
        <v>357</v>
      </c>
      <c r="F928" s="4">
        <v>15.425000000000001</v>
      </c>
      <c r="G928" s="4">
        <v>5506.7250000000004</v>
      </c>
      <c r="H928" s="5">
        <f t="shared" si="14"/>
        <v>2.5974025974025997E-2</v>
      </c>
    </row>
    <row r="929" spans="1:8" ht="13.5" x14ac:dyDescent="0.25">
      <c r="A929" s="1"/>
      <c r="B929" s="3">
        <v>45877</v>
      </c>
      <c r="C929" s="4">
        <v>15.83</v>
      </c>
      <c r="D929" s="4">
        <v>15.83</v>
      </c>
      <c r="E929" s="4">
        <v>2703</v>
      </c>
      <c r="F929" s="4">
        <v>15.803000000000001</v>
      </c>
      <c r="G929" s="4">
        <v>42715.508999999998</v>
      </c>
      <c r="H929" s="5">
        <f t="shared" si="14"/>
        <v>1.8987341772151493E-3</v>
      </c>
    </row>
    <row r="930" spans="1:8" ht="13.5" x14ac:dyDescent="0.25">
      <c r="A930" s="1"/>
      <c r="B930" s="3">
        <v>45880</v>
      </c>
      <c r="C930" s="4">
        <v>15.8</v>
      </c>
      <c r="D930" s="4">
        <v>15.8</v>
      </c>
      <c r="E930" s="4">
        <v>3062</v>
      </c>
      <c r="F930" s="4">
        <v>15.773999999999999</v>
      </c>
      <c r="G930" s="4">
        <v>48299.987999999998</v>
      </c>
      <c r="H930" s="5">
        <f t="shared" si="14"/>
        <v>-1.8951358180669211E-3</v>
      </c>
    </row>
    <row r="931" spans="1:8" ht="13.5" x14ac:dyDescent="0.25">
      <c r="A931" s="1"/>
      <c r="B931" s="3">
        <v>45881</v>
      </c>
      <c r="C931" s="4">
        <v>15.8</v>
      </c>
      <c r="D931" s="4">
        <v>15.8</v>
      </c>
      <c r="E931" s="4">
        <v>215</v>
      </c>
      <c r="F931" s="4">
        <v>15.673</v>
      </c>
      <c r="G931" s="4">
        <v>3369.6950000000002</v>
      </c>
      <c r="H931" s="5">
        <f t="shared" si="14"/>
        <v>0</v>
      </c>
    </row>
    <row r="932" spans="1:8" ht="13.5" x14ac:dyDescent="0.25">
      <c r="A932" s="1"/>
      <c r="B932" s="3">
        <v>45883</v>
      </c>
      <c r="C932" s="4">
        <v>15.8</v>
      </c>
      <c r="D932" s="4">
        <v>15.8</v>
      </c>
      <c r="E932" s="4">
        <v>850</v>
      </c>
      <c r="F932" s="4">
        <v>15.79</v>
      </c>
      <c r="G932" s="4">
        <v>13421.5</v>
      </c>
      <c r="H932" s="5">
        <f t="shared" si="14"/>
        <v>0</v>
      </c>
    </row>
    <row r="933" spans="1:8" ht="13.5" x14ac:dyDescent="0.25">
      <c r="A933" s="1"/>
      <c r="B933" s="3">
        <v>45884</v>
      </c>
      <c r="C933" s="4">
        <v>15.79</v>
      </c>
      <c r="D933" s="4">
        <v>15.79</v>
      </c>
      <c r="E933" s="4">
        <v>1337</v>
      </c>
      <c r="F933" s="4">
        <v>15.582000000000001</v>
      </c>
      <c r="G933" s="4">
        <v>20833.133999999998</v>
      </c>
      <c r="H933" s="5">
        <f t="shared" si="14"/>
        <v>-6.3291139240516218E-4</v>
      </c>
    </row>
    <row r="934" spans="1:8" ht="13.5" x14ac:dyDescent="0.25">
      <c r="A934" s="1"/>
      <c r="B934" s="3">
        <v>45887</v>
      </c>
      <c r="C934" s="4">
        <v>15.8</v>
      </c>
      <c r="D934" s="4">
        <v>15.8</v>
      </c>
      <c r="E934" s="4">
        <v>640</v>
      </c>
      <c r="F934" s="4">
        <v>15.638</v>
      </c>
      <c r="G934" s="4">
        <v>10008.32</v>
      </c>
      <c r="H934" s="5">
        <f t="shared" si="14"/>
        <v>6.3331222292600147E-4</v>
      </c>
    </row>
    <row r="935" spans="1:8" ht="13.5" x14ac:dyDescent="0.25">
      <c r="A935" s="1"/>
      <c r="B935" s="3">
        <v>45888</v>
      </c>
      <c r="C935" s="4">
        <v>15.8</v>
      </c>
      <c r="D935" s="4">
        <v>15.8</v>
      </c>
      <c r="E935" s="4">
        <v>0</v>
      </c>
      <c r="F935" s="4">
        <v>0</v>
      </c>
      <c r="G935" s="4">
        <v>0</v>
      </c>
      <c r="H935" s="5">
        <f t="shared" si="14"/>
        <v>0</v>
      </c>
    </row>
    <row r="936" spans="1:8" ht="13.5" x14ac:dyDescent="0.25">
      <c r="A936" s="1"/>
      <c r="B936" s="3">
        <v>45889</v>
      </c>
      <c r="C936" s="4">
        <v>15.75</v>
      </c>
      <c r="D936" s="4">
        <v>15.75</v>
      </c>
      <c r="E936" s="4">
        <v>2883</v>
      </c>
      <c r="F936" s="4">
        <v>15.545999999999999</v>
      </c>
      <c r="G936" s="4">
        <v>44819.118000000002</v>
      </c>
      <c r="H936" s="5">
        <f t="shared" si="14"/>
        <v>-3.1645569620253611E-3</v>
      </c>
    </row>
    <row r="937" spans="1:8" ht="13.5" x14ac:dyDescent="0.25">
      <c r="A937" s="1"/>
      <c r="B937" s="3">
        <v>45890</v>
      </c>
      <c r="C937" s="4">
        <v>15.74</v>
      </c>
      <c r="D937" s="4">
        <v>15.74</v>
      </c>
      <c r="E937" s="4">
        <v>197</v>
      </c>
      <c r="F937" s="4">
        <v>15.7</v>
      </c>
      <c r="G937" s="4">
        <v>3092.9</v>
      </c>
      <c r="H937" s="5">
        <f t="shared" si="14"/>
        <v>-6.3492063492062137E-4</v>
      </c>
    </row>
    <row r="938" spans="1:8" ht="13.5" x14ac:dyDescent="0.25">
      <c r="A938" s="1"/>
      <c r="B938" s="3">
        <v>45891</v>
      </c>
      <c r="C938" s="4">
        <v>15.65</v>
      </c>
      <c r="D938" s="4">
        <v>15.65</v>
      </c>
      <c r="E938" s="4">
        <v>100</v>
      </c>
      <c r="F938" s="4">
        <v>15.65</v>
      </c>
      <c r="G938" s="4">
        <v>1565</v>
      </c>
      <c r="H938" s="5">
        <f t="shared" si="14"/>
        <v>-5.7179161372299782E-3</v>
      </c>
    </row>
    <row r="939" spans="1:8" ht="13.5" x14ac:dyDescent="0.25">
      <c r="A939" s="1"/>
      <c r="B939" s="3">
        <v>45894</v>
      </c>
      <c r="C939" s="4">
        <v>15.35</v>
      </c>
      <c r="D939" s="4">
        <v>15.35</v>
      </c>
      <c r="E939" s="4">
        <v>1520</v>
      </c>
      <c r="F939" s="4">
        <v>15.35</v>
      </c>
      <c r="G939" s="4">
        <v>23332</v>
      </c>
      <c r="H939" s="5">
        <f t="shared" si="14"/>
        <v>-1.9169329073482472E-2</v>
      </c>
    </row>
    <row r="940" spans="1:8" ht="13.5" x14ac:dyDescent="0.25">
      <c r="A940" s="1"/>
      <c r="B940" s="3">
        <v>45895</v>
      </c>
      <c r="C940" s="4">
        <v>15.65</v>
      </c>
      <c r="D940" s="4">
        <v>15.65</v>
      </c>
      <c r="E940" s="4">
        <v>910</v>
      </c>
      <c r="F940" s="4">
        <v>15.502000000000001</v>
      </c>
      <c r="G940" s="4">
        <v>14106.82</v>
      </c>
      <c r="H940" s="5">
        <f t="shared" si="14"/>
        <v>1.9543973941368125E-2</v>
      </c>
    </row>
    <row r="941" spans="1:8" ht="13.5" x14ac:dyDescent="0.25">
      <c r="A941" s="1"/>
      <c r="B941" s="3">
        <v>45896</v>
      </c>
      <c r="C941" s="4">
        <v>15.6</v>
      </c>
      <c r="D941" s="4">
        <v>15.6</v>
      </c>
      <c r="E941" s="4">
        <v>601</v>
      </c>
      <c r="F941" s="4">
        <v>15.433999999999999</v>
      </c>
      <c r="G941" s="4">
        <v>9275.8340000000007</v>
      </c>
      <c r="H941" s="5">
        <f t="shared" si="14"/>
        <v>-3.1948881789137834E-3</v>
      </c>
    </row>
    <row r="942" spans="1:8" ht="13.5" x14ac:dyDescent="0.25">
      <c r="A942" s="1"/>
      <c r="B942" s="3">
        <v>45897</v>
      </c>
      <c r="C942" s="4">
        <v>15.6</v>
      </c>
      <c r="D942" s="4">
        <v>15.6</v>
      </c>
      <c r="E942" s="4">
        <v>471</v>
      </c>
      <c r="F942" s="4">
        <v>15.403</v>
      </c>
      <c r="G942" s="4">
        <v>7254.8130000000001</v>
      </c>
      <c r="H942" s="5">
        <f t="shared" si="14"/>
        <v>0</v>
      </c>
    </row>
    <row r="943" spans="1:8" ht="13.5" x14ac:dyDescent="0.25">
      <c r="A943" s="1"/>
      <c r="B943" s="3">
        <v>45898</v>
      </c>
      <c r="C943" s="4">
        <v>15.58</v>
      </c>
      <c r="D943" s="4">
        <v>15.58</v>
      </c>
      <c r="E943" s="4">
        <v>552</v>
      </c>
      <c r="F943" s="4">
        <v>15.401</v>
      </c>
      <c r="G943" s="4">
        <v>8501.3520000000008</v>
      </c>
      <c r="H943" s="5">
        <f t="shared" si="14"/>
        <v>-1.2820512820512547E-3</v>
      </c>
    </row>
    <row r="944" spans="1:8" ht="13.5" x14ac:dyDescent="0.25">
      <c r="A944" s="1"/>
      <c r="B944" s="3">
        <v>45901</v>
      </c>
      <c r="C944" s="4">
        <v>16.3</v>
      </c>
      <c r="D944" s="4">
        <v>16.3</v>
      </c>
      <c r="E944" s="4">
        <v>9287</v>
      </c>
      <c r="F944" s="4">
        <v>15.855</v>
      </c>
      <c r="G944" s="4">
        <v>147245.38500000001</v>
      </c>
      <c r="H944" s="5">
        <f t="shared" si="14"/>
        <v>4.6213093709884509E-2</v>
      </c>
    </row>
    <row r="945" spans="1:8" ht="13.5" x14ac:dyDescent="0.25">
      <c r="A945" s="1"/>
      <c r="B945" s="3">
        <v>45902</v>
      </c>
      <c r="C945" s="4">
        <v>15.71</v>
      </c>
      <c r="D945" s="4">
        <v>15.71</v>
      </c>
      <c r="E945" s="4">
        <v>1497</v>
      </c>
      <c r="F945" s="4">
        <v>16.263999999999999</v>
      </c>
      <c r="G945" s="4">
        <v>24347.207999999999</v>
      </c>
      <c r="H945" s="5">
        <f t="shared" si="14"/>
        <v>-3.61963190184049E-2</v>
      </c>
    </row>
    <row r="946" spans="1:8" ht="13.5" x14ac:dyDescent="0.25">
      <c r="A946" s="1"/>
      <c r="B946" s="3">
        <v>45903</v>
      </c>
      <c r="C946" s="4">
        <v>16.25</v>
      </c>
      <c r="D946" s="4">
        <v>16.25</v>
      </c>
      <c r="E946" s="4">
        <v>714</v>
      </c>
      <c r="F946" s="4">
        <v>16.106000000000002</v>
      </c>
      <c r="G946" s="4">
        <v>11499.683999999999</v>
      </c>
      <c r="H946" s="5">
        <f t="shared" si="14"/>
        <v>3.4373010821132984E-2</v>
      </c>
    </row>
    <row r="947" spans="1:8" ht="13.5" x14ac:dyDescent="0.25">
      <c r="A947" s="1"/>
      <c r="B947" s="3">
        <v>45905</v>
      </c>
      <c r="C947" s="4">
        <v>16.25</v>
      </c>
      <c r="D947" s="4">
        <v>16.25</v>
      </c>
      <c r="E947" s="4">
        <v>0</v>
      </c>
      <c r="F947" s="4">
        <v>0</v>
      </c>
      <c r="G947" s="4">
        <v>0</v>
      </c>
      <c r="H947" s="5">
        <f t="shared" si="14"/>
        <v>0</v>
      </c>
    </row>
    <row r="948" spans="1:8" ht="13.5" x14ac:dyDescent="0.25">
      <c r="A948" s="1"/>
      <c r="B948" s="3">
        <v>45908</v>
      </c>
      <c r="C948" s="4">
        <v>16.2</v>
      </c>
      <c r="D948" s="4">
        <v>16.2</v>
      </c>
      <c r="E948" s="4">
        <v>833</v>
      </c>
      <c r="F948" s="4">
        <v>16.204999999999998</v>
      </c>
      <c r="G948" s="4">
        <v>13498.764999999999</v>
      </c>
      <c r="H948" s="5">
        <f t="shared" si="14"/>
        <v>-3.0769230769231207E-3</v>
      </c>
    </row>
    <row r="949" spans="1:8" ht="13.5" x14ac:dyDescent="0.25">
      <c r="A949" s="1"/>
      <c r="B949" s="3">
        <v>45909</v>
      </c>
      <c r="C949" s="4">
        <v>16.2</v>
      </c>
      <c r="D949" s="4">
        <v>16.2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45910</v>
      </c>
      <c r="C950" s="4">
        <v>16.2</v>
      </c>
      <c r="D950" s="4">
        <v>16.2</v>
      </c>
      <c r="E950" s="4">
        <v>0</v>
      </c>
      <c r="F950" s="4">
        <v>0</v>
      </c>
      <c r="G950" s="4">
        <v>0</v>
      </c>
      <c r="H950" s="5">
        <f t="shared" si="14"/>
        <v>0</v>
      </c>
    </row>
    <row r="951" spans="1:8" ht="13.5" x14ac:dyDescent="0.25">
      <c r="A951" s="1"/>
      <c r="B951" s="3">
        <v>45911</v>
      </c>
      <c r="C951" s="4">
        <v>16.2</v>
      </c>
      <c r="D951" s="4">
        <v>16.2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45912</v>
      </c>
      <c r="C952" s="4">
        <v>16</v>
      </c>
      <c r="D952" s="4">
        <v>16</v>
      </c>
      <c r="E952" s="4">
        <v>32</v>
      </c>
      <c r="F952" s="4">
        <v>16.023</v>
      </c>
      <c r="G952" s="4">
        <v>512.73599999999999</v>
      </c>
      <c r="H952" s="5">
        <f t="shared" si="14"/>
        <v>-1.2345679012345635E-2</v>
      </c>
    </row>
    <row r="953" spans="1:8" ht="13.5" x14ac:dyDescent="0.25">
      <c r="A953" s="1"/>
      <c r="B953" s="3">
        <v>45915</v>
      </c>
      <c r="C953" s="4">
        <v>16.170000000000002</v>
      </c>
      <c r="D953" s="4">
        <v>16.170000000000002</v>
      </c>
      <c r="E953" s="4">
        <v>1175</v>
      </c>
      <c r="F953" s="4">
        <v>15.917</v>
      </c>
      <c r="G953" s="4">
        <v>18702.474999999999</v>
      </c>
      <c r="H953" s="5">
        <f t="shared" si="14"/>
        <v>1.0625000000000107E-2</v>
      </c>
    </row>
    <row r="954" spans="1:8" ht="13.5" x14ac:dyDescent="0.25">
      <c r="A954" s="1"/>
      <c r="B954" s="3">
        <v>45916</v>
      </c>
      <c r="C954" s="4">
        <v>16.170000000000002</v>
      </c>
      <c r="D954" s="4">
        <v>16.170000000000002</v>
      </c>
      <c r="E954" s="4">
        <v>42</v>
      </c>
      <c r="F954" s="4">
        <v>16.170000000000002</v>
      </c>
      <c r="G954" s="4">
        <v>679.14</v>
      </c>
      <c r="H954" s="5">
        <f t="shared" si="14"/>
        <v>0</v>
      </c>
    </row>
    <row r="955" spans="1:8" ht="13.5" x14ac:dyDescent="0.25">
      <c r="A955" s="1"/>
      <c r="B955" s="3">
        <v>45917</v>
      </c>
      <c r="C955" s="4">
        <v>16.149999999999999</v>
      </c>
      <c r="D955" s="4">
        <v>16.149999999999999</v>
      </c>
      <c r="E955" s="4">
        <v>1025</v>
      </c>
      <c r="F955" s="4">
        <v>15.901999999999999</v>
      </c>
      <c r="G955" s="4">
        <v>16299.55</v>
      </c>
      <c r="H955" s="5">
        <f t="shared" si="14"/>
        <v>-1.2368583797157159E-3</v>
      </c>
    </row>
    <row r="956" spans="1:8" ht="13.5" x14ac:dyDescent="0.25">
      <c r="A956" s="1"/>
      <c r="B956" s="3">
        <v>45918</v>
      </c>
      <c r="C956" s="4">
        <v>15.85</v>
      </c>
      <c r="D956" s="4">
        <v>15.85</v>
      </c>
      <c r="E956" s="4">
        <v>1418</v>
      </c>
      <c r="F956" s="4">
        <v>15.93</v>
      </c>
      <c r="G956" s="4">
        <v>22588.74</v>
      </c>
      <c r="H956" s="5">
        <f t="shared" si="14"/>
        <v>-1.8575851393188791E-2</v>
      </c>
    </row>
    <row r="957" spans="1:8" ht="13.5" x14ac:dyDescent="0.25">
      <c r="A957" s="1"/>
      <c r="B957" s="3">
        <v>45919</v>
      </c>
      <c r="C957" s="4">
        <v>16.18</v>
      </c>
      <c r="D957" s="4">
        <v>16.18</v>
      </c>
      <c r="E957" s="4">
        <v>3926</v>
      </c>
      <c r="F957" s="4">
        <v>16.099</v>
      </c>
      <c r="G957" s="4">
        <v>63204.673999999999</v>
      </c>
      <c r="H957" s="5">
        <f t="shared" si="14"/>
        <v>2.0820189274447953E-2</v>
      </c>
    </row>
    <row r="958" spans="1:8" ht="13.5" x14ac:dyDescent="0.25">
      <c r="A958" s="1"/>
      <c r="B958" s="3">
        <v>45922</v>
      </c>
      <c r="C958" s="4">
        <v>16</v>
      </c>
      <c r="D958" s="4">
        <v>16</v>
      </c>
      <c r="E958" s="4">
        <v>2446</v>
      </c>
      <c r="F958" s="4">
        <v>15.634</v>
      </c>
      <c r="G958" s="4">
        <v>38240.764000000003</v>
      </c>
      <c r="H958" s="5">
        <f t="shared" si="14"/>
        <v>-1.1124845488257091E-2</v>
      </c>
    </row>
    <row r="959" spans="1:8" ht="13.5" x14ac:dyDescent="0.25">
      <c r="A959" s="1"/>
      <c r="B959" s="3">
        <v>45923</v>
      </c>
      <c r="C959" s="4">
        <v>16.72</v>
      </c>
      <c r="D959" s="4">
        <v>16.72</v>
      </c>
      <c r="E959" s="4">
        <v>23152</v>
      </c>
      <c r="F959" s="4">
        <v>16.46</v>
      </c>
      <c r="G959" s="4">
        <v>381081.92</v>
      </c>
      <c r="H959" s="5">
        <f t="shared" si="14"/>
        <v>4.4999999999999929E-2</v>
      </c>
    </row>
    <row r="960" spans="1:8" ht="13.5" x14ac:dyDescent="0.25">
      <c r="A960" s="1"/>
      <c r="B960" s="3">
        <v>45924</v>
      </c>
      <c r="C960" s="4">
        <v>16.559999999999999</v>
      </c>
      <c r="D960" s="4">
        <v>16.559999999999999</v>
      </c>
      <c r="E960" s="4">
        <v>2666</v>
      </c>
      <c r="F960" s="4">
        <v>16.562999999999999</v>
      </c>
      <c r="G960" s="4">
        <v>44156.957999999999</v>
      </c>
      <c r="H960" s="5">
        <f t="shared" si="14"/>
        <v>-9.5693779904306303E-3</v>
      </c>
    </row>
    <row r="961" spans="1:8" ht="13.5" x14ac:dyDescent="0.25">
      <c r="A961" s="1"/>
      <c r="B961" s="3">
        <v>45925</v>
      </c>
      <c r="C961" s="4">
        <v>16.72</v>
      </c>
      <c r="D961" s="4">
        <v>16.72</v>
      </c>
      <c r="E961" s="4">
        <v>10361</v>
      </c>
      <c r="F961" s="4">
        <v>16.667999999999999</v>
      </c>
      <c r="G961" s="4">
        <v>172697.14799999999</v>
      </c>
      <c r="H961" s="5">
        <f t="shared" si="14"/>
        <v>9.6618357487922805E-3</v>
      </c>
    </row>
    <row r="962" spans="1:8" ht="13.5" x14ac:dyDescent="0.25">
      <c r="A962" s="1"/>
      <c r="B962" s="3">
        <v>45926</v>
      </c>
      <c r="C962" s="4">
        <v>16.7</v>
      </c>
      <c r="D962" s="4">
        <v>16.7</v>
      </c>
      <c r="E962" s="4">
        <v>2938</v>
      </c>
      <c r="F962" s="4">
        <v>16.53</v>
      </c>
      <c r="G962" s="4">
        <v>48565.14</v>
      </c>
      <c r="H962" s="5">
        <f t="shared" si="14"/>
        <v>-1.1961722488038023E-3</v>
      </c>
    </row>
    <row r="963" spans="1:8" ht="13.5" x14ac:dyDescent="0.25">
      <c r="A963" s="1"/>
      <c r="B963" s="3">
        <v>45929</v>
      </c>
      <c r="C963" s="4">
        <v>16.850000000000001</v>
      </c>
      <c r="D963" s="4">
        <v>16.850000000000001</v>
      </c>
      <c r="E963" s="4">
        <v>2395</v>
      </c>
      <c r="F963" s="4">
        <v>16.751000000000001</v>
      </c>
      <c r="G963" s="4">
        <v>40118.644999999997</v>
      </c>
      <c r="H963" s="5">
        <f t="shared" si="14"/>
        <v>8.9820359281438406E-3</v>
      </c>
    </row>
    <row r="964" spans="1:8" ht="13.5" x14ac:dyDescent="0.25">
      <c r="A964" s="1"/>
      <c r="B964" s="3">
        <v>45930</v>
      </c>
      <c r="C964" s="4">
        <v>16.850000000000001</v>
      </c>
      <c r="D964" s="4">
        <v>16.850000000000001</v>
      </c>
      <c r="E964" s="4">
        <v>2254</v>
      </c>
      <c r="F964" s="4">
        <v>16.849</v>
      </c>
      <c r="G964" s="4">
        <v>37977.646000000001</v>
      </c>
      <c r="H964" s="5">
        <f t="shared" si="14"/>
        <v>0</v>
      </c>
    </row>
    <row r="965" spans="1:8" ht="13.5" x14ac:dyDescent="0.25">
      <c r="A965" s="1"/>
      <c r="B965" s="3">
        <v>45931</v>
      </c>
      <c r="C965" s="4">
        <v>16.77</v>
      </c>
      <c r="D965" s="4">
        <v>16.77</v>
      </c>
      <c r="E965" s="4">
        <v>2310</v>
      </c>
      <c r="F965" s="4">
        <v>16.757999999999999</v>
      </c>
      <c r="G965" s="4">
        <v>38710.980000000003</v>
      </c>
      <c r="H965" s="5">
        <f t="shared" si="14"/>
        <v>-4.7477744807122753E-3</v>
      </c>
    </row>
    <row r="966" spans="1:8" ht="13.5" x14ac:dyDescent="0.25">
      <c r="A966" s="1"/>
      <c r="B966" s="3">
        <v>45932</v>
      </c>
      <c r="C966" s="4">
        <v>16.8</v>
      </c>
      <c r="D966" s="4">
        <v>16.8</v>
      </c>
      <c r="E966" s="4">
        <v>55</v>
      </c>
      <c r="F966" s="4">
        <v>16.8</v>
      </c>
      <c r="G966" s="4">
        <v>924</v>
      </c>
      <c r="H966" s="5">
        <f t="shared" si="14"/>
        <v>1.7889087656530196E-3</v>
      </c>
    </row>
    <row r="967" spans="1:8" ht="13.5" x14ac:dyDescent="0.25">
      <c r="A967" s="1"/>
      <c r="B967" s="3">
        <v>45933</v>
      </c>
      <c r="C967" s="4">
        <v>16.8</v>
      </c>
      <c r="D967" s="4">
        <v>16.8</v>
      </c>
      <c r="E967" s="4">
        <v>2</v>
      </c>
      <c r="F967" s="4">
        <v>16.8</v>
      </c>
      <c r="G967" s="4">
        <v>33.6</v>
      </c>
      <c r="H967" s="5">
        <f t="shared" ref="H967:H985" si="15">(D967-D966)/D966</f>
        <v>0</v>
      </c>
    </row>
    <row r="968" spans="1:8" ht="13.5" x14ac:dyDescent="0.25">
      <c r="A968" s="1"/>
      <c r="B968" s="3">
        <v>45936</v>
      </c>
      <c r="C968" s="4">
        <v>16.649999999999999</v>
      </c>
      <c r="D968" s="4">
        <v>16.649999999999999</v>
      </c>
      <c r="E968" s="4">
        <v>9871</v>
      </c>
      <c r="F968" s="4">
        <v>16.561</v>
      </c>
      <c r="G968" s="4">
        <v>163473.63099999999</v>
      </c>
      <c r="H968" s="5">
        <f t="shared" si="15"/>
        <v>-8.9285714285715547E-3</v>
      </c>
    </row>
    <row r="969" spans="1:8" ht="13.5" x14ac:dyDescent="0.25">
      <c r="A969" s="1"/>
      <c r="B969" s="3">
        <v>45937</v>
      </c>
      <c r="C969" s="4">
        <v>16.649999999999999</v>
      </c>
      <c r="D969" s="4">
        <v>16.649999999999999</v>
      </c>
      <c r="E969" s="4">
        <v>0</v>
      </c>
      <c r="F969" s="4">
        <v>0</v>
      </c>
      <c r="G969" s="4">
        <v>0</v>
      </c>
      <c r="H969" s="5">
        <f t="shared" si="15"/>
        <v>0</v>
      </c>
    </row>
    <row r="970" spans="1:8" ht="13.5" x14ac:dyDescent="0.25">
      <c r="A970" s="1"/>
      <c r="B970" s="3">
        <v>45938</v>
      </c>
      <c r="C970" s="4">
        <v>16.649999999999999</v>
      </c>
      <c r="D970" s="4">
        <v>16.649999999999999</v>
      </c>
      <c r="E970" s="4">
        <v>6</v>
      </c>
      <c r="F970" s="4">
        <v>16.649999999999999</v>
      </c>
      <c r="G970" s="4">
        <v>99.9</v>
      </c>
      <c r="H970" s="5">
        <f t="shared" si="15"/>
        <v>0</v>
      </c>
    </row>
    <row r="971" spans="1:8" ht="13.5" x14ac:dyDescent="0.25">
      <c r="A971" s="1"/>
      <c r="B971" s="3">
        <v>45939</v>
      </c>
      <c r="C971" s="4">
        <v>16.649999999999999</v>
      </c>
      <c r="D971" s="4">
        <v>16.649999999999999</v>
      </c>
      <c r="E971" s="4">
        <v>0</v>
      </c>
      <c r="F971" s="4">
        <v>0</v>
      </c>
      <c r="G971" s="4">
        <v>0</v>
      </c>
      <c r="H971" s="5">
        <f t="shared" si="15"/>
        <v>0</v>
      </c>
    </row>
    <row r="972" spans="1:8" ht="13.5" x14ac:dyDescent="0.25">
      <c r="A972" s="1"/>
      <c r="B972" s="3">
        <v>45940</v>
      </c>
      <c r="C972" s="4">
        <v>16.45</v>
      </c>
      <c r="D972" s="4">
        <v>16.45</v>
      </c>
      <c r="E972" s="4">
        <v>230</v>
      </c>
      <c r="F972" s="4">
        <v>16.515000000000001</v>
      </c>
      <c r="G972" s="4">
        <v>3798.45</v>
      </c>
      <c r="H972" s="5">
        <f t="shared" si="15"/>
        <v>-1.201201201201197E-2</v>
      </c>
    </row>
    <row r="973" spans="1:8" ht="13.5" x14ac:dyDescent="0.25">
      <c r="A973" s="1"/>
      <c r="B973" s="3">
        <v>45943</v>
      </c>
      <c r="C973" s="4">
        <v>16.45</v>
      </c>
      <c r="D973" s="4">
        <v>16.45</v>
      </c>
      <c r="E973" s="4">
        <v>598</v>
      </c>
      <c r="F973" s="4">
        <v>16.599</v>
      </c>
      <c r="G973" s="4">
        <v>9926.2019999999993</v>
      </c>
      <c r="H973" s="5">
        <f t="shared" si="15"/>
        <v>0</v>
      </c>
    </row>
    <row r="974" spans="1:8" ht="13.5" x14ac:dyDescent="0.25">
      <c r="A974" s="1"/>
      <c r="B974" s="3">
        <v>45944</v>
      </c>
      <c r="C974" s="4">
        <v>16.75</v>
      </c>
      <c r="D974" s="4">
        <v>16.75</v>
      </c>
      <c r="E974" s="4">
        <v>546</v>
      </c>
      <c r="F974" s="4">
        <v>16.715</v>
      </c>
      <c r="G974" s="4">
        <v>9126.39</v>
      </c>
      <c r="H974" s="5">
        <f t="shared" si="15"/>
        <v>1.8237082066869345E-2</v>
      </c>
    </row>
    <row r="975" spans="1:8" ht="13.5" x14ac:dyDescent="0.25">
      <c r="A975" s="1"/>
      <c r="B975" s="3">
        <v>45946</v>
      </c>
      <c r="C975" s="4">
        <v>16.68</v>
      </c>
      <c r="D975" s="4">
        <v>16.68</v>
      </c>
      <c r="E975" s="4">
        <v>2199</v>
      </c>
      <c r="F975" s="4">
        <v>16.646999999999998</v>
      </c>
      <c r="G975" s="4">
        <v>36606.752999999997</v>
      </c>
      <c r="H975" s="5">
        <f t="shared" si="15"/>
        <v>-4.1791044776119573E-3</v>
      </c>
    </row>
    <row r="976" spans="1:8" ht="13.5" x14ac:dyDescent="0.25">
      <c r="A976" s="1"/>
      <c r="B976" s="3">
        <v>45947</v>
      </c>
      <c r="C976" s="4">
        <v>16.68</v>
      </c>
      <c r="D976" s="4">
        <v>16.68</v>
      </c>
      <c r="E976" s="4">
        <v>115</v>
      </c>
      <c r="F976" s="4">
        <v>16.68</v>
      </c>
      <c r="G976" s="4">
        <v>1918.2</v>
      </c>
      <c r="H976" s="5">
        <f t="shared" si="15"/>
        <v>0</v>
      </c>
    </row>
    <row r="977" spans="1:11" ht="13.5" x14ac:dyDescent="0.25">
      <c r="A977" s="1"/>
      <c r="B977" s="3">
        <v>45950</v>
      </c>
      <c r="C977" s="4">
        <v>16.5</v>
      </c>
      <c r="D977" s="4">
        <v>16.5</v>
      </c>
      <c r="E977" s="4">
        <v>2622</v>
      </c>
      <c r="F977" s="4">
        <v>16.526</v>
      </c>
      <c r="G977" s="4">
        <v>43331.171999999999</v>
      </c>
      <c r="H977" s="5">
        <f t="shared" si="15"/>
        <v>-1.0791366906474803E-2</v>
      </c>
    </row>
    <row r="978" spans="1:11" ht="13.5" x14ac:dyDescent="0.25">
      <c r="A978" s="1"/>
      <c r="B978" s="3">
        <v>45951</v>
      </c>
      <c r="C978" s="4">
        <v>16.68</v>
      </c>
      <c r="D978" s="4">
        <v>16.68</v>
      </c>
      <c r="E978" s="4">
        <v>3148</v>
      </c>
      <c r="F978" s="4">
        <v>16.456</v>
      </c>
      <c r="G978" s="4">
        <v>51803.487999999998</v>
      </c>
      <c r="H978" s="5">
        <f t="shared" si="15"/>
        <v>1.0909090909090893E-2</v>
      </c>
    </row>
    <row r="979" spans="1:11" ht="13.5" x14ac:dyDescent="0.25">
      <c r="A979" s="1"/>
      <c r="B979" s="3">
        <v>45952</v>
      </c>
      <c r="C979" s="4">
        <v>16.5</v>
      </c>
      <c r="D979" s="4">
        <v>16.5</v>
      </c>
      <c r="E979" s="4">
        <v>1351</v>
      </c>
      <c r="F979" s="4">
        <v>16.474</v>
      </c>
      <c r="G979" s="4">
        <v>22256.374</v>
      </c>
      <c r="H979" s="5">
        <f t="shared" si="15"/>
        <v>-1.0791366906474803E-2</v>
      </c>
    </row>
    <row r="980" spans="1:11" ht="13.5" x14ac:dyDescent="0.25">
      <c r="A980" s="1"/>
      <c r="B980" s="3">
        <v>45953</v>
      </c>
      <c r="C980" s="4">
        <v>16.8</v>
      </c>
      <c r="D980" s="4">
        <v>16.8</v>
      </c>
      <c r="E980" s="4">
        <v>3275</v>
      </c>
      <c r="F980" s="4">
        <v>16.635999999999999</v>
      </c>
      <c r="G980" s="4">
        <v>54482.9</v>
      </c>
      <c r="H980" s="5">
        <f t="shared" si="15"/>
        <v>1.8181818181818226E-2</v>
      </c>
    </row>
    <row r="981" spans="1:11" ht="13.5" x14ac:dyDescent="0.25">
      <c r="A981" s="1"/>
      <c r="B981" s="3">
        <v>45954</v>
      </c>
      <c r="C981" s="4">
        <v>16.989999999999998</v>
      </c>
      <c r="D981" s="4">
        <v>16.989999999999998</v>
      </c>
      <c r="E981" s="4">
        <v>5550</v>
      </c>
      <c r="F981" s="4">
        <v>16.835000000000001</v>
      </c>
      <c r="G981" s="4">
        <v>93434.25</v>
      </c>
      <c r="H981" s="5">
        <f t="shared" si="15"/>
        <v>1.1309523809523674E-2</v>
      </c>
    </row>
    <row r="982" spans="1:11" ht="13.5" x14ac:dyDescent="0.25">
      <c r="A982" s="1"/>
      <c r="B982" s="3">
        <v>45957</v>
      </c>
      <c r="C982" s="4">
        <v>16.75</v>
      </c>
      <c r="D982" s="4">
        <v>16.75</v>
      </c>
      <c r="E982" s="4">
        <v>2452</v>
      </c>
      <c r="F982" s="4">
        <v>16.786999999999999</v>
      </c>
      <c r="G982" s="4">
        <v>41161.724000000002</v>
      </c>
      <c r="H982" s="5">
        <f t="shared" si="15"/>
        <v>-1.4125956444967537E-2</v>
      </c>
    </row>
    <row r="983" spans="1:11" ht="13.5" x14ac:dyDescent="0.25">
      <c r="A983" s="1"/>
      <c r="B983" s="3">
        <v>45958</v>
      </c>
      <c r="C983" s="4">
        <v>16.75</v>
      </c>
      <c r="D983" s="4">
        <v>16.75</v>
      </c>
      <c r="E983" s="4">
        <v>2204</v>
      </c>
      <c r="F983" s="4">
        <v>16.919</v>
      </c>
      <c r="G983" s="4">
        <v>37289.476000000002</v>
      </c>
      <c r="H983" s="5">
        <f t="shared" si="15"/>
        <v>0</v>
      </c>
    </row>
    <row r="984" spans="1:11" ht="13.5" x14ac:dyDescent="0.25">
      <c r="A984" s="1"/>
      <c r="B984" s="3">
        <v>45959</v>
      </c>
      <c r="C984" s="4">
        <v>16.899999999999999</v>
      </c>
      <c r="D984" s="4">
        <v>16.899999999999999</v>
      </c>
      <c r="E984" s="4">
        <v>5400</v>
      </c>
      <c r="F984" s="4">
        <v>16.8</v>
      </c>
      <c r="G984" s="4">
        <v>90720</v>
      </c>
      <c r="H984" s="5">
        <f t="shared" si="15"/>
        <v>8.9552238805969304E-3</v>
      </c>
      <c r="I984" s="7" t="s">
        <v>13</v>
      </c>
      <c r="J984" s="7" t="s">
        <v>14</v>
      </c>
      <c r="K984" s="7" t="s">
        <v>15</v>
      </c>
    </row>
    <row r="985" spans="1:11" ht="13.5" x14ac:dyDescent="0.25">
      <c r="A985" s="1"/>
      <c r="B985" s="3">
        <v>45960</v>
      </c>
      <c r="C985" s="4">
        <v>17.09</v>
      </c>
      <c r="D985" s="4">
        <v>17.09</v>
      </c>
      <c r="E985" s="4">
        <v>5145</v>
      </c>
      <c r="F985" s="4">
        <v>16.965</v>
      </c>
      <c r="G985" s="4">
        <v>87284.925000000003</v>
      </c>
      <c r="H985" s="5">
        <f t="shared" si="15"/>
        <v>1.1242603550295934E-2</v>
      </c>
      <c r="I985" s="12">
        <v>10123443</v>
      </c>
      <c r="J985" s="8">
        <f>I985*D985</f>
        <v>173009640.87</v>
      </c>
      <c r="K985" s="9">
        <f>SUM(E781:E985)/205</f>
        <v>4861.4390243902435</v>
      </c>
    </row>
  </sheetData>
  <mergeCells count="1">
    <mergeCell ref="B2:G2"/>
  </mergeCells>
  <phoneticPr fontId="0" type="noConversion"/>
  <conditionalFormatting sqref="H6:H985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F3E14-23C9-4384-AD24-749B11297C2C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825c0b43-6af9-4148-8ec1-c9594105943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E574897-2AAD-4349-8149-FB1E10DEF2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0D8CF3-2C32-479F-B1CF-B61B5DB8A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2025-11-04T19:48:01Z</dcterms:created>
  <dcterms:modified xsi:type="dcterms:W3CDTF">2025-11-05T05:42:04Z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