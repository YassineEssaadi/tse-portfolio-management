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0104BA32-095B-4C80-9006-48D8CC619811}" xr6:coauthVersionLast="47" xr6:coauthVersionMax="47" xr10:uidLastSave="{00000000-0000-0000-0000-000000000000}"/>
  <bookViews>
    <workbookView xWindow="28680" yWindow="-120" windowWidth="24240" windowHeight="13020" xr2:uid="{25E780B1-2342-4046-9F67-CC2AC3B960E2}"/>
  </bookViews>
  <sheets>
    <sheet name="TITRES_STAT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  <c r="K10" i="1" s="1"/>
  <c r="K11" i="1" s="1"/>
  <c r="K8" i="1" l="1"/>
  <c r="K9" i="1" s="1"/>
</calcChain>
</file>

<file path=xl/sharedStrings.xml><?xml version="1.0" encoding="utf-8"?>
<sst xmlns="http://schemas.openxmlformats.org/spreadsheetml/2006/main" count="16" uniqueCount="16">
  <si>
    <t>Titre : ALKIMIA,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</si>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</sst>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EC73-7F35-4F00-A70F-776E53863851}">
  <dimension ref="A1:K2511"/>
  <sheetViews>
    <sheetView showGridLines="0" tabSelected="1" topLeftCell="A2502" workbookViewId="0">
      <selection activeCell="I2520" sqref="I2520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453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25" customHeight="1" x14ac:dyDescent="0.25"/>
    <row r="2" spans="1:11" ht="22.75" customHeight="1" x14ac:dyDescent="0.25">
      <c r="B2" s="10" t="s">
        <v>0</v>
      </c>
      <c r="C2" s="11"/>
      <c r="D2" s="11"/>
      <c r="E2" s="11"/>
      <c r="F2" s="11"/>
      <c r="G2" s="11"/>
    </row>
    <row r="3" spans="1:11" ht="18.649999999999999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45.5</v>
      </c>
      <c r="D5" s="4">
        <v>45.5</v>
      </c>
      <c r="E5" s="4">
        <v>6</v>
      </c>
      <c r="F5" s="4"/>
      <c r="G5" s="4"/>
      <c r="H5" s="1"/>
    </row>
    <row r="6" spans="1:11" ht="13.5" x14ac:dyDescent="0.25">
      <c r="A6" s="1"/>
      <c r="B6" s="3">
        <v>42311</v>
      </c>
      <c r="C6" s="4">
        <v>45.5</v>
      </c>
      <c r="D6" s="4">
        <v>45.5</v>
      </c>
      <c r="E6" s="4">
        <v>0</v>
      </c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45.5</v>
      </c>
      <c r="D7" s="4">
        <v>45.5</v>
      </c>
      <c r="E7" s="4">
        <v>0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45.5</v>
      </c>
      <c r="D8" s="4">
        <v>45.5</v>
      </c>
      <c r="E8" s="4">
        <v>0</v>
      </c>
      <c r="F8" s="4"/>
      <c r="G8" s="4"/>
      <c r="H8" s="5">
        <f t="shared" si="0"/>
        <v>0</v>
      </c>
      <c r="J8" t="s">
        <v>9</v>
      </c>
      <c r="K8" s="6">
        <f>AVERAGE(H6:H2511)</f>
        <v>-4.0592682510825264E-4</v>
      </c>
    </row>
    <row r="9" spans="1:11" ht="13.5" x14ac:dyDescent="0.25">
      <c r="A9" s="1"/>
      <c r="B9" s="3">
        <v>42314</v>
      </c>
      <c r="C9" s="4">
        <v>45.75</v>
      </c>
      <c r="D9" s="4">
        <v>45.75</v>
      </c>
      <c r="E9" s="4">
        <v>2</v>
      </c>
      <c r="F9" s="4"/>
      <c r="G9" s="4"/>
      <c r="H9" s="5">
        <f t="shared" si="0"/>
        <v>5.4945054945054949E-3</v>
      </c>
      <c r="J9" t="s">
        <v>10</v>
      </c>
      <c r="K9" s="6">
        <f>K8*K6</f>
        <v>-0.10229355992727966</v>
      </c>
    </row>
    <row r="10" spans="1:11" ht="13.5" x14ac:dyDescent="0.25">
      <c r="A10" s="1"/>
      <c r="B10" s="3">
        <v>42317</v>
      </c>
      <c r="C10" s="4">
        <v>45.75</v>
      </c>
      <c r="D10" s="4">
        <v>45.75</v>
      </c>
      <c r="E10" s="4">
        <v>0</v>
      </c>
      <c r="F10" s="4"/>
      <c r="G10" s="4"/>
      <c r="H10" s="5">
        <f t="shared" si="0"/>
        <v>0</v>
      </c>
      <c r="J10" t="s">
        <v>11</v>
      </c>
      <c r="K10" s="6">
        <f>STDEV(H6:H2511)</f>
        <v>1.3914628776238915E-2</v>
      </c>
    </row>
    <row r="11" spans="1:11" ht="13.5" x14ac:dyDescent="0.25">
      <c r="A11" s="1"/>
      <c r="B11" s="3">
        <v>42318</v>
      </c>
      <c r="C11" s="4">
        <v>45.75</v>
      </c>
      <c r="D11" s="4">
        <v>45.75</v>
      </c>
      <c r="E11" s="4">
        <v>0</v>
      </c>
      <c r="F11" s="4"/>
      <c r="G11" s="4"/>
      <c r="H11" s="5">
        <f t="shared" si="0"/>
        <v>0</v>
      </c>
      <c r="J11" t="s">
        <v>12</v>
      </c>
      <c r="K11" s="6">
        <f>K10*SQRT(K6)</f>
        <v>0.22088788396626716</v>
      </c>
    </row>
    <row r="12" spans="1:11" ht="13.5" x14ac:dyDescent="0.25">
      <c r="A12" s="1"/>
      <c r="B12" s="3">
        <v>42319</v>
      </c>
      <c r="C12" s="4">
        <v>45.75</v>
      </c>
      <c r="D12" s="4">
        <v>45.75</v>
      </c>
      <c r="E12" s="4">
        <v>0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45.75</v>
      </c>
      <c r="D13" s="4">
        <v>45.75</v>
      </c>
      <c r="E13" s="4">
        <v>0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45.75</v>
      </c>
      <c r="D14" s="4">
        <v>45.75</v>
      </c>
      <c r="E14" s="4">
        <v>0</v>
      </c>
      <c r="F14" s="4"/>
      <c r="G14" s="4"/>
      <c r="H14" s="5">
        <f t="shared" si="0"/>
        <v>0</v>
      </c>
    </row>
    <row r="15" spans="1:11" ht="13.5" x14ac:dyDescent="0.25">
      <c r="A15" s="1"/>
      <c r="B15" s="3">
        <v>42324</v>
      </c>
      <c r="C15" s="4">
        <v>45.75</v>
      </c>
      <c r="D15" s="4">
        <v>45.75</v>
      </c>
      <c r="E15" s="4">
        <v>0</v>
      </c>
      <c r="F15" s="4"/>
      <c r="G15" s="4"/>
      <c r="H15" s="5">
        <f t="shared" si="0"/>
        <v>0</v>
      </c>
    </row>
    <row r="16" spans="1:11" ht="13.5" x14ac:dyDescent="0.25">
      <c r="A16" s="1"/>
      <c r="B16" s="3">
        <v>42325</v>
      </c>
      <c r="C16" s="4">
        <v>45.75</v>
      </c>
      <c r="D16" s="4">
        <v>45.75</v>
      </c>
      <c r="E16" s="4">
        <v>0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45.75</v>
      </c>
      <c r="D17" s="4">
        <v>45.75</v>
      </c>
      <c r="E17" s="4">
        <v>0</v>
      </c>
      <c r="F17" s="4"/>
      <c r="G17" s="4"/>
      <c r="H17" s="5">
        <f t="shared" si="0"/>
        <v>0</v>
      </c>
    </row>
    <row r="18" spans="1:8" ht="13.5" x14ac:dyDescent="0.25">
      <c r="A18" s="1"/>
      <c r="B18" s="3">
        <v>42327</v>
      </c>
      <c r="C18" s="4">
        <v>45.75</v>
      </c>
      <c r="D18" s="4">
        <v>45.75</v>
      </c>
      <c r="E18" s="4">
        <v>0</v>
      </c>
      <c r="F18" s="4"/>
      <c r="G18" s="4"/>
      <c r="H18" s="5">
        <f t="shared" si="0"/>
        <v>0</v>
      </c>
    </row>
    <row r="19" spans="1:8" ht="13.5" x14ac:dyDescent="0.25">
      <c r="A19" s="1"/>
      <c r="B19" s="3">
        <v>42328</v>
      </c>
      <c r="C19" s="4">
        <v>45.75</v>
      </c>
      <c r="D19" s="4">
        <v>45.75</v>
      </c>
      <c r="E19" s="4">
        <v>0</v>
      </c>
      <c r="F19" s="4"/>
      <c r="G19" s="4"/>
      <c r="H19" s="5">
        <f t="shared" si="0"/>
        <v>0</v>
      </c>
    </row>
    <row r="20" spans="1:8" ht="13.5" x14ac:dyDescent="0.25">
      <c r="A20" s="1"/>
      <c r="B20" s="3">
        <v>42331</v>
      </c>
      <c r="C20" s="4">
        <v>45.75</v>
      </c>
      <c r="D20" s="4">
        <v>45.75</v>
      </c>
      <c r="E20" s="4">
        <v>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45.75</v>
      </c>
      <c r="D21" s="4">
        <v>45.75</v>
      </c>
      <c r="E21" s="4">
        <v>0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45.6</v>
      </c>
      <c r="D22" s="4">
        <v>45.6</v>
      </c>
      <c r="E22" s="4">
        <v>1</v>
      </c>
      <c r="F22" s="4"/>
      <c r="G22" s="4"/>
      <c r="H22" s="5">
        <f t="shared" si="0"/>
        <v>-3.2786885245901327E-3</v>
      </c>
    </row>
    <row r="23" spans="1:8" ht="13.5" x14ac:dyDescent="0.25">
      <c r="A23" s="1"/>
      <c r="B23" s="3">
        <v>42334</v>
      </c>
      <c r="C23" s="4">
        <v>43.65</v>
      </c>
      <c r="D23" s="4">
        <v>43.65</v>
      </c>
      <c r="E23" s="4">
        <v>5</v>
      </c>
      <c r="F23" s="4"/>
      <c r="G23" s="4"/>
      <c r="H23" s="5">
        <f t="shared" si="0"/>
        <v>-4.2763157894736906E-2</v>
      </c>
    </row>
    <row r="24" spans="1:8" ht="13.5" x14ac:dyDescent="0.25">
      <c r="A24" s="1"/>
      <c r="B24" s="3">
        <v>42335</v>
      </c>
      <c r="C24" s="4">
        <v>43.65</v>
      </c>
      <c r="D24" s="4">
        <v>43.65</v>
      </c>
      <c r="E24" s="4">
        <v>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45.6</v>
      </c>
      <c r="D25" s="4">
        <v>45.6</v>
      </c>
      <c r="E25" s="4">
        <v>186</v>
      </c>
      <c r="F25" s="4"/>
      <c r="G25" s="4"/>
      <c r="H25" s="5">
        <f t="shared" si="0"/>
        <v>4.4673539518900407E-2</v>
      </c>
    </row>
    <row r="26" spans="1:8" ht="13.5" x14ac:dyDescent="0.25">
      <c r="A26" s="1"/>
      <c r="B26" s="3">
        <v>42339</v>
      </c>
      <c r="C26" s="4">
        <v>45.74</v>
      </c>
      <c r="D26" s="4">
        <v>45.74</v>
      </c>
      <c r="E26" s="4">
        <v>370</v>
      </c>
      <c r="F26" s="4"/>
      <c r="G26" s="4"/>
      <c r="H26" s="5">
        <f t="shared" si="0"/>
        <v>3.0701754385965038E-3</v>
      </c>
    </row>
    <row r="27" spans="1:8" ht="13.5" x14ac:dyDescent="0.25">
      <c r="A27" s="1"/>
      <c r="B27" s="3">
        <v>42340</v>
      </c>
      <c r="C27" s="4">
        <v>46</v>
      </c>
      <c r="D27" s="4">
        <v>46</v>
      </c>
      <c r="E27" s="4">
        <v>345</v>
      </c>
      <c r="F27" s="4"/>
      <c r="G27" s="4"/>
      <c r="H27" s="5">
        <f t="shared" si="0"/>
        <v>5.6843025797988197E-3</v>
      </c>
    </row>
    <row r="28" spans="1:8" ht="13.5" x14ac:dyDescent="0.25">
      <c r="A28" s="1"/>
      <c r="B28" s="3">
        <v>42341</v>
      </c>
      <c r="C28" s="4">
        <v>46.5</v>
      </c>
      <c r="D28" s="4">
        <v>46.5</v>
      </c>
      <c r="E28" s="4">
        <v>61</v>
      </c>
      <c r="F28" s="4"/>
      <c r="G28" s="4"/>
      <c r="H28" s="5">
        <f t="shared" si="0"/>
        <v>1.0869565217391304E-2</v>
      </c>
    </row>
    <row r="29" spans="1:8" ht="13.5" x14ac:dyDescent="0.25">
      <c r="A29" s="1"/>
      <c r="B29" s="3">
        <v>42342</v>
      </c>
      <c r="C29" s="4">
        <v>47</v>
      </c>
      <c r="D29" s="4">
        <v>47</v>
      </c>
      <c r="E29" s="4">
        <v>65</v>
      </c>
      <c r="F29" s="4"/>
      <c r="G29" s="4"/>
      <c r="H29" s="5">
        <f t="shared" si="0"/>
        <v>1.0752688172043012E-2</v>
      </c>
    </row>
    <row r="30" spans="1:8" ht="13.5" x14ac:dyDescent="0.25">
      <c r="A30" s="1"/>
      <c r="B30" s="3">
        <v>42345</v>
      </c>
      <c r="C30" s="4">
        <v>47</v>
      </c>
      <c r="D30" s="4">
        <v>47</v>
      </c>
      <c r="E30" s="4">
        <v>30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47</v>
      </c>
      <c r="D31" s="4">
        <v>47</v>
      </c>
      <c r="E31" s="4">
        <v>168024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47</v>
      </c>
      <c r="D32" s="4">
        <v>47</v>
      </c>
      <c r="E32" s="4">
        <v>0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47</v>
      </c>
      <c r="D33" s="4">
        <v>47</v>
      </c>
      <c r="E33" s="4">
        <v>0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47</v>
      </c>
      <c r="D34" s="4">
        <v>47</v>
      </c>
      <c r="E34" s="4">
        <v>0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47</v>
      </c>
      <c r="D35" s="4">
        <v>47</v>
      </c>
      <c r="E35" s="4">
        <v>0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47</v>
      </c>
      <c r="D36" s="4">
        <v>47</v>
      </c>
      <c r="E36" s="4">
        <v>0</v>
      </c>
      <c r="F36" s="4"/>
      <c r="G36" s="4"/>
      <c r="H36" s="5">
        <f t="shared" si="0"/>
        <v>0</v>
      </c>
    </row>
    <row r="37" spans="1:8" ht="13.5" x14ac:dyDescent="0.25">
      <c r="A37" s="1"/>
      <c r="B37" s="3">
        <v>42354</v>
      </c>
      <c r="C37" s="4">
        <v>47</v>
      </c>
      <c r="D37" s="4">
        <v>47</v>
      </c>
      <c r="E37" s="4">
        <v>0</v>
      </c>
      <c r="F37" s="4"/>
      <c r="G37" s="4"/>
      <c r="H37" s="5">
        <f t="shared" si="0"/>
        <v>0</v>
      </c>
    </row>
    <row r="38" spans="1:8" ht="13.5" x14ac:dyDescent="0.25">
      <c r="A38" s="1"/>
      <c r="B38" s="3">
        <v>42355</v>
      </c>
      <c r="C38" s="4">
        <v>47</v>
      </c>
      <c r="D38" s="4">
        <v>47</v>
      </c>
      <c r="E38" s="4">
        <v>0</v>
      </c>
      <c r="F38" s="4"/>
      <c r="G38" s="4"/>
      <c r="H38" s="5">
        <f t="shared" si="0"/>
        <v>0</v>
      </c>
    </row>
    <row r="39" spans="1:8" ht="13.5" x14ac:dyDescent="0.25">
      <c r="A39" s="1"/>
      <c r="B39" s="3">
        <v>42356</v>
      </c>
      <c r="C39" s="4">
        <v>47</v>
      </c>
      <c r="D39" s="4">
        <v>47</v>
      </c>
      <c r="E39" s="4">
        <v>4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47</v>
      </c>
      <c r="D40" s="4">
        <v>47</v>
      </c>
      <c r="E40" s="4">
        <v>1</v>
      </c>
      <c r="F40" s="4"/>
      <c r="G40" s="4"/>
      <c r="H40" s="5">
        <f t="shared" si="0"/>
        <v>0</v>
      </c>
    </row>
    <row r="41" spans="1:8" ht="13.5" x14ac:dyDescent="0.25">
      <c r="A41" s="1"/>
      <c r="B41" s="3">
        <v>42360</v>
      </c>
      <c r="C41" s="4">
        <v>47</v>
      </c>
      <c r="D41" s="4">
        <v>47</v>
      </c>
      <c r="E41" s="4">
        <v>0</v>
      </c>
      <c r="F41" s="4"/>
      <c r="G41" s="4"/>
      <c r="H41" s="5">
        <f t="shared" si="0"/>
        <v>0</v>
      </c>
    </row>
    <row r="42" spans="1:8" ht="13.5" x14ac:dyDescent="0.25">
      <c r="A42" s="1"/>
      <c r="B42" s="3">
        <v>42361</v>
      </c>
      <c r="C42" s="4">
        <v>47</v>
      </c>
      <c r="D42" s="4">
        <v>47</v>
      </c>
      <c r="E42" s="4">
        <v>0</v>
      </c>
      <c r="F42" s="4"/>
      <c r="G42" s="4"/>
      <c r="H42" s="5">
        <f t="shared" si="0"/>
        <v>0</v>
      </c>
    </row>
    <row r="43" spans="1:8" ht="13.5" x14ac:dyDescent="0.25">
      <c r="A43" s="1"/>
      <c r="B43" s="3">
        <v>42363</v>
      </c>
      <c r="C43" s="4">
        <v>47</v>
      </c>
      <c r="D43" s="4">
        <v>47</v>
      </c>
      <c r="E43" s="4">
        <v>0</v>
      </c>
      <c r="F43" s="4"/>
      <c r="G43" s="4"/>
      <c r="H43" s="5">
        <f t="shared" si="0"/>
        <v>0</v>
      </c>
    </row>
    <row r="44" spans="1:8" ht="13.5" x14ac:dyDescent="0.25">
      <c r="A44" s="1"/>
      <c r="B44" s="3">
        <v>42366</v>
      </c>
      <c r="C44" s="4">
        <v>44.89</v>
      </c>
      <c r="D44" s="4">
        <v>44.89</v>
      </c>
      <c r="E44" s="4">
        <v>4</v>
      </c>
      <c r="F44" s="4"/>
      <c r="G44" s="4"/>
      <c r="H44" s="5">
        <f t="shared" si="0"/>
        <v>-4.4893617021276581E-2</v>
      </c>
    </row>
    <row r="45" spans="1:8" ht="13.5" x14ac:dyDescent="0.25">
      <c r="A45" s="1"/>
      <c r="B45" s="3">
        <v>42367</v>
      </c>
      <c r="C45" s="4">
        <v>46.23</v>
      </c>
      <c r="D45" s="4">
        <v>46.23</v>
      </c>
      <c r="E45" s="4">
        <v>81</v>
      </c>
      <c r="F45" s="4"/>
      <c r="G45" s="4"/>
      <c r="H45" s="5">
        <f t="shared" si="0"/>
        <v>2.9850746268656633E-2</v>
      </c>
    </row>
    <row r="46" spans="1:8" ht="13.5" x14ac:dyDescent="0.25">
      <c r="A46" s="1"/>
      <c r="B46" s="3">
        <v>42368</v>
      </c>
      <c r="C46" s="4">
        <v>46.23</v>
      </c>
      <c r="D46" s="4">
        <v>46.23</v>
      </c>
      <c r="E46" s="4">
        <v>0</v>
      </c>
      <c r="F46" s="4"/>
      <c r="G46" s="4"/>
      <c r="H46" s="5">
        <f t="shared" si="0"/>
        <v>0</v>
      </c>
    </row>
    <row r="47" spans="1:8" ht="13.5" x14ac:dyDescent="0.25">
      <c r="A47" s="1"/>
      <c r="B47" s="3">
        <v>42369</v>
      </c>
      <c r="C47" s="4">
        <v>46.23</v>
      </c>
      <c r="D47" s="4">
        <v>46.23</v>
      </c>
      <c r="E47" s="4">
        <v>0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42373</v>
      </c>
      <c r="C48" s="4">
        <v>46.23</v>
      </c>
      <c r="D48" s="4">
        <v>46.23</v>
      </c>
      <c r="E48" s="4">
        <v>0</v>
      </c>
      <c r="F48" s="4"/>
      <c r="G48" s="4"/>
      <c r="H48" s="5">
        <f t="shared" si="0"/>
        <v>0</v>
      </c>
    </row>
    <row r="49" spans="1:8" ht="13.5" x14ac:dyDescent="0.25">
      <c r="A49" s="1"/>
      <c r="B49" s="3">
        <v>42374</v>
      </c>
      <c r="C49" s="4">
        <v>46.23</v>
      </c>
      <c r="D49" s="4">
        <v>46.23</v>
      </c>
      <c r="E49" s="4">
        <v>0</v>
      </c>
      <c r="F49" s="4"/>
      <c r="G49" s="4"/>
      <c r="H49" s="5">
        <f t="shared" si="0"/>
        <v>0</v>
      </c>
    </row>
    <row r="50" spans="1:8" ht="13.5" x14ac:dyDescent="0.25">
      <c r="A50" s="1"/>
      <c r="B50" s="3">
        <v>42375</v>
      </c>
      <c r="C50" s="4">
        <v>45.5</v>
      </c>
      <c r="D50" s="4">
        <v>45.5</v>
      </c>
      <c r="E50" s="4">
        <v>102</v>
      </c>
      <c r="F50" s="4"/>
      <c r="G50" s="4"/>
      <c r="H50" s="5">
        <f t="shared" si="0"/>
        <v>-1.5790612156608198E-2</v>
      </c>
    </row>
    <row r="51" spans="1:8" ht="13.5" x14ac:dyDescent="0.25">
      <c r="A51" s="1"/>
      <c r="B51" s="3">
        <v>42376</v>
      </c>
      <c r="C51" s="4">
        <v>45.98</v>
      </c>
      <c r="D51" s="4">
        <v>45.98</v>
      </c>
      <c r="E51" s="4">
        <v>149</v>
      </c>
      <c r="F51" s="4"/>
      <c r="G51" s="4"/>
      <c r="H51" s="5">
        <f t="shared" si="0"/>
        <v>1.054945054945048E-2</v>
      </c>
    </row>
    <row r="52" spans="1:8" ht="13.5" x14ac:dyDescent="0.25">
      <c r="A52" s="1"/>
      <c r="B52" s="3">
        <v>42377</v>
      </c>
      <c r="C52" s="4">
        <v>45.98</v>
      </c>
      <c r="D52" s="4">
        <v>45.98</v>
      </c>
      <c r="E52" s="4">
        <v>0</v>
      </c>
      <c r="F52" s="4"/>
      <c r="G52" s="4"/>
      <c r="H52" s="5">
        <f t="shared" si="0"/>
        <v>0</v>
      </c>
    </row>
    <row r="53" spans="1:8" ht="13.5" x14ac:dyDescent="0.25">
      <c r="A53" s="1"/>
      <c r="B53" s="3">
        <v>42380</v>
      </c>
      <c r="C53" s="4">
        <v>45.98</v>
      </c>
      <c r="D53" s="4">
        <v>45.98</v>
      </c>
      <c r="E53" s="4">
        <v>0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42381</v>
      </c>
      <c r="C54" s="4">
        <v>45.98</v>
      </c>
      <c r="D54" s="4">
        <v>45.98</v>
      </c>
      <c r="E54" s="4">
        <v>0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42382</v>
      </c>
      <c r="C55" s="4">
        <v>45.5</v>
      </c>
      <c r="D55" s="4">
        <v>45.5</v>
      </c>
      <c r="E55" s="4">
        <v>130</v>
      </c>
      <c r="F55" s="4"/>
      <c r="G55" s="4"/>
      <c r="H55" s="5">
        <f t="shared" si="0"/>
        <v>-1.0439321444106066E-2</v>
      </c>
    </row>
    <row r="56" spans="1:8" ht="13.5" x14ac:dyDescent="0.25">
      <c r="A56" s="1"/>
      <c r="B56" s="3">
        <v>42384</v>
      </c>
      <c r="C56" s="4">
        <v>45.5</v>
      </c>
      <c r="D56" s="4">
        <v>45.5</v>
      </c>
      <c r="E56" s="4">
        <v>130</v>
      </c>
      <c r="F56" s="4"/>
      <c r="G56" s="4"/>
      <c r="H56" s="5">
        <f t="shared" si="0"/>
        <v>0</v>
      </c>
    </row>
    <row r="57" spans="1:8" ht="13.5" x14ac:dyDescent="0.25">
      <c r="A57" s="1"/>
      <c r="B57" s="3">
        <v>42387</v>
      </c>
      <c r="C57" s="4">
        <v>45.5</v>
      </c>
      <c r="D57" s="4">
        <v>45.5</v>
      </c>
      <c r="E57" s="4">
        <v>1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42388</v>
      </c>
      <c r="C58" s="4">
        <v>45.5</v>
      </c>
      <c r="D58" s="4">
        <v>45.5</v>
      </c>
      <c r="E58" s="4">
        <v>70</v>
      </c>
      <c r="F58" s="4"/>
      <c r="G58" s="4"/>
      <c r="H58" s="5">
        <f t="shared" si="0"/>
        <v>0</v>
      </c>
    </row>
    <row r="59" spans="1:8" ht="13.5" x14ac:dyDescent="0.25">
      <c r="A59" s="1"/>
      <c r="B59" s="3">
        <v>42389</v>
      </c>
      <c r="C59" s="4">
        <v>45.5</v>
      </c>
      <c r="D59" s="4">
        <v>45.5</v>
      </c>
      <c r="E59" s="4">
        <v>0</v>
      </c>
      <c r="F59" s="4"/>
      <c r="G59" s="4"/>
      <c r="H59" s="5">
        <f t="shared" si="0"/>
        <v>0</v>
      </c>
    </row>
    <row r="60" spans="1:8" ht="13.5" x14ac:dyDescent="0.25">
      <c r="A60" s="1"/>
      <c r="B60" s="3">
        <v>42390</v>
      </c>
      <c r="C60" s="4">
        <v>45.5</v>
      </c>
      <c r="D60" s="4">
        <v>45.5</v>
      </c>
      <c r="E60" s="4">
        <v>0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45.4</v>
      </c>
      <c r="D61" s="4">
        <v>45.4</v>
      </c>
      <c r="E61" s="4">
        <v>4</v>
      </c>
      <c r="F61" s="4"/>
      <c r="G61" s="4"/>
      <c r="H61" s="5">
        <f t="shared" si="0"/>
        <v>-2.197802197802229E-3</v>
      </c>
    </row>
    <row r="62" spans="1:8" ht="13.5" x14ac:dyDescent="0.25">
      <c r="A62" s="1"/>
      <c r="B62" s="3">
        <v>42394</v>
      </c>
      <c r="C62" s="4">
        <v>45.4</v>
      </c>
      <c r="D62" s="4">
        <v>45.4</v>
      </c>
      <c r="E62" s="4">
        <v>0</v>
      </c>
      <c r="F62" s="4"/>
      <c r="G62" s="4"/>
      <c r="H62" s="5">
        <f t="shared" si="0"/>
        <v>0</v>
      </c>
    </row>
    <row r="63" spans="1:8" ht="13.5" x14ac:dyDescent="0.25">
      <c r="A63" s="1"/>
      <c r="B63" s="3">
        <v>42395</v>
      </c>
      <c r="C63" s="4">
        <v>45.4</v>
      </c>
      <c r="D63" s="4">
        <v>45.4</v>
      </c>
      <c r="E63" s="4">
        <v>0</v>
      </c>
      <c r="F63" s="4"/>
      <c r="G63" s="4"/>
      <c r="H63" s="5">
        <f t="shared" si="0"/>
        <v>0</v>
      </c>
    </row>
    <row r="64" spans="1:8" ht="13.5" x14ac:dyDescent="0.25">
      <c r="A64" s="1"/>
      <c r="B64" s="3">
        <v>42396</v>
      </c>
      <c r="C64" s="4">
        <v>45.4</v>
      </c>
      <c r="D64" s="4">
        <v>45.4</v>
      </c>
      <c r="E64" s="4">
        <v>0</v>
      </c>
      <c r="F64" s="4"/>
      <c r="G64" s="4"/>
      <c r="H64" s="5">
        <f t="shared" si="0"/>
        <v>0</v>
      </c>
    </row>
    <row r="65" spans="1:8" ht="13.5" x14ac:dyDescent="0.25">
      <c r="A65" s="1"/>
      <c r="B65" s="3">
        <v>42397</v>
      </c>
      <c r="C65" s="4">
        <v>45.4</v>
      </c>
      <c r="D65" s="4">
        <v>45.4</v>
      </c>
      <c r="E65" s="4">
        <v>0</v>
      </c>
      <c r="F65" s="4"/>
      <c r="G65" s="4"/>
      <c r="H65" s="5">
        <f t="shared" si="0"/>
        <v>0</v>
      </c>
    </row>
    <row r="66" spans="1:8" ht="13.5" x14ac:dyDescent="0.25">
      <c r="A66" s="1"/>
      <c r="B66" s="3">
        <v>42398</v>
      </c>
      <c r="C66" s="4">
        <v>45.4</v>
      </c>
      <c r="D66" s="4">
        <v>45.4</v>
      </c>
      <c r="E66" s="4">
        <v>0</v>
      </c>
      <c r="F66" s="4"/>
      <c r="G66" s="4"/>
      <c r="H66" s="5">
        <f t="shared" si="0"/>
        <v>0</v>
      </c>
    </row>
    <row r="67" spans="1:8" ht="13.5" x14ac:dyDescent="0.25">
      <c r="A67" s="1"/>
      <c r="B67" s="3">
        <v>42401</v>
      </c>
      <c r="C67" s="4">
        <v>45.4</v>
      </c>
      <c r="D67" s="4">
        <v>45.4</v>
      </c>
      <c r="E67" s="4">
        <v>0</v>
      </c>
      <c r="F67" s="4"/>
      <c r="G67" s="4"/>
      <c r="H67" s="5">
        <f t="shared" si="0"/>
        <v>0</v>
      </c>
    </row>
    <row r="68" spans="1:8" ht="13.5" x14ac:dyDescent="0.25">
      <c r="A68" s="1"/>
      <c r="B68" s="3">
        <v>42402</v>
      </c>
      <c r="C68" s="4">
        <v>44.12</v>
      </c>
      <c r="D68" s="4">
        <v>44.12</v>
      </c>
      <c r="E68" s="4">
        <v>42</v>
      </c>
      <c r="F68" s="4"/>
      <c r="G68" s="4"/>
      <c r="H68" s="5">
        <f t="shared" si="0"/>
        <v>-2.8193832599118968E-2</v>
      </c>
    </row>
    <row r="69" spans="1:8" ht="13.5" x14ac:dyDescent="0.25">
      <c r="A69" s="1"/>
      <c r="B69" s="3">
        <v>42403</v>
      </c>
      <c r="C69" s="4">
        <v>44.1</v>
      </c>
      <c r="D69" s="4">
        <v>44.1</v>
      </c>
      <c r="E69" s="4">
        <v>31</v>
      </c>
      <c r="F69" s="4"/>
      <c r="G69" s="4"/>
      <c r="H69" s="5">
        <f t="shared" si="0"/>
        <v>-4.5330915684487812E-4</v>
      </c>
    </row>
    <row r="70" spans="1:8" ht="13.5" x14ac:dyDescent="0.25">
      <c r="A70" s="1"/>
      <c r="B70" s="3">
        <v>42404</v>
      </c>
      <c r="C70" s="4">
        <v>44.1</v>
      </c>
      <c r="D70" s="4">
        <v>44.1</v>
      </c>
      <c r="E70" s="4">
        <v>69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42405</v>
      </c>
      <c r="C71" s="4">
        <v>44.1</v>
      </c>
      <c r="D71" s="4">
        <v>44.1</v>
      </c>
      <c r="E71" s="4">
        <v>3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44.1</v>
      </c>
      <c r="D72" s="4">
        <v>44.1</v>
      </c>
      <c r="E72" s="4">
        <v>0</v>
      </c>
      <c r="F72" s="4"/>
      <c r="G72" s="4"/>
      <c r="H72" s="5">
        <f t="shared" si="1"/>
        <v>0</v>
      </c>
    </row>
    <row r="73" spans="1:8" ht="13.5" x14ac:dyDescent="0.25">
      <c r="A73" s="1"/>
      <c r="B73" s="3">
        <v>42409</v>
      </c>
      <c r="C73" s="4">
        <v>44.1</v>
      </c>
      <c r="D73" s="4">
        <v>44.1</v>
      </c>
      <c r="E73" s="4">
        <v>0</v>
      </c>
      <c r="F73" s="4"/>
      <c r="G73" s="4"/>
      <c r="H73" s="5">
        <f t="shared" si="1"/>
        <v>0</v>
      </c>
    </row>
    <row r="74" spans="1:8" ht="13.5" x14ac:dyDescent="0.25">
      <c r="A74" s="1"/>
      <c r="B74" s="3">
        <v>42410</v>
      </c>
      <c r="C74" s="4">
        <v>44.1</v>
      </c>
      <c r="D74" s="4">
        <v>44.1</v>
      </c>
      <c r="E74" s="4">
        <v>0</v>
      </c>
      <c r="F74" s="4"/>
      <c r="G74" s="4"/>
      <c r="H74" s="5">
        <f t="shared" si="1"/>
        <v>0</v>
      </c>
    </row>
    <row r="75" spans="1:8" ht="13.5" x14ac:dyDescent="0.25">
      <c r="A75" s="1"/>
      <c r="B75" s="3">
        <v>42411</v>
      </c>
      <c r="C75" s="4">
        <v>44.1</v>
      </c>
      <c r="D75" s="4">
        <v>44.1</v>
      </c>
      <c r="E75" s="4">
        <v>0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44.1</v>
      </c>
      <c r="D76" s="4">
        <v>44.1</v>
      </c>
      <c r="E76" s="4">
        <v>0</v>
      </c>
      <c r="F76" s="4"/>
      <c r="G76" s="4"/>
      <c r="H76" s="5">
        <f t="shared" si="1"/>
        <v>0</v>
      </c>
    </row>
    <row r="77" spans="1:8" ht="13.5" x14ac:dyDescent="0.25">
      <c r="A77" s="1"/>
      <c r="B77" s="3">
        <v>42415</v>
      </c>
      <c r="C77" s="4">
        <v>44.1</v>
      </c>
      <c r="D77" s="4">
        <v>44.1</v>
      </c>
      <c r="E77" s="4">
        <v>0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44.1</v>
      </c>
      <c r="D78" s="4">
        <v>44.1</v>
      </c>
      <c r="E78" s="4">
        <v>0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44.3</v>
      </c>
      <c r="D79" s="4">
        <v>44.3</v>
      </c>
      <c r="E79" s="4">
        <v>1</v>
      </c>
      <c r="F79" s="4"/>
      <c r="G79" s="4"/>
      <c r="H79" s="5">
        <f t="shared" si="1"/>
        <v>4.5351473922901524E-3</v>
      </c>
    </row>
    <row r="80" spans="1:8" ht="13.5" x14ac:dyDescent="0.25">
      <c r="A80" s="1"/>
      <c r="B80" s="3">
        <v>42418</v>
      </c>
      <c r="C80" s="4">
        <v>44.3</v>
      </c>
      <c r="D80" s="4">
        <v>44.3</v>
      </c>
      <c r="E80" s="4">
        <v>0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44.3</v>
      </c>
      <c r="D81" s="4">
        <v>44.3</v>
      </c>
      <c r="E81" s="4">
        <v>0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43</v>
      </c>
      <c r="D82" s="4">
        <v>43</v>
      </c>
      <c r="E82" s="4">
        <v>6</v>
      </c>
      <c r="F82" s="4"/>
      <c r="G82" s="4"/>
      <c r="H82" s="5">
        <f t="shared" si="1"/>
        <v>-2.9345372460496552E-2</v>
      </c>
    </row>
    <row r="83" spans="1:8" ht="13.5" x14ac:dyDescent="0.25">
      <c r="A83" s="1"/>
      <c r="B83" s="3">
        <v>42423</v>
      </c>
      <c r="C83" s="4">
        <v>43</v>
      </c>
      <c r="D83" s="4">
        <v>43</v>
      </c>
      <c r="E83" s="4">
        <v>0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43</v>
      </c>
      <c r="D84" s="4">
        <v>43</v>
      </c>
      <c r="E84" s="4">
        <v>2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43</v>
      </c>
      <c r="D85" s="4">
        <v>43</v>
      </c>
      <c r="E85" s="4">
        <v>0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43</v>
      </c>
      <c r="D86" s="4">
        <v>43</v>
      </c>
      <c r="E86" s="4">
        <v>0</v>
      </c>
      <c r="F86" s="4"/>
      <c r="G86" s="4"/>
      <c r="H86" s="5">
        <f t="shared" si="1"/>
        <v>0</v>
      </c>
    </row>
    <row r="87" spans="1:8" ht="13.5" x14ac:dyDescent="0.25">
      <c r="A87" s="1"/>
      <c r="B87" s="3">
        <v>42429</v>
      </c>
      <c r="C87" s="4">
        <v>43</v>
      </c>
      <c r="D87" s="4">
        <v>43</v>
      </c>
      <c r="E87" s="4">
        <v>0</v>
      </c>
      <c r="F87" s="4"/>
      <c r="G87" s="4"/>
      <c r="H87" s="5">
        <f t="shared" si="1"/>
        <v>0</v>
      </c>
    </row>
    <row r="88" spans="1:8" ht="13.5" x14ac:dyDescent="0.25">
      <c r="A88" s="1"/>
      <c r="B88" s="3">
        <v>42430</v>
      </c>
      <c r="C88" s="4">
        <v>43</v>
      </c>
      <c r="D88" s="4">
        <v>43</v>
      </c>
      <c r="E88" s="4">
        <v>4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42431</v>
      </c>
      <c r="C89" s="4">
        <v>43</v>
      </c>
      <c r="D89" s="4">
        <v>43</v>
      </c>
      <c r="E89" s="4">
        <v>0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42432</v>
      </c>
      <c r="C90" s="4">
        <v>43</v>
      </c>
      <c r="D90" s="4">
        <v>43</v>
      </c>
      <c r="E90" s="4">
        <v>3</v>
      </c>
      <c r="F90" s="4"/>
      <c r="G90" s="4"/>
      <c r="H90" s="5">
        <f t="shared" si="1"/>
        <v>0</v>
      </c>
    </row>
    <row r="91" spans="1:8" ht="13.5" x14ac:dyDescent="0.25">
      <c r="A91" s="1"/>
      <c r="B91" s="3">
        <v>42433</v>
      </c>
      <c r="C91" s="4">
        <v>43</v>
      </c>
      <c r="D91" s="4">
        <v>43</v>
      </c>
      <c r="E91" s="4">
        <v>712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42436</v>
      </c>
      <c r="C92" s="4">
        <v>43</v>
      </c>
      <c r="D92" s="4">
        <v>43</v>
      </c>
      <c r="E92" s="4">
        <v>0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43</v>
      </c>
      <c r="D93" s="4">
        <v>43</v>
      </c>
      <c r="E93" s="4">
        <v>0</v>
      </c>
      <c r="F93" s="4"/>
      <c r="G93" s="4"/>
      <c r="H93" s="5">
        <f t="shared" si="1"/>
        <v>0</v>
      </c>
    </row>
    <row r="94" spans="1:8" ht="13.5" x14ac:dyDescent="0.25">
      <c r="A94" s="1"/>
      <c r="B94" s="3">
        <v>42438</v>
      </c>
      <c r="C94" s="4">
        <v>43</v>
      </c>
      <c r="D94" s="4">
        <v>43</v>
      </c>
      <c r="E94" s="4">
        <v>0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43</v>
      </c>
      <c r="D95" s="4">
        <v>43</v>
      </c>
      <c r="E95" s="4">
        <v>0</v>
      </c>
      <c r="F95" s="4"/>
      <c r="G95" s="4"/>
      <c r="H95" s="5">
        <f t="shared" si="1"/>
        <v>0</v>
      </c>
    </row>
    <row r="96" spans="1:8" ht="13.5" x14ac:dyDescent="0.25">
      <c r="A96" s="1"/>
      <c r="B96" s="3">
        <v>42440</v>
      </c>
      <c r="C96" s="4">
        <v>43</v>
      </c>
      <c r="D96" s="4">
        <v>43</v>
      </c>
      <c r="E96" s="4">
        <v>0</v>
      </c>
      <c r="F96" s="4"/>
      <c r="G96" s="4"/>
      <c r="H96" s="5">
        <f t="shared" si="1"/>
        <v>0</v>
      </c>
    </row>
    <row r="97" spans="1:8" ht="13.5" x14ac:dyDescent="0.25">
      <c r="A97" s="1"/>
      <c r="B97" s="3">
        <v>42443</v>
      </c>
      <c r="C97" s="4">
        <v>43</v>
      </c>
      <c r="D97" s="4">
        <v>43</v>
      </c>
      <c r="E97" s="4">
        <v>0</v>
      </c>
      <c r="F97" s="4"/>
      <c r="G97" s="4"/>
      <c r="H97" s="5">
        <f t="shared" si="1"/>
        <v>0</v>
      </c>
    </row>
    <row r="98" spans="1:8" ht="13.5" x14ac:dyDescent="0.25">
      <c r="A98" s="1"/>
      <c r="B98" s="3">
        <v>42444</v>
      </c>
      <c r="C98" s="4">
        <v>43</v>
      </c>
      <c r="D98" s="4">
        <v>43</v>
      </c>
      <c r="E98" s="4">
        <v>0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44.29</v>
      </c>
      <c r="D99" s="4">
        <v>44.29</v>
      </c>
      <c r="E99" s="4">
        <v>0</v>
      </c>
      <c r="F99" s="4"/>
      <c r="G99" s="4"/>
      <c r="H99" s="5">
        <f t="shared" si="1"/>
        <v>2.9999999999999982E-2</v>
      </c>
    </row>
    <row r="100" spans="1:8" ht="13.5" x14ac:dyDescent="0.25">
      <c r="A100" s="1"/>
      <c r="B100" s="3">
        <v>42446</v>
      </c>
      <c r="C100" s="4">
        <v>46.28</v>
      </c>
      <c r="D100" s="4">
        <v>46.28</v>
      </c>
      <c r="E100" s="4">
        <v>9</v>
      </c>
      <c r="F100" s="4"/>
      <c r="G100" s="4"/>
      <c r="H100" s="5">
        <f t="shared" si="1"/>
        <v>4.4931135696545541E-2</v>
      </c>
    </row>
    <row r="101" spans="1:8" ht="13.5" x14ac:dyDescent="0.25">
      <c r="A101" s="1"/>
      <c r="B101" s="3">
        <v>42447</v>
      </c>
      <c r="C101" s="4">
        <v>47</v>
      </c>
      <c r="D101" s="4">
        <v>47</v>
      </c>
      <c r="E101" s="4">
        <v>1</v>
      </c>
      <c r="F101" s="4"/>
      <c r="G101" s="4"/>
      <c r="H101" s="5">
        <f t="shared" si="1"/>
        <v>1.555747623163351E-2</v>
      </c>
    </row>
    <row r="102" spans="1:8" ht="13.5" x14ac:dyDescent="0.25">
      <c r="A102" s="1"/>
      <c r="B102" s="3">
        <v>42450</v>
      </c>
      <c r="C102" s="4">
        <v>46.7</v>
      </c>
      <c r="D102" s="4">
        <v>46.7</v>
      </c>
      <c r="E102" s="4">
        <v>200</v>
      </c>
      <c r="F102" s="4"/>
      <c r="G102" s="4"/>
      <c r="H102" s="5">
        <f t="shared" si="1"/>
        <v>-6.3829787234041951E-3</v>
      </c>
    </row>
    <row r="103" spans="1:8" ht="13.5" x14ac:dyDescent="0.25">
      <c r="A103" s="1"/>
      <c r="B103" s="3">
        <v>42451</v>
      </c>
      <c r="C103" s="4">
        <v>46.7</v>
      </c>
      <c r="D103" s="4">
        <v>46.7</v>
      </c>
      <c r="E103" s="4">
        <v>0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46.7</v>
      </c>
      <c r="D104" s="4">
        <v>46.7</v>
      </c>
      <c r="E104" s="4">
        <v>3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46.7</v>
      </c>
      <c r="D105" s="4">
        <v>46.7</v>
      </c>
      <c r="E105" s="4">
        <v>0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42454</v>
      </c>
      <c r="C106" s="4">
        <v>46.7</v>
      </c>
      <c r="D106" s="4">
        <v>46.7</v>
      </c>
      <c r="E106" s="4">
        <v>1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46.7</v>
      </c>
      <c r="D107" s="4">
        <v>46.7</v>
      </c>
      <c r="E107" s="4">
        <v>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46.7</v>
      </c>
      <c r="D108" s="4">
        <v>46.7</v>
      </c>
      <c r="E108" s="4">
        <v>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44.6</v>
      </c>
      <c r="D109" s="4">
        <v>44.6</v>
      </c>
      <c r="E109" s="4">
        <v>0</v>
      </c>
      <c r="F109" s="4"/>
      <c r="G109" s="4"/>
      <c r="H109" s="5">
        <f t="shared" si="1"/>
        <v>-4.4967880085653132E-2</v>
      </c>
    </row>
    <row r="110" spans="1:8" ht="13.5" x14ac:dyDescent="0.25">
      <c r="A110" s="1"/>
      <c r="B110" s="3">
        <v>42460</v>
      </c>
      <c r="C110" s="4">
        <v>42.6</v>
      </c>
      <c r="D110" s="4">
        <v>42.6</v>
      </c>
      <c r="E110" s="4">
        <v>10</v>
      </c>
      <c r="F110" s="4"/>
      <c r="G110" s="4"/>
      <c r="H110" s="5">
        <f t="shared" si="1"/>
        <v>-4.4843049327354258E-2</v>
      </c>
    </row>
    <row r="111" spans="1:8" ht="13.5" x14ac:dyDescent="0.25">
      <c r="A111" s="1"/>
      <c r="B111" s="3">
        <v>42461</v>
      </c>
      <c r="C111" s="4">
        <v>42.6</v>
      </c>
      <c r="D111" s="4">
        <v>42.6</v>
      </c>
      <c r="E111" s="4">
        <v>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42.6</v>
      </c>
      <c r="D112" s="4">
        <v>42.6</v>
      </c>
      <c r="E112" s="4">
        <v>0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42.6</v>
      </c>
      <c r="D113" s="4">
        <v>42.6</v>
      </c>
      <c r="E113" s="4">
        <v>10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42.6</v>
      </c>
      <c r="D114" s="4">
        <v>42.6</v>
      </c>
      <c r="E114" s="4">
        <v>0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42.6</v>
      </c>
      <c r="D115" s="4">
        <v>42.6</v>
      </c>
      <c r="E115" s="4">
        <v>0</v>
      </c>
      <c r="F115" s="4"/>
      <c r="G115" s="4"/>
      <c r="H115" s="5">
        <f t="shared" si="1"/>
        <v>0</v>
      </c>
    </row>
    <row r="116" spans="1:8" ht="13.5" x14ac:dyDescent="0.25">
      <c r="A116" s="1"/>
      <c r="B116" s="3">
        <v>42468</v>
      </c>
      <c r="C116" s="4">
        <v>42.6</v>
      </c>
      <c r="D116" s="4">
        <v>42.6</v>
      </c>
      <c r="E116" s="4">
        <v>0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42.6</v>
      </c>
      <c r="D117" s="4">
        <v>42.6</v>
      </c>
      <c r="E117" s="4">
        <v>0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42472</v>
      </c>
      <c r="C118" s="4">
        <v>42.6</v>
      </c>
      <c r="D118" s="4">
        <v>42.6</v>
      </c>
      <c r="E118" s="4">
        <v>0</v>
      </c>
      <c r="F118" s="4"/>
      <c r="G118" s="4"/>
      <c r="H118" s="5">
        <f t="shared" si="1"/>
        <v>0</v>
      </c>
    </row>
    <row r="119" spans="1:8" ht="13.5" x14ac:dyDescent="0.25">
      <c r="A119" s="1"/>
      <c r="B119" s="3">
        <v>42473</v>
      </c>
      <c r="C119" s="4">
        <v>42.6</v>
      </c>
      <c r="D119" s="4">
        <v>42.6</v>
      </c>
      <c r="E119" s="4">
        <v>0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41</v>
      </c>
      <c r="D120" s="4">
        <v>41</v>
      </c>
      <c r="E120" s="4">
        <v>10</v>
      </c>
      <c r="F120" s="4"/>
      <c r="G120" s="4"/>
      <c r="H120" s="5">
        <f t="shared" si="1"/>
        <v>-3.7558685446009425E-2</v>
      </c>
    </row>
    <row r="121" spans="1:8" ht="13.5" x14ac:dyDescent="0.25">
      <c r="A121" s="1"/>
      <c r="B121" s="3">
        <v>42475</v>
      </c>
      <c r="C121" s="4">
        <v>41</v>
      </c>
      <c r="D121" s="4">
        <v>41</v>
      </c>
      <c r="E121" s="4">
        <v>0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39.770000000000003</v>
      </c>
      <c r="D122" s="4">
        <v>39.770000000000003</v>
      </c>
      <c r="E122" s="4">
        <v>0</v>
      </c>
      <c r="F122" s="4"/>
      <c r="G122" s="4"/>
      <c r="H122" s="5">
        <f t="shared" si="1"/>
        <v>-2.9999999999999923E-2</v>
      </c>
    </row>
    <row r="123" spans="1:8" ht="13.5" x14ac:dyDescent="0.25">
      <c r="A123" s="1"/>
      <c r="B123" s="3">
        <v>42479</v>
      </c>
      <c r="C123" s="4">
        <v>39.770000000000003</v>
      </c>
      <c r="D123" s="4">
        <v>39.770000000000003</v>
      </c>
      <c r="E123" s="4">
        <v>0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42480</v>
      </c>
      <c r="C124" s="4">
        <v>39.770000000000003</v>
      </c>
      <c r="D124" s="4">
        <v>39.770000000000003</v>
      </c>
      <c r="E124" s="4">
        <v>0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39.770000000000003</v>
      </c>
      <c r="D125" s="4">
        <v>39.770000000000003</v>
      </c>
      <c r="E125" s="4">
        <v>0</v>
      </c>
      <c r="F125" s="4"/>
      <c r="G125" s="4"/>
      <c r="H125" s="5">
        <f t="shared" si="1"/>
        <v>0</v>
      </c>
    </row>
    <row r="126" spans="1:8" ht="13.5" x14ac:dyDescent="0.25">
      <c r="A126" s="1"/>
      <c r="B126" s="3">
        <v>42482</v>
      </c>
      <c r="C126" s="4">
        <v>39.770000000000003</v>
      </c>
      <c r="D126" s="4">
        <v>39.770000000000003</v>
      </c>
      <c r="E126" s="4">
        <v>0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39.770000000000003</v>
      </c>
      <c r="D127" s="4">
        <v>39.770000000000003</v>
      </c>
      <c r="E127" s="4">
        <v>721</v>
      </c>
      <c r="F127" s="4"/>
      <c r="G127" s="4"/>
      <c r="H127" s="5">
        <f t="shared" si="1"/>
        <v>0</v>
      </c>
    </row>
    <row r="128" spans="1:8" ht="13.5" x14ac:dyDescent="0.25">
      <c r="A128" s="1"/>
      <c r="B128" s="3">
        <v>42486</v>
      </c>
      <c r="C128" s="4">
        <v>39.770000000000003</v>
      </c>
      <c r="D128" s="4">
        <v>39.770000000000003</v>
      </c>
      <c r="E128" s="4">
        <v>0</v>
      </c>
      <c r="F128" s="4"/>
      <c r="G128" s="4"/>
      <c r="H128" s="5">
        <f t="shared" si="1"/>
        <v>0</v>
      </c>
    </row>
    <row r="129" spans="1:8" ht="13.5" x14ac:dyDescent="0.25">
      <c r="A129" s="1"/>
      <c r="B129" s="3">
        <v>42487</v>
      </c>
      <c r="C129" s="4">
        <v>39.770000000000003</v>
      </c>
      <c r="D129" s="4">
        <v>39.770000000000003</v>
      </c>
      <c r="E129" s="4">
        <v>0</v>
      </c>
      <c r="F129" s="4"/>
      <c r="G129" s="4"/>
      <c r="H129" s="5">
        <f t="shared" si="1"/>
        <v>0</v>
      </c>
    </row>
    <row r="130" spans="1:8" ht="13.5" x14ac:dyDescent="0.25">
      <c r="A130" s="1"/>
      <c r="B130" s="3">
        <v>42488</v>
      </c>
      <c r="C130" s="4">
        <v>39.770000000000003</v>
      </c>
      <c r="D130" s="4">
        <v>39.770000000000003</v>
      </c>
      <c r="E130" s="4">
        <v>0</v>
      </c>
      <c r="F130" s="4"/>
      <c r="G130" s="4"/>
      <c r="H130" s="5">
        <f t="shared" si="1"/>
        <v>0</v>
      </c>
    </row>
    <row r="131" spans="1:8" ht="13.5" x14ac:dyDescent="0.25">
      <c r="A131" s="1"/>
      <c r="B131" s="3">
        <v>42489</v>
      </c>
      <c r="C131" s="4">
        <v>39.770000000000003</v>
      </c>
      <c r="D131" s="4">
        <v>39.770000000000003</v>
      </c>
      <c r="E131" s="4">
        <v>0</v>
      </c>
      <c r="F131" s="4"/>
      <c r="G131" s="4"/>
      <c r="H131" s="5">
        <f t="shared" si="1"/>
        <v>0</v>
      </c>
    </row>
    <row r="132" spans="1:8" ht="13.5" x14ac:dyDescent="0.25">
      <c r="A132" s="1"/>
      <c r="B132" s="3">
        <v>42492</v>
      </c>
      <c r="C132" s="4">
        <v>39.770000000000003</v>
      </c>
      <c r="D132" s="4">
        <v>39.770000000000003</v>
      </c>
      <c r="E132" s="4">
        <v>0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42493</v>
      </c>
      <c r="C133" s="4">
        <v>39.770000000000003</v>
      </c>
      <c r="D133" s="4">
        <v>39.770000000000003</v>
      </c>
      <c r="E133" s="4">
        <v>0</v>
      </c>
      <c r="F133" s="4"/>
      <c r="G133" s="4"/>
      <c r="H133" s="5">
        <f t="shared" si="1"/>
        <v>0</v>
      </c>
    </row>
    <row r="134" spans="1:8" ht="13.5" x14ac:dyDescent="0.25">
      <c r="A134" s="1"/>
      <c r="B134" s="3">
        <v>42494</v>
      </c>
      <c r="C134" s="4">
        <v>39.770000000000003</v>
      </c>
      <c r="D134" s="4">
        <v>39.770000000000003</v>
      </c>
      <c r="E134" s="4">
        <v>0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39.770000000000003</v>
      </c>
      <c r="D135" s="4">
        <v>39.770000000000003</v>
      </c>
      <c r="E135" s="4">
        <v>0</v>
      </c>
      <c r="F135" s="4"/>
      <c r="G135" s="4"/>
      <c r="H135" s="5">
        <f t="shared" ref="H135:H198" si="2">(D135-D134)/D134</f>
        <v>0</v>
      </c>
    </row>
    <row r="136" spans="1:8" ht="13.5" x14ac:dyDescent="0.25">
      <c r="A136" s="1"/>
      <c r="B136" s="3">
        <v>42496</v>
      </c>
      <c r="C136" s="4">
        <v>39.770000000000003</v>
      </c>
      <c r="D136" s="4">
        <v>39.770000000000003</v>
      </c>
      <c r="E136" s="4">
        <v>0</v>
      </c>
      <c r="F136" s="4"/>
      <c r="G136" s="4"/>
      <c r="H136" s="5">
        <f t="shared" si="2"/>
        <v>0</v>
      </c>
    </row>
    <row r="137" spans="1:8" ht="13.5" x14ac:dyDescent="0.25">
      <c r="A137" s="1"/>
      <c r="B137" s="3">
        <v>42499</v>
      </c>
      <c r="C137" s="4">
        <v>39.770000000000003</v>
      </c>
      <c r="D137" s="4">
        <v>39.770000000000003</v>
      </c>
      <c r="E137" s="4">
        <v>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39.770000000000003</v>
      </c>
      <c r="D138" s="4">
        <v>39.770000000000003</v>
      </c>
      <c r="E138" s="4">
        <v>0</v>
      </c>
      <c r="F138" s="4"/>
      <c r="G138" s="4"/>
      <c r="H138" s="5">
        <f t="shared" si="2"/>
        <v>0</v>
      </c>
    </row>
    <row r="139" spans="1:8" ht="13.5" x14ac:dyDescent="0.25">
      <c r="A139" s="1"/>
      <c r="B139" s="3">
        <v>42501</v>
      </c>
      <c r="C139" s="4">
        <v>39.6</v>
      </c>
      <c r="D139" s="4">
        <v>39.6</v>
      </c>
      <c r="E139" s="4">
        <v>38</v>
      </c>
      <c r="F139" s="4"/>
      <c r="G139" s="4"/>
      <c r="H139" s="5">
        <f t="shared" si="2"/>
        <v>-4.2745788282625517E-3</v>
      </c>
    </row>
    <row r="140" spans="1:8" ht="13.5" x14ac:dyDescent="0.25">
      <c r="A140" s="1"/>
      <c r="B140" s="3">
        <v>42502</v>
      </c>
      <c r="C140" s="4">
        <v>39.6</v>
      </c>
      <c r="D140" s="4">
        <v>39.6</v>
      </c>
      <c r="E140" s="4">
        <v>0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42503</v>
      </c>
      <c r="C141" s="4">
        <v>39.49</v>
      </c>
      <c r="D141" s="4">
        <v>39.49</v>
      </c>
      <c r="E141" s="4">
        <v>21</v>
      </c>
      <c r="F141" s="4"/>
      <c r="G141" s="4"/>
      <c r="H141" s="5">
        <f t="shared" si="2"/>
        <v>-2.7777777777777631E-3</v>
      </c>
    </row>
    <row r="142" spans="1:8" ht="13.5" x14ac:dyDescent="0.25">
      <c r="A142" s="1"/>
      <c r="B142" s="3">
        <v>42506</v>
      </c>
      <c r="C142" s="4">
        <v>37.72</v>
      </c>
      <c r="D142" s="4">
        <v>37.72</v>
      </c>
      <c r="E142" s="4">
        <v>0</v>
      </c>
      <c r="F142" s="4"/>
      <c r="G142" s="4"/>
      <c r="H142" s="5">
        <f t="shared" si="2"/>
        <v>-4.4821473790833198E-2</v>
      </c>
    </row>
    <row r="143" spans="1:8" ht="13.5" x14ac:dyDescent="0.25">
      <c r="A143" s="1"/>
      <c r="B143" s="3">
        <v>42507</v>
      </c>
      <c r="C143" s="4">
        <v>36.03</v>
      </c>
      <c r="D143" s="4">
        <v>36.03</v>
      </c>
      <c r="E143" s="4">
        <v>4</v>
      </c>
      <c r="F143" s="4"/>
      <c r="G143" s="4"/>
      <c r="H143" s="5">
        <f t="shared" si="2"/>
        <v>-4.4803817603393366E-2</v>
      </c>
    </row>
    <row r="144" spans="1:8" ht="13.5" x14ac:dyDescent="0.25">
      <c r="A144" s="1"/>
      <c r="B144" s="3">
        <v>42508</v>
      </c>
      <c r="C144" s="4">
        <v>37.11</v>
      </c>
      <c r="D144" s="4">
        <v>37.11</v>
      </c>
      <c r="E144" s="4">
        <v>0</v>
      </c>
      <c r="F144" s="4"/>
      <c r="G144" s="4"/>
      <c r="H144" s="5">
        <f t="shared" si="2"/>
        <v>2.997502081598663E-2</v>
      </c>
    </row>
    <row r="145" spans="1:8" ht="13.5" x14ac:dyDescent="0.25">
      <c r="A145" s="1"/>
      <c r="B145" s="3">
        <v>42509</v>
      </c>
      <c r="C145" s="4">
        <v>37.6</v>
      </c>
      <c r="D145" s="4">
        <v>37.6</v>
      </c>
      <c r="E145" s="4">
        <v>3</v>
      </c>
      <c r="F145" s="4"/>
      <c r="G145" s="4"/>
      <c r="H145" s="5">
        <f t="shared" si="2"/>
        <v>1.320398814335764E-2</v>
      </c>
    </row>
    <row r="146" spans="1:8" ht="13.5" x14ac:dyDescent="0.25">
      <c r="A146" s="1"/>
      <c r="B146" s="3">
        <v>42510</v>
      </c>
      <c r="C146" s="4">
        <v>35.909999999999997</v>
      </c>
      <c r="D146" s="4">
        <v>35.909999999999997</v>
      </c>
      <c r="E146" s="4">
        <v>10</v>
      </c>
      <c r="F146" s="4"/>
      <c r="G146" s="4"/>
      <c r="H146" s="5">
        <f t="shared" si="2"/>
        <v>-4.4946808510638425E-2</v>
      </c>
    </row>
    <row r="147" spans="1:8" ht="13.5" x14ac:dyDescent="0.25">
      <c r="A147" s="1"/>
      <c r="B147" s="3">
        <v>42513</v>
      </c>
      <c r="C147" s="4">
        <v>35.909999999999997</v>
      </c>
      <c r="D147" s="4">
        <v>35.909999999999997</v>
      </c>
      <c r="E147" s="4">
        <v>0</v>
      </c>
      <c r="F147" s="4"/>
      <c r="G147" s="4"/>
      <c r="H147" s="5">
        <f t="shared" si="2"/>
        <v>0</v>
      </c>
    </row>
    <row r="148" spans="1:8" ht="13.5" x14ac:dyDescent="0.25">
      <c r="A148" s="1"/>
      <c r="B148" s="3">
        <v>42514</v>
      </c>
      <c r="C148" s="4">
        <v>34.950000000000003</v>
      </c>
      <c r="D148" s="4">
        <v>34.950000000000003</v>
      </c>
      <c r="E148" s="4">
        <v>47</v>
      </c>
      <c r="F148" s="4"/>
      <c r="G148" s="4"/>
      <c r="H148" s="5">
        <f t="shared" si="2"/>
        <v>-2.6733500417710773E-2</v>
      </c>
    </row>
    <row r="149" spans="1:8" ht="13.5" x14ac:dyDescent="0.25">
      <c r="A149" s="1"/>
      <c r="B149" s="3">
        <v>42515</v>
      </c>
      <c r="C149" s="4">
        <v>33.4</v>
      </c>
      <c r="D149" s="4">
        <v>33.4</v>
      </c>
      <c r="E149" s="4">
        <v>23</v>
      </c>
      <c r="F149" s="4"/>
      <c r="G149" s="4"/>
      <c r="H149" s="5">
        <f t="shared" si="2"/>
        <v>-4.4349070100143183E-2</v>
      </c>
    </row>
    <row r="150" spans="1:8" ht="13.5" x14ac:dyDescent="0.25">
      <c r="A150" s="1"/>
      <c r="B150" s="3">
        <v>42516</v>
      </c>
      <c r="C150" s="4">
        <v>32.01</v>
      </c>
      <c r="D150" s="4">
        <v>32.01</v>
      </c>
      <c r="E150" s="4">
        <v>20</v>
      </c>
      <c r="F150" s="4"/>
      <c r="G150" s="4"/>
      <c r="H150" s="5">
        <f t="shared" si="2"/>
        <v>-4.1616766467065885E-2</v>
      </c>
    </row>
    <row r="151" spans="1:8" ht="13.5" x14ac:dyDescent="0.25">
      <c r="A151" s="1"/>
      <c r="B151" s="3">
        <v>42517</v>
      </c>
      <c r="C151" s="4">
        <v>32</v>
      </c>
      <c r="D151" s="4">
        <v>32</v>
      </c>
      <c r="E151" s="4">
        <v>8</v>
      </c>
      <c r="F151" s="4"/>
      <c r="G151" s="4"/>
      <c r="H151" s="5">
        <f t="shared" si="2"/>
        <v>-3.1240237425798223E-4</v>
      </c>
    </row>
    <row r="152" spans="1:8" ht="13.5" x14ac:dyDescent="0.25">
      <c r="A152" s="1"/>
      <c r="B152" s="3">
        <v>42520</v>
      </c>
      <c r="C152" s="4">
        <v>32</v>
      </c>
      <c r="D152" s="4">
        <v>32</v>
      </c>
      <c r="E152" s="4">
        <v>0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32</v>
      </c>
      <c r="D153" s="4">
        <v>32</v>
      </c>
      <c r="E153" s="4">
        <v>0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32</v>
      </c>
      <c r="D154" s="4">
        <v>32</v>
      </c>
      <c r="E154" s="4">
        <v>0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32</v>
      </c>
      <c r="D155" s="4">
        <v>32</v>
      </c>
      <c r="E155" s="4">
        <v>0</v>
      </c>
      <c r="F155" s="4"/>
      <c r="G155" s="4"/>
      <c r="H155" s="5">
        <f t="shared" si="2"/>
        <v>0</v>
      </c>
    </row>
    <row r="156" spans="1:8" ht="13.5" x14ac:dyDescent="0.25">
      <c r="A156" s="1"/>
      <c r="B156" s="3">
        <v>42524</v>
      </c>
      <c r="C156" s="4">
        <v>32</v>
      </c>
      <c r="D156" s="4">
        <v>32</v>
      </c>
      <c r="E156" s="4">
        <v>0</v>
      </c>
      <c r="F156" s="4"/>
      <c r="G156" s="4"/>
      <c r="H156" s="5">
        <f t="shared" si="2"/>
        <v>0</v>
      </c>
    </row>
    <row r="157" spans="1:8" ht="13.5" x14ac:dyDescent="0.25">
      <c r="A157" s="1"/>
      <c r="B157" s="3">
        <v>42527</v>
      </c>
      <c r="C157" s="4">
        <v>32</v>
      </c>
      <c r="D157" s="4">
        <v>32</v>
      </c>
      <c r="E157" s="4">
        <v>0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32</v>
      </c>
      <c r="D158" s="4">
        <v>32</v>
      </c>
      <c r="E158" s="4">
        <v>0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42529</v>
      </c>
      <c r="C159" s="4">
        <v>31.6</v>
      </c>
      <c r="D159" s="4">
        <v>31.6</v>
      </c>
      <c r="E159" s="4">
        <v>30</v>
      </c>
      <c r="F159" s="4"/>
      <c r="G159" s="4"/>
      <c r="H159" s="5">
        <f t="shared" si="2"/>
        <v>-1.2499999999999956E-2</v>
      </c>
    </row>
    <row r="160" spans="1:8" ht="13.5" x14ac:dyDescent="0.25">
      <c r="A160" s="1"/>
      <c r="B160" s="3">
        <v>42530</v>
      </c>
      <c r="C160" s="4">
        <v>31.6</v>
      </c>
      <c r="D160" s="4">
        <v>31.6</v>
      </c>
      <c r="E160" s="4">
        <v>0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42531</v>
      </c>
      <c r="C161" s="4">
        <v>31.6</v>
      </c>
      <c r="D161" s="4">
        <v>31.6</v>
      </c>
      <c r="E161" s="4">
        <v>0</v>
      </c>
      <c r="F161" s="4"/>
      <c r="G161" s="4"/>
      <c r="H161" s="5">
        <f t="shared" si="2"/>
        <v>0</v>
      </c>
    </row>
    <row r="162" spans="1:8" ht="13.5" x14ac:dyDescent="0.25">
      <c r="A162" s="1"/>
      <c r="B162" s="3">
        <v>42534</v>
      </c>
      <c r="C162" s="4">
        <v>31.6</v>
      </c>
      <c r="D162" s="4">
        <v>31.6</v>
      </c>
      <c r="E162" s="4">
        <v>0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42535</v>
      </c>
      <c r="C163" s="4">
        <v>31.6</v>
      </c>
      <c r="D163" s="4">
        <v>31.6</v>
      </c>
      <c r="E163" s="4">
        <v>0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31.6</v>
      </c>
      <c r="D164" s="4">
        <v>31.6</v>
      </c>
      <c r="E164" s="4">
        <v>7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31.6</v>
      </c>
      <c r="D165" s="4">
        <v>31.6</v>
      </c>
      <c r="E165" s="4">
        <v>20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42538</v>
      </c>
      <c r="C166" s="4">
        <v>31.61</v>
      </c>
      <c r="D166" s="4">
        <v>31.61</v>
      </c>
      <c r="E166" s="4">
        <v>19</v>
      </c>
      <c r="F166" s="4"/>
      <c r="G166" s="4"/>
      <c r="H166" s="5">
        <f t="shared" si="2"/>
        <v>3.1645569620246866E-4</v>
      </c>
    </row>
    <row r="167" spans="1:8" ht="13.5" x14ac:dyDescent="0.25">
      <c r="A167" s="1"/>
      <c r="B167" s="3">
        <v>42541</v>
      </c>
      <c r="C167" s="4">
        <v>31.61</v>
      </c>
      <c r="D167" s="4">
        <v>31.61</v>
      </c>
      <c r="E167" s="4">
        <v>0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31.61</v>
      </c>
      <c r="D168" s="4">
        <v>31.61</v>
      </c>
      <c r="E168" s="4">
        <v>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31.61</v>
      </c>
      <c r="D169" s="4">
        <v>31.61</v>
      </c>
      <c r="E169" s="4">
        <v>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31.61</v>
      </c>
      <c r="D170" s="4">
        <v>31.61</v>
      </c>
      <c r="E170" s="4">
        <v>0</v>
      </c>
      <c r="F170" s="4"/>
      <c r="G170" s="4"/>
      <c r="H170" s="5">
        <f t="shared" si="2"/>
        <v>0</v>
      </c>
    </row>
    <row r="171" spans="1:8" ht="13.5" x14ac:dyDescent="0.25">
      <c r="A171" s="1"/>
      <c r="B171" s="3">
        <v>42545</v>
      </c>
      <c r="C171" s="4">
        <v>31.61</v>
      </c>
      <c r="D171" s="4">
        <v>31.61</v>
      </c>
      <c r="E171" s="4">
        <v>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31.61</v>
      </c>
      <c r="D172" s="4">
        <v>31.61</v>
      </c>
      <c r="E172" s="4">
        <v>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31.61</v>
      </c>
      <c r="D173" s="4">
        <v>31.61</v>
      </c>
      <c r="E173" s="4">
        <v>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31.61</v>
      </c>
      <c r="D174" s="4">
        <v>31.61</v>
      </c>
      <c r="E174" s="4">
        <v>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31.61</v>
      </c>
      <c r="D175" s="4">
        <v>31.61</v>
      </c>
      <c r="E175" s="4">
        <v>0</v>
      </c>
      <c r="F175" s="4"/>
      <c r="G175" s="4"/>
      <c r="H175" s="5">
        <f t="shared" si="2"/>
        <v>0</v>
      </c>
    </row>
    <row r="176" spans="1:8" ht="13.5" x14ac:dyDescent="0.25">
      <c r="A176" s="1"/>
      <c r="B176" s="3">
        <v>42552</v>
      </c>
      <c r="C176" s="4">
        <v>31.61</v>
      </c>
      <c r="D176" s="4">
        <v>31.61</v>
      </c>
      <c r="E176" s="4">
        <v>0</v>
      </c>
      <c r="F176" s="4"/>
      <c r="G176" s="4"/>
      <c r="H176" s="5">
        <f t="shared" si="2"/>
        <v>0</v>
      </c>
    </row>
    <row r="177" spans="1:8" ht="13.5" x14ac:dyDescent="0.25">
      <c r="A177" s="1"/>
      <c r="B177" s="3">
        <v>42555</v>
      </c>
      <c r="C177" s="4">
        <v>31.61</v>
      </c>
      <c r="D177" s="4">
        <v>31.61</v>
      </c>
      <c r="E177" s="4">
        <v>0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31.61</v>
      </c>
      <c r="D178" s="4">
        <v>31.61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31.61</v>
      </c>
      <c r="D179" s="4">
        <v>31.61</v>
      </c>
      <c r="E179" s="4">
        <v>0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31.59</v>
      </c>
      <c r="D180" s="4">
        <v>31.59</v>
      </c>
      <c r="E180" s="4">
        <v>126</v>
      </c>
      <c r="F180" s="4"/>
      <c r="G180" s="4"/>
      <c r="H180" s="5">
        <f t="shared" si="2"/>
        <v>-6.327111673520903E-4</v>
      </c>
    </row>
    <row r="181" spans="1:8" ht="13.5" x14ac:dyDescent="0.25">
      <c r="A181" s="1"/>
      <c r="B181" s="3">
        <v>42564</v>
      </c>
      <c r="C181" s="4">
        <v>32.4</v>
      </c>
      <c r="D181" s="4">
        <v>32.4</v>
      </c>
      <c r="E181" s="4">
        <v>20</v>
      </c>
      <c r="F181" s="4"/>
      <c r="G181" s="4"/>
      <c r="H181" s="5">
        <f t="shared" si="2"/>
        <v>2.5641025641025602E-2</v>
      </c>
    </row>
    <row r="182" spans="1:8" ht="13.5" x14ac:dyDescent="0.25">
      <c r="A182" s="1"/>
      <c r="B182" s="3">
        <v>42565</v>
      </c>
      <c r="C182" s="4">
        <v>32.4</v>
      </c>
      <c r="D182" s="4">
        <v>32.4</v>
      </c>
      <c r="E182" s="4">
        <v>0</v>
      </c>
      <c r="F182" s="4"/>
      <c r="G182" s="4"/>
      <c r="H182" s="5">
        <f t="shared" si="2"/>
        <v>0</v>
      </c>
    </row>
    <row r="183" spans="1:8" ht="13.5" x14ac:dyDescent="0.25">
      <c r="A183" s="1"/>
      <c r="B183" s="3">
        <v>42566</v>
      </c>
      <c r="C183" s="4">
        <v>31.44</v>
      </c>
      <c r="D183" s="4">
        <v>31.44</v>
      </c>
      <c r="E183" s="4">
        <v>15</v>
      </c>
      <c r="F183" s="4"/>
      <c r="G183" s="4"/>
      <c r="H183" s="5">
        <f t="shared" si="2"/>
        <v>-2.9629629629629547E-2</v>
      </c>
    </row>
    <row r="184" spans="1:8" ht="13.5" x14ac:dyDescent="0.25">
      <c r="A184" s="1"/>
      <c r="B184" s="3">
        <v>42569</v>
      </c>
      <c r="C184" s="4">
        <v>31.44</v>
      </c>
      <c r="D184" s="4">
        <v>31.44</v>
      </c>
      <c r="E184" s="4">
        <v>3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31.44</v>
      </c>
      <c r="D185" s="4">
        <v>31.44</v>
      </c>
      <c r="E185" s="4">
        <v>0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42571</v>
      </c>
      <c r="C186" s="4">
        <v>31.44</v>
      </c>
      <c r="D186" s="4">
        <v>31.44</v>
      </c>
      <c r="E186" s="4">
        <v>0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32.380000000000003</v>
      </c>
      <c r="D187" s="4">
        <v>32.380000000000003</v>
      </c>
      <c r="E187" s="4">
        <v>0</v>
      </c>
      <c r="F187" s="4"/>
      <c r="G187" s="4"/>
      <c r="H187" s="5">
        <f t="shared" si="2"/>
        <v>2.9898218829516578E-2</v>
      </c>
    </row>
    <row r="188" spans="1:8" ht="13.5" x14ac:dyDescent="0.25">
      <c r="A188" s="1"/>
      <c r="B188" s="3">
        <v>42573</v>
      </c>
      <c r="C188" s="4">
        <v>33.32</v>
      </c>
      <c r="D188" s="4">
        <v>33.32</v>
      </c>
      <c r="E188" s="4">
        <v>20</v>
      </c>
      <c r="F188" s="4"/>
      <c r="G188" s="4"/>
      <c r="H188" s="5">
        <f t="shared" si="2"/>
        <v>2.9030265596046871E-2</v>
      </c>
    </row>
    <row r="189" spans="1:8" ht="13.5" x14ac:dyDescent="0.25">
      <c r="A189" s="1"/>
      <c r="B189" s="3">
        <v>42577</v>
      </c>
      <c r="C189" s="4">
        <v>33.32</v>
      </c>
      <c r="D189" s="4">
        <v>33.32</v>
      </c>
      <c r="E189" s="4">
        <v>0</v>
      </c>
      <c r="F189" s="4"/>
      <c r="G189" s="4"/>
      <c r="H189" s="5">
        <f t="shared" si="2"/>
        <v>0</v>
      </c>
    </row>
    <row r="190" spans="1:8" ht="13.5" x14ac:dyDescent="0.25">
      <c r="A190" s="1"/>
      <c r="B190" s="3">
        <v>42578</v>
      </c>
      <c r="C190" s="4">
        <v>33.32</v>
      </c>
      <c r="D190" s="4">
        <v>33.32</v>
      </c>
      <c r="E190" s="4">
        <v>0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33.32</v>
      </c>
      <c r="D191" s="4">
        <v>33.32</v>
      </c>
      <c r="E191" s="4">
        <v>0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42580</v>
      </c>
      <c r="C192" s="4">
        <v>33.32</v>
      </c>
      <c r="D192" s="4">
        <v>33.32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31.83</v>
      </c>
      <c r="D193" s="4">
        <v>31.83</v>
      </c>
      <c r="E193" s="4">
        <v>0</v>
      </c>
      <c r="F193" s="4"/>
      <c r="G193" s="4"/>
      <c r="H193" s="5">
        <f t="shared" si="2"/>
        <v>-4.4717887154862003E-2</v>
      </c>
    </row>
    <row r="194" spans="1:8" ht="13.5" x14ac:dyDescent="0.25">
      <c r="A194" s="1"/>
      <c r="B194" s="3">
        <v>42584</v>
      </c>
      <c r="C194" s="4">
        <v>31.43</v>
      </c>
      <c r="D194" s="4">
        <v>31.43</v>
      </c>
      <c r="E194" s="4">
        <v>20</v>
      </c>
      <c r="F194" s="4"/>
      <c r="G194" s="4"/>
      <c r="H194" s="5">
        <f t="shared" si="2"/>
        <v>-1.2566760917373503E-2</v>
      </c>
    </row>
    <row r="195" spans="1:8" ht="13.5" x14ac:dyDescent="0.25">
      <c r="A195" s="1"/>
      <c r="B195" s="3">
        <v>42585</v>
      </c>
      <c r="C195" s="4">
        <v>31.43</v>
      </c>
      <c r="D195" s="4">
        <v>31.43</v>
      </c>
      <c r="E195" s="4">
        <v>0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31.43</v>
      </c>
      <c r="D196" s="4">
        <v>31.43</v>
      </c>
      <c r="E196" s="4">
        <v>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32</v>
      </c>
      <c r="D197" s="4">
        <v>32</v>
      </c>
      <c r="E197" s="4">
        <v>20</v>
      </c>
      <c r="F197" s="4"/>
      <c r="G197" s="4"/>
      <c r="H197" s="5">
        <f t="shared" si="2"/>
        <v>1.8135539293668478E-2</v>
      </c>
    </row>
    <row r="198" spans="1:8" ht="13.5" x14ac:dyDescent="0.25">
      <c r="A198" s="1"/>
      <c r="B198" s="3">
        <v>42590</v>
      </c>
      <c r="C198" s="4">
        <v>32</v>
      </c>
      <c r="D198" s="4">
        <v>32</v>
      </c>
      <c r="E198" s="4">
        <v>0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32</v>
      </c>
      <c r="D199" s="4">
        <v>32</v>
      </c>
      <c r="E199" s="4">
        <v>0</v>
      </c>
      <c r="F199" s="4"/>
      <c r="G199" s="4"/>
      <c r="H199" s="5">
        <f t="shared" ref="H199:H262" si="3">(D199-D198)/D198</f>
        <v>0</v>
      </c>
    </row>
    <row r="200" spans="1:8" ht="13.5" x14ac:dyDescent="0.25">
      <c r="A200" s="1"/>
      <c r="B200" s="3">
        <v>42592</v>
      </c>
      <c r="C200" s="4">
        <v>32</v>
      </c>
      <c r="D200" s="4">
        <v>32</v>
      </c>
      <c r="E200" s="4">
        <v>0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32</v>
      </c>
      <c r="D201" s="4">
        <v>32</v>
      </c>
      <c r="E201" s="4">
        <v>0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42594</v>
      </c>
      <c r="C202" s="4">
        <v>32</v>
      </c>
      <c r="D202" s="4">
        <v>32</v>
      </c>
      <c r="E202" s="4">
        <v>0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32</v>
      </c>
      <c r="D203" s="4">
        <v>32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32</v>
      </c>
      <c r="D204" s="4">
        <v>32</v>
      </c>
      <c r="E204" s="4">
        <v>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30.56</v>
      </c>
      <c r="D205" s="4">
        <v>30.56</v>
      </c>
      <c r="E205" s="4">
        <v>0</v>
      </c>
      <c r="F205" s="4"/>
      <c r="G205" s="4"/>
      <c r="H205" s="5">
        <f t="shared" si="3"/>
        <v>-4.500000000000004E-2</v>
      </c>
    </row>
    <row r="206" spans="1:8" ht="13.5" x14ac:dyDescent="0.25">
      <c r="A206" s="1"/>
      <c r="B206" s="3">
        <v>42600</v>
      </c>
      <c r="C206" s="4">
        <v>31.93</v>
      </c>
      <c r="D206" s="4">
        <v>31.93</v>
      </c>
      <c r="E206" s="4">
        <v>0</v>
      </c>
      <c r="F206" s="4"/>
      <c r="G206" s="4"/>
      <c r="H206" s="5">
        <f t="shared" si="3"/>
        <v>4.482984293193721E-2</v>
      </c>
    </row>
    <row r="207" spans="1:8" ht="13.5" x14ac:dyDescent="0.25">
      <c r="A207" s="1"/>
      <c r="B207" s="3">
        <v>42601</v>
      </c>
      <c r="C207" s="4">
        <v>31.04</v>
      </c>
      <c r="D207" s="4">
        <v>31.04</v>
      </c>
      <c r="E207" s="4">
        <v>25</v>
      </c>
      <c r="F207" s="4"/>
      <c r="G207" s="4"/>
      <c r="H207" s="5">
        <f t="shared" si="3"/>
        <v>-2.7873473222674618E-2</v>
      </c>
    </row>
    <row r="208" spans="1:8" ht="13.5" x14ac:dyDescent="0.25">
      <c r="A208" s="1"/>
      <c r="B208" s="3">
        <v>42604</v>
      </c>
      <c r="C208" s="4">
        <v>31.5</v>
      </c>
      <c r="D208" s="4">
        <v>31.5</v>
      </c>
      <c r="E208" s="4">
        <v>43</v>
      </c>
      <c r="F208" s="4"/>
      <c r="G208" s="4"/>
      <c r="H208" s="5">
        <f t="shared" si="3"/>
        <v>1.4819587628866007E-2</v>
      </c>
    </row>
    <row r="209" spans="1:8" ht="13.5" x14ac:dyDescent="0.25">
      <c r="A209" s="1"/>
      <c r="B209" s="3">
        <v>42605</v>
      </c>
      <c r="C209" s="4">
        <v>31.5</v>
      </c>
      <c r="D209" s="4">
        <v>31.5</v>
      </c>
      <c r="E209" s="4">
        <v>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31.5</v>
      </c>
      <c r="D210" s="4">
        <v>31.5</v>
      </c>
      <c r="E210" s="4">
        <v>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31.5</v>
      </c>
      <c r="D211" s="4">
        <v>31.5</v>
      </c>
      <c r="E211" s="4">
        <v>0</v>
      </c>
      <c r="F211" s="4"/>
      <c r="G211" s="4"/>
      <c r="H211" s="5">
        <f t="shared" si="3"/>
        <v>0</v>
      </c>
    </row>
    <row r="212" spans="1:8" ht="13.5" x14ac:dyDescent="0.25">
      <c r="A212" s="1"/>
      <c r="B212" s="3">
        <v>42608</v>
      </c>
      <c r="C212" s="4">
        <v>31.5</v>
      </c>
      <c r="D212" s="4">
        <v>31.5</v>
      </c>
      <c r="E212" s="4">
        <v>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31.5</v>
      </c>
      <c r="D213" s="4">
        <v>31.5</v>
      </c>
      <c r="E213" s="4">
        <v>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30.5</v>
      </c>
      <c r="D214" s="4">
        <v>30.5</v>
      </c>
      <c r="E214" s="4">
        <v>3</v>
      </c>
      <c r="F214" s="4"/>
      <c r="G214" s="4"/>
      <c r="H214" s="5">
        <f t="shared" si="3"/>
        <v>-3.1746031746031744E-2</v>
      </c>
    </row>
    <row r="215" spans="1:8" ht="13.5" x14ac:dyDescent="0.25">
      <c r="A215" s="1"/>
      <c r="B215" s="3">
        <v>42613</v>
      </c>
      <c r="C215" s="4">
        <v>30.5</v>
      </c>
      <c r="D215" s="4">
        <v>30.5</v>
      </c>
      <c r="E215" s="4">
        <v>29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30.5</v>
      </c>
      <c r="D216" s="4">
        <v>30.5</v>
      </c>
      <c r="E216" s="4">
        <v>15</v>
      </c>
      <c r="F216" s="4"/>
      <c r="G216" s="4"/>
      <c r="H216" s="5">
        <f t="shared" si="3"/>
        <v>0</v>
      </c>
    </row>
    <row r="217" spans="1:8" ht="13.5" x14ac:dyDescent="0.25">
      <c r="A217" s="1"/>
      <c r="B217" s="3">
        <v>42615</v>
      </c>
      <c r="C217" s="4">
        <v>30.2</v>
      </c>
      <c r="D217" s="4">
        <v>30.2</v>
      </c>
      <c r="E217" s="4">
        <v>28</v>
      </c>
      <c r="F217" s="4"/>
      <c r="G217" s="4"/>
      <c r="H217" s="5">
        <f t="shared" si="3"/>
        <v>-9.8360655737705152E-3</v>
      </c>
    </row>
    <row r="218" spans="1:8" ht="13.5" x14ac:dyDescent="0.25">
      <c r="A218" s="1"/>
      <c r="B218" s="3">
        <v>42618</v>
      </c>
      <c r="C218" s="4">
        <v>30.2</v>
      </c>
      <c r="D218" s="4">
        <v>30.2</v>
      </c>
      <c r="E218" s="4">
        <v>0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30.2</v>
      </c>
      <c r="D219" s="4">
        <v>30.2</v>
      </c>
      <c r="E219" s="4">
        <v>0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30.2</v>
      </c>
      <c r="D220" s="4">
        <v>30.2</v>
      </c>
      <c r="E220" s="4">
        <v>0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30.2</v>
      </c>
      <c r="D221" s="4">
        <v>30.2</v>
      </c>
      <c r="E221" s="4">
        <v>0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30.2</v>
      </c>
      <c r="D222" s="4">
        <v>30.2</v>
      </c>
      <c r="E222" s="4">
        <v>0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30.2</v>
      </c>
      <c r="D223" s="4">
        <v>30.2</v>
      </c>
      <c r="E223" s="4">
        <v>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30.2</v>
      </c>
      <c r="D224" s="4">
        <v>30.2</v>
      </c>
      <c r="E224" s="4">
        <v>0</v>
      </c>
      <c r="F224" s="4"/>
      <c r="G224" s="4"/>
      <c r="H224" s="5">
        <f t="shared" si="3"/>
        <v>0</v>
      </c>
    </row>
    <row r="225" spans="1:8" ht="13.5" x14ac:dyDescent="0.25">
      <c r="A225" s="1"/>
      <c r="B225" s="3">
        <v>42629</v>
      </c>
      <c r="C225" s="4">
        <v>30.2</v>
      </c>
      <c r="D225" s="4">
        <v>30.2</v>
      </c>
      <c r="E225" s="4">
        <v>31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30.2</v>
      </c>
      <c r="D226" s="4">
        <v>30.2</v>
      </c>
      <c r="E226" s="4">
        <v>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30.2</v>
      </c>
      <c r="D227" s="4">
        <v>30.2</v>
      </c>
      <c r="E227" s="4">
        <v>0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30.2</v>
      </c>
      <c r="D228" s="4">
        <v>30.2</v>
      </c>
      <c r="E228" s="4">
        <v>0</v>
      </c>
      <c r="F228" s="4"/>
      <c r="G228" s="4"/>
      <c r="H228" s="5">
        <f t="shared" si="3"/>
        <v>0</v>
      </c>
    </row>
    <row r="229" spans="1:8" ht="13.5" x14ac:dyDescent="0.25">
      <c r="A229" s="1"/>
      <c r="B229" s="3">
        <v>42635</v>
      </c>
      <c r="C229" s="4">
        <v>30.2</v>
      </c>
      <c r="D229" s="4">
        <v>30.2</v>
      </c>
      <c r="E229" s="4">
        <v>0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30.2</v>
      </c>
      <c r="D230" s="4">
        <v>30.2</v>
      </c>
      <c r="E230" s="4">
        <v>0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29.3</v>
      </c>
      <c r="D231" s="4">
        <v>29.3</v>
      </c>
      <c r="E231" s="4">
        <v>10</v>
      </c>
      <c r="F231" s="4"/>
      <c r="G231" s="4"/>
      <c r="H231" s="5">
        <f t="shared" si="3"/>
        <v>-2.9801324503311213E-2</v>
      </c>
    </row>
    <row r="232" spans="1:8" ht="13.5" x14ac:dyDescent="0.25">
      <c r="A232" s="1"/>
      <c r="B232" s="3">
        <v>42640</v>
      </c>
      <c r="C232" s="4">
        <v>27.99</v>
      </c>
      <c r="D232" s="4">
        <v>27.99</v>
      </c>
      <c r="E232" s="4">
        <v>123</v>
      </c>
      <c r="F232" s="4"/>
      <c r="G232" s="4"/>
      <c r="H232" s="5">
        <f t="shared" si="3"/>
        <v>-4.4709897610921576E-2</v>
      </c>
    </row>
    <row r="233" spans="1:8" ht="13.5" x14ac:dyDescent="0.25">
      <c r="A233" s="1"/>
      <c r="B233" s="3">
        <v>42641</v>
      </c>
      <c r="C233" s="4">
        <v>28</v>
      </c>
      <c r="D233" s="4">
        <v>28</v>
      </c>
      <c r="E233" s="4">
        <v>203</v>
      </c>
      <c r="F233" s="4"/>
      <c r="G233" s="4"/>
      <c r="H233" s="5">
        <f t="shared" si="3"/>
        <v>3.5727045373353211E-4</v>
      </c>
    </row>
    <row r="234" spans="1:8" ht="13.5" x14ac:dyDescent="0.25">
      <c r="A234" s="1"/>
      <c r="B234" s="3">
        <v>42642</v>
      </c>
      <c r="C234" s="4">
        <v>27.99</v>
      </c>
      <c r="D234" s="4">
        <v>27.99</v>
      </c>
      <c r="E234" s="4">
        <v>84</v>
      </c>
      <c r="F234" s="4"/>
      <c r="G234" s="4"/>
      <c r="H234" s="5">
        <f t="shared" si="3"/>
        <v>-3.5714285714291298E-4</v>
      </c>
    </row>
    <row r="235" spans="1:8" ht="13.5" x14ac:dyDescent="0.25">
      <c r="A235" s="1"/>
      <c r="B235" s="3">
        <v>42643</v>
      </c>
      <c r="C235" s="4">
        <v>27.99</v>
      </c>
      <c r="D235" s="4">
        <v>27.99</v>
      </c>
      <c r="E235" s="4">
        <v>0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42647</v>
      </c>
      <c r="C236" s="4">
        <v>28.82</v>
      </c>
      <c r="D236" s="4">
        <v>28.82</v>
      </c>
      <c r="E236" s="4">
        <v>272</v>
      </c>
      <c r="F236" s="4"/>
      <c r="G236" s="4"/>
      <c r="H236" s="5">
        <f t="shared" si="3"/>
        <v>2.9653447659878596E-2</v>
      </c>
    </row>
    <row r="237" spans="1:8" ht="13.5" x14ac:dyDescent="0.25">
      <c r="A237" s="1"/>
      <c r="B237" s="3">
        <v>42648</v>
      </c>
      <c r="C237" s="4">
        <v>30.12</v>
      </c>
      <c r="D237" s="4">
        <v>30.12</v>
      </c>
      <c r="E237" s="4">
        <v>30</v>
      </c>
      <c r="F237" s="4"/>
      <c r="G237" s="4"/>
      <c r="H237" s="5">
        <f t="shared" si="3"/>
        <v>4.5107564191533681E-2</v>
      </c>
    </row>
    <row r="238" spans="1:8" ht="13.5" x14ac:dyDescent="0.25">
      <c r="A238" s="1"/>
      <c r="B238" s="3">
        <v>42649</v>
      </c>
      <c r="C238" s="4">
        <v>30.12</v>
      </c>
      <c r="D238" s="4">
        <v>30.12</v>
      </c>
      <c r="E238" s="4">
        <v>57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31.5</v>
      </c>
      <c r="D239" s="4">
        <v>31.5</v>
      </c>
      <c r="E239" s="4">
        <v>641</v>
      </c>
      <c r="F239" s="4"/>
      <c r="G239" s="4"/>
      <c r="H239" s="5">
        <f t="shared" si="3"/>
        <v>4.581673306772905E-2</v>
      </c>
    </row>
    <row r="240" spans="1:8" ht="13.5" x14ac:dyDescent="0.25">
      <c r="A240" s="1"/>
      <c r="B240" s="3">
        <v>42653</v>
      </c>
      <c r="C240" s="4">
        <v>32.44</v>
      </c>
      <c r="D240" s="4">
        <v>32.44</v>
      </c>
      <c r="E240" s="4">
        <v>161</v>
      </c>
      <c r="F240" s="4"/>
      <c r="G240" s="4"/>
      <c r="H240" s="5">
        <f t="shared" si="3"/>
        <v>2.9841269841269769E-2</v>
      </c>
    </row>
    <row r="241" spans="1:8" ht="13.5" x14ac:dyDescent="0.25">
      <c r="A241" s="1"/>
      <c r="B241" s="3">
        <v>42654</v>
      </c>
      <c r="C241" s="4">
        <v>33.409999999999997</v>
      </c>
      <c r="D241" s="4">
        <v>33.409999999999997</v>
      </c>
      <c r="E241" s="4">
        <v>30</v>
      </c>
      <c r="F241" s="4"/>
      <c r="G241" s="4"/>
      <c r="H241" s="5">
        <f t="shared" si="3"/>
        <v>2.9901356350184923E-2</v>
      </c>
    </row>
    <row r="242" spans="1:8" ht="13.5" x14ac:dyDescent="0.25">
      <c r="A242" s="1"/>
      <c r="B242" s="3">
        <v>42655</v>
      </c>
      <c r="C242" s="4">
        <v>34.9</v>
      </c>
      <c r="D242" s="4">
        <v>34.9</v>
      </c>
      <c r="E242" s="4">
        <v>115</v>
      </c>
      <c r="F242" s="4"/>
      <c r="G242" s="4"/>
      <c r="H242" s="5">
        <f t="shared" si="3"/>
        <v>4.4597425920383182E-2</v>
      </c>
    </row>
    <row r="243" spans="1:8" ht="13.5" x14ac:dyDescent="0.25">
      <c r="A243" s="1"/>
      <c r="B243" s="3">
        <v>42656</v>
      </c>
      <c r="C243" s="4">
        <v>34.9</v>
      </c>
      <c r="D243" s="4">
        <v>34.9</v>
      </c>
      <c r="E243" s="4">
        <v>0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34.9</v>
      </c>
      <c r="D244" s="4">
        <v>34.9</v>
      </c>
      <c r="E244" s="4">
        <v>0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33.86</v>
      </c>
      <c r="D245" s="4">
        <v>33.86</v>
      </c>
      <c r="E245" s="4">
        <v>30</v>
      </c>
      <c r="F245" s="4"/>
      <c r="G245" s="4"/>
      <c r="H245" s="5">
        <f t="shared" si="3"/>
        <v>-2.9799426934097397E-2</v>
      </c>
    </row>
    <row r="246" spans="1:8" ht="13.5" x14ac:dyDescent="0.25">
      <c r="A246" s="1"/>
      <c r="B246" s="3">
        <v>42661</v>
      </c>
      <c r="C246" s="4">
        <v>34.840000000000003</v>
      </c>
      <c r="D246" s="4">
        <v>34.840000000000003</v>
      </c>
      <c r="E246" s="4">
        <v>30</v>
      </c>
      <c r="F246" s="4"/>
      <c r="G246" s="4"/>
      <c r="H246" s="5">
        <f t="shared" si="3"/>
        <v>2.8942705256940461E-2</v>
      </c>
    </row>
    <row r="247" spans="1:8" ht="13.5" x14ac:dyDescent="0.25">
      <c r="A247" s="1"/>
      <c r="B247" s="3">
        <v>42662</v>
      </c>
      <c r="C247" s="4">
        <v>36.94</v>
      </c>
      <c r="D247" s="4">
        <v>36.94</v>
      </c>
      <c r="E247" s="4">
        <v>70</v>
      </c>
      <c r="F247" s="4"/>
      <c r="G247" s="4"/>
      <c r="H247" s="5">
        <f t="shared" si="3"/>
        <v>6.0275545350172044E-2</v>
      </c>
    </row>
    <row r="248" spans="1:8" ht="13.5" x14ac:dyDescent="0.25">
      <c r="A248" s="1"/>
      <c r="B248" s="3">
        <v>42663</v>
      </c>
      <c r="C248" s="4">
        <v>39.15</v>
      </c>
      <c r="D248" s="4">
        <v>39.15</v>
      </c>
      <c r="E248" s="4">
        <v>100</v>
      </c>
      <c r="F248" s="4"/>
      <c r="G248" s="4"/>
      <c r="H248" s="5">
        <f t="shared" si="3"/>
        <v>5.9826746074715782E-2</v>
      </c>
    </row>
    <row r="249" spans="1:8" ht="13.5" x14ac:dyDescent="0.25">
      <c r="A249" s="1"/>
      <c r="B249" s="3">
        <v>42664</v>
      </c>
      <c r="C249" s="4">
        <v>40.25</v>
      </c>
      <c r="D249" s="4">
        <v>40.25</v>
      </c>
      <c r="E249" s="4">
        <v>462</v>
      </c>
      <c r="F249" s="4"/>
      <c r="G249" s="4"/>
      <c r="H249" s="5">
        <f t="shared" si="3"/>
        <v>2.8097062579821239E-2</v>
      </c>
    </row>
    <row r="250" spans="1:8" ht="13.5" x14ac:dyDescent="0.25">
      <c r="A250" s="1"/>
      <c r="B250" s="3">
        <v>42667</v>
      </c>
      <c r="C250" s="4">
        <v>40.299999999999997</v>
      </c>
      <c r="D250" s="4">
        <v>40.299999999999997</v>
      </c>
      <c r="E250" s="4">
        <v>55</v>
      </c>
      <c r="F250" s="4"/>
      <c r="G250" s="4"/>
      <c r="H250" s="5">
        <f t="shared" si="3"/>
        <v>1.2422360248446499E-3</v>
      </c>
    </row>
    <row r="251" spans="1:8" ht="13.5" x14ac:dyDescent="0.25">
      <c r="A251" s="1"/>
      <c r="B251" s="3">
        <v>42668</v>
      </c>
      <c r="C251" s="4">
        <v>40.32</v>
      </c>
      <c r="D251" s="4">
        <v>40.32</v>
      </c>
      <c r="E251" s="4">
        <v>40</v>
      </c>
      <c r="F251" s="4"/>
      <c r="G251" s="4"/>
      <c r="H251" s="5">
        <f t="shared" si="3"/>
        <v>4.9627791563283197E-4</v>
      </c>
    </row>
    <row r="252" spans="1:8" ht="13.5" x14ac:dyDescent="0.25">
      <c r="A252" s="1"/>
      <c r="B252" s="3">
        <v>42669</v>
      </c>
      <c r="C252" s="4">
        <v>41.5</v>
      </c>
      <c r="D252" s="4">
        <v>41.5</v>
      </c>
      <c r="E252" s="4">
        <v>296</v>
      </c>
      <c r="F252" s="4"/>
      <c r="G252" s="4"/>
      <c r="H252" s="5">
        <f t="shared" si="3"/>
        <v>2.9265873015873009E-2</v>
      </c>
    </row>
    <row r="253" spans="1:8" ht="13.5" x14ac:dyDescent="0.25">
      <c r="A253" s="1"/>
      <c r="B253" s="3">
        <v>42670</v>
      </c>
      <c r="C253" s="4">
        <v>43.36</v>
      </c>
      <c r="D253" s="4">
        <v>43.36</v>
      </c>
      <c r="E253" s="4">
        <v>35</v>
      </c>
      <c r="F253" s="4"/>
      <c r="G253" s="4"/>
      <c r="H253" s="5">
        <f t="shared" si="3"/>
        <v>4.4819277108433718E-2</v>
      </c>
    </row>
    <row r="254" spans="1:8" ht="13.5" x14ac:dyDescent="0.25">
      <c r="A254" s="1"/>
      <c r="B254" s="3">
        <v>42671</v>
      </c>
      <c r="C254" s="4">
        <v>44.66</v>
      </c>
      <c r="D254" s="4">
        <v>44.66</v>
      </c>
      <c r="E254" s="4">
        <v>10</v>
      </c>
      <c r="F254" s="4"/>
      <c r="G254" s="4"/>
      <c r="H254" s="5">
        <f t="shared" si="3"/>
        <v>2.9981549815498089E-2</v>
      </c>
    </row>
    <row r="255" spans="1:8" ht="13.5" x14ac:dyDescent="0.25">
      <c r="A255" s="1"/>
      <c r="B255" s="3">
        <v>42674</v>
      </c>
      <c r="C255" s="4">
        <v>44.6</v>
      </c>
      <c r="D255" s="4">
        <v>44.6</v>
      </c>
      <c r="E255" s="4">
        <v>6</v>
      </c>
      <c r="F255" s="4"/>
      <c r="G255" s="4"/>
      <c r="H255" s="5">
        <f t="shared" si="3"/>
        <v>-1.3434841021046837E-3</v>
      </c>
    </row>
    <row r="256" spans="1:8" ht="13.5" x14ac:dyDescent="0.25">
      <c r="A256" s="1"/>
      <c r="B256" s="3">
        <v>42675</v>
      </c>
      <c r="C256" s="4">
        <v>44.6</v>
      </c>
      <c r="D256" s="4">
        <v>44.6</v>
      </c>
      <c r="E256" s="4">
        <v>0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43</v>
      </c>
      <c r="D257" s="4">
        <v>43</v>
      </c>
      <c r="E257" s="4">
        <v>22</v>
      </c>
      <c r="F257" s="4"/>
      <c r="G257" s="4"/>
      <c r="H257" s="5">
        <f t="shared" si="3"/>
        <v>-3.5874439461883442E-2</v>
      </c>
    </row>
    <row r="258" spans="1:8" ht="13.5" x14ac:dyDescent="0.25">
      <c r="A258" s="1"/>
      <c r="B258" s="3">
        <v>42677</v>
      </c>
      <c r="C258" s="4">
        <v>44.29</v>
      </c>
      <c r="D258" s="4">
        <v>44.29</v>
      </c>
      <c r="E258" s="4">
        <v>77</v>
      </c>
      <c r="F258" s="4"/>
      <c r="G258" s="4"/>
      <c r="H258" s="5">
        <f t="shared" si="3"/>
        <v>2.9999999999999982E-2</v>
      </c>
    </row>
    <row r="259" spans="1:8" ht="13.5" x14ac:dyDescent="0.25">
      <c r="A259" s="1"/>
      <c r="B259" s="3">
        <v>42678</v>
      </c>
      <c r="C259" s="4">
        <v>42.97</v>
      </c>
      <c r="D259" s="4">
        <v>42.97</v>
      </c>
      <c r="E259" s="4">
        <v>0</v>
      </c>
      <c r="F259" s="4"/>
      <c r="G259" s="4"/>
      <c r="H259" s="5">
        <f t="shared" si="3"/>
        <v>-2.9803567396703552E-2</v>
      </c>
    </row>
    <row r="260" spans="1:8" ht="13.5" x14ac:dyDescent="0.25">
      <c r="A260" s="1"/>
      <c r="B260" s="3">
        <v>42681</v>
      </c>
      <c r="C260" s="4">
        <v>42.97</v>
      </c>
      <c r="D260" s="4">
        <v>42.97</v>
      </c>
      <c r="E260" s="4">
        <v>100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43.37</v>
      </c>
      <c r="D261" s="4">
        <v>43.37</v>
      </c>
      <c r="E261" s="4">
        <v>93</v>
      </c>
      <c r="F261" s="4"/>
      <c r="G261" s="4"/>
      <c r="H261" s="5">
        <f t="shared" si="3"/>
        <v>9.3088201070513979E-3</v>
      </c>
    </row>
    <row r="262" spans="1:8" ht="13.5" x14ac:dyDescent="0.25">
      <c r="A262" s="1"/>
      <c r="B262" s="3">
        <v>42683</v>
      </c>
      <c r="C262" s="4">
        <v>44.5</v>
      </c>
      <c r="D262" s="4">
        <v>44.5</v>
      </c>
      <c r="E262" s="4">
        <v>115</v>
      </c>
      <c r="F262" s="4"/>
      <c r="G262" s="4"/>
      <c r="H262" s="5">
        <f t="shared" si="3"/>
        <v>2.6054876642840733E-2</v>
      </c>
    </row>
    <row r="263" spans="1:8" ht="13.5" x14ac:dyDescent="0.25">
      <c r="A263" s="1"/>
      <c r="B263" s="3">
        <v>42684</v>
      </c>
      <c r="C263" s="4">
        <v>44.6</v>
      </c>
      <c r="D263" s="4">
        <v>44.6</v>
      </c>
      <c r="E263" s="4">
        <v>51</v>
      </c>
      <c r="F263" s="4"/>
      <c r="G263" s="4"/>
      <c r="H263" s="5">
        <f t="shared" ref="H263:H326" si="4">(D263-D262)/D262</f>
        <v>2.2471910112359869E-3</v>
      </c>
    </row>
    <row r="264" spans="1:8" ht="13.5" x14ac:dyDescent="0.25">
      <c r="A264" s="1"/>
      <c r="B264" s="3">
        <v>42685</v>
      </c>
      <c r="C264" s="4">
        <v>44.5</v>
      </c>
      <c r="D264" s="4">
        <v>44.5</v>
      </c>
      <c r="E264" s="4">
        <v>50</v>
      </c>
      <c r="F264" s="4"/>
      <c r="G264" s="4"/>
      <c r="H264" s="5">
        <f t="shared" si="4"/>
        <v>-2.2421524663677446E-3</v>
      </c>
    </row>
    <row r="265" spans="1:8" ht="13.5" x14ac:dyDescent="0.25">
      <c r="A265" s="1"/>
      <c r="B265" s="3">
        <v>42688</v>
      </c>
      <c r="C265" s="4">
        <v>42.5</v>
      </c>
      <c r="D265" s="4">
        <v>42.5</v>
      </c>
      <c r="E265" s="4">
        <v>0</v>
      </c>
      <c r="F265" s="4"/>
      <c r="G265" s="4"/>
      <c r="H265" s="5">
        <f t="shared" si="4"/>
        <v>-4.49438202247191E-2</v>
      </c>
    </row>
    <row r="266" spans="1:8" ht="13.5" x14ac:dyDescent="0.25">
      <c r="A266" s="1"/>
      <c r="B266" s="3">
        <v>42689</v>
      </c>
      <c r="C266" s="4">
        <v>44.41</v>
      </c>
      <c r="D266" s="4">
        <v>44.41</v>
      </c>
      <c r="E266" s="4">
        <v>0</v>
      </c>
      <c r="F266" s="4"/>
      <c r="G266" s="4"/>
      <c r="H266" s="5">
        <f t="shared" si="4"/>
        <v>4.4941176470588158E-2</v>
      </c>
    </row>
    <row r="267" spans="1:8" ht="13.5" x14ac:dyDescent="0.25">
      <c r="A267" s="1"/>
      <c r="B267" s="3">
        <v>42690</v>
      </c>
      <c r="C267" s="4">
        <v>44.5</v>
      </c>
      <c r="D267" s="4">
        <v>44.5</v>
      </c>
      <c r="E267" s="4">
        <v>81</v>
      </c>
      <c r="F267" s="4"/>
      <c r="G267" s="4"/>
      <c r="H267" s="5">
        <f t="shared" si="4"/>
        <v>2.0265705922090389E-3</v>
      </c>
    </row>
    <row r="268" spans="1:8" ht="13.5" x14ac:dyDescent="0.25">
      <c r="A268" s="1"/>
      <c r="B268" s="3">
        <v>42691</v>
      </c>
      <c r="C268" s="4">
        <v>45.83</v>
      </c>
      <c r="D268" s="4">
        <v>45.83</v>
      </c>
      <c r="E268" s="4">
        <v>259</v>
      </c>
      <c r="F268" s="4"/>
      <c r="G268" s="4"/>
      <c r="H268" s="5">
        <f t="shared" si="4"/>
        <v>2.9887640449438164E-2</v>
      </c>
    </row>
    <row r="269" spans="1:8" ht="13.5" x14ac:dyDescent="0.25">
      <c r="A269" s="1"/>
      <c r="B269" s="3">
        <v>42692</v>
      </c>
      <c r="C269" s="4">
        <v>46.04</v>
      </c>
      <c r="D269" s="4">
        <v>46.04</v>
      </c>
      <c r="E269" s="4">
        <v>242</v>
      </c>
      <c r="F269" s="4"/>
      <c r="G269" s="4"/>
      <c r="H269" s="5">
        <f t="shared" si="4"/>
        <v>4.5821514291948693E-3</v>
      </c>
    </row>
    <row r="270" spans="1:8" ht="13.5" x14ac:dyDescent="0.25">
      <c r="A270" s="1"/>
      <c r="B270" s="3">
        <v>42695</v>
      </c>
      <c r="C270" s="4">
        <v>45.99</v>
      </c>
      <c r="D270" s="4">
        <v>45.99</v>
      </c>
      <c r="E270" s="4">
        <v>50</v>
      </c>
      <c r="F270" s="4"/>
      <c r="G270" s="4"/>
      <c r="H270" s="5">
        <f t="shared" si="4"/>
        <v>-1.0860121633361676E-3</v>
      </c>
    </row>
    <row r="271" spans="1:8" ht="13.5" x14ac:dyDescent="0.25">
      <c r="A271" s="1"/>
      <c r="B271" s="3">
        <v>42696</v>
      </c>
      <c r="C271" s="4">
        <v>45.99</v>
      </c>
      <c r="D271" s="4">
        <v>45.99</v>
      </c>
      <c r="E271" s="4">
        <v>0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45.99</v>
      </c>
      <c r="D272" s="4">
        <v>45.99</v>
      </c>
      <c r="E272" s="4">
        <v>0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42698</v>
      </c>
      <c r="C273" s="4">
        <v>45.89</v>
      </c>
      <c r="D273" s="4">
        <v>45.89</v>
      </c>
      <c r="E273" s="4">
        <v>50</v>
      </c>
      <c r="F273" s="4"/>
      <c r="G273" s="4"/>
      <c r="H273" s="5">
        <f t="shared" si="4"/>
        <v>-2.1743857360296023E-3</v>
      </c>
    </row>
    <row r="274" spans="1:8" ht="13.5" x14ac:dyDescent="0.25">
      <c r="A274" s="1"/>
      <c r="B274" s="3">
        <v>42699</v>
      </c>
      <c r="C274" s="4">
        <v>45.89</v>
      </c>
      <c r="D274" s="4">
        <v>45.89</v>
      </c>
      <c r="E274" s="4">
        <v>0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45.9</v>
      </c>
      <c r="D275" s="4">
        <v>45.9</v>
      </c>
      <c r="E275" s="4">
        <v>50</v>
      </c>
      <c r="F275" s="4"/>
      <c r="G275" s="4"/>
      <c r="H275" s="5">
        <f t="shared" si="4"/>
        <v>2.17912399215472E-4</v>
      </c>
    </row>
    <row r="276" spans="1:8" ht="13.5" x14ac:dyDescent="0.25">
      <c r="A276" s="1"/>
      <c r="B276" s="3">
        <v>42703</v>
      </c>
      <c r="C276" s="4">
        <v>45.9</v>
      </c>
      <c r="D276" s="4">
        <v>45.9</v>
      </c>
      <c r="E276" s="4">
        <v>0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47.38</v>
      </c>
      <c r="D277" s="4">
        <v>47.38</v>
      </c>
      <c r="E277" s="4">
        <v>251</v>
      </c>
      <c r="F277" s="4"/>
      <c r="G277" s="4"/>
      <c r="H277" s="5">
        <f t="shared" si="4"/>
        <v>3.2244008714597039E-2</v>
      </c>
    </row>
    <row r="278" spans="1:8" ht="13.5" x14ac:dyDescent="0.25">
      <c r="A278" s="1"/>
      <c r="B278" s="3">
        <v>42705</v>
      </c>
      <c r="C278" s="4">
        <v>48.8</v>
      </c>
      <c r="D278" s="4">
        <v>48.8</v>
      </c>
      <c r="E278" s="4">
        <v>150</v>
      </c>
      <c r="F278" s="4"/>
      <c r="G278" s="4"/>
      <c r="H278" s="5">
        <f t="shared" si="4"/>
        <v>2.9970451667370081E-2</v>
      </c>
    </row>
    <row r="279" spans="1:8" ht="13.5" x14ac:dyDescent="0.25">
      <c r="A279" s="1"/>
      <c r="B279" s="3">
        <v>42706</v>
      </c>
      <c r="C279" s="4">
        <v>48.8</v>
      </c>
      <c r="D279" s="4">
        <v>48.8</v>
      </c>
      <c r="E279" s="4">
        <v>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48.8</v>
      </c>
      <c r="D280" s="4">
        <v>48.8</v>
      </c>
      <c r="E280" s="4">
        <v>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48.7</v>
      </c>
      <c r="D281" s="4">
        <v>48.7</v>
      </c>
      <c r="E281" s="4">
        <v>50</v>
      </c>
      <c r="F281" s="4"/>
      <c r="G281" s="4"/>
      <c r="H281" s="5">
        <f t="shared" si="4"/>
        <v>-2.0491803278687359E-3</v>
      </c>
    </row>
    <row r="282" spans="1:8" ht="13.5" x14ac:dyDescent="0.25">
      <c r="A282" s="1"/>
      <c r="B282" s="3">
        <v>42711</v>
      </c>
      <c r="C282" s="4">
        <v>48.7</v>
      </c>
      <c r="D282" s="4">
        <v>48.7</v>
      </c>
      <c r="E282" s="4">
        <v>52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48.69</v>
      </c>
      <c r="D283" s="4">
        <v>48.69</v>
      </c>
      <c r="E283" s="4">
        <v>50</v>
      </c>
      <c r="F283" s="4"/>
      <c r="G283" s="4"/>
      <c r="H283" s="5">
        <f t="shared" si="4"/>
        <v>-2.0533880903501263E-4</v>
      </c>
    </row>
    <row r="284" spans="1:8" ht="13.5" x14ac:dyDescent="0.25">
      <c r="A284" s="1"/>
      <c r="B284" s="3">
        <v>42713</v>
      </c>
      <c r="C284" s="4">
        <v>48.6</v>
      </c>
      <c r="D284" s="4">
        <v>48.6</v>
      </c>
      <c r="E284" s="4">
        <v>5</v>
      </c>
      <c r="F284" s="4"/>
      <c r="G284" s="4"/>
      <c r="H284" s="5">
        <f t="shared" si="4"/>
        <v>-1.8484288354897579E-3</v>
      </c>
    </row>
    <row r="285" spans="1:8" ht="13.5" x14ac:dyDescent="0.25">
      <c r="A285" s="1"/>
      <c r="B285" s="3">
        <v>42717</v>
      </c>
      <c r="C285" s="4">
        <v>48.7</v>
      </c>
      <c r="D285" s="4">
        <v>48.7</v>
      </c>
      <c r="E285" s="4">
        <v>52</v>
      </c>
      <c r="F285" s="4"/>
      <c r="G285" s="4"/>
      <c r="H285" s="5">
        <f t="shared" si="4"/>
        <v>2.0576131687243091E-3</v>
      </c>
    </row>
    <row r="286" spans="1:8" ht="13.5" x14ac:dyDescent="0.25">
      <c r="A286" s="1"/>
      <c r="B286" s="3">
        <v>42718</v>
      </c>
      <c r="C286" s="4">
        <v>48.7</v>
      </c>
      <c r="D286" s="4">
        <v>48.7</v>
      </c>
      <c r="E286" s="4">
        <v>50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48.6</v>
      </c>
      <c r="D287" s="4">
        <v>48.6</v>
      </c>
      <c r="E287" s="4">
        <v>100</v>
      </c>
      <c r="F287" s="4"/>
      <c r="G287" s="4"/>
      <c r="H287" s="5">
        <f t="shared" si="4"/>
        <v>-2.0533880903491051E-3</v>
      </c>
    </row>
    <row r="288" spans="1:8" ht="13.5" x14ac:dyDescent="0.25">
      <c r="A288" s="1"/>
      <c r="B288" s="3">
        <v>42720</v>
      </c>
      <c r="C288" s="4">
        <v>48.6</v>
      </c>
      <c r="D288" s="4">
        <v>48.6</v>
      </c>
      <c r="E288" s="4">
        <v>0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48.6</v>
      </c>
      <c r="D289" s="4">
        <v>48.6</v>
      </c>
      <c r="E289" s="4">
        <v>0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42724</v>
      </c>
      <c r="C290" s="4">
        <v>48.5</v>
      </c>
      <c r="D290" s="4">
        <v>48.5</v>
      </c>
      <c r="E290" s="4">
        <v>9</v>
      </c>
      <c r="F290" s="4"/>
      <c r="G290" s="4"/>
      <c r="H290" s="5">
        <f t="shared" si="4"/>
        <v>-2.0576131687243091E-3</v>
      </c>
    </row>
    <row r="291" spans="1:8" ht="13.5" x14ac:dyDescent="0.25">
      <c r="A291" s="1"/>
      <c r="B291" s="3">
        <v>42725</v>
      </c>
      <c r="C291" s="4">
        <v>48.5</v>
      </c>
      <c r="D291" s="4">
        <v>48.5</v>
      </c>
      <c r="E291" s="4">
        <v>7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42726</v>
      </c>
      <c r="C292" s="4">
        <v>48.5</v>
      </c>
      <c r="D292" s="4">
        <v>48.5</v>
      </c>
      <c r="E292" s="4">
        <v>69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42727</v>
      </c>
      <c r="C293" s="4">
        <v>48.5</v>
      </c>
      <c r="D293" s="4">
        <v>48.5</v>
      </c>
      <c r="E293" s="4">
        <v>25</v>
      </c>
      <c r="F293" s="4"/>
      <c r="G293" s="4"/>
      <c r="H293" s="5">
        <f t="shared" si="4"/>
        <v>0</v>
      </c>
    </row>
    <row r="294" spans="1:8" ht="13.5" x14ac:dyDescent="0.25">
      <c r="A294" s="1"/>
      <c r="B294" s="3">
        <v>42730</v>
      </c>
      <c r="C294" s="4">
        <v>48.5</v>
      </c>
      <c r="D294" s="4">
        <v>48.5</v>
      </c>
      <c r="E294" s="4">
        <v>24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48.5</v>
      </c>
      <c r="D295" s="4">
        <v>48.5</v>
      </c>
      <c r="E295" s="4">
        <v>0</v>
      </c>
      <c r="F295" s="4"/>
      <c r="G295" s="4"/>
      <c r="H295" s="5">
        <f t="shared" si="4"/>
        <v>0</v>
      </c>
    </row>
    <row r="296" spans="1:8" ht="13.5" x14ac:dyDescent="0.25">
      <c r="A296" s="1"/>
      <c r="B296" s="3">
        <v>42732</v>
      </c>
      <c r="C296" s="4">
        <v>48.48</v>
      </c>
      <c r="D296" s="4">
        <v>48.48</v>
      </c>
      <c r="E296" s="4">
        <v>12</v>
      </c>
      <c r="F296" s="4"/>
      <c r="G296" s="4"/>
      <c r="H296" s="5">
        <f t="shared" si="4"/>
        <v>-4.1237113402068303E-4</v>
      </c>
    </row>
    <row r="297" spans="1:8" ht="13.5" x14ac:dyDescent="0.25">
      <c r="A297" s="1"/>
      <c r="B297" s="3">
        <v>42733</v>
      </c>
      <c r="C297" s="4">
        <v>48.48</v>
      </c>
      <c r="D297" s="4">
        <v>48.48</v>
      </c>
      <c r="E297" s="4">
        <v>0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42734</v>
      </c>
      <c r="C298" s="4">
        <v>46.3</v>
      </c>
      <c r="D298" s="4">
        <v>46.3</v>
      </c>
      <c r="E298" s="4">
        <v>0</v>
      </c>
      <c r="F298" s="4"/>
      <c r="G298" s="4"/>
      <c r="H298" s="5">
        <f t="shared" si="4"/>
        <v>-4.4966996699669963E-2</v>
      </c>
    </row>
    <row r="299" spans="1:8" ht="13.5" x14ac:dyDescent="0.25">
      <c r="A299" s="1"/>
      <c r="B299" s="3">
        <v>42737</v>
      </c>
      <c r="C299" s="4">
        <v>47.68</v>
      </c>
      <c r="D299" s="4">
        <v>47.68</v>
      </c>
      <c r="E299" s="4">
        <v>21</v>
      </c>
      <c r="F299" s="4"/>
      <c r="G299" s="4"/>
      <c r="H299" s="5">
        <f t="shared" si="4"/>
        <v>2.9805615550755997E-2</v>
      </c>
    </row>
    <row r="300" spans="1:8" ht="13.5" x14ac:dyDescent="0.25">
      <c r="A300" s="1"/>
      <c r="B300" s="3">
        <v>42738</v>
      </c>
      <c r="C300" s="4">
        <v>47.68</v>
      </c>
      <c r="D300" s="4">
        <v>47.68</v>
      </c>
      <c r="E300" s="4">
        <v>90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47.68</v>
      </c>
      <c r="D301" s="4">
        <v>47.68</v>
      </c>
      <c r="E301" s="4">
        <v>0</v>
      </c>
      <c r="F301" s="4"/>
      <c r="G301" s="4"/>
      <c r="H301" s="5">
        <f t="shared" si="4"/>
        <v>0</v>
      </c>
    </row>
    <row r="302" spans="1:8" ht="13.5" x14ac:dyDescent="0.25">
      <c r="A302" s="1"/>
      <c r="B302" s="3">
        <v>42740</v>
      </c>
      <c r="C302" s="4">
        <v>47.68</v>
      </c>
      <c r="D302" s="4">
        <v>47.68</v>
      </c>
      <c r="E302" s="4">
        <v>0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47.68</v>
      </c>
      <c r="D303" s="4">
        <v>47.68</v>
      </c>
      <c r="E303" s="4">
        <v>0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47.68</v>
      </c>
      <c r="D304" s="4">
        <v>47.68</v>
      </c>
      <c r="E304" s="4">
        <v>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47.68</v>
      </c>
      <c r="D305" s="4">
        <v>47.68</v>
      </c>
      <c r="E305" s="4">
        <v>0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47.68</v>
      </c>
      <c r="D306" s="4">
        <v>47.68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47.68</v>
      </c>
      <c r="D307" s="4">
        <v>47.68</v>
      </c>
      <c r="E307" s="4">
        <v>0</v>
      </c>
      <c r="F307" s="4"/>
      <c r="G307" s="4"/>
      <c r="H307" s="5">
        <f t="shared" si="4"/>
        <v>0</v>
      </c>
    </row>
    <row r="308" spans="1:8" ht="13.5" x14ac:dyDescent="0.25">
      <c r="A308" s="1"/>
      <c r="B308" s="3">
        <v>42748</v>
      </c>
      <c r="C308" s="4">
        <v>47.68</v>
      </c>
      <c r="D308" s="4">
        <v>47.68</v>
      </c>
      <c r="E308" s="4">
        <v>0</v>
      </c>
      <c r="F308" s="4"/>
      <c r="G308" s="4"/>
      <c r="H308" s="5">
        <f t="shared" si="4"/>
        <v>0</v>
      </c>
    </row>
    <row r="309" spans="1:8" ht="13.5" x14ac:dyDescent="0.25">
      <c r="A309" s="1"/>
      <c r="B309" s="3">
        <v>42751</v>
      </c>
      <c r="C309" s="4">
        <v>47.68</v>
      </c>
      <c r="D309" s="4">
        <v>47.68</v>
      </c>
      <c r="E309" s="4">
        <v>0</v>
      </c>
      <c r="F309" s="4"/>
      <c r="G309" s="4"/>
      <c r="H309" s="5">
        <f t="shared" si="4"/>
        <v>0</v>
      </c>
    </row>
    <row r="310" spans="1:8" ht="13.5" x14ac:dyDescent="0.25">
      <c r="A310" s="1"/>
      <c r="B310" s="3">
        <v>42752</v>
      </c>
      <c r="C310" s="4">
        <v>47.68</v>
      </c>
      <c r="D310" s="4">
        <v>47.68</v>
      </c>
      <c r="E310" s="4">
        <v>0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47.68</v>
      </c>
      <c r="D311" s="4">
        <v>47.68</v>
      </c>
      <c r="E311" s="4">
        <v>0</v>
      </c>
      <c r="F311" s="4"/>
      <c r="G311" s="4"/>
      <c r="H311" s="5">
        <f t="shared" si="4"/>
        <v>0</v>
      </c>
    </row>
    <row r="312" spans="1:8" ht="13.5" x14ac:dyDescent="0.25">
      <c r="A312" s="1"/>
      <c r="B312" s="3">
        <v>42754</v>
      </c>
      <c r="C312" s="4">
        <v>47.68</v>
      </c>
      <c r="D312" s="4">
        <v>47.68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45.54</v>
      </c>
      <c r="D313" s="4">
        <v>45.54</v>
      </c>
      <c r="E313" s="4">
        <v>0</v>
      </c>
      <c r="F313" s="4"/>
      <c r="G313" s="4"/>
      <c r="H313" s="5">
        <f t="shared" si="4"/>
        <v>-4.4882550335570481E-2</v>
      </c>
    </row>
    <row r="314" spans="1:8" ht="13.5" x14ac:dyDescent="0.25">
      <c r="A314" s="1"/>
      <c r="B314" s="3">
        <v>42758</v>
      </c>
      <c r="C314" s="4">
        <v>45.54</v>
      </c>
      <c r="D314" s="4">
        <v>45.54</v>
      </c>
      <c r="E314" s="4">
        <v>0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45.54</v>
      </c>
      <c r="D315" s="4">
        <v>45.54</v>
      </c>
      <c r="E315" s="4">
        <v>0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45.54</v>
      </c>
      <c r="D316" s="4">
        <v>45.54</v>
      </c>
      <c r="E316" s="4">
        <v>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43.5</v>
      </c>
      <c r="D317" s="4">
        <v>43.5</v>
      </c>
      <c r="E317" s="4">
        <v>82</v>
      </c>
      <c r="F317" s="4"/>
      <c r="G317" s="4"/>
      <c r="H317" s="5">
        <f t="shared" si="4"/>
        <v>-4.4795783926218691E-2</v>
      </c>
    </row>
    <row r="318" spans="1:8" ht="13.5" x14ac:dyDescent="0.25">
      <c r="A318" s="1"/>
      <c r="B318" s="3">
        <v>42762</v>
      </c>
      <c r="C318" s="4">
        <v>43.5</v>
      </c>
      <c r="D318" s="4">
        <v>43.5</v>
      </c>
      <c r="E318" s="4">
        <v>0</v>
      </c>
      <c r="F318" s="4"/>
      <c r="G318" s="4"/>
      <c r="H318" s="5">
        <f t="shared" si="4"/>
        <v>0</v>
      </c>
    </row>
    <row r="319" spans="1:8" ht="13.5" x14ac:dyDescent="0.25">
      <c r="A319" s="1"/>
      <c r="B319" s="3">
        <v>42765</v>
      </c>
      <c r="C319" s="4">
        <v>43.5</v>
      </c>
      <c r="D319" s="4">
        <v>43.5</v>
      </c>
      <c r="E319" s="4">
        <v>0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43.5</v>
      </c>
      <c r="D320" s="4">
        <v>43.5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43.5</v>
      </c>
      <c r="D321" s="4">
        <v>43.5</v>
      </c>
      <c r="E321" s="4">
        <v>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43.5</v>
      </c>
      <c r="D322" s="4">
        <v>43.5</v>
      </c>
      <c r="E322" s="4">
        <v>0</v>
      </c>
      <c r="F322" s="4"/>
      <c r="G322" s="4"/>
      <c r="H322" s="5">
        <f t="shared" si="4"/>
        <v>0</v>
      </c>
    </row>
    <row r="323" spans="1:8" ht="13.5" x14ac:dyDescent="0.25">
      <c r="A323" s="1"/>
      <c r="B323" s="3">
        <v>42769</v>
      </c>
      <c r="C323" s="4">
        <v>43.5</v>
      </c>
      <c r="D323" s="4">
        <v>43.5</v>
      </c>
      <c r="E323" s="4">
        <v>0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43.5</v>
      </c>
      <c r="D324" s="4">
        <v>43.5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43.5</v>
      </c>
      <c r="D325" s="4">
        <v>43.5</v>
      </c>
      <c r="E325" s="4">
        <v>0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43.5</v>
      </c>
      <c r="D326" s="4">
        <v>43.5</v>
      </c>
      <c r="E326" s="4">
        <v>0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43.5</v>
      </c>
      <c r="D327" s="4">
        <v>43.5</v>
      </c>
      <c r="E327" s="4">
        <v>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43.5</v>
      </c>
      <c r="D328" s="4">
        <v>43.5</v>
      </c>
      <c r="E328" s="4">
        <v>0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43.5</v>
      </c>
      <c r="D329" s="4">
        <v>43.5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43.5</v>
      </c>
      <c r="D330" s="4">
        <v>43.5</v>
      </c>
      <c r="E330" s="4">
        <v>0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43.5</v>
      </c>
      <c r="D331" s="4">
        <v>43.5</v>
      </c>
      <c r="E331" s="4">
        <v>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43.5</v>
      </c>
      <c r="D332" s="4">
        <v>43.5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43.5</v>
      </c>
      <c r="D333" s="4">
        <v>43.5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43.5</v>
      </c>
      <c r="D334" s="4">
        <v>43.5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43.5</v>
      </c>
      <c r="D335" s="4">
        <v>43.5</v>
      </c>
      <c r="E335" s="4">
        <v>0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43.5</v>
      </c>
      <c r="D336" s="4">
        <v>43.5</v>
      </c>
      <c r="E336" s="4">
        <v>0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43.5</v>
      </c>
      <c r="D337" s="4">
        <v>43.5</v>
      </c>
      <c r="E337" s="4">
        <v>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43.5</v>
      </c>
      <c r="D338" s="4">
        <v>43.5</v>
      </c>
      <c r="E338" s="4">
        <v>0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43.5</v>
      </c>
      <c r="D339" s="4">
        <v>43.5</v>
      </c>
      <c r="E339" s="4">
        <v>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43.5</v>
      </c>
      <c r="D340" s="4">
        <v>43.5</v>
      </c>
      <c r="E340" s="4">
        <v>0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43.5</v>
      </c>
      <c r="D341" s="4">
        <v>43.5</v>
      </c>
      <c r="E341" s="4">
        <v>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43.5</v>
      </c>
      <c r="D342" s="4">
        <v>43.5</v>
      </c>
      <c r="E342" s="4">
        <v>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43.5</v>
      </c>
      <c r="D343" s="4">
        <v>43.5</v>
      </c>
      <c r="E343" s="4">
        <v>0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43.5</v>
      </c>
      <c r="D344" s="4">
        <v>43.5</v>
      </c>
      <c r="E344" s="4">
        <v>0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43.5</v>
      </c>
      <c r="D345" s="4">
        <v>43.5</v>
      </c>
      <c r="E345" s="4">
        <v>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43.5</v>
      </c>
      <c r="D346" s="4">
        <v>43.5</v>
      </c>
      <c r="E346" s="4">
        <v>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43.5</v>
      </c>
      <c r="D347" s="4">
        <v>43.5</v>
      </c>
      <c r="E347" s="4">
        <v>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43.5</v>
      </c>
      <c r="D348" s="4">
        <v>43.5</v>
      </c>
      <c r="E348" s="4">
        <v>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43.5</v>
      </c>
      <c r="D349" s="4">
        <v>43.5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43.5</v>
      </c>
      <c r="D350" s="4">
        <v>43.5</v>
      </c>
      <c r="E350" s="4">
        <v>0</v>
      </c>
      <c r="F350" s="4"/>
      <c r="G350" s="4"/>
      <c r="H350" s="5">
        <f t="shared" si="5"/>
        <v>0</v>
      </c>
    </row>
    <row r="351" spans="1:8" ht="13.5" x14ac:dyDescent="0.25">
      <c r="A351" s="1"/>
      <c r="B351" s="3">
        <v>42809</v>
      </c>
      <c r="C351" s="4">
        <v>43.5</v>
      </c>
      <c r="D351" s="4">
        <v>43.5</v>
      </c>
      <c r="E351" s="4">
        <v>0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42810</v>
      </c>
      <c r="C352" s="4">
        <v>43.5</v>
      </c>
      <c r="D352" s="4">
        <v>43.5</v>
      </c>
      <c r="E352" s="4">
        <v>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43.5</v>
      </c>
      <c r="D353" s="4">
        <v>43.5</v>
      </c>
      <c r="E353" s="4">
        <v>0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43.5</v>
      </c>
      <c r="D354" s="4">
        <v>43.5</v>
      </c>
      <c r="E354" s="4">
        <v>0</v>
      </c>
      <c r="F354" s="4"/>
      <c r="G354" s="4"/>
      <c r="H354" s="5">
        <f t="shared" si="5"/>
        <v>0</v>
      </c>
    </row>
    <row r="355" spans="1:8" ht="13.5" x14ac:dyDescent="0.25">
      <c r="A355" s="1"/>
      <c r="B355" s="3">
        <v>42816</v>
      </c>
      <c r="C355" s="4">
        <v>43.5</v>
      </c>
      <c r="D355" s="4">
        <v>43.5</v>
      </c>
      <c r="E355" s="4">
        <v>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43.5</v>
      </c>
      <c r="D356" s="4">
        <v>43.5</v>
      </c>
      <c r="E356" s="4">
        <v>0</v>
      </c>
      <c r="F356" s="4"/>
      <c r="G356" s="4"/>
      <c r="H356" s="5">
        <f t="shared" si="5"/>
        <v>0</v>
      </c>
    </row>
    <row r="357" spans="1:8" ht="13.5" x14ac:dyDescent="0.25">
      <c r="A357" s="1"/>
      <c r="B357" s="3">
        <v>42818</v>
      </c>
      <c r="C357" s="4">
        <v>43.5</v>
      </c>
      <c r="D357" s="4">
        <v>43.5</v>
      </c>
      <c r="E357" s="4">
        <v>0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43.5</v>
      </c>
      <c r="D358" s="4">
        <v>43.5</v>
      </c>
      <c r="E358" s="4">
        <v>0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42.2</v>
      </c>
      <c r="D359" s="4">
        <v>42.2</v>
      </c>
      <c r="E359" s="4">
        <v>0</v>
      </c>
      <c r="F359" s="4"/>
      <c r="G359" s="4"/>
      <c r="H359" s="5">
        <f t="shared" si="5"/>
        <v>-2.9885057471264301E-2</v>
      </c>
    </row>
    <row r="360" spans="1:8" ht="13.5" x14ac:dyDescent="0.25">
      <c r="A360" s="1"/>
      <c r="B360" s="3">
        <v>42823</v>
      </c>
      <c r="C360" s="4">
        <v>42.2</v>
      </c>
      <c r="D360" s="4">
        <v>42.2</v>
      </c>
      <c r="E360" s="4">
        <v>0</v>
      </c>
      <c r="F360" s="4"/>
      <c r="G360" s="4"/>
      <c r="H360" s="5">
        <f t="shared" si="5"/>
        <v>0</v>
      </c>
    </row>
    <row r="361" spans="1:8" ht="13.5" x14ac:dyDescent="0.25">
      <c r="A361" s="1"/>
      <c r="B361" s="3">
        <v>42824</v>
      </c>
      <c r="C361" s="4">
        <v>42.2</v>
      </c>
      <c r="D361" s="4">
        <v>42.2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42.2</v>
      </c>
      <c r="D362" s="4">
        <v>42.2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42.2</v>
      </c>
      <c r="D363" s="4">
        <v>42.2</v>
      </c>
      <c r="E363" s="4">
        <v>0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42.2</v>
      </c>
      <c r="D364" s="4">
        <v>42.2</v>
      </c>
      <c r="E364" s="4">
        <v>0</v>
      </c>
      <c r="F364" s="4"/>
      <c r="G364" s="4"/>
      <c r="H364" s="5">
        <f t="shared" si="5"/>
        <v>0</v>
      </c>
    </row>
    <row r="365" spans="1:8" ht="13.5" x14ac:dyDescent="0.25">
      <c r="A365" s="1"/>
      <c r="B365" s="3">
        <v>42830</v>
      </c>
      <c r="C365" s="4">
        <v>42.2</v>
      </c>
      <c r="D365" s="4">
        <v>42.2</v>
      </c>
      <c r="E365" s="4">
        <v>0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42831</v>
      </c>
      <c r="C366" s="4">
        <v>42.2</v>
      </c>
      <c r="D366" s="4">
        <v>42.2</v>
      </c>
      <c r="E366" s="4">
        <v>0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42.2</v>
      </c>
      <c r="D367" s="4">
        <v>42.2</v>
      </c>
      <c r="E367" s="4">
        <v>0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42.2</v>
      </c>
      <c r="D368" s="4">
        <v>42.2</v>
      </c>
      <c r="E368" s="4">
        <v>0</v>
      </c>
      <c r="F368" s="4"/>
      <c r="G368" s="4"/>
      <c r="H368" s="5">
        <f t="shared" si="5"/>
        <v>0</v>
      </c>
    </row>
    <row r="369" spans="1:8" ht="13.5" x14ac:dyDescent="0.25">
      <c r="A369" s="1"/>
      <c r="B369" s="3">
        <v>42836</v>
      </c>
      <c r="C369" s="4">
        <v>42.2</v>
      </c>
      <c r="D369" s="4">
        <v>42.2</v>
      </c>
      <c r="E369" s="4">
        <v>0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42.2</v>
      </c>
      <c r="D370" s="4">
        <v>42.2</v>
      </c>
      <c r="E370" s="4">
        <v>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42.2</v>
      </c>
      <c r="D371" s="4">
        <v>42.2</v>
      </c>
      <c r="E371" s="4">
        <v>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42.2</v>
      </c>
      <c r="D372" s="4">
        <v>42.2</v>
      </c>
      <c r="E372" s="4">
        <v>0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42.2</v>
      </c>
      <c r="D373" s="4">
        <v>42.2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42.2</v>
      </c>
      <c r="D374" s="4">
        <v>42.2</v>
      </c>
      <c r="E374" s="4">
        <v>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41</v>
      </c>
      <c r="D375" s="4">
        <v>41</v>
      </c>
      <c r="E375" s="4">
        <v>30</v>
      </c>
      <c r="F375" s="4"/>
      <c r="G375" s="4"/>
      <c r="H375" s="5">
        <f t="shared" si="5"/>
        <v>-2.8436018957346036E-2</v>
      </c>
    </row>
    <row r="376" spans="1:8" ht="13.5" x14ac:dyDescent="0.25">
      <c r="A376" s="1"/>
      <c r="B376" s="3">
        <v>42845</v>
      </c>
      <c r="C376" s="4">
        <v>41</v>
      </c>
      <c r="D376" s="4">
        <v>41</v>
      </c>
      <c r="E376" s="4">
        <v>0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41.2</v>
      </c>
      <c r="D377" s="4">
        <v>41.2</v>
      </c>
      <c r="E377" s="4">
        <v>50</v>
      </c>
      <c r="F377" s="4"/>
      <c r="G377" s="4"/>
      <c r="H377" s="5">
        <f t="shared" si="5"/>
        <v>4.8780487804878743E-3</v>
      </c>
    </row>
    <row r="378" spans="1:8" ht="13.5" x14ac:dyDescent="0.25">
      <c r="A378" s="1"/>
      <c r="B378" s="3">
        <v>42849</v>
      </c>
      <c r="C378" s="4">
        <v>41.2</v>
      </c>
      <c r="D378" s="4">
        <v>41.2</v>
      </c>
      <c r="E378" s="4">
        <v>30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41.2</v>
      </c>
      <c r="D379" s="4">
        <v>41.2</v>
      </c>
      <c r="E379" s="4">
        <v>0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41.2</v>
      </c>
      <c r="D380" s="4">
        <v>41.2</v>
      </c>
      <c r="E380" s="4">
        <v>10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41.2</v>
      </c>
      <c r="D381" s="4">
        <v>41.2</v>
      </c>
      <c r="E381" s="4">
        <v>0</v>
      </c>
      <c r="F381" s="4"/>
      <c r="G381" s="4"/>
      <c r="H381" s="5">
        <f t="shared" si="5"/>
        <v>0</v>
      </c>
    </row>
    <row r="382" spans="1:8" ht="13.5" x14ac:dyDescent="0.25">
      <c r="A382" s="1"/>
      <c r="B382" s="3">
        <v>42853</v>
      </c>
      <c r="C382" s="4">
        <v>41.18</v>
      </c>
      <c r="D382" s="4">
        <v>41.18</v>
      </c>
      <c r="E382" s="4">
        <v>30</v>
      </c>
      <c r="F382" s="4"/>
      <c r="G382" s="4"/>
      <c r="H382" s="5">
        <f t="shared" si="5"/>
        <v>-4.8543689320395937E-4</v>
      </c>
    </row>
    <row r="383" spans="1:8" ht="13.5" x14ac:dyDescent="0.25">
      <c r="A383" s="1"/>
      <c r="B383" s="3">
        <v>42857</v>
      </c>
      <c r="C383" s="4">
        <v>41.18</v>
      </c>
      <c r="D383" s="4">
        <v>41.18</v>
      </c>
      <c r="E383" s="4">
        <v>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39.979999999999997</v>
      </c>
      <c r="D384" s="4">
        <v>39.979999999999997</v>
      </c>
      <c r="E384" s="4">
        <v>20</v>
      </c>
      <c r="F384" s="4"/>
      <c r="G384" s="4"/>
      <c r="H384" s="5">
        <f t="shared" si="5"/>
        <v>-2.9140359397765974E-2</v>
      </c>
    </row>
    <row r="385" spans="1:8" ht="13.5" x14ac:dyDescent="0.25">
      <c r="A385" s="1"/>
      <c r="B385" s="3">
        <v>42859</v>
      </c>
      <c r="C385" s="4">
        <v>38.79</v>
      </c>
      <c r="D385" s="4">
        <v>38.79</v>
      </c>
      <c r="E385" s="4">
        <v>0</v>
      </c>
      <c r="F385" s="4"/>
      <c r="G385" s="4"/>
      <c r="H385" s="5">
        <f t="shared" si="5"/>
        <v>-2.9764882441220556E-2</v>
      </c>
    </row>
    <row r="386" spans="1:8" ht="13.5" x14ac:dyDescent="0.25">
      <c r="A386" s="1"/>
      <c r="B386" s="3">
        <v>42860</v>
      </c>
      <c r="C386" s="4">
        <v>39.79</v>
      </c>
      <c r="D386" s="4">
        <v>39.79</v>
      </c>
      <c r="E386" s="4">
        <v>25</v>
      </c>
      <c r="F386" s="4"/>
      <c r="G386" s="4"/>
      <c r="H386" s="5">
        <f t="shared" si="5"/>
        <v>2.5779840164990978E-2</v>
      </c>
    </row>
    <row r="387" spans="1:8" ht="13.5" x14ac:dyDescent="0.25">
      <c r="A387" s="1"/>
      <c r="B387" s="3">
        <v>42863</v>
      </c>
      <c r="C387" s="4">
        <v>39.79</v>
      </c>
      <c r="D387" s="4">
        <v>39.79</v>
      </c>
      <c r="E387" s="4">
        <v>0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39.79</v>
      </c>
      <c r="D388" s="4">
        <v>39.79</v>
      </c>
      <c r="E388" s="4">
        <v>0</v>
      </c>
      <c r="F388" s="4"/>
      <c r="G388" s="4"/>
      <c r="H388" s="5">
        <f t="shared" si="5"/>
        <v>0</v>
      </c>
    </row>
    <row r="389" spans="1:8" ht="13.5" x14ac:dyDescent="0.25">
      <c r="A389" s="1"/>
      <c r="B389" s="3">
        <v>42865</v>
      </c>
      <c r="C389" s="4">
        <v>39.79</v>
      </c>
      <c r="D389" s="4">
        <v>39.79</v>
      </c>
      <c r="E389" s="4">
        <v>0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39.79</v>
      </c>
      <c r="D390" s="4">
        <v>39.79</v>
      </c>
      <c r="E390" s="4">
        <v>0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39.79</v>
      </c>
      <c r="D391" s="4">
        <v>39.79</v>
      </c>
      <c r="E391" s="4">
        <v>0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39.79</v>
      </c>
      <c r="D392" s="4">
        <v>39.79</v>
      </c>
      <c r="E392" s="4">
        <v>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38.6</v>
      </c>
      <c r="D393" s="4">
        <v>38.6</v>
      </c>
      <c r="E393" s="4">
        <v>30</v>
      </c>
      <c r="F393" s="4"/>
      <c r="G393" s="4"/>
      <c r="H393" s="5">
        <f t="shared" si="6"/>
        <v>-2.9907011812013013E-2</v>
      </c>
    </row>
    <row r="394" spans="1:8" ht="13.5" x14ac:dyDescent="0.25">
      <c r="A394" s="1"/>
      <c r="B394" s="3">
        <v>42872</v>
      </c>
      <c r="C394" s="4">
        <v>38.6</v>
      </c>
      <c r="D394" s="4">
        <v>38.6</v>
      </c>
      <c r="E394" s="4">
        <v>20</v>
      </c>
      <c r="F394" s="4"/>
      <c r="G394" s="4"/>
      <c r="H394" s="5">
        <f t="shared" si="6"/>
        <v>0</v>
      </c>
    </row>
    <row r="395" spans="1:8" ht="13.5" x14ac:dyDescent="0.25">
      <c r="A395" s="1"/>
      <c r="B395" s="3">
        <v>42873</v>
      </c>
      <c r="C395" s="4">
        <v>37.450000000000003</v>
      </c>
      <c r="D395" s="4">
        <v>37.450000000000003</v>
      </c>
      <c r="E395" s="4">
        <v>26</v>
      </c>
      <c r="F395" s="4"/>
      <c r="G395" s="4"/>
      <c r="H395" s="5">
        <f t="shared" si="6"/>
        <v>-2.9792746113989601E-2</v>
      </c>
    </row>
    <row r="396" spans="1:8" ht="13.5" x14ac:dyDescent="0.25">
      <c r="A396" s="1"/>
      <c r="B396" s="3">
        <v>42874</v>
      </c>
      <c r="C396" s="4">
        <v>37.450000000000003</v>
      </c>
      <c r="D396" s="4">
        <v>37.450000000000003</v>
      </c>
      <c r="E396" s="4">
        <v>0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37.450000000000003</v>
      </c>
      <c r="D397" s="4">
        <v>37.450000000000003</v>
      </c>
      <c r="E397" s="4">
        <v>0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42878</v>
      </c>
      <c r="C398" s="4">
        <v>37.450000000000003</v>
      </c>
      <c r="D398" s="4">
        <v>37.450000000000003</v>
      </c>
      <c r="E398" s="4">
        <v>0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36.340000000000003</v>
      </c>
      <c r="D399" s="4">
        <v>36.340000000000003</v>
      </c>
      <c r="E399" s="4">
        <v>20</v>
      </c>
      <c r="F399" s="4"/>
      <c r="G399" s="4"/>
      <c r="H399" s="5">
        <f t="shared" si="6"/>
        <v>-2.9639519359145512E-2</v>
      </c>
    </row>
    <row r="400" spans="1:8" ht="13.5" x14ac:dyDescent="0.25">
      <c r="A400" s="1"/>
      <c r="B400" s="3">
        <v>42880</v>
      </c>
      <c r="C400" s="4">
        <v>35.24</v>
      </c>
      <c r="D400" s="4">
        <v>35.24</v>
      </c>
      <c r="E400" s="4">
        <v>41</v>
      </c>
      <c r="F400" s="4"/>
      <c r="G400" s="4"/>
      <c r="H400" s="5">
        <f t="shared" si="6"/>
        <v>-3.0269675288937845E-2</v>
      </c>
    </row>
    <row r="401" spans="1:8" ht="13.5" x14ac:dyDescent="0.25">
      <c r="A401" s="1"/>
      <c r="B401" s="3">
        <v>42881</v>
      </c>
      <c r="C401" s="4">
        <v>33.18</v>
      </c>
      <c r="D401" s="4">
        <v>33.18</v>
      </c>
      <c r="E401" s="4">
        <v>51</v>
      </c>
      <c r="F401" s="4"/>
      <c r="G401" s="4"/>
      <c r="H401" s="5">
        <f t="shared" si="6"/>
        <v>-5.8456299659477927E-2</v>
      </c>
    </row>
    <row r="402" spans="1:8" ht="13.5" x14ac:dyDescent="0.25">
      <c r="A402" s="1"/>
      <c r="B402" s="3">
        <v>42884</v>
      </c>
      <c r="C402" s="4">
        <v>33.18</v>
      </c>
      <c r="D402" s="4">
        <v>33.18</v>
      </c>
      <c r="E402" s="4">
        <v>20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33.18</v>
      </c>
      <c r="D403" s="4">
        <v>33.18</v>
      </c>
      <c r="E403" s="4">
        <v>0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33.18</v>
      </c>
      <c r="D404" s="4">
        <v>33.18</v>
      </c>
      <c r="E404" s="4">
        <v>0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33.18</v>
      </c>
      <c r="D405" s="4">
        <v>33.18</v>
      </c>
      <c r="E405" s="4">
        <v>0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32.19</v>
      </c>
      <c r="D406" s="4">
        <v>32.19</v>
      </c>
      <c r="E406" s="4">
        <v>30</v>
      </c>
      <c r="F406" s="4"/>
      <c r="G406" s="4"/>
      <c r="H406" s="5">
        <f t="shared" si="6"/>
        <v>-2.9837251356238759E-2</v>
      </c>
    </row>
    <row r="407" spans="1:8" ht="13.5" x14ac:dyDescent="0.25">
      <c r="A407" s="1"/>
      <c r="B407" s="3">
        <v>42891</v>
      </c>
      <c r="C407" s="4">
        <v>32.19</v>
      </c>
      <c r="D407" s="4">
        <v>32.19</v>
      </c>
      <c r="E407" s="4">
        <v>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32.19</v>
      </c>
      <c r="D408" s="4">
        <v>32.19</v>
      </c>
      <c r="E408" s="4">
        <v>0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32.19</v>
      </c>
      <c r="D409" s="4">
        <v>32.19</v>
      </c>
      <c r="E409" s="4">
        <v>0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31.23</v>
      </c>
      <c r="D410" s="4">
        <v>31.23</v>
      </c>
      <c r="E410" s="4">
        <v>40</v>
      </c>
      <c r="F410" s="4"/>
      <c r="G410" s="4"/>
      <c r="H410" s="5">
        <f t="shared" si="6"/>
        <v>-2.9822926374650432E-2</v>
      </c>
    </row>
    <row r="411" spans="1:8" ht="13.5" x14ac:dyDescent="0.25">
      <c r="A411" s="1"/>
      <c r="B411" s="3">
        <v>42895</v>
      </c>
      <c r="C411" s="4">
        <v>30.33</v>
      </c>
      <c r="D411" s="4">
        <v>30.33</v>
      </c>
      <c r="E411" s="4">
        <v>60</v>
      </c>
      <c r="F411" s="4"/>
      <c r="G411" s="4"/>
      <c r="H411" s="5">
        <f t="shared" si="6"/>
        <v>-2.8818443804034651E-2</v>
      </c>
    </row>
    <row r="412" spans="1:8" ht="13.5" x14ac:dyDescent="0.25">
      <c r="A412" s="1"/>
      <c r="B412" s="3">
        <v>42898</v>
      </c>
      <c r="C412" s="4">
        <v>30.29</v>
      </c>
      <c r="D412" s="4">
        <v>30.29</v>
      </c>
      <c r="E412" s="4">
        <v>19</v>
      </c>
      <c r="F412" s="4"/>
      <c r="G412" s="4"/>
      <c r="H412" s="5">
        <f t="shared" si="6"/>
        <v>-1.3188262446422404E-3</v>
      </c>
    </row>
    <row r="413" spans="1:8" ht="13.5" x14ac:dyDescent="0.25">
      <c r="A413" s="1"/>
      <c r="B413" s="3">
        <v>42899</v>
      </c>
      <c r="C413" s="4">
        <v>30.29</v>
      </c>
      <c r="D413" s="4">
        <v>30.29</v>
      </c>
      <c r="E413" s="4">
        <v>0</v>
      </c>
      <c r="F413" s="4"/>
      <c r="G413" s="4"/>
      <c r="H413" s="5">
        <f t="shared" si="6"/>
        <v>0</v>
      </c>
    </row>
    <row r="414" spans="1:8" ht="13.5" x14ac:dyDescent="0.25">
      <c r="A414" s="1"/>
      <c r="B414" s="3">
        <v>42900</v>
      </c>
      <c r="C414" s="4">
        <v>29.39</v>
      </c>
      <c r="D414" s="4">
        <v>29.39</v>
      </c>
      <c r="E414" s="4">
        <v>15</v>
      </c>
      <c r="F414" s="4"/>
      <c r="G414" s="4"/>
      <c r="H414" s="5">
        <f t="shared" si="6"/>
        <v>-2.9712776493892326E-2</v>
      </c>
    </row>
    <row r="415" spans="1:8" ht="13.5" x14ac:dyDescent="0.25">
      <c r="A415" s="1"/>
      <c r="B415" s="3">
        <v>42901</v>
      </c>
      <c r="C415" s="4">
        <v>29.39</v>
      </c>
      <c r="D415" s="4">
        <v>29.39</v>
      </c>
      <c r="E415" s="4">
        <v>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29.39</v>
      </c>
      <c r="D416" s="4">
        <v>29.39</v>
      </c>
      <c r="E416" s="4">
        <v>0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29.39</v>
      </c>
      <c r="D417" s="4">
        <v>29.39</v>
      </c>
      <c r="E417" s="4">
        <v>20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29.39</v>
      </c>
      <c r="D418" s="4">
        <v>29.39</v>
      </c>
      <c r="E418" s="4">
        <v>0</v>
      </c>
      <c r="F418" s="4"/>
      <c r="G418" s="4"/>
      <c r="H418" s="5">
        <f t="shared" si="6"/>
        <v>0</v>
      </c>
    </row>
    <row r="419" spans="1:8" ht="13.5" x14ac:dyDescent="0.25">
      <c r="A419" s="1"/>
      <c r="B419" s="3">
        <v>42907</v>
      </c>
      <c r="C419" s="4">
        <v>29.39</v>
      </c>
      <c r="D419" s="4">
        <v>29.39</v>
      </c>
      <c r="E419" s="4">
        <v>0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29.39</v>
      </c>
      <c r="D420" s="4">
        <v>29.39</v>
      </c>
      <c r="E420" s="4">
        <v>0</v>
      </c>
      <c r="F420" s="4"/>
      <c r="G420" s="4"/>
      <c r="H420" s="5">
        <f t="shared" si="6"/>
        <v>0</v>
      </c>
    </row>
    <row r="421" spans="1:8" ht="13.5" x14ac:dyDescent="0.25">
      <c r="A421" s="1"/>
      <c r="B421" s="3">
        <v>42909</v>
      </c>
      <c r="C421" s="4">
        <v>29.39</v>
      </c>
      <c r="D421" s="4">
        <v>29.39</v>
      </c>
      <c r="E421" s="4">
        <v>0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29.39</v>
      </c>
      <c r="D422" s="4">
        <v>29.39</v>
      </c>
      <c r="E422" s="4">
        <v>0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29.2</v>
      </c>
      <c r="D423" s="4">
        <v>29.2</v>
      </c>
      <c r="E423" s="4">
        <v>10</v>
      </c>
      <c r="F423" s="4"/>
      <c r="G423" s="4"/>
      <c r="H423" s="5">
        <f t="shared" si="6"/>
        <v>-6.4647839401157292E-3</v>
      </c>
    </row>
    <row r="424" spans="1:8" ht="13.5" x14ac:dyDescent="0.25">
      <c r="A424" s="1"/>
      <c r="B424" s="3">
        <v>42916</v>
      </c>
      <c r="C424" s="4">
        <v>28.51</v>
      </c>
      <c r="D424" s="4">
        <v>28.51</v>
      </c>
      <c r="E424" s="4">
        <v>21</v>
      </c>
      <c r="F424" s="4"/>
      <c r="G424" s="4"/>
      <c r="H424" s="5">
        <f t="shared" si="6"/>
        <v>-2.3630136986301294E-2</v>
      </c>
    </row>
    <row r="425" spans="1:8" ht="13.5" x14ac:dyDescent="0.25">
      <c r="A425" s="1"/>
      <c r="B425" s="3">
        <v>42919</v>
      </c>
      <c r="C425" s="4">
        <v>28.51</v>
      </c>
      <c r="D425" s="4">
        <v>28.51</v>
      </c>
      <c r="E425" s="4">
        <v>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27.23</v>
      </c>
      <c r="D426" s="4">
        <v>27.23</v>
      </c>
      <c r="E426" s="4">
        <v>0</v>
      </c>
      <c r="F426" s="4"/>
      <c r="G426" s="4"/>
      <c r="H426" s="5">
        <f t="shared" si="6"/>
        <v>-4.4896527534198566E-2</v>
      </c>
    </row>
    <row r="427" spans="1:8" ht="13.5" x14ac:dyDescent="0.25">
      <c r="A427" s="1"/>
      <c r="B427" s="3">
        <v>42921</v>
      </c>
      <c r="C427" s="4">
        <v>27.59</v>
      </c>
      <c r="D427" s="4">
        <v>27.59</v>
      </c>
      <c r="E427" s="4">
        <v>40</v>
      </c>
      <c r="F427" s="4"/>
      <c r="G427" s="4"/>
      <c r="H427" s="5">
        <f t="shared" si="6"/>
        <v>1.3220712449504202E-2</v>
      </c>
    </row>
    <row r="428" spans="1:8" ht="13.5" x14ac:dyDescent="0.25">
      <c r="A428" s="1"/>
      <c r="B428" s="3">
        <v>42922</v>
      </c>
      <c r="C428" s="4">
        <v>26.35</v>
      </c>
      <c r="D428" s="4">
        <v>26.35</v>
      </c>
      <c r="E428" s="4">
        <v>0</v>
      </c>
      <c r="F428" s="4"/>
      <c r="G428" s="4"/>
      <c r="H428" s="5">
        <f t="shared" si="6"/>
        <v>-4.4943820224719044E-2</v>
      </c>
    </row>
    <row r="429" spans="1:8" ht="13.5" x14ac:dyDescent="0.25">
      <c r="A429" s="1"/>
      <c r="B429" s="3">
        <v>42923</v>
      </c>
      <c r="C429" s="4">
        <v>26.45</v>
      </c>
      <c r="D429" s="4">
        <v>26.45</v>
      </c>
      <c r="E429" s="4">
        <v>33</v>
      </c>
      <c r="F429" s="4"/>
      <c r="G429" s="4"/>
      <c r="H429" s="5">
        <f t="shared" si="6"/>
        <v>3.7950664136621581E-3</v>
      </c>
    </row>
    <row r="430" spans="1:8" ht="13.5" x14ac:dyDescent="0.25">
      <c r="A430" s="1"/>
      <c r="B430" s="3">
        <v>42926</v>
      </c>
      <c r="C430" s="4">
        <v>26.01</v>
      </c>
      <c r="D430" s="4">
        <v>26.01</v>
      </c>
      <c r="E430" s="4">
        <v>90</v>
      </c>
      <c r="F430" s="4"/>
      <c r="G430" s="4"/>
      <c r="H430" s="5">
        <f t="shared" si="6"/>
        <v>-1.6635160680529216E-2</v>
      </c>
    </row>
    <row r="431" spans="1:8" ht="13.5" x14ac:dyDescent="0.25">
      <c r="A431" s="1"/>
      <c r="B431" s="3">
        <v>42927</v>
      </c>
      <c r="C431" s="4">
        <v>26.01</v>
      </c>
      <c r="D431" s="4">
        <v>26.01</v>
      </c>
      <c r="E431" s="4">
        <v>0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26.01</v>
      </c>
      <c r="D432" s="4">
        <v>26.01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26.5</v>
      </c>
      <c r="D433" s="4">
        <v>26.5</v>
      </c>
      <c r="E433" s="4">
        <v>82</v>
      </c>
      <c r="F433" s="4"/>
      <c r="G433" s="4"/>
      <c r="H433" s="5">
        <f t="shared" si="6"/>
        <v>1.8838908112264453E-2</v>
      </c>
    </row>
    <row r="434" spans="1:8" ht="13.5" x14ac:dyDescent="0.25">
      <c r="A434" s="1"/>
      <c r="B434" s="3">
        <v>42930</v>
      </c>
      <c r="C434" s="4">
        <v>26.3</v>
      </c>
      <c r="D434" s="4">
        <v>26.3</v>
      </c>
      <c r="E434" s="4">
        <v>22</v>
      </c>
      <c r="F434" s="4"/>
      <c r="G434" s="4"/>
      <c r="H434" s="5">
        <f t="shared" si="6"/>
        <v>-7.5471698113207279E-3</v>
      </c>
    </row>
    <row r="435" spans="1:8" ht="13.5" x14ac:dyDescent="0.25">
      <c r="A435" s="1"/>
      <c r="B435" s="3">
        <v>42933</v>
      </c>
      <c r="C435" s="4">
        <v>26.3</v>
      </c>
      <c r="D435" s="4">
        <v>26.3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26.5</v>
      </c>
      <c r="D436" s="4">
        <v>26.5</v>
      </c>
      <c r="E436" s="4">
        <v>30</v>
      </c>
      <c r="F436" s="4"/>
      <c r="G436" s="4"/>
      <c r="H436" s="5">
        <f t="shared" si="6"/>
        <v>7.6045627376425586E-3</v>
      </c>
    </row>
    <row r="437" spans="1:8" ht="13.5" x14ac:dyDescent="0.25">
      <c r="A437" s="1"/>
      <c r="B437" s="3">
        <v>42935</v>
      </c>
      <c r="C437" s="4">
        <v>26.5</v>
      </c>
      <c r="D437" s="4">
        <v>26.5</v>
      </c>
      <c r="E437" s="4">
        <v>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26.5</v>
      </c>
      <c r="D438" s="4">
        <v>26.5</v>
      </c>
      <c r="E438" s="4">
        <v>0</v>
      </c>
      <c r="F438" s="4"/>
      <c r="G438" s="4"/>
      <c r="H438" s="5">
        <f t="shared" si="6"/>
        <v>0</v>
      </c>
    </row>
    <row r="439" spans="1:8" ht="13.5" x14ac:dyDescent="0.25">
      <c r="A439" s="1"/>
      <c r="B439" s="3">
        <v>42937</v>
      </c>
      <c r="C439" s="4">
        <v>27.2</v>
      </c>
      <c r="D439" s="4">
        <v>27.2</v>
      </c>
      <c r="E439" s="4">
        <v>12</v>
      </c>
      <c r="F439" s="4"/>
      <c r="G439" s="4"/>
      <c r="H439" s="5">
        <f t="shared" si="6"/>
        <v>2.6415094339622615E-2</v>
      </c>
    </row>
    <row r="440" spans="1:8" ht="13.5" x14ac:dyDescent="0.25">
      <c r="A440" s="1"/>
      <c r="B440" s="3">
        <v>42940</v>
      </c>
      <c r="C440" s="4">
        <v>27.2</v>
      </c>
      <c r="D440" s="4">
        <v>27.2</v>
      </c>
      <c r="E440" s="4">
        <v>0</v>
      </c>
      <c r="F440" s="4"/>
      <c r="G440" s="4"/>
      <c r="H440" s="5">
        <f t="shared" si="6"/>
        <v>0</v>
      </c>
    </row>
    <row r="441" spans="1:8" ht="13.5" x14ac:dyDescent="0.25">
      <c r="A441" s="1"/>
      <c r="B441" s="3">
        <v>42942</v>
      </c>
      <c r="C441" s="4">
        <v>27.2</v>
      </c>
      <c r="D441" s="4">
        <v>27.2</v>
      </c>
      <c r="E441" s="4">
        <v>0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27.2</v>
      </c>
      <c r="D442" s="4">
        <v>27.2</v>
      </c>
      <c r="E442" s="4">
        <v>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27.2</v>
      </c>
      <c r="D443" s="4">
        <v>27.2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27.2</v>
      </c>
      <c r="D444" s="4">
        <v>27.2</v>
      </c>
      <c r="E444" s="4">
        <v>0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27.59</v>
      </c>
      <c r="D445" s="4">
        <v>27.59</v>
      </c>
      <c r="E445" s="4">
        <v>26</v>
      </c>
      <c r="F445" s="4"/>
      <c r="G445" s="4"/>
      <c r="H445" s="5">
        <f t="shared" si="6"/>
        <v>1.4338235294117669E-2</v>
      </c>
    </row>
    <row r="446" spans="1:8" ht="13.5" x14ac:dyDescent="0.25">
      <c r="A446" s="1"/>
      <c r="B446" s="3">
        <v>42949</v>
      </c>
      <c r="C446" s="4">
        <v>27.59</v>
      </c>
      <c r="D446" s="4">
        <v>27.59</v>
      </c>
      <c r="E446" s="4">
        <v>0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27.59</v>
      </c>
      <c r="D447" s="4">
        <v>27.59</v>
      </c>
      <c r="E447" s="4">
        <v>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27.59</v>
      </c>
      <c r="D448" s="4">
        <v>27.59</v>
      </c>
      <c r="E448" s="4">
        <v>0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27.59</v>
      </c>
      <c r="D449" s="4">
        <v>27.59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27.59</v>
      </c>
      <c r="D450" s="4">
        <v>27.59</v>
      </c>
      <c r="E450" s="4">
        <v>0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27.59</v>
      </c>
      <c r="D451" s="4">
        <v>27.59</v>
      </c>
      <c r="E451" s="4">
        <v>0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27.59</v>
      </c>
      <c r="D452" s="4">
        <v>27.59</v>
      </c>
      <c r="E452" s="4">
        <v>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27.59</v>
      </c>
      <c r="D453" s="4">
        <v>27.59</v>
      </c>
      <c r="E453" s="4">
        <v>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27.59</v>
      </c>
      <c r="D454" s="4">
        <v>27.59</v>
      </c>
      <c r="E454" s="4">
        <v>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27.59</v>
      </c>
      <c r="D455" s="4">
        <v>27.59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27.59</v>
      </c>
      <c r="D456" s="4">
        <v>27.59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27.59</v>
      </c>
      <c r="D457" s="4">
        <v>27.59</v>
      </c>
      <c r="E457" s="4">
        <v>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27.51</v>
      </c>
      <c r="D458" s="4">
        <v>27.51</v>
      </c>
      <c r="E458" s="4">
        <v>9</v>
      </c>
      <c r="F458" s="4"/>
      <c r="G458" s="4"/>
      <c r="H458" s="5">
        <f t="shared" si="7"/>
        <v>-2.8996013048205255E-3</v>
      </c>
    </row>
    <row r="459" spans="1:8" ht="13.5" x14ac:dyDescent="0.25">
      <c r="A459" s="1"/>
      <c r="B459" s="3">
        <v>42968</v>
      </c>
      <c r="C459" s="4">
        <v>27.51</v>
      </c>
      <c r="D459" s="4">
        <v>27.51</v>
      </c>
      <c r="E459" s="4">
        <v>0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27.51</v>
      </c>
      <c r="D460" s="4">
        <v>27.51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27.51</v>
      </c>
      <c r="D461" s="4">
        <v>27.51</v>
      </c>
      <c r="E461" s="4">
        <v>0</v>
      </c>
      <c r="F461" s="4"/>
      <c r="G461" s="4"/>
      <c r="H461" s="5">
        <f t="shared" si="7"/>
        <v>0</v>
      </c>
    </row>
    <row r="462" spans="1:8" ht="13.5" x14ac:dyDescent="0.25">
      <c r="A462" s="1"/>
      <c r="B462" s="3">
        <v>42971</v>
      </c>
      <c r="C462" s="4">
        <v>27.51</v>
      </c>
      <c r="D462" s="4">
        <v>27.51</v>
      </c>
      <c r="E462" s="4">
        <v>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27.51</v>
      </c>
      <c r="D463" s="4">
        <v>27.51</v>
      </c>
      <c r="E463" s="4">
        <v>0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27.51</v>
      </c>
      <c r="D464" s="4">
        <v>27.51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27.51</v>
      </c>
      <c r="D465" s="4">
        <v>27.51</v>
      </c>
      <c r="E465" s="4">
        <v>0</v>
      </c>
      <c r="F465" s="4"/>
      <c r="G465" s="4"/>
      <c r="H465" s="5">
        <f t="shared" si="7"/>
        <v>0</v>
      </c>
    </row>
    <row r="466" spans="1:8" ht="13.5" x14ac:dyDescent="0.25">
      <c r="A466" s="1"/>
      <c r="B466" s="3">
        <v>42977</v>
      </c>
      <c r="C466" s="4">
        <v>27.51</v>
      </c>
      <c r="D466" s="4">
        <v>27.51</v>
      </c>
      <c r="E466" s="4">
        <v>0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28</v>
      </c>
      <c r="D467" s="4">
        <v>28</v>
      </c>
      <c r="E467" s="4">
        <v>11</v>
      </c>
      <c r="F467" s="4"/>
      <c r="G467" s="4"/>
      <c r="H467" s="5">
        <f t="shared" si="7"/>
        <v>1.7811704834605539E-2</v>
      </c>
    </row>
    <row r="468" spans="1:8" ht="13.5" x14ac:dyDescent="0.25">
      <c r="A468" s="1"/>
      <c r="B468" s="3">
        <v>42982</v>
      </c>
      <c r="C468" s="4">
        <v>28</v>
      </c>
      <c r="D468" s="4">
        <v>28</v>
      </c>
      <c r="E468" s="4">
        <v>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28</v>
      </c>
      <c r="D469" s="4">
        <v>28</v>
      </c>
      <c r="E469" s="4">
        <v>0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27.2</v>
      </c>
      <c r="D470" s="4">
        <v>27.2</v>
      </c>
      <c r="E470" s="4">
        <v>1</v>
      </c>
      <c r="F470" s="4"/>
      <c r="G470" s="4"/>
      <c r="H470" s="5">
        <f t="shared" si="7"/>
        <v>-2.8571428571428598E-2</v>
      </c>
    </row>
    <row r="471" spans="1:8" ht="13.5" x14ac:dyDescent="0.25">
      <c r="A471" s="1"/>
      <c r="B471" s="3">
        <v>42985</v>
      </c>
      <c r="C471" s="4">
        <v>27.2</v>
      </c>
      <c r="D471" s="4">
        <v>27.2</v>
      </c>
      <c r="E471" s="4">
        <v>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27.2</v>
      </c>
      <c r="D472" s="4">
        <v>27.2</v>
      </c>
      <c r="E472" s="4">
        <v>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27.2</v>
      </c>
      <c r="D473" s="4">
        <v>27.2</v>
      </c>
      <c r="E473" s="4">
        <v>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27.2</v>
      </c>
      <c r="D474" s="4">
        <v>27.2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28</v>
      </c>
      <c r="D475" s="4">
        <v>28</v>
      </c>
      <c r="E475" s="4">
        <v>5</v>
      </c>
      <c r="F475" s="4"/>
      <c r="G475" s="4"/>
      <c r="H475" s="5">
        <f t="shared" si="7"/>
        <v>2.941176470588238E-2</v>
      </c>
    </row>
    <row r="476" spans="1:8" ht="13.5" x14ac:dyDescent="0.25">
      <c r="A476" s="1"/>
      <c r="B476" s="3">
        <v>42992</v>
      </c>
      <c r="C476" s="4">
        <v>28</v>
      </c>
      <c r="D476" s="4">
        <v>28</v>
      </c>
      <c r="E476" s="4">
        <v>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28</v>
      </c>
      <c r="D477" s="4">
        <v>28</v>
      </c>
      <c r="E477" s="4">
        <v>0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28</v>
      </c>
      <c r="D478" s="4">
        <v>28</v>
      </c>
      <c r="E478" s="4">
        <v>0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28</v>
      </c>
      <c r="D479" s="4">
        <v>28</v>
      </c>
      <c r="E479" s="4">
        <v>0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28</v>
      </c>
      <c r="D480" s="4">
        <v>28</v>
      </c>
      <c r="E480" s="4">
        <v>0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28</v>
      </c>
      <c r="D481" s="4">
        <v>28</v>
      </c>
      <c r="E481" s="4">
        <v>0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28</v>
      </c>
      <c r="D482" s="4">
        <v>28</v>
      </c>
      <c r="E482" s="4">
        <v>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28</v>
      </c>
      <c r="D483" s="4">
        <v>28</v>
      </c>
      <c r="E483" s="4">
        <v>0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28</v>
      </c>
      <c r="D484" s="4">
        <v>28</v>
      </c>
      <c r="E484" s="4">
        <v>0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28</v>
      </c>
      <c r="D485" s="4">
        <v>28</v>
      </c>
      <c r="E485" s="4">
        <v>0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28</v>
      </c>
      <c r="D486" s="4">
        <v>28</v>
      </c>
      <c r="E486" s="4">
        <v>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28</v>
      </c>
      <c r="D487" s="4">
        <v>28</v>
      </c>
      <c r="E487" s="4">
        <v>0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28</v>
      </c>
      <c r="D488" s="4">
        <v>28</v>
      </c>
      <c r="E488" s="4">
        <v>0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28</v>
      </c>
      <c r="D489" s="4">
        <v>28</v>
      </c>
      <c r="E489" s="4">
        <v>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28</v>
      </c>
      <c r="D490" s="4">
        <v>28</v>
      </c>
      <c r="E490" s="4">
        <v>0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28</v>
      </c>
      <c r="D491" s="4">
        <v>28</v>
      </c>
      <c r="E491" s="4">
        <v>0</v>
      </c>
      <c r="F491" s="4"/>
      <c r="G491" s="4"/>
      <c r="H491" s="5">
        <f t="shared" si="7"/>
        <v>0</v>
      </c>
    </row>
    <row r="492" spans="1:8" ht="13.5" x14ac:dyDescent="0.25">
      <c r="A492" s="1"/>
      <c r="B492" s="3">
        <v>43017</v>
      </c>
      <c r="C492" s="4">
        <v>28</v>
      </c>
      <c r="D492" s="4">
        <v>28</v>
      </c>
      <c r="E492" s="4">
        <v>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28</v>
      </c>
      <c r="D493" s="4">
        <v>28</v>
      </c>
      <c r="E493" s="4">
        <v>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28</v>
      </c>
      <c r="D494" s="4">
        <v>28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28</v>
      </c>
      <c r="D495" s="4">
        <v>28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28</v>
      </c>
      <c r="D496" s="4">
        <v>28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28</v>
      </c>
      <c r="D497" s="4">
        <v>28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28</v>
      </c>
      <c r="D498" s="4">
        <v>28</v>
      </c>
      <c r="E498" s="4">
        <v>0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27.5</v>
      </c>
      <c r="D499" s="4">
        <v>27.5</v>
      </c>
      <c r="E499" s="4">
        <v>20</v>
      </c>
      <c r="F499" s="4"/>
      <c r="G499" s="4"/>
      <c r="H499" s="5">
        <f t="shared" si="7"/>
        <v>-1.7857142857142856E-2</v>
      </c>
    </row>
    <row r="500" spans="1:8" ht="13.5" x14ac:dyDescent="0.25">
      <c r="A500" s="1"/>
      <c r="B500" s="3">
        <v>43027</v>
      </c>
      <c r="C500" s="4">
        <v>27.5</v>
      </c>
      <c r="D500" s="4">
        <v>27.5</v>
      </c>
      <c r="E500" s="4">
        <v>0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27.5</v>
      </c>
      <c r="D501" s="4">
        <v>27.5</v>
      </c>
      <c r="E501" s="4">
        <v>0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27.5</v>
      </c>
      <c r="D502" s="4">
        <v>27.5</v>
      </c>
      <c r="E502" s="4">
        <v>0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26.7</v>
      </c>
      <c r="D503" s="4">
        <v>26.7</v>
      </c>
      <c r="E503" s="4">
        <v>35</v>
      </c>
      <c r="F503" s="4"/>
      <c r="G503" s="4"/>
      <c r="H503" s="5">
        <f t="shared" si="7"/>
        <v>-2.9090909090909115E-2</v>
      </c>
    </row>
    <row r="504" spans="1:8" ht="13.5" x14ac:dyDescent="0.25">
      <c r="A504" s="1"/>
      <c r="B504" s="3">
        <v>43033</v>
      </c>
      <c r="C504" s="4">
        <v>26.7</v>
      </c>
      <c r="D504" s="4">
        <v>26.7</v>
      </c>
      <c r="E504" s="4">
        <v>96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26.7</v>
      </c>
      <c r="D505" s="4">
        <v>26.7</v>
      </c>
      <c r="E505" s="4">
        <v>0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26.7</v>
      </c>
      <c r="D506" s="4">
        <v>26.7</v>
      </c>
      <c r="E506" s="4">
        <v>30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26.7</v>
      </c>
      <c r="D507" s="4">
        <v>26.7</v>
      </c>
      <c r="E507" s="4">
        <v>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27.9</v>
      </c>
      <c r="D508" s="4">
        <v>27.9</v>
      </c>
      <c r="E508" s="4">
        <v>451</v>
      </c>
      <c r="F508" s="4"/>
      <c r="G508" s="4"/>
      <c r="H508" s="5">
        <f t="shared" si="7"/>
        <v>4.4943820224719079E-2</v>
      </c>
    </row>
    <row r="509" spans="1:8" ht="13.5" x14ac:dyDescent="0.25">
      <c r="A509" s="1"/>
      <c r="B509" s="3">
        <v>43040</v>
      </c>
      <c r="C509" s="4">
        <v>28</v>
      </c>
      <c r="D509" s="4">
        <v>28</v>
      </c>
      <c r="E509" s="4">
        <v>391</v>
      </c>
      <c r="F509" s="4"/>
      <c r="G509" s="4"/>
      <c r="H509" s="5">
        <f t="shared" si="7"/>
        <v>3.5842293906810548E-3</v>
      </c>
    </row>
    <row r="510" spans="1:8" ht="13.5" x14ac:dyDescent="0.25">
      <c r="A510" s="1"/>
      <c r="B510" s="3">
        <v>43041</v>
      </c>
      <c r="C510" s="4">
        <v>28</v>
      </c>
      <c r="D510" s="4">
        <v>28</v>
      </c>
      <c r="E510" s="4">
        <v>0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28.11</v>
      </c>
      <c r="D511" s="4">
        <v>28.11</v>
      </c>
      <c r="E511" s="4">
        <v>100</v>
      </c>
      <c r="F511" s="4"/>
      <c r="G511" s="4"/>
      <c r="H511" s="5">
        <f t="shared" si="7"/>
        <v>3.928571428571408E-3</v>
      </c>
    </row>
    <row r="512" spans="1:8" ht="13.5" x14ac:dyDescent="0.25">
      <c r="A512" s="1"/>
      <c r="B512" s="3">
        <v>43045</v>
      </c>
      <c r="C512" s="4">
        <v>28.95</v>
      </c>
      <c r="D512" s="4">
        <v>28.95</v>
      </c>
      <c r="E512" s="4">
        <v>20</v>
      </c>
      <c r="F512" s="4"/>
      <c r="G512" s="4"/>
      <c r="H512" s="5">
        <f t="shared" si="7"/>
        <v>2.988260405549626E-2</v>
      </c>
    </row>
    <row r="513" spans="1:8" ht="13.5" x14ac:dyDescent="0.25">
      <c r="A513" s="1"/>
      <c r="B513" s="3">
        <v>43046</v>
      </c>
      <c r="C513" s="4">
        <v>29.85</v>
      </c>
      <c r="D513" s="4">
        <v>29.85</v>
      </c>
      <c r="E513" s="4">
        <v>140</v>
      </c>
      <c r="F513" s="4"/>
      <c r="G513" s="4"/>
      <c r="H513" s="5">
        <f t="shared" si="7"/>
        <v>3.108808290155448E-2</v>
      </c>
    </row>
    <row r="514" spans="1:8" ht="13.5" x14ac:dyDescent="0.25">
      <c r="A514" s="1"/>
      <c r="B514" s="3">
        <v>43047</v>
      </c>
      <c r="C514" s="4">
        <v>30.74</v>
      </c>
      <c r="D514" s="4">
        <v>30.74</v>
      </c>
      <c r="E514" s="4">
        <v>20</v>
      </c>
      <c r="F514" s="4"/>
      <c r="G514" s="4"/>
      <c r="H514" s="5">
        <f t="shared" si="7"/>
        <v>2.9815745393634741E-2</v>
      </c>
    </row>
    <row r="515" spans="1:8" ht="13.5" x14ac:dyDescent="0.25">
      <c r="A515" s="1"/>
      <c r="B515" s="3">
        <v>43048</v>
      </c>
      <c r="C515" s="4">
        <v>31.68</v>
      </c>
      <c r="D515" s="4">
        <v>31.68</v>
      </c>
      <c r="E515" s="4">
        <v>21</v>
      </c>
      <c r="F515" s="4"/>
      <c r="G515" s="4"/>
      <c r="H515" s="5">
        <f t="shared" si="7"/>
        <v>3.0579050097592757E-2</v>
      </c>
    </row>
    <row r="516" spans="1:8" ht="13.5" x14ac:dyDescent="0.25">
      <c r="A516" s="1"/>
      <c r="B516" s="3">
        <v>43049</v>
      </c>
      <c r="C516" s="4">
        <v>32.630000000000003</v>
      </c>
      <c r="D516" s="4">
        <v>32.630000000000003</v>
      </c>
      <c r="E516" s="4">
        <v>20</v>
      </c>
      <c r="F516" s="4"/>
      <c r="G516" s="4"/>
      <c r="H516" s="5">
        <f t="shared" si="7"/>
        <v>2.9987373737373826E-2</v>
      </c>
    </row>
    <row r="517" spans="1:8" ht="13.5" x14ac:dyDescent="0.25">
      <c r="A517" s="1"/>
      <c r="B517" s="3">
        <v>43052</v>
      </c>
      <c r="C517" s="4">
        <v>34.08</v>
      </c>
      <c r="D517" s="4">
        <v>34.08</v>
      </c>
      <c r="E517" s="4">
        <v>31</v>
      </c>
      <c r="F517" s="4"/>
      <c r="G517" s="4"/>
      <c r="H517" s="5">
        <f t="shared" si="7"/>
        <v>4.4437634079068207E-2</v>
      </c>
    </row>
    <row r="518" spans="1:8" ht="13.5" x14ac:dyDescent="0.25">
      <c r="A518" s="1"/>
      <c r="B518" s="3">
        <v>43053</v>
      </c>
      <c r="C518" s="4">
        <v>35.61</v>
      </c>
      <c r="D518" s="4">
        <v>35.61</v>
      </c>
      <c r="E518" s="4">
        <v>0</v>
      </c>
      <c r="F518" s="4"/>
      <c r="G518" s="4"/>
      <c r="H518" s="5">
        <f t="shared" si="7"/>
        <v>4.4894366197183136E-2</v>
      </c>
    </row>
    <row r="519" spans="1:8" ht="13.5" x14ac:dyDescent="0.25">
      <c r="A519" s="1"/>
      <c r="B519" s="3">
        <v>43054</v>
      </c>
      <c r="C519" s="4">
        <v>36.25</v>
      </c>
      <c r="D519" s="4">
        <v>36.25</v>
      </c>
      <c r="E519" s="4">
        <v>64</v>
      </c>
      <c r="F519" s="4"/>
      <c r="G519" s="4"/>
      <c r="H519" s="5">
        <f t="shared" ref="H519:H582" si="8">(D519-D518)/D518</f>
        <v>1.7972479640550425E-2</v>
      </c>
    </row>
    <row r="520" spans="1:8" ht="13.5" x14ac:dyDescent="0.25">
      <c r="A520" s="1"/>
      <c r="B520" s="3">
        <v>43055</v>
      </c>
      <c r="C520" s="4">
        <v>36.25</v>
      </c>
      <c r="D520" s="4">
        <v>36.25</v>
      </c>
      <c r="E520" s="4">
        <v>80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37.880000000000003</v>
      </c>
      <c r="D521" s="4">
        <v>37.880000000000003</v>
      </c>
      <c r="E521" s="4">
        <v>11</v>
      </c>
      <c r="F521" s="4"/>
      <c r="G521" s="4"/>
      <c r="H521" s="5">
        <f t="shared" si="8"/>
        <v>4.4965517241379378E-2</v>
      </c>
    </row>
    <row r="522" spans="1:8" ht="13.5" x14ac:dyDescent="0.25">
      <c r="A522" s="1"/>
      <c r="B522" s="3">
        <v>43059</v>
      </c>
      <c r="C522" s="4">
        <v>39.5</v>
      </c>
      <c r="D522" s="4">
        <v>39.5</v>
      </c>
      <c r="E522" s="4">
        <v>3</v>
      </c>
      <c r="F522" s="4"/>
      <c r="G522" s="4"/>
      <c r="H522" s="5">
        <f t="shared" si="8"/>
        <v>4.2766631467792963E-2</v>
      </c>
    </row>
    <row r="523" spans="1:8" ht="13.5" x14ac:dyDescent="0.25">
      <c r="A523" s="1"/>
      <c r="B523" s="3">
        <v>43060</v>
      </c>
      <c r="C523" s="4">
        <v>40.76</v>
      </c>
      <c r="D523" s="4">
        <v>40.76</v>
      </c>
      <c r="E523" s="4">
        <v>251</v>
      </c>
      <c r="F523" s="4"/>
      <c r="G523" s="4"/>
      <c r="H523" s="5">
        <f t="shared" si="8"/>
        <v>3.1898734177215136E-2</v>
      </c>
    </row>
    <row r="524" spans="1:8" ht="13.5" x14ac:dyDescent="0.25">
      <c r="A524" s="1"/>
      <c r="B524" s="3">
        <v>43061</v>
      </c>
      <c r="C524" s="4">
        <v>43</v>
      </c>
      <c r="D524" s="4">
        <v>43</v>
      </c>
      <c r="E524" s="4">
        <v>23</v>
      </c>
      <c r="F524" s="4"/>
      <c r="G524" s="4"/>
      <c r="H524" s="5">
        <f t="shared" si="8"/>
        <v>5.4955839057899955E-2</v>
      </c>
    </row>
    <row r="525" spans="1:8" ht="13.5" x14ac:dyDescent="0.25">
      <c r="A525" s="1"/>
      <c r="B525" s="3">
        <v>43062</v>
      </c>
      <c r="C525" s="4">
        <v>44.29</v>
      </c>
      <c r="D525" s="4">
        <v>44.29</v>
      </c>
      <c r="E525" s="4">
        <v>312</v>
      </c>
      <c r="F525" s="4"/>
      <c r="G525" s="4"/>
      <c r="H525" s="5">
        <f t="shared" si="8"/>
        <v>2.9999999999999982E-2</v>
      </c>
    </row>
    <row r="526" spans="1:8" ht="13.5" x14ac:dyDescent="0.25">
      <c r="A526" s="1"/>
      <c r="B526" s="3">
        <v>43063</v>
      </c>
      <c r="C526" s="4">
        <v>46.28</v>
      </c>
      <c r="D526" s="4">
        <v>46.28</v>
      </c>
      <c r="E526" s="4">
        <v>1011</v>
      </c>
      <c r="F526" s="4"/>
      <c r="G526" s="4"/>
      <c r="H526" s="5">
        <f t="shared" si="8"/>
        <v>4.4931135696545541E-2</v>
      </c>
    </row>
    <row r="527" spans="1:8" ht="13.5" x14ac:dyDescent="0.25">
      <c r="A527" s="1"/>
      <c r="B527" s="3">
        <v>43066</v>
      </c>
      <c r="C527" s="4">
        <v>46.28</v>
      </c>
      <c r="D527" s="4">
        <v>46.28</v>
      </c>
      <c r="E527" s="4">
        <v>34</v>
      </c>
      <c r="F527" s="4"/>
      <c r="G527" s="4"/>
      <c r="H527" s="5">
        <f t="shared" si="8"/>
        <v>0</v>
      </c>
    </row>
    <row r="528" spans="1:8" ht="13.5" x14ac:dyDescent="0.25">
      <c r="A528" s="1"/>
      <c r="B528" s="3">
        <v>43067</v>
      </c>
      <c r="C528" s="4">
        <v>46.28</v>
      </c>
      <c r="D528" s="4">
        <v>46.28</v>
      </c>
      <c r="E528" s="4">
        <v>0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46.28</v>
      </c>
      <c r="D529" s="4">
        <v>46.28</v>
      </c>
      <c r="E529" s="4">
        <v>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46.9</v>
      </c>
      <c r="D530" s="4">
        <v>46.9</v>
      </c>
      <c r="E530" s="4">
        <v>100</v>
      </c>
      <c r="F530" s="4"/>
      <c r="G530" s="4"/>
      <c r="H530" s="5">
        <f t="shared" si="8"/>
        <v>1.33967156439066E-2</v>
      </c>
    </row>
    <row r="531" spans="1:8" ht="13.5" x14ac:dyDescent="0.25">
      <c r="A531" s="1"/>
      <c r="B531" s="3">
        <v>43073</v>
      </c>
      <c r="C531" s="4">
        <v>47.5</v>
      </c>
      <c r="D531" s="4">
        <v>47.5</v>
      </c>
      <c r="E531" s="4">
        <v>10</v>
      </c>
      <c r="F531" s="4"/>
      <c r="G531" s="4"/>
      <c r="H531" s="5">
        <f t="shared" si="8"/>
        <v>1.2793176972281481E-2</v>
      </c>
    </row>
    <row r="532" spans="1:8" ht="13.5" x14ac:dyDescent="0.25">
      <c r="A532" s="1"/>
      <c r="B532" s="3">
        <v>43074</v>
      </c>
      <c r="C532" s="4">
        <v>47.5</v>
      </c>
      <c r="D532" s="4">
        <v>47.5</v>
      </c>
      <c r="E532" s="4">
        <v>0</v>
      </c>
      <c r="F532" s="4"/>
      <c r="G532" s="4"/>
      <c r="H532" s="5">
        <f t="shared" si="8"/>
        <v>0</v>
      </c>
    </row>
    <row r="533" spans="1:8" ht="13.5" x14ac:dyDescent="0.25">
      <c r="A533" s="1"/>
      <c r="B533" s="3">
        <v>43075</v>
      </c>
      <c r="C533" s="4">
        <v>47.5</v>
      </c>
      <c r="D533" s="4">
        <v>47.5</v>
      </c>
      <c r="E533" s="4">
        <v>0</v>
      </c>
      <c r="F533" s="4"/>
      <c r="G533" s="4"/>
      <c r="H533" s="5">
        <f t="shared" si="8"/>
        <v>0</v>
      </c>
    </row>
    <row r="534" spans="1:8" ht="13.5" x14ac:dyDescent="0.25">
      <c r="A534" s="1"/>
      <c r="B534" s="3">
        <v>43076</v>
      </c>
      <c r="C534" s="4">
        <v>47.5</v>
      </c>
      <c r="D534" s="4">
        <v>47.5</v>
      </c>
      <c r="E534" s="4">
        <v>0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46.08</v>
      </c>
      <c r="D535" s="4">
        <v>46.08</v>
      </c>
      <c r="E535" s="4">
        <v>15</v>
      </c>
      <c r="F535" s="4"/>
      <c r="G535" s="4"/>
      <c r="H535" s="5">
        <f t="shared" si="8"/>
        <v>-2.98947368421053E-2</v>
      </c>
    </row>
    <row r="536" spans="1:8" ht="13.5" x14ac:dyDescent="0.25">
      <c r="A536" s="1"/>
      <c r="B536" s="3">
        <v>43080</v>
      </c>
      <c r="C536" s="4">
        <v>45</v>
      </c>
      <c r="D536" s="4">
        <v>45</v>
      </c>
      <c r="E536" s="4">
        <v>4</v>
      </c>
      <c r="F536" s="4"/>
      <c r="G536" s="4"/>
      <c r="H536" s="5">
        <f t="shared" si="8"/>
        <v>-2.3437499999999965E-2</v>
      </c>
    </row>
    <row r="537" spans="1:8" ht="13.5" x14ac:dyDescent="0.25">
      <c r="A537" s="1"/>
      <c r="B537" s="3">
        <v>43081</v>
      </c>
      <c r="C537" s="4">
        <v>45</v>
      </c>
      <c r="D537" s="4">
        <v>45</v>
      </c>
      <c r="E537" s="4">
        <v>0</v>
      </c>
      <c r="F537" s="4"/>
      <c r="G537" s="4"/>
      <c r="H537" s="5">
        <f t="shared" si="8"/>
        <v>0</v>
      </c>
    </row>
    <row r="538" spans="1:8" ht="13.5" x14ac:dyDescent="0.25">
      <c r="A538" s="1"/>
      <c r="B538" s="3">
        <v>43082</v>
      </c>
      <c r="C538" s="4">
        <v>46.35</v>
      </c>
      <c r="D538" s="4">
        <v>46.35</v>
      </c>
      <c r="E538" s="4">
        <v>100</v>
      </c>
      <c r="F538" s="4"/>
      <c r="G538" s="4"/>
      <c r="H538" s="5">
        <f t="shared" si="8"/>
        <v>3.000000000000003E-2</v>
      </c>
    </row>
    <row r="539" spans="1:8" ht="13.5" x14ac:dyDescent="0.25">
      <c r="A539" s="1"/>
      <c r="B539" s="3">
        <v>43083</v>
      </c>
      <c r="C539" s="4">
        <v>46.35</v>
      </c>
      <c r="D539" s="4">
        <v>46.35</v>
      </c>
      <c r="E539" s="4">
        <v>0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43084</v>
      </c>
      <c r="C540" s="4">
        <v>46.35</v>
      </c>
      <c r="D540" s="4">
        <v>46.35</v>
      </c>
      <c r="E540" s="4">
        <v>0</v>
      </c>
      <c r="F540" s="4"/>
      <c r="G540" s="4"/>
      <c r="H540" s="5">
        <f t="shared" si="8"/>
        <v>0</v>
      </c>
    </row>
    <row r="541" spans="1:8" ht="13.5" x14ac:dyDescent="0.25">
      <c r="A541" s="1"/>
      <c r="B541" s="3">
        <v>43087</v>
      </c>
      <c r="C541" s="4">
        <v>46.35</v>
      </c>
      <c r="D541" s="4">
        <v>46.35</v>
      </c>
      <c r="E541" s="4">
        <v>0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46.25</v>
      </c>
      <c r="D542" s="4">
        <v>46.25</v>
      </c>
      <c r="E542" s="4">
        <v>100</v>
      </c>
      <c r="F542" s="4"/>
      <c r="G542" s="4"/>
      <c r="H542" s="5">
        <f t="shared" si="8"/>
        <v>-2.1574973031284017E-3</v>
      </c>
    </row>
    <row r="543" spans="1:8" ht="13.5" x14ac:dyDescent="0.25">
      <c r="A543" s="1"/>
      <c r="B543" s="3">
        <v>43089</v>
      </c>
      <c r="C543" s="4">
        <v>46.25</v>
      </c>
      <c r="D543" s="4">
        <v>46.25</v>
      </c>
      <c r="E543" s="4">
        <v>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46.25</v>
      </c>
      <c r="D544" s="4">
        <v>46.25</v>
      </c>
      <c r="E544" s="4">
        <v>5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46.25</v>
      </c>
      <c r="D545" s="4">
        <v>46.25</v>
      </c>
      <c r="E545" s="4">
        <v>0</v>
      </c>
      <c r="F545" s="4"/>
      <c r="G545" s="4"/>
      <c r="H545" s="5">
        <f t="shared" si="8"/>
        <v>0</v>
      </c>
    </row>
    <row r="546" spans="1:8" ht="13.5" x14ac:dyDescent="0.25">
      <c r="A546" s="1"/>
      <c r="B546" s="3">
        <v>43094</v>
      </c>
      <c r="C546" s="4">
        <v>46.25</v>
      </c>
      <c r="D546" s="4">
        <v>46.25</v>
      </c>
      <c r="E546" s="4">
        <v>125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46.33</v>
      </c>
      <c r="D547" s="4">
        <v>46.33</v>
      </c>
      <c r="E547" s="4">
        <v>601</v>
      </c>
      <c r="F547" s="4"/>
      <c r="G547" s="4"/>
      <c r="H547" s="5">
        <f t="shared" si="8"/>
        <v>1.7297297297296929E-3</v>
      </c>
    </row>
    <row r="548" spans="1:8" ht="13.5" x14ac:dyDescent="0.25">
      <c r="A548" s="1"/>
      <c r="B548" s="3">
        <v>43096</v>
      </c>
      <c r="C548" s="4">
        <v>46.35</v>
      </c>
      <c r="D548" s="4">
        <v>46.35</v>
      </c>
      <c r="E548" s="4">
        <v>928</v>
      </c>
      <c r="F548" s="4"/>
      <c r="G548" s="4"/>
      <c r="H548" s="5">
        <f t="shared" si="8"/>
        <v>4.3168573278659888E-4</v>
      </c>
    </row>
    <row r="549" spans="1:8" ht="13.5" x14ac:dyDescent="0.25">
      <c r="A549" s="1"/>
      <c r="B549" s="3">
        <v>43097</v>
      </c>
      <c r="C549" s="4">
        <v>46.35</v>
      </c>
      <c r="D549" s="4">
        <v>46.35</v>
      </c>
      <c r="E549" s="4">
        <v>928</v>
      </c>
      <c r="F549" s="4"/>
      <c r="G549" s="4"/>
      <c r="H549" s="5">
        <f t="shared" si="8"/>
        <v>0</v>
      </c>
    </row>
    <row r="550" spans="1:8" ht="13.5" x14ac:dyDescent="0.25">
      <c r="A550" s="1"/>
      <c r="B550" s="3">
        <v>43098</v>
      </c>
      <c r="C550" s="4">
        <v>46.35</v>
      </c>
      <c r="D550" s="4">
        <v>46.35</v>
      </c>
      <c r="E550" s="4">
        <v>0</v>
      </c>
      <c r="F550" s="4"/>
      <c r="G550" s="4"/>
      <c r="H550" s="5">
        <f t="shared" si="8"/>
        <v>0</v>
      </c>
    </row>
    <row r="551" spans="1:8" ht="13.5" x14ac:dyDescent="0.25">
      <c r="A551" s="1"/>
      <c r="B551" s="3">
        <v>43102</v>
      </c>
      <c r="C551" s="4">
        <v>46.35</v>
      </c>
      <c r="D551" s="4">
        <v>46.35</v>
      </c>
      <c r="E551" s="4">
        <v>0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46.35</v>
      </c>
      <c r="D552" s="4">
        <v>46.35</v>
      </c>
      <c r="E552" s="4">
        <v>0</v>
      </c>
      <c r="F552" s="4"/>
      <c r="G552" s="4"/>
      <c r="H552" s="5">
        <f t="shared" si="8"/>
        <v>0</v>
      </c>
    </row>
    <row r="553" spans="1:8" ht="13.5" x14ac:dyDescent="0.25">
      <c r="A553" s="1"/>
      <c r="B553" s="3">
        <v>43104</v>
      </c>
      <c r="C553" s="4">
        <v>44.96</v>
      </c>
      <c r="D553" s="4">
        <v>44.96</v>
      </c>
      <c r="E553" s="4">
        <v>0</v>
      </c>
      <c r="F553" s="4"/>
      <c r="G553" s="4"/>
      <c r="H553" s="5">
        <f t="shared" si="8"/>
        <v>-2.9989212513484371E-2</v>
      </c>
    </row>
    <row r="554" spans="1:8" ht="13.5" x14ac:dyDescent="0.25">
      <c r="A554" s="1"/>
      <c r="B554" s="3">
        <v>43105</v>
      </c>
      <c r="C554" s="4">
        <v>42.94</v>
      </c>
      <c r="D554" s="4">
        <v>42.94</v>
      </c>
      <c r="E554" s="4">
        <v>5</v>
      </c>
      <c r="F554" s="4"/>
      <c r="G554" s="4"/>
      <c r="H554" s="5">
        <f t="shared" si="8"/>
        <v>-4.4928825622775871E-2</v>
      </c>
    </row>
    <row r="555" spans="1:8" ht="13.5" x14ac:dyDescent="0.25">
      <c r="A555" s="1"/>
      <c r="B555" s="3">
        <v>43108</v>
      </c>
      <c r="C555" s="4">
        <v>41.94</v>
      </c>
      <c r="D555" s="4">
        <v>41.94</v>
      </c>
      <c r="E555" s="4">
        <v>49</v>
      </c>
      <c r="F555" s="4"/>
      <c r="G555" s="4"/>
      <c r="H555" s="5">
        <f t="shared" si="8"/>
        <v>-2.3288309268747091E-2</v>
      </c>
    </row>
    <row r="556" spans="1:8" ht="13.5" x14ac:dyDescent="0.25">
      <c r="A556" s="1"/>
      <c r="B556" s="3">
        <v>43109</v>
      </c>
      <c r="C556" s="4">
        <v>41.94</v>
      </c>
      <c r="D556" s="4">
        <v>41.94</v>
      </c>
      <c r="E556" s="4">
        <v>0</v>
      </c>
      <c r="F556" s="4"/>
      <c r="G556" s="4"/>
      <c r="H556" s="5">
        <f t="shared" si="8"/>
        <v>0</v>
      </c>
    </row>
    <row r="557" spans="1:8" ht="13.5" x14ac:dyDescent="0.25">
      <c r="A557" s="1"/>
      <c r="B557" s="3">
        <v>43110</v>
      </c>
      <c r="C557" s="4">
        <v>41.94</v>
      </c>
      <c r="D557" s="4">
        <v>41.94</v>
      </c>
      <c r="E557" s="4">
        <v>0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41.94</v>
      </c>
      <c r="D558" s="4">
        <v>41.94</v>
      </c>
      <c r="E558" s="4">
        <v>0</v>
      </c>
      <c r="F558" s="4"/>
      <c r="G558" s="4"/>
      <c r="H558" s="5">
        <f t="shared" si="8"/>
        <v>0</v>
      </c>
    </row>
    <row r="559" spans="1:8" ht="13.5" x14ac:dyDescent="0.25">
      <c r="A559" s="1"/>
      <c r="B559" s="3">
        <v>43112</v>
      </c>
      <c r="C559" s="4">
        <v>41.94</v>
      </c>
      <c r="D559" s="4">
        <v>41.94</v>
      </c>
      <c r="E559" s="4">
        <v>0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41.94</v>
      </c>
      <c r="D560" s="4">
        <v>41.94</v>
      </c>
      <c r="E560" s="4">
        <v>0</v>
      </c>
      <c r="F560" s="4"/>
      <c r="G560" s="4"/>
      <c r="H560" s="5">
        <f t="shared" si="8"/>
        <v>0</v>
      </c>
    </row>
    <row r="561" spans="1:8" ht="13.5" x14ac:dyDescent="0.25">
      <c r="A561" s="1"/>
      <c r="B561" s="3">
        <v>43116</v>
      </c>
      <c r="C561" s="4">
        <v>41.94</v>
      </c>
      <c r="D561" s="4">
        <v>41.94</v>
      </c>
      <c r="E561" s="4">
        <v>10</v>
      </c>
      <c r="F561" s="4"/>
      <c r="G561" s="4"/>
      <c r="H561" s="5">
        <f t="shared" si="8"/>
        <v>0</v>
      </c>
    </row>
    <row r="562" spans="1:8" ht="13.5" x14ac:dyDescent="0.25">
      <c r="A562" s="1"/>
      <c r="B562" s="3">
        <v>43117</v>
      </c>
      <c r="C562" s="4">
        <v>41.94</v>
      </c>
      <c r="D562" s="4">
        <v>41.94</v>
      </c>
      <c r="E562" s="4">
        <v>0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40.700000000000003</v>
      </c>
      <c r="D563" s="4">
        <v>40.700000000000003</v>
      </c>
      <c r="E563" s="4">
        <v>10</v>
      </c>
      <c r="F563" s="4"/>
      <c r="G563" s="4"/>
      <c r="H563" s="5">
        <f t="shared" si="8"/>
        <v>-2.9566046733428587E-2</v>
      </c>
    </row>
    <row r="564" spans="1:8" ht="13.5" x14ac:dyDescent="0.25">
      <c r="A564" s="1"/>
      <c r="B564" s="3">
        <v>43119</v>
      </c>
      <c r="C564" s="4">
        <v>40.700000000000003</v>
      </c>
      <c r="D564" s="4">
        <v>40.700000000000003</v>
      </c>
      <c r="E564" s="4">
        <v>0</v>
      </c>
      <c r="F564" s="4"/>
      <c r="G564" s="4"/>
      <c r="H564" s="5">
        <f t="shared" si="8"/>
        <v>0</v>
      </c>
    </row>
    <row r="565" spans="1:8" ht="13.5" x14ac:dyDescent="0.25">
      <c r="A565" s="1"/>
      <c r="B565" s="3">
        <v>43122</v>
      </c>
      <c r="C565" s="4">
        <v>40.700000000000003</v>
      </c>
      <c r="D565" s="4">
        <v>40.700000000000003</v>
      </c>
      <c r="E565" s="4">
        <v>0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40.700000000000003</v>
      </c>
      <c r="D566" s="4">
        <v>40.700000000000003</v>
      </c>
      <c r="E566" s="4">
        <v>0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40.700000000000003</v>
      </c>
      <c r="D567" s="4">
        <v>40.700000000000003</v>
      </c>
      <c r="E567" s="4">
        <v>0</v>
      </c>
      <c r="F567" s="4"/>
      <c r="G567" s="4"/>
      <c r="H567" s="5">
        <f t="shared" si="8"/>
        <v>0</v>
      </c>
    </row>
    <row r="568" spans="1:8" ht="13.5" x14ac:dyDescent="0.25">
      <c r="A568" s="1"/>
      <c r="B568" s="3">
        <v>43125</v>
      </c>
      <c r="C568" s="4">
        <v>40.700000000000003</v>
      </c>
      <c r="D568" s="4">
        <v>40.700000000000003</v>
      </c>
      <c r="E568" s="4">
        <v>0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40.700000000000003</v>
      </c>
      <c r="D569" s="4">
        <v>40.700000000000003</v>
      </c>
      <c r="E569" s="4">
        <v>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40.700000000000003</v>
      </c>
      <c r="D570" s="4">
        <v>40.700000000000003</v>
      </c>
      <c r="E570" s="4">
        <v>0</v>
      </c>
      <c r="F570" s="4"/>
      <c r="G570" s="4"/>
      <c r="H570" s="5">
        <f t="shared" si="8"/>
        <v>0</v>
      </c>
    </row>
    <row r="571" spans="1:8" ht="13.5" x14ac:dyDescent="0.25">
      <c r="A571" s="1"/>
      <c r="B571" s="3">
        <v>43130</v>
      </c>
      <c r="C571" s="4">
        <v>40.700000000000003</v>
      </c>
      <c r="D571" s="4">
        <v>40.700000000000003</v>
      </c>
      <c r="E571" s="4">
        <v>0</v>
      </c>
      <c r="F571" s="4"/>
      <c r="G571" s="4"/>
      <c r="H571" s="5">
        <f t="shared" si="8"/>
        <v>0</v>
      </c>
    </row>
    <row r="572" spans="1:8" ht="13.5" x14ac:dyDescent="0.25">
      <c r="A572" s="1"/>
      <c r="B572" s="3">
        <v>43131</v>
      </c>
      <c r="C572" s="4">
        <v>40.700000000000003</v>
      </c>
      <c r="D572" s="4">
        <v>40.700000000000003</v>
      </c>
      <c r="E572" s="4">
        <v>0</v>
      </c>
      <c r="F572" s="4"/>
      <c r="G572" s="4"/>
      <c r="H572" s="5">
        <f t="shared" si="8"/>
        <v>0</v>
      </c>
    </row>
    <row r="573" spans="1:8" ht="13.5" x14ac:dyDescent="0.25">
      <c r="A573" s="1"/>
      <c r="B573" s="3">
        <v>43132</v>
      </c>
      <c r="C573" s="4">
        <v>40.700000000000003</v>
      </c>
      <c r="D573" s="4">
        <v>40.700000000000003</v>
      </c>
      <c r="E573" s="4">
        <v>0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40.700000000000003</v>
      </c>
      <c r="D574" s="4">
        <v>40.700000000000003</v>
      </c>
      <c r="E574" s="4">
        <v>0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40.700000000000003</v>
      </c>
      <c r="D575" s="4">
        <v>40.700000000000003</v>
      </c>
      <c r="E575" s="4">
        <v>0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40.700000000000003</v>
      </c>
      <c r="D576" s="4">
        <v>40.700000000000003</v>
      </c>
      <c r="E576" s="4">
        <v>0</v>
      </c>
      <c r="F576" s="4"/>
      <c r="G576" s="4"/>
      <c r="H576" s="5">
        <f t="shared" si="8"/>
        <v>0</v>
      </c>
    </row>
    <row r="577" spans="1:8" ht="13.5" x14ac:dyDescent="0.25">
      <c r="A577" s="1"/>
      <c r="B577" s="3">
        <v>43138</v>
      </c>
      <c r="C577" s="4">
        <v>40.700000000000003</v>
      </c>
      <c r="D577" s="4">
        <v>40.700000000000003</v>
      </c>
      <c r="E577" s="4">
        <v>0</v>
      </c>
      <c r="F577" s="4"/>
      <c r="G577" s="4"/>
      <c r="H577" s="5">
        <f t="shared" si="8"/>
        <v>0</v>
      </c>
    </row>
    <row r="578" spans="1:8" ht="13.5" x14ac:dyDescent="0.25">
      <c r="A578" s="1"/>
      <c r="B578" s="3">
        <v>43139</v>
      </c>
      <c r="C578" s="4">
        <v>40.700000000000003</v>
      </c>
      <c r="D578" s="4">
        <v>40.700000000000003</v>
      </c>
      <c r="E578" s="4">
        <v>0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40.700000000000003</v>
      </c>
      <c r="D579" s="4">
        <v>40.700000000000003</v>
      </c>
      <c r="E579" s="4">
        <v>0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40.700000000000003</v>
      </c>
      <c r="D580" s="4">
        <v>40.700000000000003</v>
      </c>
      <c r="E580" s="4">
        <v>0</v>
      </c>
      <c r="F580" s="4"/>
      <c r="G580" s="4"/>
      <c r="H580" s="5">
        <f t="shared" si="8"/>
        <v>0</v>
      </c>
    </row>
    <row r="581" spans="1:8" ht="13.5" x14ac:dyDescent="0.25">
      <c r="A581" s="1"/>
      <c r="B581" s="3">
        <v>43144</v>
      </c>
      <c r="C581" s="4">
        <v>40.700000000000003</v>
      </c>
      <c r="D581" s="4">
        <v>40.700000000000003</v>
      </c>
      <c r="E581" s="4">
        <v>0</v>
      </c>
      <c r="F581" s="4"/>
      <c r="G581" s="4"/>
      <c r="H581" s="5">
        <f t="shared" si="8"/>
        <v>0</v>
      </c>
    </row>
    <row r="582" spans="1:8" ht="13.5" x14ac:dyDescent="0.25">
      <c r="A582" s="1"/>
      <c r="B582" s="3">
        <v>43145</v>
      </c>
      <c r="C582" s="4">
        <v>40.700000000000003</v>
      </c>
      <c r="D582" s="4">
        <v>40.700000000000003</v>
      </c>
      <c r="E582" s="4">
        <v>0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40.700000000000003</v>
      </c>
      <c r="D583" s="4">
        <v>40.700000000000003</v>
      </c>
      <c r="E583" s="4">
        <v>0</v>
      </c>
      <c r="F583" s="4"/>
      <c r="G583" s="4"/>
      <c r="H583" s="5">
        <f t="shared" ref="H583:H646" si="9">(D583-D582)/D582</f>
        <v>0</v>
      </c>
    </row>
    <row r="584" spans="1:8" ht="13.5" x14ac:dyDescent="0.25">
      <c r="A584" s="1"/>
      <c r="B584" s="3">
        <v>43147</v>
      </c>
      <c r="C584" s="4">
        <v>40.700000000000003</v>
      </c>
      <c r="D584" s="4">
        <v>40.700000000000003</v>
      </c>
      <c r="E584" s="4">
        <v>0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40.700000000000003</v>
      </c>
      <c r="D585" s="4">
        <v>40.700000000000003</v>
      </c>
      <c r="E585" s="4">
        <v>0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40.700000000000003</v>
      </c>
      <c r="D586" s="4">
        <v>40.700000000000003</v>
      </c>
      <c r="E586" s="4">
        <v>0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40.700000000000003</v>
      </c>
      <c r="D587" s="4">
        <v>40.700000000000003</v>
      </c>
      <c r="E587" s="4">
        <v>0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40.700000000000003</v>
      </c>
      <c r="D588" s="4">
        <v>40.700000000000003</v>
      </c>
      <c r="E588" s="4">
        <v>0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40.700000000000003</v>
      </c>
      <c r="D589" s="4">
        <v>40.700000000000003</v>
      </c>
      <c r="E589" s="4">
        <v>0</v>
      </c>
      <c r="F589" s="4"/>
      <c r="G589" s="4"/>
      <c r="H589" s="5">
        <f t="shared" si="9"/>
        <v>0</v>
      </c>
    </row>
    <row r="590" spans="1:8" ht="13.5" x14ac:dyDescent="0.25">
      <c r="A590" s="1"/>
      <c r="B590" s="3">
        <v>43157</v>
      </c>
      <c r="C590" s="4">
        <v>40.700000000000003</v>
      </c>
      <c r="D590" s="4">
        <v>40.700000000000003</v>
      </c>
      <c r="E590" s="4">
        <v>0</v>
      </c>
      <c r="F590" s="4"/>
      <c r="G590" s="4"/>
      <c r="H590" s="5">
        <f t="shared" si="9"/>
        <v>0</v>
      </c>
    </row>
    <row r="591" spans="1:8" ht="13.5" x14ac:dyDescent="0.25">
      <c r="A591" s="1"/>
      <c r="B591" s="3">
        <v>43158</v>
      </c>
      <c r="C591" s="4">
        <v>40.700000000000003</v>
      </c>
      <c r="D591" s="4">
        <v>40.700000000000003</v>
      </c>
      <c r="E591" s="4">
        <v>0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40.700000000000003</v>
      </c>
      <c r="D592" s="4">
        <v>40.700000000000003</v>
      </c>
      <c r="E592" s="4">
        <v>0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40.700000000000003</v>
      </c>
      <c r="D593" s="4">
        <v>40.700000000000003</v>
      </c>
      <c r="E593" s="4">
        <v>0</v>
      </c>
      <c r="F593" s="4"/>
      <c r="G593" s="4"/>
      <c r="H593" s="5">
        <f t="shared" si="9"/>
        <v>0</v>
      </c>
    </row>
    <row r="594" spans="1:8" ht="13.5" x14ac:dyDescent="0.25">
      <c r="A594" s="1"/>
      <c r="B594" s="3">
        <v>43161</v>
      </c>
      <c r="C594" s="4">
        <v>40.700000000000003</v>
      </c>
      <c r="D594" s="4">
        <v>40.700000000000003</v>
      </c>
      <c r="E594" s="4">
        <v>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40.700000000000003</v>
      </c>
      <c r="D595" s="4">
        <v>40.700000000000003</v>
      </c>
      <c r="E595" s="4">
        <v>0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38.869999999999997</v>
      </c>
      <c r="D596" s="4">
        <v>38.869999999999997</v>
      </c>
      <c r="E596" s="4">
        <v>0</v>
      </c>
      <c r="F596" s="4"/>
      <c r="G596" s="4"/>
      <c r="H596" s="5">
        <f t="shared" si="9"/>
        <v>-4.4963144963145095E-2</v>
      </c>
    </row>
    <row r="597" spans="1:8" ht="13.5" x14ac:dyDescent="0.25">
      <c r="A597" s="1"/>
      <c r="B597" s="3">
        <v>43166</v>
      </c>
      <c r="C597" s="4">
        <v>37.130000000000003</v>
      </c>
      <c r="D597" s="4">
        <v>37.130000000000003</v>
      </c>
      <c r="E597" s="4">
        <v>0</v>
      </c>
      <c r="F597" s="4"/>
      <c r="G597" s="4"/>
      <c r="H597" s="5">
        <f t="shared" si="9"/>
        <v>-4.4764599948546306E-2</v>
      </c>
    </row>
    <row r="598" spans="1:8" ht="13.5" x14ac:dyDescent="0.25">
      <c r="A598" s="1"/>
      <c r="B598" s="3">
        <v>43167</v>
      </c>
      <c r="C598" s="4">
        <v>35.46</v>
      </c>
      <c r="D598" s="4">
        <v>35.46</v>
      </c>
      <c r="E598" s="4">
        <v>0</v>
      </c>
      <c r="F598" s="4"/>
      <c r="G598" s="4"/>
      <c r="H598" s="5">
        <f t="shared" si="9"/>
        <v>-4.4977107460274751E-2</v>
      </c>
    </row>
    <row r="599" spans="1:8" ht="13.5" x14ac:dyDescent="0.25">
      <c r="A599" s="1"/>
      <c r="B599" s="3">
        <v>43168</v>
      </c>
      <c r="C599" s="4">
        <v>34.4</v>
      </c>
      <c r="D599" s="4">
        <v>34.4</v>
      </c>
      <c r="E599" s="4">
        <v>299</v>
      </c>
      <c r="F599" s="4"/>
      <c r="G599" s="4"/>
      <c r="H599" s="5">
        <f t="shared" si="9"/>
        <v>-2.9892836999436047E-2</v>
      </c>
    </row>
    <row r="600" spans="1:8" ht="13.5" x14ac:dyDescent="0.25">
      <c r="A600" s="1"/>
      <c r="B600" s="3">
        <v>43171</v>
      </c>
      <c r="C600" s="4">
        <v>34.4</v>
      </c>
      <c r="D600" s="4">
        <v>34.4</v>
      </c>
      <c r="E600" s="4">
        <v>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34.4</v>
      </c>
      <c r="D601" s="4">
        <v>34.4</v>
      </c>
      <c r="E601" s="4">
        <v>0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34.4</v>
      </c>
      <c r="D602" s="4">
        <v>34.4</v>
      </c>
      <c r="E602" s="4">
        <v>0</v>
      </c>
      <c r="F602" s="4"/>
      <c r="G602" s="4"/>
      <c r="H602" s="5">
        <f t="shared" si="9"/>
        <v>0</v>
      </c>
    </row>
    <row r="603" spans="1:8" ht="13.5" x14ac:dyDescent="0.25">
      <c r="A603" s="1"/>
      <c r="B603" s="3">
        <v>43174</v>
      </c>
      <c r="C603" s="4">
        <v>34.4</v>
      </c>
      <c r="D603" s="4">
        <v>34.4</v>
      </c>
      <c r="E603" s="4">
        <v>0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34.4</v>
      </c>
      <c r="D604" s="4">
        <v>34.4</v>
      </c>
      <c r="E604" s="4">
        <v>0</v>
      </c>
      <c r="F604" s="4"/>
      <c r="G604" s="4"/>
      <c r="H604" s="5">
        <f t="shared" si="9"/>
        <v>0</v>
      </c>
    </row>
    <row r="605" spans="1:8" ht="13.5" x14ac:dyDescent="0.25">
      <c r="A605" s="1"/>
      <c r="B605" s="3">
        <v>43178</v>
      </c>
      <c r="C605" s="4">
        <v>34.4</v>
      </c>
      <c r="D605" s="4">
        <v>34.4</v>
      </c>
      <c r="E605" s="4">
        <v>0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34.4</v>
      </c>
      <c r="D606" s="4">
        <v>34.4</v>
      </c>
      <c r="E606" s="4">
        <v>0</v>
      </c>
      <c r="F606" s="4"/>
      <c r="G606" s="4"/>
      <c r="H606" s="5">
        <f t="shared" si="9"/>
        <v>0</v>
      </c>
    </row>
    <row r="607" spans="1:8" ht="13.5" x14ac:dyDescent="0.25">
      <c r="A607" s="1"/>
      <c r="B607" s="3">
        <v>43181</v>
      </c>
      <c r="C607" s="4">
        <v>34.4</v>
      </c>
      <c r="D607" s="4">
        <v>34.4</v>
      </c>
      <c r="E607" s="4">
        <v>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34.4</v>
      </c>
      <c r="D608" s="4">
        <v>34.4</v>
      </c>
      <c r="E608" s="4">
        <v>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33.4</v>
      </c>
      <c r="D609" s="4">
        <v>33.4</v>
      </c>
      <c r="E609" s="4">
        <v>53</v>
      </c>
      <c r="F609" s="4"/>
      <c r="G609" s="4"/>
      <c r="H609" s="5">
        <f t="shared" si="9"/>
        <v>-2.9069767441860465E-2</v>
      </c>
    </row>
    <row r="610" spans="1:8" ht="13.5" x14ac:dyDescent="0.25">
      <c r="A610" s="1"/>
      <c r="B610" s="3">
        <v>43186</v>
      </c>
      <c r="C610" s="4">
        <v>34.9</v>
      </c>
      <c r="D610" s="4">
        <v>34.9</v>
      </c>
      <c r="E610" s="4">
        <v>0</v>
      </c>
      <c r="F610" s="4"/>
      <c r="G610" s="4"/>
      <c r="H610" s="5">
        <f t="shared" si="9"/>
        <v>4.4910179640718563E-2</v>
      </c>
    </row>
    <row r="611" spans="1:8" ht="13.5" x14ac:dyDescent="0.25">
      <c r="A611" s="1"/>
      <c r="B611" s="3">
        <v>43187</v>
      </c>
      <c r="C611" s="4">
        <v>36.47</v>
      </c>
      <c r="D611" s="4">
        <v>36.47</v>
      </c>
      <c r="E611" s="4">
        <v>0</v>
      </c>
      <c r="F611" s="4"/>
      <c r="G611" s="4"/>
      <c r="H611" s="5">
        <f t="shared" si="9"/>
        <v>4.4985673352435543E-2</v>
      </c>
    </row>
    <row r="612" spans="1:8" ht="13.5" x14ac:dyDescent="0.25">
      <c r="A612" s="1"/>
      <c r="B612" s="3">
        <v>43188</v>
      </c>
      <c r="C612" s="4">
        <v>36.47</v>
      </c>
      <c r="D612" s="4">
        <v>36.47</v>
      </c>
      <c r="E612" s="4">
        <v>0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37.56</v>
      </c>
      <c r="D613" s="4">
        <v>37.56</v>
      </c>
      <c r="E613" s="4">
        <v>6</v>
      </c>
      <c r="F613" s="4"/>
      <c r="G613" s="4"/>
      <c r="H613" s="5">
        <f t="shared" si="9"/>
        <v>2.9887578831916738E-2</v>
      </c>
    </row>
    <row r="614" spans="1:8" ht="13.5" x14ac:dyDescent="0.25">
      <c r="A614" s="1"/>
      <c r="B614" s="3">
        <v>43192</v>
      </c>
      <c r="C614" s="4">
        <v>37.56</v>
      </c>
      <c r="D614" s="4">
        <v>37.56</v>
      </c>
      <c r="E614" s="4">
        <v>0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37.56</v>
      </c>
      <c r="D615" s="4">
        <v>37.56</v>
      </c>
      <c r="E615" s="4">
        <v>15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37.56</v>
      </c>
      <c r="D616" s="4">
        <v>37.56</v>
      </c>
      <c r="E616" s="4">
        <v>0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37.56</v>
      </c>
      <c r="D617" s="4">
        <v>37.56</v>
      </c>
      <c r="E617" s="4">
        <v>0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37.56</v>
      </c>
      <c r="D618" s="4">
        <v>37.56</v>
      </c>
      <c r="E618" s="4">
        <v>0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37.56</v>
      </c>
      <c r="D619" s="4">
        <v>37.56</v>
      </c>
      <c r="E619" s="4">
        <v>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37.56</v>
      </c>
      <c r="D620" s="4">
        <v>37.56</v>
      </c>
      <c r="E620" s="4">
        <v>0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37.56</v>
      </c>
      <c r="D621" s="4">
        <v>37.56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37.56</v>
      </c>
      <c r="D622" s="4">
        <v>37.56</v>
      </c>
      <c r="E622" s="4">
        <v>0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37.56</v>
      </c>
      <c r="D623" s="4">
        <v>37.56</v>
      </c>
      <c r="E623" s="4">
        <v>0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37.56</v>
      </c>
      <c r="D624" s="4">
        <v>37.56</v>
      </c>
      <c r="E624" s="4">
        <v>0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37.56</v>
      </c>
      <c r="D625" s="4">
        <v>37.56</v>
      </c>
      <c r="E625" s="4">
        <v>0</v>
      </c>
      <c r="F625" s="4"/>
      <c r="G625" s="4"/>
      <c r="H625" s="5">
        <f t="shared" si="9"/>
        <v>0</v>
      </c>
    </row>
    <row r="626" spans="1:8" ht="13.5" x14ac:dyDescent="0.25">
      <c r="A626" s="1"/>
      <c r="B626" s="3">
        <v>43209</v>
      </c>
      <c r="C626" s="4">
        <v>37.56</v>
      </c>
      <c r="D626" s="4">
        <v>37.56</v>
      </c>
      <c r="E626" s="4">
        <v>0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36.5</v>
      </c>
      <c r="D627" s="4">
        <v>36.5</v>
      </c>
      <c r="E627" s="4">
        <v>1</v>
      </c>
      <c r="F627" s="4"/>
      <c r="G627" s="4"/>
      <c r="H627" s="5">
        <f t="shared" si="9"/>
        <v>-2.8221512247071413E-2</v>
      </c>
    </row>
    <row r="628" spans="1:8" ht="13.5" x14ac:dyDescent="0.25">
      <c r="A628" s="1"/>
      <c r="B628" s="3">
        <v>43213</v>
      </c>
      <c r="C628" s="4">
        <v>36.43</v>
      </c>
      <c r="D628" s="4">
        <v>36.43</v>
      </c>
      <c r="E628" s="4">
        <v>662</v>
      </c>
      <c r="F628" s="4"/>
      <c r="G628" s="4"/>
      <c r="H628" s="5">
        <f t="shared" si="9"/>
        <v>-1.91780821917809E-3</v>
      </c>
    </row>
    <row r="629" spans="1:8" ht="13.5" x14ac:dyDescent="0.25">
      <c r="A629" s="1"/>
      <c r="B629" s="3">
        <v>43214</v>
      </c>
      <c r="C629" s="4">
        <v>36.43</v>
      </c>
      <c r="D629" s="4">
        <v>36.43</v>
      </c>
      <c r="E629" s="4">
        <v>8</v>
      </c>
      <c r="F629" s="4"/>
      <c r="G629" s="4"/>
      <c r="H629" s="5">
        <f t="shared" si="9"/>
        <v>0</v>
      </c>
    </row>
    <row r="630" spans="1:8" ht="13.5" x14ac:dyDescent="0.25">
      <c r="A630" s="1"/>
      <c r="B630" s="3">
        <v>43215</v>
      </c>
      <c r="C630" s="4">
        <v>36.44</v>
      </c>
      <c r="D630" s="4">
        <v>36.44</v>
      </c>
      <c r="E630" s="4">
        <v>5</v>
      </c>
      <c r="F630" s="4"/>
      <c r="G630" s="4"/>
      <c r="H630" s="5">
        <f t="shared" si="9"/>
        <v>2.74499039253308E-4</v>
      </c>
    </row>
    <row r="631" spans="1:8" ht="13.5" x14ac:dyDescent="0.25">
      <c r="A631" s="1"/>
      <c r="B631" s="3">
        <v>43216</v>
      </c>
      <c r="C631" s="4">
        <v>36.44</v>
      </c>
      <c r="D631" s="4">
        <v>36.44</v>
      </c>
      <c r="E631" s="4">
        <v>0</v>
      </c>
      <c r="F631" s="4"/>
      <c r="G631" s="4"/>
      <c r="H631" s="5">
        <f t="shared" si="9"/>
        <v>0</v>
      </c>
    </row>
    <row r="632" spans="1:8" ht="13.5" x14ac:dyDescent="0.25">
      <c r="A632" s="1"/>
      <c r="B632" s="3">
        <v>43217</v>
      </c>
      <c r="C632" s="4">
        <v>36.44</v>
      </c>
      <c r="D632" s="4">
        <v>36.44</v>
      </c>
      <c r="E632" s="4">
        <v>0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36.44</v>
      </c>
      <c r="D633" s="4">
        <v>36.44</v>
      </c>
      <c r="E633" s="4">
        <v>0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36.44</v>
      </c>
      <c r="D634" s="4">
        <v>36.44</v>
      </c>
      <c r="E634" s="4">
        <v>0</v>
      </c>
      <c r="F634" s="4"/>
      <c r="G634" s="4"/>
      <c r="H634" s="5">
        <f t="shared" si="9"/>
        <v>0</v>
      </c>
    </row>
    <row r="635" spans="1:8" ht="13.5" x14ac:dyDescent="0.25">
      <c r="A635" s="1"/>
      <c r="B635" s="3">
        <v>43223</v>
      </c>
      <c r="C635" s="4">
        <v>36.44</v>
      </c>
      <c r="D635" s="4">
        <v>36.44</v>
      </c>
      <c r="E635" s="4">
        <v>20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36.44</v>
      </c>
      <c r="D636" s="4">
        <v>36.44</v>
      </c>
      <c r="E636" s="4">
        <v>0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36.44</v>
      </c>
      <c r="D637" s="4">
        <v>36.44</v>
      </c>
      <c r="E637" s="4">
        <v>7</v>
      </c>
      <c r="F637" s="4"/>
      <c r="G637" s="4"/>
      <c r="H637" s="5">
        <f t="shared" si="9"/>
        <v>0</v>
      </c>
    </row>
    <row r="638" spans="1:8" ht="13.5" x14ac:dyDescent="0.25">
      <c r="A638" s="1"/>
      <c r="B638" s="3">
        <v>43228</v>
      </c>
      <c r="C638" s="4">
        <v>36.44</v>
      </c>
      <c r="D638" s="4">
        <v>36.44</v>
      </c>
      <c r="E638" s="4">
        <v>0</v>
      </c>
      <c r="F638" s="4"/>
      <c r="G638" s="4"/>
      <c r="H638" s="5">
        <f t="shared" si="9"/>
        <v>0</v>
      </c>
    </row>
    <row r="639" spans="1:8" ht="13.5" x14ac:dyDescent="0.25">
      <c r="A639" s="1"/>
      <c r="B639" s="3">
        <v>43229</v>
      </c>
      <c r="C639" s="4">
        <v>36.44</v>
      </c>
      <c r="D639" s="4">
        <v>36.44</v>
      </c>
      <c r="E639" s="4">
        <v>0</v>
      </c>
      <c r="F639" s="4"/>
      <c r="G639" s="4"/>
      <c r="H639" s="5">
        <f t="shared" si="9"/>
        <v>0</v>
      </c>
    </row>
    <row r="640" spans="1:8" ht="13.5" x14ac:dyDescent="0.25">
      <c r="A640" s="1"/>
      <c r="B640" s="3">
        <v>43230</v>
      </c>
      <c r="C640" s="4">
        <v>36.44</v>
      </c>
      <c r="D640" s="4">
        <v>36.44</v>
      </c>
      <c r="E640" s="4">
        <v>0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36.44</v>
      </c>
      <c r="D641" s="4">
        <v>36.44</v>
      </c>
      <c r="E641" s="4">
        <v>0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36.44</v>
      </c>
      <c r="D642" s="4">
        <v>36.44</v>
      </c>
      <c r="E642" s="4">
        <v>0</v>
      </c>
      <c r="F642" s="4"/>
      <c r="G642" s="4"/>
      <c r="H642" s="5">
        <f t="shared" si="9"/>
        <v>0</v>
      </c>
    </row>
    <row r="643" spans="1:8" ht="13.5" x14ac:dyDescent="0.25">
      <c r="A643" s="1"/>
      <c r="B643" s="3">
        <v>43235</v>
      </c>
      <c r="C643" s="4">
        <v>36.44</v>
      </c>
      <c r="D643" s="4">
        <v>36.44</v>
      </c>
      <c r="E643" s="4">
        <v>0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36.44</v>
      </c>
      <c r="D644" s="4">
        <v>36.44</v>
      </c>
      <c r="E644" s="4">
        <v>0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36.44</v>
      </c>
      <c r="D645" s="4">
        <v>36.44</v>
      </c>
      <c r="E645" s="4">
        <v>0</v>
      </c>
      <c r="F645" s="4"/>
      <c r="G645" s="4"/>
      <c r="H645" s="5">
        <f t="shared" si="9"/>
        <v>0</v>
      </c>
    </row>
    <row r="646" spans="1:8" ht="13.5" x14ac:dyDescent="0.25">
      <c r="A646" s="1"/>
      <c r="B646" s="3">
        <v>43238</v>
      </c>
      <c r="C646" s="4">
        <v>36.44</v>
      </c>
      <c r="D646" s="4">
        <v>36.44</v>
      </c>
      <c r="E646" s="4">
        <v>0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36.44</v>
      </c>
      <c r="D647" s="4">
        <v>36.44</v>
      </c>
      <c r="E647" s="4">
        <v>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36.44</v>
      </c>
      <c r="D648" s="4">
        <v>36.44</v>
      </c>
      <c r="E648" s="4">
        <v>0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36.44</v>
      </c>
      <c r="D649" s="4">
        <v>36.44</v>
      </c>
      <c r="E649" s="4">
        <v>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36.44</v>
      </c>
      <c r="D650" s="4">
        <v>36.44</v>
      </c>
      <c r="E650" s="4">
        <v>0</v>
      </c>
      <c r="F650" s="4"/>
      <c r="G650" s="4"/>
      <c r="H650" s="5">
        <f t="shared" si="10"/>
        <v>0</v>
      </c>
    </row>
    <row r="651" spans="1:8" ht="13.5" x14ac:dyDescent="0.25">
      <c r="A651" s="1"/>
      <c r="B651" s="3">
        <v>43245</v>
      </c>
      <c r="C651" s="4">
        <v>36.44</v>
      </c>
      <c r="D651" s="4">
        <v>36.44</v>
      </c>
      <c r="E651" s="4">
        <v>0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35.35</v>
      </c>
      <c r="D652" s="4">
        <v>35.35</v>
      </c>
      <c r="E652" s="4">
        <v>1</v>
      </c>
      <c r="F652" s="4"/>
      <c r="G652" s="4"/>
      <c r="H652" s="5">
        <f t="shared" si="10"/>
        <v>-2.9912184412733162E-2</v>
      </c>
    </row>
    <row r="653" spans="1:8" ht="13.5" x14ac:dyDescent="0.25">
      <c r="A653" s="1"/>
      <c r="B653" s="3">
        <v>43249</v>
      </c>
      <c r="C653" s="4">
        <v>35.35</v>
      </c>
      <c r="D653" s="4">
        <v>35.35</v>
      </c>
      <c r="E653" s="4">
        <v>0</v>
      </c>
      <c r="F653" s="4"/>
      <c r="G653" s="4"/>
      <c r="H653" s="5">
        <f t="shared" si="10"/>
        <v>0</v>
      </c>
    </row>
    <row r="654" spans="1:8" ht="13.5" x14ac:dyDescent="0.25">
      <c r="A654" s="1"/>
      <c r="B654" s="3">
        <v>43250</v>
      </c>
      <c r="C654" s="4">
        <v>35.35</v>
      </c>
      <c r="D654" s="4">
        <v>35.35</v>
      </c>
      <c r="E654" s="4">
        <v>0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35.35</v>
      </c>
      <c r="D655" s="4">
        <v>35.35</v>
      </c>
      <c r="E655" s="4">
        <v>0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35.35</v>
      </c>
      <c r="D656" s="4">
        <v>35.35</v>
      </c>
      <c r="E656" s="4">
        <v>2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35.35</v>
      </c>
      <c r="D657" s="4">
        <v>35.35</v>
      </c>
      <c r="E657" s="4">
        <v>0</v>
      </c>
      <c r="F657" s="4"/>
      <c r="G657" s="4"/>
      <c r="H657" s="5">
        <f t="shared" si="10"/>
        <v>0</v>
      </c>
    </row>
    <row r="658" spans="1:8" ht="13.5" x14ac:dyDescent="0.25">
      <c r="A658" s="1"/>
      <c r="B658" s="3">
        <v>43256</v>
      </c>
      <c r="C658" s="4">
        <v>35.35</v>
      </c>
      <c r="D658" s="4">
        <v>35.35</v>
      </c>
      <c r="E658" s="4">
        <v>0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35.35</v>
      </c>
      <c r="D659" s="4">
        <v>35.35</v>
      </c>
      <c r="E659" s="4">
        <v>0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35.35</v>
      </c>
      <c r="D660" s="4">
        <v>35.35</v>
      </c>
      <c r="E660" s="4">
        <v>1</v>
      </c>
      <c r="F660" s="4"/>
      <c r="G660" s="4"/>
      <c r="H660" s="5">
        <f t="shared" si="10"/>
        <v>0</v>
      </c>
    </row>
    <row r="661" spans="1:8" ht="13.5" x14ac:dyDescent="0.25">
      <c r="A661" s="1"/>
      <c r="B661" s="3">
        <v>43259</v>
      </c>
      <c r="C661" s="4">
        <v>35.35</v>
      </c>
      <c r="D661" s="4">
        <v>35.35</v>
      </c>
      <c r="E661" s="4">
        <v>2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35.35</v>
      </c>
      <c r="D662" s="4">
        <v>35.35</v>
      </c>
      <c r="E662" s="4">
        <v>0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35.35</v>
      </c>
      <c r="D663" s="4">
        <v>35.35</v>
      </c>
      <c r="E663" s="4">
        <v>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35.35</v>
      </c>
      <c r="D664" s="4">
        <v>35.35</v>
      </c>
      <c r="E664" s="4">
        <v>0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35.35</v>
      </c>
      <c r="D665" s="4">
        <v>35.35</v>
      </c>
      <c r="E665" s="4">
        <v>0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35.35</v>
      </c>
      <c r="D666" s="4">
        <v>35.35</v>
      </c>
      <c r="E666" s="4">
        <v>0</v>
      </c>
      <c r="F666" s="4"/>
      <c r="G666" s="4"/>
      <c r="H666" s="5">
        <f t="shared" si="10"/>
        <v>0</v>
      </c>
    </row>
    <row r="667" spans="1:8" ht="13.5" x14ac:dyDescent="0.25">
      <c r="A667" s="1"/>
      <c r="B667" s="3">
        <v>43270</v>
      </c>
      <c r="C667" s="4">
        <v>33.76</v>
      </c>
      <c r="D667" s="4">
        <v>33.76</v>
      </c>
      <c r="E667" s="4">
        <v>0</v>
      </c>
      <c r="F667" s="4"/>
      <c r="G667" s="4"/>
      <c r="H667" s="5">
        <f t="shared" si="10"/>
        <v>-4.4978783592645073E-2</v>
      </c>
    </row>
    <row r="668" spans="1:8" ht="13.5" x14ac:dyDescent="0.25">
      <c r="A668" s="1"/>
      <c r="B668" s="3">
        <v>43271</v>
      </c>
      <c r="C668" s="4">
        <v>34</v>
      </c>
      <c r="D668" s="4">
        <v>34</v>
      </c>
      <c r="E668" s="4">
        <v>87</v>
      </c>
      <c r="F668" s="4"/>
      <c r="G668" s="4"/>
      <c r="H668" s="5">
        <f t="shared" si="10"/>
        <v>7.1090047393365524E-3</v>
      </c>
    </row>
    <row r="669" spans="1:8" ht="13.5" x14ac:dyDescent="0.25">
      <c r="A669" s="1"/>
      <c r="B669" s="3">
        <v>43272</v>
      </c>
      <c r="C669" s="4">
        <v>34</v>
      </c>
      <c r="D669" s="4">
        <v>34</v>
      </c>
      <c r="E669" s="4">
        <v>0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34</v>
      </c>
      <c r="D670" s="4">
        <v>34</v>
      </c>
      <c r="E670" s="4">
        <v>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34</v>
      </c>
      <c r="D671" s="4">
        <v>34</v>
      </c>
      <c r="E671" s="4">
        <v>0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34</v>
      </c>
      <c r="D672" s="4">
        <v>34</v>
      </c>
      <c r="E672" s="4">
        <v>0</v>
      </c>
      <c r="F672" s="4"/>
      <c r="G672" s="4"/>
      <c r="H672" s="5">
        <f t="shared" si="10"/>
        <v>0</v>
      </c>
    </row>
    <row r="673" spans="1:8" ht="13.5" x14ac:dyDescent="0.25">
      <c r="A673" s="1"/>
      <c r="B673" s="3">
        <v>43278</v>
      </c>
      <c r="C673" s="4">
        <v>34</v>
      </c>
      <c r="D673" s="4">
        <v>34</v>
      </c>
      <c r="E673" s="4">
        <v>0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34</v>
      </c>
      <c r="D674" s="4">
        <v>34</v>
      </c>
      <c r="E674" s="4">
        <v>6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34</v>
      </c>
      <c r="D675" s="4">
        <v>34</v>
      </c>
      <c r="E675" s="4">
        <v>1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34</v>
      </c>
      <c r="D676" s="4">
        <v>34</v>
      </c>
      <c r="E676" s="4">
        <v>0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34</v>
      </c>
      <c r="D677" s="4">
        <v>34</v>
      </c>
      <c r="E677" s="4">
        <v>0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35</v>
      </c>
      <c r="D678" s="4">
        <v>35</v>
      </c>
      <c r="E678" s="4">
        <v>8</v>
      </c>
      <c r="F678" s="4"/>
      <c r="G678" s="4"/>
      <c r="H678" s="5">
        <f t="shared" si="10"/>
        <v>2.9411764705882353E-2</v>
      </c>
    </row>
    <row r="679" spans="1:8" ht="13.5" x14ac:dyDescent="0.25">
      <c r="A679" s="1"/>
      <c r="B679" s="3">
        <v>43286</v>
      </c>
      <c r="C679" s="4">
        <v>35</v>
      </c>
      <c r="D679" s="4">
        <v>35</v>
      </c>
      <c r="E679" s="4">
        <v>0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35</v>
      </c>
      <c r="D680" s="4">
        <v>35</v>
      </c>
      <c r="E680" s="4">
        <v>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33.950000000000003</v>
      </c>
      <c r="D681" s="4">
        <v>33.950000000000003</v>
      </c>
      <c r="E681" s="4">
        <v>0</v>
      </c>
      <c r="F681" s="4"/>
      <c r="G681" s="4"/>
      <c r="H681" s="5">
        <f t="shared" si="10"/>
        <v>-2.9999999999999919E-2</v>
      </c>
    </row>
    <row r="682" spans="1:8" ht="13.5" x14ac:dyDescent="0.25">
      <c r="A682" s="1"/>
      <c r="B682" s="3">
        <v>43291</v>
      </c>
      <c r="C682" s="4">
        <v>33.1</v>
      </c>
      <c r="D682" s="4">
        <v>33.1</v>
      </c>
      <c r="E682" s="4">
        <v>96</v>
      </c>
      <c r="F682" s="4"/>
      <c r="G682" s="4"/>
      <c r="H682" s="5">
        <f t="shared" si="10"/>
        <v>-2.503681885125188E-2</v>
      </c>
    </row>
    <row r="683" spans="1:8" ht="13.5" x14ac:dyDescent="0.25">
      <c r="A683" s="1"/>
      <c r="B683" s="3">
        <v>43292</v>
      </c>
      <c r="C683" s="4">
        <v>33.1</v>
      </c>
      <c r="D683" s="4">
        <v>33.1</v>
      </c>
      <c r="E683" s="4">
        <v>10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33.1</v>
      </c>
      <c r="D684" s="4">
        <v>33.1</v>
      </c>
      <c r="E684" s="4">
        <v>0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33.1</v>
      </c>
      <c r="D685" s="4">
        <v>33.1</v>
      </c>
      <c r="E685" s="4">
        <v>0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33.1</v>
      </c>
      <c r="D686" s="4">
        <v>33.1</v>
      </c>
      <c r="E686" s="4">
        <v>0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33.1</v>
      </c>
      <c r="D687" s="4">
        <v>33.1</v>
      </c>
      <c r="E687" s="4">
        <v>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33.1</v>
      </c>
      <c r="D688" s="4">
        <v>33.1</v>
      </c>
      <c r="E688" s="4">
        <v>0</v>
      </c>
      <c r="F688" s="4"/>
      <c r="G688" s="4"/>
      <c r="H688" s="5">
        <f t="shared" si="10"/>
        <v>0</v>
      </c>
    </row>
    <row r="689" spans="1:8" ht="13.5" x14ac:dyDescent="0.25">
      <c r="A689" s="1"/>
      <c r="B689" s="3">
        <v>43300</v>
      </c>
      <c r="C689" s="4">
        <v>33.1</v>
      </c>
      <c r="D689" s="4">
        <v>33.1</v>
      </c>
      <c r="E689" s="4">
        <v>0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33.1</v>
      </c>
      <c r="D690" s="4">
        <v>33.1</v>
      </c>
      <c r="E690" s="4">
        <v>0</v>
      </c>
      <c r="F690" s="4"/>
      <c r="G690" s="4"/>
      <c r="H690" s="5">
        <f t="shared" si="10"/>
        <v>0</v>
      </c>
    </row>
    <row r="691" spans="1:8" ht="13.5" x14ac:dyDescent="0.25">
      <c r="A691" s="1"/>
      <c r="B691" s="3">
        <v>43304</v>
      </c>
      <c r="C691" s="4">
        <v>33.1</v>
      </c>
      <c r="D691" s="4">
        <v>33.1</v>
      </c>
      <c r="E691" s="4">
        <v>0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34.090000000000003</v>
      </c>
      <c r="D692" s="4">
        <v>34.090000000000003</v>
      </c>
      <c r="E692" s="4">
        <v>28</v>
      </c>
      <c r="F692" s="4"/>
      <c r="G692" s="4"/>
      <c r="H692" s="5">
        <f t="shared" si="10"/>
        <v>2.9909365558912444E-2</v>
      </c>
    </row>
    <row r="693" spans="1:8" ht="13.5" x14ac:dyDescent="0.25">
      <c r="A693" s="1"/>
      <c r="B693" s="3">
        <v>43307</v>
      </c>
      <c r="C693" s="4">
        <v>34.090000000000003</v>
      </c>
      <c r="D693" s="4">
        <v>34.090000000000003</v>
      </c>
      <c r="E693" s="4">
        <v>0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34.090000000000003</v>
      </c>
      <c r="D694" s="4">
        <v>34.090000000000003</v>
      </c>
      <c r="E694" s="4">
        <v>0</v>
      </c>
      <c r="F694" s="4"/>
      <c r="G694" s="4"/>
      <c r="H694" s="5">
        <f t="shared" si="10"/>
        <v>0</v>
      </c>
    </row>
    <row r="695" spans="1:8" ht="13.5" x14ac:dyDescent="0.25">
      <c r="A695" s="1"/>
      <c r="B695" s="3">
        <v>43311</v>
      </c>
      <c r="C695" s="4">
        <v>34.090000000000003</v>
      </c>
      <c r="D695" s="4">
        <v>34.090000000000003</v>
      </c>
      <c r="E695" s="4">
        <v>22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34.090000000000003</v>
      </c>
      <c r="D696" s="4">
        <v>34.090000000000003</v>
      </c>
      <c r="E696" s="4">
        <v>0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34.090000000000003</v>
      </c>
      <c r="D697" s="4">
        <v>34.090000000000003</v>
      </c>
      <c r="E697" s="4">
        <v>0</v>
      </c>
      <c r="F697" s="4"/>
      <c r="G697" s="4"/>
      <c r="H697" s="5">
        <f t="shared" si="10"/>
        <v>0</v>
      </c>
    </row>
    <row r="698" spans="1:8" ht="13.5" x14ac:dyDescent="0.25">
      <c r="A698" s="1"/>
      <c r="B698" s="3">
        <v>43314</v>
      </c>
      <c r="C698" s="4">
        <v>34.090000000000003</v>
      </c>
      <c r="D698" s="4">
        <v>34.090000000000003</v>
      </c>
      <c r="E698" s="4">
        <v>0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34.090000000000003</v>
      </c>
      <c r="D699" s="4">
        <v>34.090000000000003</v>
      </c>
      <c r="E699" s="4">
        <v>0</v>
      </c>
      <c r="F699" s="4"/>
      <c r="G699" s="4"/>
      <c r="H699" s="5">
        <f t="shared" si="10"/>
        <v>0</v>
      </c>
    </row>
    <row r="700" spans="1:8" ht="13.5" x14ac:dyDescent="0.25">
      <c r="A700" s="1"/>
      <c r="B700" s="3">
        <v>43318</v>
      </c>
      <c r="C700" s="4">
        <v>34.090000000000003</v>
      </c>
      <c r="D700" s="4">
        <v>34.090000000000003</v>
      </c>
      <c r="E700" s="4">
        <v>0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34.090000000000003</v>
      </c>
      <c r="D701" s="4">
        <v>34.090000000000003</v>
      </c>
      <c r="E701" s="4">
        <v>0</v>
      </c>
      <c r="F701" s="4"/>
      <c r="G701" s="4"/>
      <c r="H701" s="5">
        <f t="shared" si="10"/>
        <v>0</v>
      </c>
    </row>
    <row r="702" spans="1:8" ht="13.5" x14ac:dyDescent="0.25">
      <c r="A702" s="1"/>
      <c r="B702" s="3">
        <v>43320</v>
      </c>
      <c r="C702" s="4">
        <v>34.090000000000003</v>
      </c>
      <c r="D702" s="4">
        <v>34.090000000000003</v>
      </c>
      <c r="E702" s="4">
        <v>0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34.090000000000003</v>
      </c>
      <c r="D703" s="4">
        <v>34.090000000000003</v>
      </c>
      <c r="E703" s="4">
        <v>0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34.090000000000003</v>
      </c>
      <c r="D704" s="4">
        <v>34.090000000000003</v>
      </c>
      <c r="E704" s="4">
        <v>0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34.090000000000003</v>
      </c>
      <c r="D705" s="4">
        <v>34.090000000000003</v>
      </c>
      <c r="E705" s="4">
        <v>0</v>
      </c>
      <c r="F705" s="4"/>
      <c r="G705" s="4"/>
      <c r="H705" s="5">
        <f t="shared" si="10"/>
        <v>0</v>
      </c>
    </row>
    <row r="706" spans="1:8" ht="13.5" x14ac:dyDescent="0.25">
      <c r="A706" s="1"/>
      <c r="B706" s="3">
        <v>43327</v>
      </c>
      <c r="C706" s="4">
        <v>34.090000000000003</v>
      </c>
      <c r="D706" s="4">
        <v>34.090000000000003</v>
      </c>
      <c r="E706" s="4">
        <v>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34.090000000000003</v>
      </c>
      <c r="D707" s="4">
        <v>34.090000000000003</v>
      </c>
      <c r="E707" s="4">
        <v>0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34.11</v>
      </c>
      <c r="D708" s="4">
        <v>34.11</v>
      </c>
      <c r="E708" s="4">
        <v>10</v>
      </c>
      <c r="F708" s="4"/>
      <c r="G708" s="4"/>
      <c r="H708" s="5">
        <f t="shared" si="10"/>
        <v>5.8668231152819066E-4</v>
      </c>
    </row>
    <row r="709" spans="1:8" ht="13.5" x14ac:dyDescent="0.25">
      <c r="A709" s="1"/>
      <c r="B709" s="3">
        <v>43332</v>
      </c>
      <c r="C709" s="4">
        <v>34.11</v>
      </c>
      <c r="D709" s="4">
        <v>34.11</v>
      </c>
      <c r="E709" s="4">
        <v>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34.11</v>
      </c>
      <c r="D710" s="4">
        <v>34.11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34.11</v>
      </c>
      <c r="D711" s="4">
        <v>34.11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34.1</v>
      </c>
      <c r="D712" s="4">
        <v>34.1</v>
      </c>
      <c r="E712" s="4">
        <v>20</v>
      </c>
      <c r="F712" s="4"/>
      <c r="G712" s="4"/>
      <c r="H712" s="5">
        <f t="shared" si="11"/>
        <v>-2.9316915860445647E-4</v>
      </c>
    </row>
    <row r="713" spans="1:8" ht="13.5" x14ac:dyDescent="0.25">
      <c r="A713" s="1"/>
      <c r="B713" s="3">
        <v>43340</v>
      </c>
      <c r="C713" s="4">
        <v>34.1</v>
      </c>
      <c r="D713" s="4">
        <v>34.1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35</v>
      </c>
      <c r="D714" s="4">
        <v>35</v>
      </c>
      <c r="E714" s="4">
        <v>2</v>
      </c>
      <c r="F714" s="4"/>
      <c r="G714" s="4"/>
      <c r="H714" s="5">
        <f t="shared" si="11"/>
        <v>2.63929618768328E-2</v>
      </c>
    </row>
    <row r="715" spans="1:8" ht="13.5" x14ac:dyDescent="0.25">
      <c r="A715" s="1"/>
      <c r="B715" s="3">
        <v>43342</v>
      </c>
      <c r="C715" s="4">
        <v>35</v>
      </c>
      <c r="D715" s="4">
        <v>35</v>
      </c>
      <c r="E715" s="4">
        <v>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35</v>
      </c>
      <c r="D716" s="4">
        <v>35</v>
      </c>
      <c r="E716" s="4">
        <v>0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35</v>
      </c>
      <c r="D717" s="4">
        <v>35</v>
      </c>
      <c r="E717" s="4">
        <v>0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35</v>
      </c>
      <c r="D718" s="4">
        <v>35</v>
      </c>
      <c r="E718" s="4">
        <v>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35</v>
      </c>
      <c r="D719" s="4">
        <v>35</v>
      </c>
      <c r="E719" s="4">
        <v>0</v>
      </c>
      <c r="F719" s="4"/>
      <c r="G719" s="4"/>
      <c r="H719" s="5">
        <f t="shared" si="11"/>
        <v>0</v>
      </c>
    </row>
    <row r="720" spans="1:8" ht="13.5" x14ac:dyDescent="0.25">
      <c r="A720" s="1"/>
      <c r="B720" s="3">
        <v>43349</v>
      </c>
      <c r="C720" s="4">
        <v>35</v>
      </c>
      <c r="D720" s="4">
        <v>35</v>
      </c>
      <c r="E720" s="4">
        <v>0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35</v>
      </c>
      <c r="D721" s="4">
        <v>35</v>
      </c>
      <c r="E721" s="4">
        <v>0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35</v>
      </c>
      <c r="D722" s="4">
        <v>35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35</v>
      </c>
      <c r="D723" s="4">
        <v>35</v>
      </c>
      <c r="E723" s="4">
        <v>0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35</v>
      </c>
      <c r="D724" s="4">
        <v>35</v>
      </c>
      <c r="E724" s="4">
        <v>0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35</v>
      </c>
      <c r="D725" s="4">
        <v>35</v>
      </c>
      <c r="E725" s="4">
        <v>0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35</v>
      </c>
      <c r="D726" s="4">
        <v>35</v>
      </c>
      <c r="E726" s="4">
        <v>0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35</v>
      </c>
      <c r="D727" s="4">
        <v>35</v>
      </c>
      <c r="E727" s="4">
        <v>0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35</v>
      </c>
      <c r="D728" s="4">
        <v>35</v>
      </c>
      <c r="E728" s="4">
        <v>15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35</v>
      </c>
      <c r="D729" s="4">
        <v>35</v>
      </c>
      <c r="E729" s="4">
        <v>57</v>
      </c>
      <c r="F729" s="4"/>
      <c r="G729" s="4"/>
      <c r="H729" s="5">
        <f t="shared" si="11"/>
        <v>0</v>
      </c>
    </row>
    <row r="730" spans="1:8" ht="13.5" x14ac:dyDescent="0.25">
      <c r="A730" s="1"/>
      <c r="B730" s="3">
        <v>43364</v>
      </c>
      <c r="C730" s="4">
        <v>35</v>
      </c>
      <c r="D730" s="4">
        <v>35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35</v>
      </c>
      <c r="D731" s="4">
        <v>35</v>
      </c>
      <c r="E731" s="4">
        <v>0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35</v>
      </c>
      <c r="D732" s="4">
        <v>35</v>
      </c>
      <c r="E732" s="4">
        <v>0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35</v>
      </c>
      <c r="D733" s="4">
        <v>35</v>
      </c>
      <c r="E733" s="4">
        <v>0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35</v>
      </c>
      <c r="D734" s="4">
        <v>35</v>
      </c>
      <c r="E734" s="4">
        <v>0</v>
      </c>
      <c r="F734" s="4"/>
      <c r="G734" s="4"/>
      <c r="H734" s="5">
        <f t="shared" si="11"/>
        <v>0</v>
      </c>
    </row>
    <row r="735" spans="1:8" ht="13.5" x14ac:dyDescent="0.25">
      <c r="A735" s="1"/>
      <c r="B735" s="3">
        <v>43371</v>
      </c>
      <c r="C735" s="4">
        <v>34.5</v>
      </c>
      <c r="D735" s="4">
        <v>34.5</v>
      </c>
      <c r="E735" s="4">
        <v>5</v>
      </c>
      <c r="F735" s="4"/>
      <c r="G735" s="4"/>
      <c r="H735" s="5">
        <f t="shared" si="11"/>
        <v>-1.4285714285714285E-2</v>
      </c>
    </row>
    <row r="736" spans="1:8" ht="13.5" x14ac:dyDescent="0.25">
      <c r="A736" s="1"/>
      <c r="B736" s="3">
        <v>43374</v>
      </c>
      <c r="C736" s="4">
        <v>34.5</v>
      </c>
      <c r="D736" s="4">
        <v>34.5</v>
      </c>
      <c r="E736" s="4">
        <v>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34.5</v>
      </c>
      <c r="D737" s="4">
        <v>34.5</v>
      </c>
      <c r="E737" s="4">
        <v>0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34.5</v>
      </c>
      <c r="D738" s="4">
        <v>34.5</v>
      </c>
      <c r="E738" s="4">
        <v>4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33.5</v>
      </c>
      <c r="D739" s="4">
        <v>33.5</v>
      </c>
      <c r="E739" s="4">
        <v>100</v>
      </c>
      <c r="F739" s="4"/>
      <c r="G739" s="4"/>
      <c r="H739" s="5">
        <f t="shared" si="11"/>
        <v>-2.8985507246376812E-2</v>
      </c>
    </row>
    <row r="740" spans="1:8" ht="13.5" x14ac:dyDescent="0.25">
      <c r="A740" s="1"/>
      <c r="B740" s="3">
        <v>43378</v>
      </c>
      <c r="C740" s="4">
        <v>33.5</v>
      </c>
      <c r="D740" s="4">
        <v>33.5</v>
      </c>
      <c r="E740" s="4">
        <v>0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32.520000000000003</v>
      </c>
      <c r="D741" s="4">
        <v>32.520000000000003</v>
      </c>
      <c r="E741" s="4">
        <v>879</v>
      </c>
      <c r="F741" s="4"/>
      <c r="G741" s="4"/>
      <c r="H741" s="5">
        <f t="shared" si="11"/>
        <v>-2.925373134328349E-2</v>
      </c>
    </row>
    <row r="742" spans="1:8" ht="13.5" x14ac:dyDescent="0.25">
      <c r="A742" s="1"/>
      <c r="B742" s="3">
        <v>43382</v>
      </c>
      <c r="C742" s="4">
        <v>33.5</v>
      </c>
      <c r="D742" s="4">
        <v>33.5</v>
      </c>
      <c r="E742" s="4">
        <v>100</v>
      </c>
      <c r="F742" s="4"/>
      <c r="G742" s="4"/>
      <c r="H742" s="5">
        <f t="shared" si="11"/>
        <v>3.0135301353013431E-2</v>
      </c>
    </row>
    <row r="743" spans="1:8" ht="13.5" x14ac:dyDescent="0.25">
      <c r="A743" s="1"/>
      <c r="B743" s="3">
        <v>43383</v>
      </c>
      <c r="C743" s="4">
        <v>33.5</v>
      </c>
      <c r="D743" s="4">
        <v>33.5</v>
      </c>
      <c r="E743" s="4">
        <v>0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33.5</v>
      </c>
      <c r="D744" s="4">
        <v>33.5</v>
      </c>
      <c r="E744" s="4">
        <v>199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33.5</v>
      </c>
      <c r="D745" s="4">
        <v>33.5</v>
      </c>
      <c r="E745" s="4">
        <v>2000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34.5</v>
      </c>
      <c r="D746" s="4">
        <v>34.5</v>
      </c>
      <c r="E746" s="4">
        <v>4385</v>
      </c>
      <c r="F746" s="4"/>
      <c r="G746" s="4"/>
      <c r="H746" s="5">
        <f t="shared" si="11"/>
        <v>2.9850746268656716E-2</v>
      </c>
    </row>
    <row r="747" spans="1:8" ht="13.5" x14ac:dyDescent="0.25">
      <c r="A747" s="1"/>
      <c r="B747" s="3">
        <v>43390</v>
      </c>
      <c r="C747" s="4">
        <v>35.53</v>
      </c>
      <c r="D747" s="4">
        <v>35.53</v>
      </c>
      <c r="E747" s="4">
        <v>1000</v>
      </c>
      <c r="F747" s="4"/>
      <c r="G747" s="4"/>
      <c r="H747" s="5">
        <f t="shared" si="11"/>
        <v>2.9855072463768149E-2</v>
      </c>
    </row>
    <row r="748" spans="1:8" ht="13.5" x14ac:dyDescent="0.25">
      <c r="A748" s="1"/>
      <c r="B748" s="3">
        <v>43391</v>
      </c>
      <c r="C748" s="4">
        <v>37.69</v>
      </c>
      <c r="D748" s="4">
        <v>37.69</v>
      </c>
      <c r="E748" s="4">
        <v>10</v>
      </c>
      <c r="F748" s="4"/>
      <c r="G748" s="4"/>
      <c r="H748" s="5">
        <f t="shared" si="11"/>
        <v>6.0793695468617973E-2</v>
      </c>
    </row>
    <row r="749" spans="1:8" ht="13.5" x14ac:dyDescent="0.25">
      <c r="A749" s="1"/>
      <c r="B749" s="3">
        <v>43392</v>
      </c>
      <c r="C749" s="4">
        <v>39.380000000000003</v>
      </c>
      <c r="D749" s="4">
        <v>39.380000000000003</v>
      </c>
      <c r="E749" s="4">
        <v>1790</v>
      </c>
      <c r="F749" s="4"/>
      <c r="G749" s="4"/>
      <c r="H749" s="5">
        <f t="shared" si="11"/>
        <v>4.4839479968161448E-2</v>
      </c>
    </row>
    <row r="750" spans="1:8" ht="13.5" x14ac:dyDescent="0.25">
      <c r="A750" s="1"/>
      <c r="B750" s="3">
        <v>43395</v>
      </c>
      <c r="C750" s="4">
        <v>39.380000000000003</v>
      </c>
      <c r="D750" s="4">
        <v>39.380000000000003</v>
      </c>
      <c r="E750" s="4">
        <v>152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41.77</v>
      </c>
      <c r="D751" s="4">
        <v>41.77</v>
      </c>
      <c r="E751" s="4">
        <v>1306</v>
      </c>
      <c r="F751" s="4"/>
      <c r="G751" s="4"/>
      <c r="H751" s="5">
        <f t="shared" si="11"/>
        <v>6.0690705942102602E-2</v>
      </c>
    </row>
    <row r="752" spans="1:8" ht="13.5" x14ac:dyDescent="0.25">
      <c r="A752" s="1"/>
      <c r="B752" s="3">
        <v>43397</v>
      </c>
      <c r="C752" s="4">
        <v>43</v>
      </c>
      <c r="D752" s="4">
        <v>43</v>
      </c>
      <c r="E752" s="4">
        <v>666</v>
      </c>
      <c r="F752" s="4"/>
      <c r="G752" s="4"/>
      <c r="H752" s="5">
        <f t="shared" si="11"/>
        <v>2.9446971510653501E-2</v>
      </c>
    </row>
    <row r="753" spans="1:8" ht="13.5" x14ac:dyDescent="0.25">
      <c r="A753" s="1"/>
      <c r="B753" s="3">
        <v>43398</v>
      </c>
      <c r="C753" s="4">
        <v>45</v>
      </c>
      <c r="D753" s="4">
        <v>45</v>
      </c>
      <c r="E753" s="4">
        <v>1190</v>
      </c>
      <c r="F753" s="4"/>
      <c r="G753" s="4"/>
      <c r="H753" s="5">
        <f t="shared" si="11"/>
        <v>4.6511627906976744E-2</v>
      </c>
    </row>
    <row r="754" spans="1:8" ht="13.5" x14ac:dyDescent="0.25">
      <c r="A754" s="1"/>
      <c r="B754" s="3">
        <v>43399</v>
      </c>
      <c r="C754" s="4">
        <v>45.5</v>
      </c>
      <c r="D754" s="4">
        <v>45.5</v>
      </c>
      <c r="E754" s="4">
        <v>537</v>
      </c>
      <c r="F754" s="4"/>
      <c r="G754" s="4"/>
      <c r="H754" s="5">
        <f t="shared" si="11"/>
        <v>1.1111111111111112E-2</v>
      </c>
    </row>
    <row r="755" spans="1:8" ht="13.5" x14ac:dyDescent="0.25">
      <c r="A755" s="1"/>
      <c r="B755" s="3">
        <v>43402</v>
      </c>
      <c r="C755" s="4">
        <v>44.14</v>
      </c>
      <c r="D755" s="4">
        <v>44.14</v>
      </c>
      <c r="E755" s="4">
        <v>0</v>
      </c>
      <c r="F755" s="4"/>
      <c r="G755" s="4"/>
      <c r="H755" s="5">
        <f t="shared" si="11"/>
        <v>-2.9890109890109876E-2</v>
      </c>
    </row>
    <row r="756" spans="1:8" ht="13.5" x14ac:dyDescent="0.25">
      <c r="A756" s="1"/>
      <c r="B756" s="3">
        <v>43403</v>
      </c>
      <c r="C756" s="4">
        <v>45.49</v>
      </c>
      <c r="D756" s="4">
        <v>45.49</v>
      </c>
      <c r="E756" s="4">
        <v>81</v>
      </c>
      <c r="F756" s="4"/>
      <c r="G756" s="4"/>
      <c r="H756" s="5">
        <f t="shared" si="11"/>
        <v>3.0584503851381999E-2</v>
      </c>
    </row>
    <row r="757" spans="1:8" ht="13.5" x14ac:dyDescent="0.25">
      <c r="A757" s="1"/>
      <c r="B757" s="3">
        <v>43404</v>
      </c>
      <c r="C757" s="4">
        <v>45.45</v>
      </c>
      <c r="D757" s="4">
        <v>45.45</v>
      </c>
      <c r="E757" s="4">
        <v>510</v>
      </c>
      <c r="F757" s="4"/>
      <c r="G757" s="4"/>
      <c r="H757" s="5">
        <f t="shared" si="11"/>
        <v>-8.7931413497470098E-4</v>
      </c>
    </row>
    <row r="758" spans="1:8" ht="13.5" x14ac:dyDescent="0.25">
      <c r="A758" s="1"/>
      <c r="B758" s="3">
        <v>43405</v>
      </c>
      <c r="C758" s="4">
        <v>45.44</v>
      </c>
      <c r="D758" s="4">
        <v>45.44</v>
      </c>
      <c r="E758" s="4">
        <v>30</v>
      </c>
      <c r="F758" s="4"/>
      <c r="G758" s="4"/>
      <c r="H758" s="5">
        <f t="shared" si="11"/>
        <v>-2.2002200220033258E-4</v>
      </c>
    </row>
    <row r="759" spans="1:8" ht="13.5" x14ac:dyDescent="0.25">
      <c r="A759" s="1"/>
      <c r="B759" s="3">
        <v>43406</v>
      </c>
      <c r="C759" s="4">
        <v>45.44</v>
      </c>
      <c r="D759" s="4">
        <v>45.44</v>
      </c>
      <c r="E759" s="4">
        <v>0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45.43</v>
      </c>
      <c r="D760" s="4">
        <v>45.43</v>
      </c>
      <c r="E760" s="4">
        <v>500</v>
      </c>
      <c r="F760" s="4"/>
      <c r="G760" s="4"/>
      <c r="H760" s="5">
        <f t="shared" si="11"/>
        <v>-2.200704225351675E-4</v>
      </c>
    </row>
    <row r="761" spans="1:8" ht="13.5" x14ac:dyDescent="0.25">
      <c r="A761" s="1"/>
      <c r="B761" s="3">
        <v>43410</v>
      </c>
      <c r="C761" s="4">
        <v>43.39</v>
      </c>
      <c r="D761" s="4">
        <v>43.39</v>
      </c>
      <c r="E761" s="4">
        <v>195</v>
      </c>
      <c r="F761" s="4"/>
      <c r="G761" s="4"/>
      <c r="H761" s="5">
        <f t="shared" si="11"/>
        <v>-4.4904248294078783E-2</v>
      </c>
    </row>
    <row r="762" spans="1:8" ht="13.5" x14ac:dyDescent="0.25">
      <c r="A762" s="1"/>
      <c r="B762" s="3">
        <v>43411</v>
      </c>
      <c r="C762" s="4">
        <v>42.9</v>
      </c>
      <c r="D762" s="4">
        <v>42.9</v>
      </c>
      <c r="E762" s="4">
        <v>3</v>
      </c>
      <c r="F762" s="4"/>
      <c r="G762" s="4"/>
      <c r="H762" s="5">
        <f t="shared" si="11"/>
        <v>-1.1292924637013183E-2</v>
      </c>
    </row>
    <row r="763" spans="1:8" ht="13.5" x14ac:dyDescent="0.25">
      <c r="A763" s="1"/>
      <c r="B763" s="3">
        <v>43412</v>
      </c>
      <c r="C763" s="4">
        <v>43.9</v>
      </c>
      <c r="D763" s="4">
        <v>43.9</v>
      </c>
      <c r="E763" s="4">
        <v>20</v>
      </c>
      <c r="F763" s="4"/>
      <c r="G763" s="4"/>
      <c r="H763" s="5">
        <f t="shared" si="11"/>
        <v>2.3310023310023312E-2</v>
      </c>
    </row>
    <row r="764" spans="1:8" ht="13.5" x14ac:dyDescent="0.25">
      <c r="A764" s="1"/>
      <c r="B764" s="3">
        <v>43413</v>
      </c>
      <c r="C764" s="4">
        <v>42.59</v>
      </c>
      <c r="D764" s="4">
        <v>42.59</v>
      </c>
      <c r="E764" s="4">
        <v>0</v>
      </c>
      <c r="F764" s="4"/>
      <c r="G764" s="4"/>
      <c r="H764" s="5">
        <f t="shared" si="11"/>
        <v>-2.9840546697038617E-2</v>
      </c>
    </row>
    <row r="765" spans="1:8" ht="13.5" x14ac:dyDescent="0.25">
      <c r="A765" s="1"/>
      <c r="B765" s="3">
        <v>43416</v>
      </c>
      <c r="C765" s="4">
        <v>41.5</v>
      </c>
      <c r="D765" s="4">
        <v>41.5</v>
      </c>
      <c r="E765" s="4">
        <v>44</v>
      </c>
      <c r="F765" s="4"/>
      <c r="G765" s="4"/>
      <c r="H765" s="5">
        <f t="shared" si="11"/>
        <v>-2.5592862174219379E-2</v>
      </c>
    </row>
    <row r="766" spans="1:8" ht="13.5" x14ac:dyDescent="0.25">
      <c r="A766" s="1"/>
      <c r="B766" s="3">
        <v>43417</v>
      </c>
      <c r="C766" s="4">
        <v>41.45</v>
      </c>
      <c r="D766" s="4">
        <v>41.45</v>
      </c>
      <c r="E766" s="4">
        <v>836</v>
      </c>
      <c r="F766" s="4"/>
      <c r="G766" s="4"/>
      <c r="H766" s="5">
        <f t="shared" si="11"/>
        <v>-1.2048192771083653E-3</v>
      </c>
    </row>
    <row r="767" spans="1:8" ht="13.5" x14ac:dyDescent="0.25">
      <c r="A767" s="1"/>
      <c r="B767" s="3">
        <v>43418</v>
      </c>
      <c r="C767" s="4">
        <v>42.69</v>
      </c>
      <c r="D767" s="4">
        <v>42.69</v>
      </c>
      <c r="E767" s="4">
        <v>1281</v>
      </c>
      <c r="F767" s="4"/>
      <c r="G767" s="4"/>
      <c r="H767" s="5">
        <f t="shared" si="11"/>
        <v>2.9915560916767062E-2</v>
      </c>
    </row>
    <row r="768" spans="1:8" ht="13.5" x14ac:dyDescent="0.25">
      <c r="A768" s="1"/>
      <c r="B768" s="3">
        <v>43419</v>
      </c>
      <c r="C768" s="4">
        <v>44.5</v>
      </c>
      <c r="D768" s="4">
        <v>44.5</v>
      </c>
      <c r="E768" s="4">
        <v>880</v>
      </c>
      <c r="F768" s="4"/>
      <c r="G768" s="4"/>
      <c r="H768" s="5">
        <f t="shared" si="11"/>
        <v>4.2398688217381172E-2</v>
      </c>
    </row>
    <row r="769" spans="1:8" ht="13.5" x14ac:dyDescent="0.25">
      <c r="A769" s="1"/>
      <c r="B769" s="3">
        <v>43420</v>
      </c>
      <c r="C769" s="4">
        <v>44.5</v>
      </c>
      <c r="D769" s="4">
        <v>44.5</v>
      </c>
      <c r="E769" s="4">
        <v>0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44.5</v>
      </c>
      <c r="D770" s="4">
        <v>44.5</v>
      </c>
      <c r="E770" s="4">
        <v>0</v>
      </c>
      <c r="F770" s="4"/>
      <c r="G770" s="4"/>
      <c r="H770" s="5">
        <f t="shared" si="11"/>
        <v>0</v>
      </c>
    </row>
    <row r="771" spans="1:8" ht="13.5" x14ac:dyDescent="0.25">
      <c r="A771" s="1"/>
      <c r="B771" s="3">
        <v>43425</v>
      </c>
      <c r="C771" s="4">
        <v>44.5</v>
      </c>
      <c r="D771" s="4">
        <v>44.5</v>
      </c>
      <c r="E771" s="4">
        <v>92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44.5</v>
      </c>
      <c r="D772" s="4">
        <v>44.5</v>
      </c>
      <c r="E772" s="4">
        <v>0</v>
      </c>
      <c r="F772" s="4"/>
      <c r="G772" s="4"/>
      <c r="H772" s="5">
        <f t="shared" si="11"/>
        <v>0</v>
      </c>
    </row>
    <row r="773" spans="1:8" ht="13.5" x14ac:dyDescent="0.25">
      <c r="A773" s="1"/>
      <c r="B773" s="3">
        <v>43427</v>
      </c>
      <c r="C773" s="4">
        <v>44.49</v>
      </c>
      <c r="D773" s="4">
        <v>44.49</v>
      </c>
      <c r="E773" s="4">
        <v>20</v>
      </c>
      <c r="F773" s="4"/>
      <c r="G773" s="4"/>
      <c r="H773" s="5">
        <f t="shared" si="11"/>
        <v>-2.2471910112355079E-4</v>
      </c>
    </row>
    <row r="774" spans="1:8" ht="13.5" x14ac:dyDescent="0.25">
      <c r="A774" s="1"/>
      <c r="B774" s="3">
        <v>43430</v>
      </c>
      <c r="C774" s="4">
        <v>44.45</v>
      </c>
      <c r="D774" s="4">
        <v>44.45</v>
      </c>
      <c r="E774" s="4">
        <v>631</v>
      </c>
      <c r="F774" s="4"/>
      <c r="G774" s="4"/>
      <c r="H774" s="5">
        <f t="shared" si="11"/>
        <v>-8.9907844459427165E-4</v>
      </c>
    </row>
    <row r="775" spans="1:8" ht="13.5" x14ac:dyDescent="0.25">
      <c r="A775" s="1"/>
      <c r="B775" s="3">
        <v>43431</v>
      </c>
      <c r="C775" s="4">
        <v>44.5</v>
      </c>
      <c r="D775" s="4">
        <v>44.5</v>
      </c>
      <c r="E775" s="4">
        <v>5</v>
      </c>
      <c r="F775" s="4"/>
      <c r="G775" s="4"/>
      <c r="H775" s="5">
        <f t="shared" ref="H775:H838" si="12">(D775-D774)/D774</f>
        <v>1.1248593925758639E-3</v>
      </c>
    </row>
    <row r="776" spans="1:8" ht="13.5" x14ac:dyDescent="0.25">
      <c r="A776" s="1"/>
      <c r="B776" s="3">
        <v>43432</v>
      </c>
      <c r="C776" s="4">
        <v>44.46</v>
      </c>
      <c r="D776" s="4">
        <v>44.46</v>
      </c>
      <c r="E776" s="4">
        <v>1</v>
      </c>
      <c r="F776" s="4"/>
      <c r="G776" s="4"/>
      <c r="H776" s="5">
        <f t="shared" si="12"/>
        <v>-8.9887640449436287E-4</v>
      </c>
    </row>
    <row r="777" spans="1:8" ht="13.5" x14ac:dyDescent="0.25">
      <c r="A777" s="1"/>
      <c r="B777" s="3">
        <v>43433</v>
      </c>
      <c r="C777" s="4">
        <v>44.46</v>
      </c>
      <c r="D777" s="4">
        <v>44.46</v>
      </c>
      <c r="E777" s="4">
        <v>0</v>
      </c>
      <c r="F777" s="4"/>
      <c r="G777" s="4"/>
      <c r="H777" s="5">
        <f t="shared" si="12"/>
        <v>0</v>
      </c>
    </row>
    <row r="778" spans="1:8" ht="13.5" x14ac:dyDescent="0.25">
      <c r="A778" s="1"/>
      <c r="B778" s="3">
        <v>43434</v>
      </c>
      <c r="C778" s="4">
        <v>44.46</v>
      </c>
      <c r="D778" s="4">
        <v>44.46</v>
      </c>
      <c r="E778" s="4">
        <v>0</v>
      </c>
      <c r="F778" s="4"/>
      <c r="G778" s="4"/>
      <c r="H778" s="5">
        <f t="shared" si="12"/>
        <v>0</v>
      </c>
    </row>
    <row r="779" spans="1:8" ht="13.5" x14ac:dyDescent="0.25">
      <c r="A779" s="1"/>
      <c r="B779" s="3">
        <v>43437</v>
      </c>
      <c r="C779" s="4">
        <v>44.46</v>
      </c>
      <c r="D779" s="4">
        <v>44.46</v>
      </c>
      <c r="E779" s="4">
        <v>20</v>
      </c>
      <c r="F779" s="4"/>
      <c r="G779" s="4"/>
      <c r="H779" s="5">
        <f t="shared" si="12"/>
        <v>0</v>
      </c>
    </row>
    <row r="780" spans="1:8" ht="13.5" x14ac:dyDescent="0.25">
      <c r="A780" s="1"/>
      <c r="B780" s="3">
        <v>43438</v>
      </c>
      <c r="C780" s="4">
        <v>44.5</v>
      </c>
      <c r="D780" s="4">
        <v>44.5</v>
      </c>
      <c r="E780" s="4">
        <v>2</v>
      </c>
      <c r="F780" s="4"/>
      <c r="G780" s="4"/>
      <c r="H780" s="5">
        <f t="shared" si="12"/>
        <v>8.9968511021140684E-4</v>
      </c>
    </row>
    <row r="781" spans="1:8" ht="13.5" x14ac:dyDescent="0.25">
      <c r="A781" s="1"/>
      <c r="B781" s="3">
        <v>43439</v>
      </c>
      <c r="C781" s="4">
        <v>44.4</v>
      </c>
      <c r="D781" s="4">
        <v>44.4</v>
      </c>
      <c r="E781" s="4">
        <v>422</v>
      </c>
      <c r="F781" s="4"/>
      <c r="G781" s="4"/>
      <c r="H781" s="5">
        <f t="shared" si="12"/>
        <v>-2.2471910112359869E-3</v>
      </c>
    </row>
    <row r="782" spans="1:8" ht="13.5" x14ac:dyDescent="0.25">
      <c r="A782" s="1"/>
      <c r="B782" s="3">
        <v>43440</v>
      </c>
      <c r="C782" s="4">
        <v>44.5</v>
      </c>
      <c r="D782" s="4">
        <v>44.5</v>
      </c>
      <c r="E782" s="4">
        <v>594</v>
      </c>
      <c r="F782" s="4"/>
      <c r="G782" s="4"/>
      <c r="H782" s="5">
        <f t="shared" si="12"/>
        <v>2.2522522522522843E-3</v>
      </c>
    </row>
    <row r="783" spans="1:8" ht="13.5" x14ac:dyDescent="0.25">
      <c r="A783" s="1"/>
      <c r="B783" s="3">
        <v>43441</v>
      </c>
      <c r="C783" s="4">
        <v>44.5</v>
      </c>
      <c r="D783" s="4">
        <v>44.5</v>
      </c>
      <c r="E783" s="4">
        <v>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44.6</v>
      </c>
      <c r="D784" s="4">
        <v>44.6</v>
      </c>
      <c r="E784" s="4">
        <v>0</v>
      </c>
      <c r="F784" s="4"/>
      <c r="G784" s="4"/>
      <c r="H784" s="5">
        <f t="shared" si="12"/>
        <v>2.2471910112359869E-3</v>
      </c>
    </row>
    <row r="785" spans="1:8" ht="13.5" x14ac:dyDescent="0.25">
      <c r="A785" s="1"/>
      <c r="B785" s="3">
        <v>43445</v>
      </c>
      <c r="C785" s="4">
        <v>44.6</v>
      </c>
      <c r="D785" s="4">
        <v>44.6</v>
      </c>
      <c r="E785" s="4">
        <v>0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44.6</v>
      </c>
      <c r="D786" s="4">
        <v>44.6</v>
      </c>
      <c r="E786" s="4">
        <v>0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44.6</v>
      </c>
      <c r="D787" s="4">
        <v>44.6</v>
      </c>
      <c r="E787" s="4">
        <v>0</v>
      </c>
      <c r="F787" s="4"/>
      <c r="G787" s="4"/>
      <c r="H787" s="5">
        <f t="shared" si="12"/>
        <v>0</v>
      </c>
    </row>
    <row r="788" spans="1:8" ht="13.5" x14ac:dyDescent="0.25">
      <c r="A788" s="1"/>
      <c r="B788" s="3">
        <v>43448</v>
      </c>
      <c r="C788" s="4">
        <v>44.58</v>
      </c>
      <c r="D788" s="4">
        <v>44.58</v>
      </c>
      <c r="E788" s="4">
        <v>350</v>
      </c>
      <c r="F788" s="4"/>
      <c r="G788" s="4"/>
      <c r="H788" s="5">
        <f t="shared" si="12"/>
        <v>-4.484304932736127E-4</v>
      </c>
    </row>
    <row r="789" spans="1:8" ht="13.5" x14ac:dyDescent="0.25">
      <c r="A789" s="1"/>
      <c r="B789" s="3">
        <v>43451</v>
      </c>
      <c r="C789" s="4">
        <v>44.58</v>
      </c>
      <c r="D789" s="4">
        <v>44.58</v>
      </c>
      <c r="E789" s="4">
        <v>0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44.58</v>
      </c>
      <c r="D790" s="4">
        <v>44.58</v>
      </c>
      <c r="E790" s="4">
        <v>0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44.58</v>
      </c>
      <c r="D791" s="4">
        <v>44.58</v>
      </c>
      <c r="E791" s="4">
        <v>220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44.58</v>
      </c>
      <c r="D792" s="4">
        <v>44.58</v>
      </c>
      <c r="E792" s="4">
        <v>0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44.58</v>
      </c>
      <c r="D793" s="4">
        <v>44.58</v>
      </c>
      <c r="E793" s="4">
        <v>0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44.58</v>
      </c>
      <c r="D794" s="4">
        <v>44.58</v>
      </c>
      <c r="E794" s="4">
        <v>700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44.58</v>
      </c>
      <c r="D795" s="4">
        <v>44.58</v>
      </c>
      <c r="E795" s="4">
        <v>240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42.58</v>
      </c>
      <c r="D796" s="4">
        <v>42.58</v>
      </c>
      <c r="E796" s="4">
        <v>0</v>
      </c>
      <c r="F796" s="4"/>
      <c r="G796" s="4"/>
      <c r="H796" s="5">
        <f t="shared" si="12"/>
        <v>-4.4863167339614179E-2</v>
      </c>
    </row>
    <row r="797" spans="1:8" ht="13.5" x14ac:dyDescent="0.25">
      <c r="A797" s="1"/>
      <c r="B797" s="3">
        <v>43461</v>
      </c>
      <c r="C797" s="4">
        <v>43.85</v>
      </c>
      <c r="D797" s="4">
        <v>43.85</v>
      </c>
      <c r="E797" s="4">
        <v>432</v>
      </c>
      <c r="F797" s="4"/>
      <c r="G797" s="4"/>
      <c r="H797" s="5">
        <f t="shared" si="12"/>
        <v>2.9826209488022622E-2</v>
      </c>
    </row>
    <row r="798" spans="1:8" ht="13.5" x14ac:dyDescent="0.25">
      <c r="A798" s="1"/>
      <c r="B798" s="3">
        <v>43462</v>
      </c>
      <c r="C798" s="4">
        <v>44</v>
      </c>
      <c r="D798" s="4">
        <v>44</v>
      </c>
      <c r="E798" s="4">
        <v>51</v>
      </c>
      <c r="F798" s="4"/>
      <c r="G798" s="4"/>
      <c r="H798" s="5">
        <f t="shared" si="12"/>
        <v>3.4207525655643918E-3</v>
      </c>
    </row>
    <row r="799" spans="1:8" ht="13.5" x14ac:dyDescent="0.25">
      <c r="A799" s="1"/>
      <c r="B799" s="3">
        <v>43465</v>
      </c>
      <c r="C799" s="4">
        <v>44</v>
      </c>
      <c r="D799" s="4">
        <v>44</v>
      </c>
      <c r="E799" s="4">
        <v>0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44</v>
      </c>
      <c r="D800" s="4">
        <v>44</v>
      </c>
      <c r="E800" s="4">
        <v>0</v>
      </c>
      <c r="F800" s="4"/>
      <c r="G800" s="4"/>
      <c r="H800" s="5">
        <f t="shared" si="12"/>
        <v>0</v>
      </c>
    </row>
    <row r="801" spans="1:8" ht="13.5" x14ac:dyDescent="0.25">
      <c r="A801" s="1"/>
      <c r="B801" s="3">
        <v>43468</v>
      </c>
      <c r="C801" s="4">
        <v>44</v>
      </c>
      <c r="D801" s="4">
        <v>44</v>
      </c>
      <c r="E801" s="4">
        <v>0</v>
      </c>
      <c r="F801" s="4"/>
      <c r="G801" s="4"/>
      <c r="H801" s="5">
        <f t="shared" si="12"/>
        <v>0</v>
      </c>
    </row>
    <row r="802" spans="1:8" ht="13.5" x14ac:dyDescent="0.25">
      <c r="A802" s="1"/>
      <c r="B802" s="3">
        <v>43469</v>
      </c>
      <c r="C802" s="4">
        <v>44</v>
      </c>
      <c r="D802" s="4">
        <v>44</v>
      </c>
      <c r="E802" s="4">
        <v>0</v>
      </c>
      <c r="F802" s="4"/>
      <c r="G802" s="4"/>
      <c r="H802" s="5">
        <f t="shared" si="12"/>
        <v>0</v>
      </c>
    </row>
    <row r="803" spans="1:8" ht="13.5" x14ac:dyDescent="0.25">
      <c r="A803" s="1"/>
      <c r="B803" s="3">
        <v>43472</v>
      </c>
      <c r="C803" s="4">
        <v>44</v>
      </c>
      <c r="D803" s="4">
        <v>44</v>
      </c>
      <c r="E803" s="4">
        <v>0</v>
      </c>
      <c r="F803" s="4"/>
      <c r="G803" s="4"/>
      <c r="H803" s="5">
        <f t="shared" si="12"/>
        <v>0</v>
      </c>
    </row>
    <row r="804" spans="1:8" ht="13.5" x14ac:dyDescent="0.25">
      <c r="A804" s="1"/>
      <c r="B804" s="3">
        <v>43473</v>
      </c>
      <c r="C804" s="4">
        <v>44</v>
      </c>
      <c r="D804" s="4">
        <v>44</v>
      </c>
      <c r="E804" s="4">
        <v>0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44</v>
      </c>
      <c r="D805" s="4">
        <v>44</v>
      </c>
      <c r="E805" s="4">
        <v>0</v>
      </c>
      <c r="F805" s="4"/>
      <c r="G805" s="4"/>
      <c r="H805" s="5">
        <f t="shared" si="12"/>
        <v>0</v>
      </c>
    </row>
    <row r="806" spans="1:8" ht="13.5" x14ac:dyDescent="0.25">
      <c r="A806" s="1"/>
      <c r="B806" s="3">
        <v>43475</v>
      </c>
      <c r="C806" s="4">
        <v>44</v>
      </c>
      <c r="D806" s="4">
        <v>44</v>
      </c>
      <c r="E806" s="4">
        <v>0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44</v>
      </c>
      <c r="D807" s="4">
        <v>44</v>
      </c>
      <c r="E807" s="4">
        <v>0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44</v>
      </c>
      <c r="D808" s="4">
        <v>44</v>
      </c>
      <c r="E808" s="4">
        <v>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44</v>
      </c>
      <c r="D809" s="4">
        <v>44</v>
      </c>
      <c r="E809" s="4">
        <v>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44</v>
      </c>
      <c r="D810" s="4">
        <v>44</v>
      </c>
      <c r="E810" s="4">
        <v>0</v>
      </c>
      <c r="F810" s="4"/>
      <c r="G810" s="4"/>
      <c r="H810" s="5">
        <f t="shared" si="12"/>
        <v>0</v>
      </c>
    </row>
    <row r="811" spans="1:8" ht="13.5" x14ac:dyDescent="0.25">
      <c r="A811" s="1"/>
      <c r="B811" s="3">
        <v>43483</v>
      </c>
      <c r="C811" s="4">
        <v>42.11</v>
      </c>
      <c r="D811" s="4">
        <v>42.11</v>
      </c>
      <c r="E811" s="4">
        <v>10</v>
      </c>
      <c r="F811" s="4"/>
      <c r="G811" s="4"/>
      <c r="H811" s="5">
        <f t="shared" si="12"/>
        <v>-4.2954545454545467E-2</v>
      </c>
    </row>
    <row r="812" spans="1:8" ht="13.5" x14ac:dyDescent="0.25">
      <c r="A812" s="1"/>
      <c r="B812" s="3">
        <v>43486</v>
      </c>
      <c r="C812" s="4">
        <v>42.11</v>
      </c>
      <c r="D812" s="4">
        <v>42.11</v>
      </c>
      <c r="E812" s="4">
        <v>0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42.11</v>
      </c>
      <c r="D813" s="4">
        <v>42.11</v>
      </c>
      <c r="E813" s="4">
        <v>0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42.11</v>
      </c>
      <c r="D814" s="4">
        <v>42.11</v>
      </c>
      <c r="E814" s="4">
        <v>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42.11</v>
      </c>
      <c r="D815" s="4">
        <v>42.11</v>
      </c>
      <c r="E815" s="4">
        <v>0</v>
      </c>
      <c r="F815" s="4"/>
      <c r="G815" s="4"/>
      <c r="H815" s="5">
        <f t="shared" si="12"/>
        <v>0</v>
      </c>
    </row>
    <row r="816" spans="1:8" ht="13.5" x14ac:dyDescent="0.25">
      <c r="A816" s="1"/>
      <c r="B816" s="3">
        <v>43490</v>
      </c>
      <c r="C816" s="4">
        <v>42.11</v>
      </c>
      <c r="D816" s="4">
        <v>42.11</v>
      </c>
      <c r="E816" s="4">
        <v>0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42.11</v>
      </c>
      <c r="D817" s="4">
        <v>42.11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42.11</v>
      </c>
      <c r="D818" s="4">
        <v>42.11</v>
      </c>
      <c r="E818" s="4">
        <v>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42.11</v>
      </c>
      <c r="D819" s="4">
        <v>42.11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42.11</v>
      </c>
      <c r="D820" s="4">
        <v>42.11</v>
      </c>
      <c r="E820" s="4">
        <v>0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42.11</v>
      </c>
      <c r="D821" s="4">
        <v>42.11</v>
      </c>
      <c r="E821" s="4">
        <v>0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42.11</v>
      </c>
      <c r="D822" s="4">
        <v>42.11</v>
      </c>
      <c r="E822" s="4">
        <v>0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42.11</v>
      </c>
      <c r="D823" s="4">
        <v>42.11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42.11</v>
      </c>
      <c r="D824" s="4">
        <v>42.11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42.11</v>
      </c>
      <c r="D825" s="4">
        <v>42.11</v>
      </c>
      <c r="E825" s="4">
        <v>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42.11</v>
      </c>
      <c r="D826" s="4">
        <v>42.11</v>
      </c>
      <c r="E826" s="4">
        <v>0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42.11</v>
      </c>
      <c r="D827" s="4">
        <v>42.11</v>
      </c>
      <c r="E827" s="4">
        <v>0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42.11</v>
      </c>
      <c r="D828" s="4">
        <v>42.11</v>
      </c>
      <c r="E828" s="4">
        <v>0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42.11</v>
      </c>
      <c r="D829" s="4">
        <v>42.11</v>
      </c>
      <c r="E829" s="4">
        <v>0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42.11</v>
      </c>
      <c r="D830" s="4">
        <v>42.11</v>
      </c>
      <c r="E830" s="4">
        <v>0</v>
      </c>
      <c r="F830" s="4"/>
      <c r="G830" s="4"/>
      <c r="H830" s="5">
        <f t="shared" si="12"/>
        <v>0</v>
      </c>
    </row>
    <row r="831" spans="1:8" ht="13.5" x14ac:dyDescent="0.25">
      <c r="A831" s="1"/>
      <c r="B831" s="3">
        <v>43511</v>
      </c>
      <c r="C831" s="4">
        <v>42.11</v>
      </c>
      <c r="D831" s="4">
        <v>42.11</v>
      </c>
      <c r="E831" s="4">
        <v>0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42.11</v>
      </c>
      <c r="D832" s="4">
        <v>42.11</v>
      </c>
      <c r="E832" s="4">
        <v>0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42.11</v>
      </c>
      <c r="D833" s="4">
        <v>42.11</v>
      </c>
      <c r="E833" s="4">
        <v>0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42.11</v>
      </c>
      <c r="D834" s="4">
        <v>42.11</v>
      </c>
      <c r="E834" s="4">
        <v>0</v>
      </c>
      <c r="F834" s="4"/>
      <c r="G834" s="4"/>
      <c r="H834" s="5">
        <f t="shared" si="12"/>
        <v>0</v>
      </c>
    </row>
    <row r="835" spans="1:8" ht="13.5" x14ac:dyDescent="0.25">
      <c r="A835" s="1"/>
      <c r="B835" s="3">
        <v>43517</v>
      </c>
      <c r="C835" s="4">
        <v>42.11</v>
      </c>
      <c r="D835" s="4">
        <v>42.11</v>
      </c>
      <c r="E835" s="4">
        <v>0</v>
      </c>
      <c r="F835" s="4"/>
      <c r="G835" s="4"/>
      <c r="H835" s="5">
        <f t="shared" si="12"/>
        <v>0</v>
      </c>
    </row>
    <row r="836" spans="1:8" ht="13.5" x14ac:dyDescent="0.25">
      <c r="A836" s="1"/>
      <c r="B836" s="3">
        <v>43518</v>
      </c>
      <c r="C836" s="4">
        <v>42.11</v>
      </c>
      <c r="D836" s="4">
        <v>42.11</v>
      </c>
      <c r="E836" s="4">
        <v>0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42.11</v>
      </c>
      <c r="D837" s="4">
        <v>42.11</v>
      </c>
      <c r="E837" s="4">
        <v>0</v>
      </c>
      <c r="F837" s="4"/>
      <c r="G837" s="4"/>
      <c r="H837" s="5">
        <f t="shared" si="12"/>
        <v>0</v>
      </c>
    </row>
    <row r="838" spans="1:8" ht="13.5" x14ac:dyDescent="0.25">
      <c r="A838" s="1"/>
      <c r="B838" s="3">
        <v>43522</v>
      </c>
      <c r="C838" s="4">
        <v>42.11</v>
      </c>
      <c r="D838" s="4">
        <v>42.11</v>
      </c>
      <c r="E838" s="4">
        <v>0</v>
      </c>
      <c r="F838" s="4"/>
      <c r="G838" s="4"/>
      <c r="H838" s="5">
        <f t="shared" si="12"/>
        <v>0</v>
      </c>
    </row>
    <row r="839" spans="1:8" ht="13.5" x14ac:dyDescent="0.25">
      <c r="A839" s="1"/>
      <c r="B839" s="3">
        <v>43523</v>
      </c>
      <c r="C839" s="4">
        <v>42.11</v>
      </c>
      <c r="D839" s="4">
        <v>42.11</v>
      </c>
      <c r="E839" s="4">
        <v>0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42.11</v>
      </c>
      <c r="D840" s="4">
        <v>42.11</v>
      </c>
      <c r="E840" s="4">
        <v>0</v>
      </c>
      <c r="F840" s="4"/>
      <c r="G840" s="4"/>
      <c r="H840" s="5">
        <f t="shared" si="13"/>
        <v>0</v>
      </c>
    </row>
    <row r="841" spans="1:8" ht="13.5" x14ac:dyDescent="0.25">
      <c r="A841" s="1"/>
      <c r="B841" s="3">
        <v>43525</v>
      </c>
      <c r="C841" s="4">
        <v>42.11</v>
      </c>
      <c r="D841" s="4">
        <v>42.11</v>
      </c>
      <c r="E841" s="4">
        <v>0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42.11</v>
      </c>
      <c r="D842" s="4">
        <v>42.11</v>
      </c>
      <c r="E842" s="4">
        <v>0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42.11</v>
      </c>
      <c r="D843" s="4">
        <v>42.11</v>
      </c>
      <c r="E843" s="4">
        <v>0</v>
      </c>
      <c r="F843" s="4">
        <v>0</v>
      </c>
      <c r="G843" s="4">
        <v>0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42.11</v>
      </c>
      <c r="D844" s="4">
        <v>42.11</v>
      </c>
      <c r="E844" s="4">
        <v>0</v>
      </c>
      <c r="F844" s="4">
        <v>0</v>
      </c>
      <c r="G844" s="4">
        <v>0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42.11</v>
      </c>
      <c r="D845" s="4">
        <v>42.11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42.11</v>
      </c>
      <c r="D846" s="4">
        <v>42.11</v>
      </c>
      <c r="E846" s="4">
        <v>0</v>
      </c>
      <c r="F846" s="4">
        <v>0</v>
      </c>
      <c r="G846" s="4">
        <v>0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42.11</v>
      </c>
      <c r="D847" s="4">
        <v>42.11</v>
      </c>
      <c r="E847" s="4">
        <v>0</v>
      </c>
      <c r="F847" s="4">
        <v>0</v>
      </c>
      <c r="G847" s="4">
        <v>0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42.11</v>
      </c>
      <c r="D848" s="4">
        <v>42.11</v>
      </c>
      <c r="E848" s="4">
        <v>0</v>
      </c>
      <c r="F848" s="4">
        <v>0</v>
      </c>
      <c r="G848" s="4">
        <v>0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42.11</v>
      </c>
      <c r="D849" s="4">
        <v>42.11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42.11</v>
      </c>
      <c r="D850" s="4">
        <v>42.11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42.11</v>
      </c>
      <c r="D851" s="4">
        <v>42.11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42.11</v>
      </c>
      <c r="D852" s="4">
        <v>42.11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42.11</v>
      </c>
      <c r="D853" s="4">
        <v>42.11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42.11</v>
      </c>
      <c r="D854" s="4">
        <v>42.11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42.11</v>
      </c>
      <c r="D855" s="4">
        <v>42.11</v>
      </c>
      <c r="E855" s="4">
        <v>0</v>
      </c>
      <c r="F855" s="4">
        <v>0</v>
      </c>
      <c r="G855" s="4">
        <v>0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42.11</v>
      </c>
      <c r="D856" s="4">
        <v>42.11</v>
      </c>
      <c r="E856" s="4">
        <v>0</v>
      </c>
      <c r="F856" s="4">
        <v>0</v>
      </c>
      <c r="G856" s="4">
        <v>0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42.11</v>
      </c>
      <c r="D857" s="4">
        <v>42.11</v>
      </c>
      <c r="E857" s="4">
        <v>0</v>
      </c>
      <c r="F857" s="4">
        <v>0</v>
      </c>
      <c r="G857" s="4">
        <v>0</v>
      </c>
      <c r="H857" s="5">
        <f t="shared" si="13"/>
        <v>0</v>
      </c>
    </row>
    <row r="858" spans="1:8" ht="13.5" x14ac:dyDescent="0.25">
      <c r="A858" s="1"/>
      <c r="B858" s="3">
        <v>43551</v>
      </c>
      <c r="C858" s="4">
        <v>42.11</v>
      </c>
      <c r="D858" s="4">
        <v>42.11</v>
      </c>
      <c r="E858" s="4">
        <v>0</v>
      </c>
      <c r="F858" s="4">
        <v>0</v>
      </c>
      <c r="G858" s="4">
        <v>0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42.11</v>
      </c>
      <c r="D859" s="4">
        <v>42.11</v>
      </c>
      <c r="E859" s="4">
        <v>0</v>
      </c>
      <c r="F859" s="4">
        <v>0</v>
      </c>
      <c r="G859" s="4">
        <v>0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42.11</v>
      </c>
      <c r="D860" s="4">
        <v>42.11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42.11</v>
      </c>
      <c r="D861" s="4">
        <v>42.11</v>
      </c>
      <c r="E861" s="4">
        <v>0</v>
      </c>
      <c r="F861" s="4">
        <v>0</v>
      </c>
      <c r="G861" s="4">
        <v>0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42.11</v>
      </c>
      <c r="D862" s="4">
        <v>42.11</v>
      </c>
      <c r="E862" s="4">
        <v>0</v>
      </c>
      <c r="F862" s="4">
        <v>0</v>
      </c>
      <c r="G862" s="4">
        <v>0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42.11</v>
      </c>
      <c r="D863" s="4">
        <v>42.11</v>
      </c>
      <c r="E863" s="4">
        <v>0</v>
      </c>
      <c r="F863" s="4">
        <v>0</v>
      </c>
      <c r="G863" s="4">
        <v>0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42.11</v>
      </c>
      <c r="D864" s="4">
        <v>42.11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42.11</v>
      </c>
      <c r="D865" s="4">
        <v>42.11</v>
      </c>
      <c r="E865" s="4">
        <v>0</v>
      </c>
      <c r="F865" s="4">
        <v>0</v>
      </c>
      <c r="G865" s="4">
        <v>0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42.11</v>
      </c>
      <c r="D866" s="4">
        <v>42.11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42.11</v>
      </c>
      <c r="D867" s="4">
        <v>42.11</v>
      </c>
      <c r="E867" s="4">
        <v>0</v>
      </c>
      <c r="F867" s="4">
        <v>0</v>
      </c>
      <c r="G867" s="4">
        <v>0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42.11</v>
      </c>
      <c r="D868" s="4">
        <v>42.11</v>
      </c>
      <c r="E868" s="4">
        <v>0</v>
      </c>
      <c r="F868" s="4">
        <v>0</v>
      </c>
      <c r="G868" s="4">
        <v>0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42.11</v>
      </c>
      <c r="D869" s="4">
        <v>42.11</v>
      </c>
      <c r="E869" s="4">
        <v>0</v>
      </c>
      <c r="F869" s="4">
        <v>0</v>
      </c>
      <c r="G869" s="4">
        <v>0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42.11</v>
      </c>
      <c r="D870" s="4">
        <v>42.11</v>
      </c>
      <c r="E870" s="4">
        <v>0</v>
      </c>
      <c r="F870" s="4">
        <v>0</v>
      </c>
      <c r="G870" s="4">
        <v>0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42.11</v>
      </c>
      <c r="D871" s="4">
        <v>42.11</v>
      </c>
      <c r="E871" s="4">
        <v>0</v>
      </c>
      <c r="F871" s="4">
        <v>0</v>
      </c>
      <c r="G871" s="4">
        <v>0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42.11</v>
      </c>
      <c r="D872" s="4">
        <v>42.11</v>
      </c>
      <c r="E872" s="4">
        <v>0</v>
      </c>
      <c r="F872" s="4">
        <v>0</v>
      </c>
      <c r="G872" s="4">
        <v>0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42.11</v>
      </c>
      <c r="D873" s="4">
        <v>42.11</v>
      </c>
      <c r="E873" s="4">
        <v>0</v>
      </c>
      <c r="F873" s="4">
        <v>0</v>
      </c>
      <c r="G873" s="4">
        <v>0</v>
      </c>
      <c r="H873" s="5">
        <f t="shared" si="13"/>
        <v>0</v>
      </c>
    </row>
    <row r="874" spans="1:8" ht="13.5" x14ac:dyDescent="0.25">
      <c r="A874" s="1"/>
      <c r="B874" s="3">
        <v>43574</v>
      </c>
      <c r="C874" s="4">
        <v>42.11</v>
      </c>
      <c r="D874" s="4">
        <v>42.11</v>
      </c>
      <c r="E874" s="4">
        <v>0</v>
      </c>
      <c r="F874" s="4">
        <v>0</v>
      </c>
      <c r="G874" s="4">
        <v>0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42.11</v>
      </c>
      <c r="D875" s="4">
        <v>42.11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42.1</v>
      </c>
      <c r="D876" s="4">
        <v>42.1</v>
      </c>
      <c r="E876" s="4">
        <v>10</v>
      </c>
      <c r="F876" s="4">
        <v>42.1</v>
      </c>
      <c r="G876" s="4">
        <v>421</v>
      </c>
      <c r="H876" s="5">
        <f t="shared" si="13"/>
        <v>-2.3747328425547401E-4</v>
      </c>
    </row>
    <row r="877" spans="1:8" ht="13.5" x14ac:dyDescent="0.25">
      <c r="A877" s="1"/>
      <c r="B877" s="3">
        <v>43579</v>
      </c>
      <c r="C877" s="4">
        <v>42.1</v>
      </c>
      <c r="D877" s="4">
        <v>42.1</v>
      </c>
      <c r="E877" s="4">
        <v>0</v>
      </c>
      <c r="F877" s="4">
        <v>0</v>
      </c>
      <c r="G877" s="4">
        <v>0</v>
      </c>
      <c r="H877" s="5">
        <f t="shared" si="13"/>
        <v>0</v>
      </c>
    </row>
    <row r="878" spans="1:8" ht="13.5" x14ac:dyDescent="0.25">
      <c r="A878" s="1"/>
      <c r="B878" s="3">
        <v>43580</v>
      </c>
      <c r="C878" s="4">
        <v>42.1</v>
      </c>
      <c r="D878" s="4">
        <v>42.1</v>
      </c>
      <c r="E878" s="4">
        <v>0</v>
      </c>
      <c r="F878" s="4">
        <v>0</v>
      </c>
      <c r="G878" s="4">
        <v>0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42.1</v>
      </c>
      <c r="D879" s="4">
        <v>42.1</v>
      </c>
      <c r="E879" s="4">
        <v>0</v>
      </c>
      <c r="F879" s="4">
        <v>0</v>
      </c>
      <c r="G879" s="4">
        <v>0</v>
      </c>
      <c r="H879" s="5">
        <f t="shared" si="13"/>
        <v>0</v>
      </c>
    </row>
    <row r="880" spans="1:8" ht="13.5" x14ac:dyDescent="0.25">
      <c r="A880" s="1"/>
      <c r="B880" s="3">
        <v>43584</v>
      </c>
      <c r="C880" s="4">
        <v>42.1</v>
      </c>
      <c r="D880" s="4">
        <v>42.1</v>
      </c>
      <c r="E880" s="4">
        <v>0</v>
      </c>
      <c r="F880" s="4">
        <v>0</v>
      </c>
      <c r="G880" s="4">
        <v>0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42.1</v>
      </c>
      <c r="D881" s="4">
        <v>42.1</v>
      </c>
      <c r="E881" s="4">
        <v>0</v>
      </c>
      <c r="F881" s="4">
        <v>0</v>
      </c>
      <c r="G881" s="4">
        <v>0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42.1</v>
      </c>
      <c r="D882" s="4">
        <v>42.1</v>
      </c>
      <c r="E882" s="4">
        <v>0</v>
      </c>
      <c r="F882" s="4">
        <v>0</v>
      </c>
      <c r="G882" s="4">
        <v>0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42.1</v>
      </c>
      <c r="D883" s="4">
        <v>42.1</v>
      </c>
      <c r="E883" s="4">
        <v>0</v>
      </c>
      <c r="F883" s="4">
        <v>0</v>
      </c>
      <c r="G883" s="4">
        <v>0</v>
      </c>
      <c r="H883" s="5">
        <f t="shared" si="13"/>
        <v>0</v>
      </c>
    </row>
    <row r="884" spans="1:8" ht="13.5" x14ac:dyDescent="0.25">
      <c r="A884" s="1"/>
      <c r="B884" s="3">
        <v>43591</v>
      </c>
      <c r="C884" s="4">
        <v>42.1</v>
      </c>
      <c r="D884" s="4">
        <v>42.1</v>
      </c>
      <c r="E884" s="4">
        <v>0</v>
      </c>
      <c r="F884" s="4">
        <v>0</v>
      </c>
      <c r="G884" s="4">
        <v>0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42.1</v>
      </c>
      <c r="D885" s="4">
        <v>42.1</v>
      </c>
      <c r="E885" s="4">
        <v>0</v>
      </c>
      <c r="F885" s="4">
        <v>0</v>
      </c>
      <c r="G885" s="4">
        <v>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42.1</v>
      </c>
      <c r="D886" s="4">
        <v>42.1</v>
      </c>
      <c r="E886" s="4">
        <v>0</v>
      </c>
      <c r="F886" s="4">
        <v>0</v>
      </c>
      <c r="G886" s="4">
        <v>0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42.1</v>
      </c>
      <c r="D887" s="4">
        <v>42.1</v>
      </c>
      <c r="E887" s="4">
        <v>0</v>
      </c>
      <c r="F887" s="4">
        <v>0</v>
      </c>
      <c r="G887" s="4">
        <v>0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41</v>
      </c>
      <c r="D888" s="4">
        <v>41</v>
      </c>
      <c r="E888" s="4">
        <v>24</v>
      </c>
      <c r="F888" s="4">
        <v>41</v>
      </c>
      <c r="G888" s="4">
        <v>984</v>
      </c>
      <c r="H888" s="5">
        <f t="shared" si="13"/>
        <v>-2.6128266033254188E-2</v>
      </c>
    </row>
    <row r="889" spans="1:8" ht="13.5" x14ac:dyDescent="0.25">
      <c r="A889" s="1"/>
      <c r="B889" s="3">
        <v>43598</v>
      </c>
      <c r="C889" s="4">
        <v>40.9</v>
      </c>
      <c r="D889" s="4">
        <v>40.9</v>
      </c>
      <c r="E889" s="4">
        <v>15</v>
      </c>
      <c r="F889" s="4">
        <v>40.9</v>
      </c>
      <c r="G889" s="4">
        <v>613.5</v>
      </c>
      <c r="H889" s="5">
        <f t="shared" si="13"/>
        <v>-2.4390243902439371E-3</v>
      </c>
    </row>
    <row r="890" spans="1:8" ht="13.5" x14ac:dyDescent="0.25">
      <c r="A890" s="1"/>
      <c r="B890" s="3">
        <v>43599</v>
      </c>
      <c r="C890" s="4">
        <v>39.799999999999997</v>
      </c>
      <c r="D890" s="4">
        <v>39.799999999999997</v>
      </c>
      <c r="E890" s="4">
        <v>60</v>
      </c>
      <c r="F890" s="4">
        <v>39.799999999999997</v>
      </c>
      <c r="G890" s="4">
        <v>2388</v>
      </c>
      <c r="H890" s="5">
        <f t="shared" si="13"/>
        <v>-2.6894865525672409E-2</v>
      </c>
    </row>
    <row r="891" spans="1:8" ht="13.5" x14ac:dyDescent="0.25">
      <c r="A891" s="1"/>
      <c r="B891" s="3">
        <v>43600</v>
      </c>
      <c r="C891" s="4">
        <v>38.799999999999997</v>
      </c>
      <c r="D891" s="4">
        <v>38.799999999999997</v>
      </c>
      <c r="E891" s="4">
        <v>50</v>
      </c>
      <c r="F891" s="4">
        <v>38.799999999999997</v>
      </c>
      <c r="G891" s="4">
        <v>1940</v>
      </c>
      <c r="H891" s="5">
        <f t="shared" si="13"/>
        <v>-2.5125628140703519E-2</v>
      </c>
    </row>
    <row r="892" spans="1:8" ht="13.5" x14ac:dyDescent="0.25">
      <c r="A892" s="1"/>
      <c r="B892" s="3">
        <v>43601</v>
      </c>
      <c r="C892" s="4">
        <v>38</v>
      </c>
      <c r="D892" s="4">
        <v>38</v>
      </c>
      <c r="E892" s="4">
        <v>55</v>
      </c>
      <c r="F892" s="4">
        <v>38</v>
      </c>
      <c r="G892" s="4">
        <v>2090</v>
      </c>
      <c r="H892" s="5">
        <f t="shared" si="13"/>
        <v>-2.0618556701030855E-2</v>
      </c>
    </row>
    <row r="893" spans="1:8" ht="13.5" x14ac:dyDescent="0.25">
      <c r="A893" s="1"/>
      <c r="B893" s="3">
        <v>43602</v>
      </c>
      <c r="C893" s="4">
        <v>38</v>
      </c>
      <c r="D893" s="4">
        <v>38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38</v>
      </c>
      <c r="D894" s="4">
        <v>38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37</v>
      </c>
      <c r="D895" s="4">
        <v>37</v>
      </c>
      <c r="E895" s="4">
        <v>10</v>
      </c>
      <c r="F895" s="4">
        <v>37</v>
      </c>
      <c r="G895" s="4">
        <v>370</v>
      </c>
      <c r="H895" s="5">
        <f t="shared" si="13"/>
        <v>-2.6315789473684209E-2</v>
      </c>
    </row>
    <row r="896" spans="1:8" ht="13.5" x14ac:dyDescent="0.25">
      <c r="A896" s="1"/>
      <c r="B896" s="3">
        <v>43607</v>
      </c>
      <c r="C896" s="4">
        <v>37</v>
      </c>
      <c r="D896" s="4">
        <v>37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37</v>
      </c>
      <c r="D897" s="4">
        <v>37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36.840000000000003</v>
      </c>
      <c r="D898" s="4">
        <v>36.840000000000003</v>
      </c>
      <c r="E898" s="4">
        <v>52</v>
      </c>
      <c r="F898" s="4">
        <v>36.941499999999998</v>
      </c>
      <c r="G898" s="4">
        <v>1920.9580000000001</v>
      </c>
      <c r="H898" s="5">
        <f t="shared" si="13"/>
        <v>-4.3243243243242325E-3</v>
      </c>
    </row>
    <row r="899" spans="1:8" ht="13.5" x14ac:dyDescent="0.25">
      <c r="A899" s="1"/>
      <c r="B899" s="3">
        <v>43612</v>
      </c>
      <c r="C899" s="4">
        <v>36.840000000000003</v>
      </c>
      <c r="D899" s="4">
        <v>36.840000000000003</v>
      </c>
      <c r="E899" s="4">
        <v>32</v>
      </c>
      <c r="F899" s="4">
        <v>36.840000000000003</v>
      </c>
      <c r="G899" s="4">
        <v>1178.8800000000001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36.53</v>
      </c>
      <c r="D900" s="4">
        <v>36.53</v>
      </c>
      <c r="E900" s="4">
        <v>40</v>
      </c>
      <c r="F900" s="4">
        <v>36.685000000000002</v>
      </c>
      <c r="G900" s="4">
        <v>1467.4</v>
      </c>
      <c r="H900" s="5">
        <f t="shared" si="13"/>
        <v>-8.4147665580890946E-3</v>
      </c>
    </row>
    <row r="901" spans="1:8" ht="13.5" x14ac:dyDescent="0.25">
      <c r="A901" s="1"/>
      <c r="B901" s="3">
        <v>43614</v>
      </c>
      <c r="C901" s="4">
        <v>36.200000000000003</v>
      </c>
      <c r="D901" s="4">
        <v>36.200000000000003</v>
      </c>
      <c r="E901" s="4">
        <v>20</v>
      </c>
      <c r="F901" s="4">
        <v>36.200000000000003</v>
      </c>
      <c r="G901" s="4">
        <v>724</v>
      </c>
      <c r="H901" s="5">
        <f t="shared" si="13"/>
        <v>-9.0336709553790941E-3</v>
      </c>
    </row>
    <row r="902" spans="1:8" ht="13.5" x14ac:dyDescent="0.25">
      <c r="A902" s="1"/>
      <c r="B902" s="3">
        <v>43615</v>
      </c>
      <c r="C902" s="4">
        <v>36.380000000000003</v>
      </c>
      <c r="D902" s="4">
        <v>36.380000000000003</v>
      </c>
      <c r="E902" s="4">
        <v>12</v>
      </c>
      <c r="F902" s="4">
        <v>36.380000000000003</v>
      </c>
      <c r="G902" s="4">
        <v>436.56</v>
      </c>
      <c r="H902" s="5">
        <f t="shared" si="13"/>
        <v>4.9723756906077266E-3</v>
      </c>
    </row>
    <row r="903" spans="1:8" ht="13.5" x14ac:dyDescent="0.25">
      <c r="A903" s="1"/>
      <c r="B903" s="3">
        <v>43616</v>
      </c>
      <c r="C903" s="4">
        <v>36.22</v>
      </c>
      <c r="D903" s="4">
        <v>36.22</v>
      </c>
      <c r="E903" s="4">
        <v>2</v>
      </c>
      <c r="F903" s="4">
        <v>36.22</v>
      </c>
      <c r="G903" s="4">
        <v>72.44</v>
      </c>
      <c r="H903" s="5">
        <f t="shared" ref="H903:H966" si="14">(D903-D902)/D902</f>
        <v>-4.398020890599332E-3</v>
      </c>
    </row>
    <row r="904" spans="1:8" ht="13.5" x14ac:dyDescent="0.25">
      <c r="A904" s="1"/>
      <c r="B904" s="3">
        <v>43619</v>
      </c>
      <c r="C904" s="4">
        <v>36.22</v>
      </c>
      <c r="D904" s="4">
        <v>36.22</v>
      </c>
      <c r="E904" s="4">
        <v>13</v>
      </c>
      <c r="F904" s="4">
        <v>36.220799999999997</v>
      </c>
      <c r="G904" s="4">
        <v>470.87040000000002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35.4</v>
      </c>
      <c r="D905" s="4">
        <v>35.4</v>
      </c>
      <c r="E905" s="4">
        <v>46</v>
      </c>
      <c r="F905" s="4">
        <v>35.452199999999998</v>
      </c>
      <c r="G905" s="4">
        <v>1630.8012000000001</v>
      </c>
      <c r="H905" s="5">
        <f t="shared" si="14"/>
        <v>-2.2639425731639986E-2</v>
      </c>
    </row>
    <row r="906" spans="1:8" ht="13.5" x14ac:dyDescent="0.25">
      <c r="A906" s="1"/>
      <c r="B906" s="3">
        <v>43626</v>
      </c>
      <c r="C906" s="4">
        <v>35.4</v>
      </c>
      <c r="D906" s="4">
        <v>35.4</v>
      </c>
      <c r="E906" s="4">
        <v>0</v>
      </c>
      <c r="F906" s="4">
        <v>0</v>
      </c>
      <c r="G906" s="4">
        <v>0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35.4</v>
      </c>
      <c r="D907" s="4">
        <v>35.4</v>
      </c>
      <c r="E907" s="4">
        <v>0</v>
      </c>
      <c r="F907" s="4">
        <v>0</v>
      </c>
      <c r="G907" s="4">
        <v>0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35.4</v>
      </c>
      <c r="D908" s="4">
        <v>35.4</v>
      </c>
      <c r="E908" s="4">
        <v>0</v>
      </c>
      <c r="F908" s="4">
        <v>0</v>
      </c>
      <c r="G908" s="4">
        <v>0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35.299999999999997</v>
      </c>
      <c r="D909" s="4">
        <v>35.299999999999997</v>
      </c>
      <c r="E909" s="4">
        <v>8</v>
      </c>
      <c r="F909" s="4">
        <v>35.299999999999997</v>
      </c>
      <c r="G909" s="4">
        <v>282.39999999999998</v>
      </c>
      <c r="H909" s="5">
        <f t="shared" si="14"/>
        <v>-2.8248587570621872E-3</v>
      </c>
    </row>
    <row r="910" spans="1:8" ht="13.5" x14ac:dyDescent="0.25">
      <c r="A910" s="1"/>
      <c r="B910" s="3">
        <v>43630</v>
      </c>
      <c r="C910" s="4">
        <v>35.299999999999997</v>
      </c>
      <c r="D910" s="4">
        <v>35.299999999999997</v>
      </c>
      <c r="E910" s="4">
        <v>20</v>
      </c>
      <c r="F910" s="4">
        <v>35.299999999999997</v>
      </c>
      <c r="G910" s="4">
        <v>706</v>
      </c>
      <c r="H910" s="5">
        <f t="shared" si="14"/>
        <v>0</v>
      </c>
    </row>
    <row r="911" spans="1:8" ht="13.5" x14ac:dyDescent="0.25">
      <c r="A911" s="1"/>
      <c r="B911" s="3">
        <v>43633</v>
      </c>
      <c r="C911" s="4">
        <v>35</v>
      </c>
      <c r="D911" s="4">
        <v>35</v>
      </c>
      <c r="E911" s="4">
        <v>47</v>
      </c>
      <c r="F911" s="4">
        <v>35.002600000000001</v>
      </c>
      <c r="G911" s="4">
        <v>1645.1222</v>
      </c>
      <c r="H911" s="5">
        <f t="shared" si="14"/>
        <v>-8.4985835694050185E-3</v>
      </c>
    </row>
    <row r="912" spans="1:8" ht="13.5" x14ac:dyDescent="0.25">
      <c r="A912" s="1"/>
      <c r="B912" s="3">
        <v>43634</v>
      </c>
      <c r="C912" s="4">
        <v>35</v>
      </c>
      <c r="D912" s="4">
        <v>35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35</v>
      </c>
      <c r="D913" s="4">
        <v>35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35</v>
      </c>
      <c r="D914" s="4">
        <v>35</v>
      </c>
      <c r="E914" s="4">
        <v>0</v>
      </c>
      <c r="F914" s="4">
        <v>0</v>
      </c>
      <c r="G914" s="4">
        <v>0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35</v>
      </c>
      <c r="D915" s="4">
        <v>35</v>
      </c>
      <c r="E915" s="4">
        <v>0</v>
      </c>
      <c r="F915" s="4">
        <v>0</v>
      </c>
      <c r="G915" s="4">
        <v>0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35</v>
      </c>
      <c r="D916" s="4">
        <v>35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35</v>
      </c>
      <c r="D917" s="4">
        <v>35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35</v>
      </c>
      <c r="D918" s="4">
        <v>35</v>
      </c>
      <c r="E918" s="4">
        <v>0</v>
      </c>
      <c r="F918" s="4">
        <v>0</v>
      </c>
      <c r="G918" s="4">
        <v>0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35.01</v>
      </c>
      <c r="D919" s="4">
        <v>35.01</v>
      </c>
      <c r="E919" s="4">
        <v>1</v>
      </c>
      <c r="F919" s="4">
        <v>35.01</v>
      </c>
      <c r="G919" s="4">
        <v>35.01</v>
      </c>
      <c r="H919" s="5">
        <f t="shared" si="14"/>
        <v>2.8571428571422887E-4</v>
      </c>
    </row>
    <row r="920" spans="1:8" ht="13.5" x14ac:dyDescent="0.25">
      <c r="A920" s="1"/>
      <c r="B920" s="3">
        <v>43644</v>
      </c>
      <c r="C920" s="4">
        <v>35.01</v>
      </c>
      <c r="D920" s="4">
        <v>35.01</v>
      </c>
      <c r="E920" s="4">
        <v>30</v>
      </c>
      <c r="F920" s="4">
        <v>35.01</v>
      </c>
      <c r="G920" s="4">
        <v>1050.3</v>
      </c>
      <c r="H920" s="5">
        <f t="shared" si="14"/>
        <v>0</v>
      </c>
    </row>
    <row r="921" spans="1:8" ht="13.5" x14ac:dyDescent="0.25">
      <c r="A921" s="1"/>
      <c r="B921" s="3">
        <v>43647</v>
      </c>
      <c r="C921" s="4">
        <v>35.01</v>
      </c>
      <c r="D921" s="4">
        <v>35.01</v>
      </c>
      <c r="E921" s="4">
        <v>0</v>
      </c>
      <c r="F921" s="4">
        <v>0</v>
      </c>
      <c r="G921" s="4">
        <v>0</v>
      </c>
      <c r="H921" s="5">
        <f t="shared" si="14"/>
        <v>0</v>
      </c>
    </row>
    <row r="922" spans="1:8" ht="13.5" x14ac:dyDescent="0.25">
      <c r="A922" s="1"/>
      <c r="B922" s="3">
        <v>43648</v>
      </c>
      <c r="C922" s="4">
        <v>35.01</v>
      </c>
      <c r="D922" s="4">
        <v>35.01</v>
      </c>
      <c r="E922" s="4">
        <v>0</v>
      </c>
      <c r="F922" s="4">
        <v>0</v>
      </c>
      <c r="G922" s="4">
        <v>0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35.01</v>
      </c>
      <c r="D923" s="4">
        <v>35.01</v>
      </c>
      <c r="E923" s="4">
        <v>0</v>
      </c>
      <c r="F923" s="4">
        <v>0</v>
      </c>
      <c r="G923" s="4">
        <v>0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35.01</v>
      </c>
      <c r="D924" s="4">
        <v>35.01</v>
      </c>
      <c r="E924" s="4">
        <v>0</v>
      </c>
      <c r="F924" s="4">
        <v>0</v>
      </c>
      <c r="G924" s="4">
        <v>0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35.01</v>
      </c>
      <c r="D925" s="4">
        <v>35.01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35.01</v>
      </c>
      <c r="D926" s="4">
        <v>35.01</v>
      </c>
      <c r="E926" s="4">
        <v>0</v>
      </c>
      <c r="F926" s="4">
        <v>0</v>
      </c>
      <c r="G926" s="4">
        <v>0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35.01</v>
      </c>
      <c r="D927" s="4">
        <v>35.01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35.35</v>
      </c>
      <c r="D928" s="4">
        <v>35.35</v>
      </c>
      <c r="E928" s="4">
        <v>50</v>
      </c>
      <c r="F928" s="4">
        <v>35.244999999999997</v>
      </c>
      <c r="G928" s="4">
        <v>1762.25</v>
      </c>
      <c r="H928" s="5">
        <f t="shared" si="14"/>
        <v>9.711510996858139E-3</v>
      </c>
    </row>
    <row r="929" spans="1:8" ht="13.5" x14ac:dyDescent="0.25">
      <c r="A929" s="1"/>
      <c r="B929" s="3">
        <v>43657</v>
      </c>
      <c r="C929" s="4">
        <v>35.35</v>
      </c>
      <c r="D929" s="4">
        <v>35.35</v>
      </c>
      <c r="E929" s="4">
        <v>0</v>
      </c>
      <c r="F929" s="4">
        <v>0</v>
      </c>
      <c r="G929" s="4">
        <v>0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35.35</v>
      </c>
      <c r="D930" s="4">
        <v>35.35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35.35</v>
      </c>
      <c r="D931" s="4">
        <v>35.35</v>
      </c>
      <c r="E931" s="4">
        <v>0</v>
      </c>
      <c r="F931" s="4">
        <v>0</v>
      </c>
      <c r="G931" s="4">
        <v>0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35.35</v>
      </c>
      <c r="D932" s="4">
        <v>35.35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35.35</v>
      </c>
      <c r="D933" s="4">
        <v>35.35</v>
      </c>
      <c r="E933" s="4">
        <v>0</v>
      </c>
      <c r="F933" s="4">
        <v>0</v>
      </c>
      <c r="G933" s="4">
        <v>0</v>
      </c>
      <c r="H933" s="5">
        <f t="shared" si="14"/>
        <v>0</v>
      </c>
    </row>
    <row r="934" spans="1:8" ht="13.5" x14ac:dyDescent="0.25">
      <c r="A934" s="1"/>
      <c r="B934" s="3">
        <v>43664</v>
      </c>
      <c r="C934" s="4">
        <v>35.35</v>
      </c>
      <c r="D934" s="4">
        <v>35.35</v>
      </c>
      <c r="E934" s="4">
        <v>0</v>
      </c>
      <c r="F934" s="4">
        <v>0</v>
      </c>
      <c r="G934" s="4">
        <v>0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35.35</v>
      </c>
      <c r="D935" s="4">
        <v>35.35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43668</v>
      </c>
      <c r="C936" s="4">
        <v>35.35</v>
      </c>
      <c r="D936" s="4">
        <v>35.35</v>
      </c>
      <c r="E936" s="4">
        <v>0</v>
      </c>
      <c r="F936" s="4">
        <v>0</v>
      </c>
      <c r="G936" s="4">
        <v>0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35.35</v>
      </c>
      <c r="D937" s="4">
        <v>35.35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35.35</v>
      </c>
      <c r="D938" s="4">
        <v>35.35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35.35</v>
      </c>
      <c r="D939" s="4">
        <v>35.35</v>
      </c>
      <c r="E939" s="4">
        <v>0</v>
      </c>
      <c r="F939" s="4">
        <v>0</v>
      </c>
      <c r="G939" s="4">
        <v>0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35.35</v>
      </c>
      <c r="D940" s="4">
        <v>35.35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35.35</v>
      </c>
      <c r="D941" s="4">
        <v>35.35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35.35</v>
      </c>
      <c r="D942" s="4">
        <v>35.35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35.35</v>
      </c>
      <c r="D943" s="4">
        <v>35.35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35.35</v>
      </c>
      <c r="D944" s="4">
        <v>35.35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35.35</v>
      </c>
      <c r="D945" s="4">
        <v>35.35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35.35</v>
      </c>
      <c r="D946" s="4">
        <v>35.35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35.35</v>
      </c>
      <c r="D947" s="4">
        <v>35.35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43685</v>
      </c>
      <c r="C948" s="4">
        <v>35.35</v>
      </c>
      <c r="D948" s="4">
        <v>35.35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35.35</v>
      </c>
      <c r="D949" s="4">
        <v>35.35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35.35</v>
      </c>
      <c r="D950" s="4">
        <v>35.35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35.35</v>
      </c>
      <c r="D951" s="4">
        <v>35.35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35.35</v>
      </c>
      <c r="D952" s="4">
        <v>35.35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35.299999999999997</v>
      </c>
      <c r="D953" s="4">
        <v>35.299999999999997</v>
      </c>
      <c r="E953" s="4">
        <v>20</v>
      </c>
      <c r="F953" s="4">
        <v>35.299999999999997</v>
      </c>
      <c r="G953" s="4">
        <v>706</v>
      </c>
      <c r="H953" s="5">
        <f t="shared" si="14"/>
        <v>-1.414427157001535E-3</v>
      </c>
    </row>
    <row r="954" spans="1:8" ht="13.5" x14ac:dyDescent="0.25">
      <c r="A954" s="1"/>
      <c r="B954" s="3">
        <v>43697</v>
      </c>
      <c r="C954" s="4">
        <v>35.299999999999997</v>
      </c>
      <c r="D954" s="4">
        <v>35.299999999999997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35.299999999999997</v>
      </c>
      <c r="D955" s="4">
        <v>35.299999999999997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35.299999999999997</v>
      </c>
      <c r="D956" s="4">
        <v>35.299999999999997</v>
      </c>
      <c r="E956" s="4">
        <v>0</v>
      </c>
      <c r="F956" s="4">
        <v>0</v>
      </c>
      <c r="G956" s="4">
        <v>0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35.299999999999997</v>
      </c>
      <c r="D957" s="4">
        <v>35.299999999999997</v>
      </c>
      <c r="E957" s="4">
        <v>0</v>
      </c>
      <c r="F957" s="4">
        <v>0</v>
      </c>
      <c r="G957" s="4">
        <v>0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35.299999999999997</v>
      </c>
      <c r="D958" s="4">
        <v>35.299999999999997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35.299999999999997</v>
      </c>
      <c r="D959" s="4">
        <v>35.299999999999997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35.299999999999997</v>
      </c>
      <c r="D960" s="4">
        <v>35.299999999999997</v>
      </c>
      <c r="E960" s="4">
        <v>0</v>
      </c>
      <c r="F960" s="4">
        <v>0</v>
      </c>
      <c r="G960" s="4">
        <v>0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35.299999999999997</v>
      </c>
      <c r="D961" s="4">
        <v>35.299999999999997</v>
      </c>
      <c r="E961" s="4">
        <v>0</v>
      </c>
      <c r="F961" s="4">
        <v>0</v>
      </c>
      <c r="G961" s="4">
        <v>0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35.299999999999997</v>
      </c>
      <c r="D962" s="4">
        <v>35.299999999999997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35.299999999999997</v>
      </c>
      <c r="D963" s="4">
        <v>35.299999999999997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35.299999999999997</v>
      </c>
      <c r="D964" s="4">
        <v>35.299999999999997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35.299999999999997</v>
      </c>
      <c r="D965" s="4">
        <v>35.299999999999997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34.25</v>
      </c>
      <c r="D966" s="4">
        <v>34.25</v>
      </c>
      <c r="E966" s="4">
        <v>238</v>
      </c>
      <c r="F966" s="4">
        <v>34.25</v>
      </c>
      <c r="G966" s="4">
        <v>8151.5</v>
      </c>
      <c r="H966" s="5">
        <f t="shared" si="14"/>
        <v>-2.9745042492917768E-2</v>
      </c>
    </row>
    <row r="967" spans="1:8" ht="13.5" x14ac:dyDescent="0.25">
      <c r="A967" s="1"/>
      <c r="B967" s="3">
        <v>43714</v>
      </c>
      <c r="C967" s="4">
        <v>34.25</v>
      </c>
      <c r="D967" s="4">
        <v>34.25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34.25</v>
      </c>
      <c r="D968" s="4">
        <v>34.25</v>
      </c>
      <c r="E968" s="4">
        <v>0</v>
      </c>
      <c r="F968" s="4">
        <v>0</v>
      </c>
      <c r="G968" s="4">
        <v>0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33.25</v>
      </c>
      <c r="D969" s="4">
        <v>33.25</v>
      </c>
      <c r="E969" s="4">
        <v>73</v>
      </c>
      <c r="F969" s="4">
        <v>33.25</v>
      </c>
      <c r="G969" s="4">
        <v>2427.25</v>
      </c>
      <c r="H969" s="5">
        <f t="shared" si="15"/>
        <v>-2.9197080291970802E-2</v>
      </c>
    </row>
    <row r="970" spans="1:8" ht="13.5" x14ac:dyDescent="0.25">
      <c r="A970" s="1"/>
      <c r="B970" s="3">
        <v>43719</v>
      </c>
      <c r="C970" s="4">
        <v>33.25</v>
      </c>
      <c r="D970" s="4">
        <v>33.25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33.25</v>
      </c>
      <c r="D971" s="4">
        <v>33.25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33.25</v>
      </c>
      <c r="D972" s="4">
        <v>33.25</v>
      </c>
      <c r="E972" s="4">
        <v>0</v>
      </c>
      <c r="F972" s="4">
        <v>0</v>
      </c>
      <c r="G972" s="4">
        <v>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33.25</v>
      </c>
      <c r="D973" s="4">
        <v>33.25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33.25</v>
      </c>
      <c r="D974" s="4">
        <v>33.25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33.200000000000003</v>
      </c>
      <c r="D975" s="4">
        <v>33.200000000000003</v>
      </c>
      <c r="E975" s="4">
        <v>20</v>
      </c>
      <c r="F975" s="4">
        <v>33.200000000000003</v>
      </c>
      <c r="G975" s="4">
        <v>664</v>
      </c>
      <c r="H975" s="5">
        <f t="shared" si="15"/>
        <v>-1.503759398496155E-3</v>
      </c>
    </row>
    <row r="976" spans="1:8" ht="13.5" x14ac:dyDescent="0.25">
      <c r="A976" s="1"/>
      <c r="B976" s="3">
        <v>43727</v>
      </c>
      <c r="C976" s="4">
        <v>33.200000000000003</v>
      </c>
      <c r="D976" s="4">
        <v>33.200000000000003</v>
      </c>
      <c r="E976" s="4">
        <v>30</v>
      </c>
      <c r="F976" s="4">
        <v>33.200000000000003</v>
      </c>
      <c r="G976" s="4">
        <v>996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33.200000000000003</v>
      </c>
      <c r="D977" s="4">
        <v>33.200000000000003</v>
      </c>
      <c r="E977" s="4">
        <v>51</v>
      </c>
      <c r="F977" s="4">
        <v>33.200000000000003</v>
      </c>
      <c r="G977" s="4">
        <v>1693.2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33.200000000000003</v>
      </c>
      <c r="D978" s="4">
        <v>33.200000000000003</v>
      </c>
      <c r="E978" s="4">
        <v>49</v>
      </c>
      <c r="F978" s="4">
        <v>33.200000000000003</v>
      </c>
      <c r="G978" s="4">
        <v>1626.8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33.200000000000003</v>
      </c>
      <c r="D979" s="4">
        <v>33.200000000000003</v>
      </c>
      <c r="E979" s="4">
        <v>11</v>
      </c>
      <c r="F979" s="4">
        <v>33.200000000000003</v>
      </c>
      <c r="G979" s="4">
        <v>365.2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33.200000000000003</v>
      </c>
      <c r="D980" s="4">
        <v>33.200000000000003</v>
      </c>
      <c r="E980" s="4">
        <v>0</v>
      </c>
      <c r="F980" s="4">
        <v>0</v>
      </c>
      <c r="G980" s="4">
        <v>0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33.200000000000003</v>
      </c>
      <c r="D981" s="4">
        <v>33.200000000000003</v>
      </c>
      <c r="E981" s="4">
        <v>0</v>
      </c>
      <c r="F981" s="4">
        <v>0</v>
      </c>
      <c r="G981" s="4">
        <v>0</v>
      </c>
      <c r="H981" s="5">
        <f t="shared" si="15"/>
        <v>0</v>
      </c>
    </row>
    <row r="982" spans="1:8" ht="13.5" x14ac:dyDescent="0.25">
      <c r="A982" s="1"/>
      <c r="B982" s="3">
        <v>43735</v>
      </c>
      <c r="C982" s="4">
        <v>33.200000000000003</v>
      </c>
      <c r="D982" s="4">
        <v>33.200000000000003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33.200000000000003</v>
      </c>
      <c r="D983" s="4">
        <v>33.200000000000003</v>
      </c>
      <c r="E983" s="4">
        <v>0</v>
      </c>
      <c r="F983" s="4">
        <v>0</v>
      </c>
      <c r="G983" s="4">
        <v>0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33.200000000000003</v>
      </c>
      <c r="D984" s="4">
        <v>33.200000000000003</v>
      </c>
      <c r="E984" s="4">
        <v>20</v>
      </c>
      <c r="F984" s="4">
        <v>33.200000000000003</v>
      </c>
      <c r="G984" s="4">
        <v>664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33.200000000000003</v>
      </c>
      <c r="D985" s="4">
        <v>33.200000000000003</v>
      </c>
      <c r="E985" s="4">
        <v>0</v>
      </c>
      <c r="F985" s="4">
        <v>0</v>
      </c>
      <c r="G985" s="4">
        <v>0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33.200000000000003</v>
      </c>
      <c r="D986" s="4">
        <v>33.200000000000003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33.200000000000003</v>
      </c>
      <c r="D987" s="4">
        <v>33.200000000000003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33.200000000000003</v>
      </c>
      <c r="D988" s="4">
        <v>33.200000000000003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33.200000000000003</v>
      </c>
      <c r="D989" s="4">
        <v>33.200000000000003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33.200000000000003</v>
      </c>
      <c r="D990" s="4">
        <v>33.200000000000003</v>
      </c>
      <c r="E990" s="4">
        <v>0</v>
      </c>
      <c r="F990" s="4">
        <v>0</v>
      </c>
      <c r="G990" s="4">
        <v>0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33.200000000000003</v>
      </c>
      <c r="D991" s="4">
        <v>33.200000000000003</v>
      </c>
      <c r="E991" s="4">
        <v>0</v>
      </c>
      <c r="F991" s="4">
        <v>0</v>
      </c>
      <c r="G991" s="4">
        <v>0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33.200000000000003</v>
      </c>
      <c r="D992" s="4">
        <v>33.200000000000003</v>
      </c>
      <c r="E992" s="4">
        <v>0</v>
      </c>
      <c r="F992" s="4">
        <v>0</v>
      </c>
      <c r="G992" s="4">
        <v>0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33.200000000000003</v>
      </c>
      <c r="D993" s="4">
        <v>33.200000000000003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33.200000000000003</v>
      </c>
      <c r="D994" s="4">
        <v>33.200000000000003</v>
      </c>
      <c r="E994" s="4">
        <v>0</v>
      </c>
      <c r="F994" s="4">
        <v>0</v>
      </c>
      <c r="G994" s="4">
        <v>0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33.200000000000003</v>
      </c>
      <c r="D995" s="4">
        <v>33.200000000000003</v>
      </c>
      <c r="E995" s="4">
        <v>100</v>
      </c>
      <c r="F995" s="4">
        <v>33.200000000000003</v>
      </c>
      <c r="G995" s="4">
        <v>3320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33.200000000000003</v>
      </c>
      <c r="D996" s="4">
        <v>33.200000000000003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33.200000000000003</v>
      </c>
      <c r="D997" s="4">
        <v>33.200000000000003</v>
      </c>
      <c r="E997" s="4">
        <v>0</v>
      </c>
      <c r="F997" s="4">
        <v>0</v>
      </c>
      <c r="G997" s="4">
        <v>0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34.229999999999997</v>
      </c>
      <c r="D998" s="4">
        <v>34.229999999999997</v>
      </c>
      <c r="E998" s="4">
        <v>20</v>
      </c>
      <c r="F998" s="4">
        <v>34.229999999999997</v>
      </c>
      <c r="G998" s="4">
        <v>684.6</v>
      </c>
      <c r="H998" s="5">
        <f t="shared" si="15"/>
        <v>3.1024096385541985E-2</v>
      </c>
    </row>
    <row r="999" spans="1:8" ht="13.5" x14ac:dyDescent="0.25">
      <c r="A999" s="1"/>
      <c r="B999" s="3">
        <v>43761</v>
      </c>
      <c r="C999" s="4">
        <v>35.42</v>
      </c>
      <c r="D999" s="4">
        <v>35.42</v>
      </c>
      <c r="E999" s="4">
        <v>25</v>
      </c>
      <c r="F999" s="4">
        <v>35.42</v>
      </c>
      <c r="G999" s="4">
        <v>885.5</v>
      </c>
      <c r="H999" s="5">
        <f t="shared" si="15"/>
        <v>3.4764826175869262E-2</v>
      </c>
    </row>
    <row r="1000" spans="1:8" ht="13.5" x14ac:dyDescent="0.25">
      <c r="A1000" s="1"/>
      <c r="B1000" s="3">
        <v>43762</v>
      </c>
      <c r="C1000" s="4">
        <v>35.42</v>
      </c>
      <c r="D1000" s="4">
        <v>35.42</v>
      </c>
      <c r="E1000" s="4">
        <v>5</v>
      </c>
      <c r="F1000" s="4">
        <v>35.42</v>
      </c>
      <c r="G1000" s="4">
        <v>177.1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35.42</v>
      </c>
      <c r="D1001" s="4">
        <v>35.42</v>
      </c>
      <c r="E1001" s="4">
        <v>0</v>
      </c>
      <c r="F1001" s="4">
        <v>0</v>
      </c>
      <c r="G1001" s="4">
        <v>0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35</v>
      </c>
      <c r="D1002" s="4">
        <v>35</v>
      </c>
      <c r="E1002" s="4">
        <v>20</v>
      </c>
      <c r="F1002" s="4">
        <v>35</v>
      </c>
      <c r="G1002" s="4">
        <v>700</v>
      </c>
      <c r="H1002" s="5">
        <f t="shared" si="15"/>
        <v>-1.1857707509881471E-2</v>
      </c>
    </row>
    <row r="1003" spans="1:8" ht="13.5" x14ac:dyDescent="0.25">
      <c r="A1003" s="1"/>
      <c r="B1003" s="3">
        <v>43767</v>
      </c>
      <c r="C1003" s="4">
        <v>36.049999999999997</v>
      </c>
      <c r="D1003" s="4">
        <v>36.049999999999997</v>
      </c>
      <c r="E1003" s="4">
        <v>100</v>
      </c>
      <c r="F1003" s="4">
        <v>36.049999999999997</v>
      </c>
      <c r="G1003" s="4">
        <v>3605</v>
      </c>
      <c r="H1003" s="5">
        <f t="shared" si="15"/>
        <v>2.9999999999999919E-2</v>
      </c>
    </row>
    <row r="1004" spans="1:8" ht="13.5" x14ac:dyDescent="0.25">
      <c r="A1004" s="1"/>
      <c r="B1004" s="3">
        <v>43768</v>
      </c>
      <c r="C1004" s="4">
        <v>36.06</v>
      </c>
      <c r="D1004" s="4">
        <v>36.06</v>
      </c>
      <c r="E1004" s="4">
        <v>910</v>
      </c>
      <c r="F1004" s="4">
        <v>36.054499999999997</v>
      </c>
      <c r="G1004" s="4">
        <v>32809.595000000001</v>
      </c>
      <c r="H1004" s="5">
        <f t="shared" si="15"/>
        <v>2.7739251040236106E-4</v>
      </c>
    </row>
    <row r="1005" spans="1:8" ht="13.5" x14ac:dyDescent="0.25">
      <c r="A1005" s="1"/>
      <c r="B1005" s="3">
        <v>43769</v>
      </c>
      <c r="C1005" s="4">
        <v>37.799999999999997</v>
      </c>
      <c r="D1005" s="4">
        <v>37.799999999999997</v>
      </c>
      <c r="E1005" s="4">
        <v>523</v>
      </c>
      <c r="F1005" s="4">
        <v>37.618499999999997</v>
      </c>
      <c r="G1005" s="4">
        <v>19674.4755</v>
      </c>
      <c r="H1005" s="5">
        <f t="shared" si="15"/>
        <v>4.825291181364378E-2</v>
      </c>
    </row>
    <row r="1006" spans="1:8" ht="13.5" x14ac:dyDescent="0.25">
      <c r="A1006" s="1"/>
      <c r="B1006" s="3">
        <v>43770</v>
      </c>
      <c r="C1006" s="4">
        <v>39.01</v>
      </c>
      <c r="D1006" s="4">
        <v>39.01</v>
      </c>
      <c r="E1006" s="4">
        <v>330</v>
      </c>
      <c r="F1006" s="4">
        <v>38.867600000000003</v>
      </c>
      <c r="G1006" s="4">
        <v>12826.308000000001</v>
      </c>
      <c r="H1006" s="5">
        <f t="shared" si="15"/>
        <v>3.2010582010582038E-2</v>
      </c>
    </row>
    <row r="1007" spans="1:8" ht="13.5" x14ac:dyDescent="0.25">
      <c r="A1007" s="1"/>
      <c r="B1007" s="3">
        <v>43773</v>
      </c>
      <c r="C1007" s="4">
        <v>39</v>
      </c>
      <c r="D1007" s="4">
        <v>39</v>
      </c>
      <c r="E1007" s="4">
        <v>102</v>
      </c>
      <c r="F1007" s="4">
        <v>39</v>
      </c>
      <c r="G1007" s="4">
        <v>3978</v>
      </c>
      <c r="H1007" s="5">
        <f t="shared" si="15"/>
        <v>-2.5634452704429659E-4</v>
      </c>
    </row>
    <row r="1008" spans="1:8" ht="13.5" x14ac:dyDescent="0.25">
      <c r="A1008" s="1"/>
      <c r="B1008" s="3">
        <v>43774</v>
      </c>
      <c r="C1008" s="4">
        <v>40</v>
      </c>
      <c r="D1008" s="4">
        <v>40</v>
      </c>
      <c r="E1008" s="4">
        <v>218</v>
      </c>
      <c r="F1008" s="4">
        <v>39.779800000000002</v>
      </c>
      <c r="G1008" s="4">
        <v>8671.9964</v>
      </c>
      <c r="H1008" s="5">
        <f t="shared" si="15"/>
        <v>2.564102564102564E-2</v>
      </c>
    </row>
    <row r="1009" spans="1:8" ht="13.5" x14ac:dyDescent="0.25">
      <c r="A1009" s="1"/>
      <c r="B1009" s="3">
        <v>43775</v>
      </c>
      <c r="C1009" s="4">
        <v>40.5</v>
      </c>
      <c r="D1009" s="4">
        <v>40.5</v>
      </c>
      <c r="E1009" s="4">
        <v>150</v>
      </c>
      <c r="F1009" s="4">
        <v>40.5</v>
      </c>
      <c r="G1009" s="4">
        <v>6075</v>
      </c>
      <c r="H1009" s="5">
        <f t="shared" si="15"/>
        <v>1.2500000000000001E-2</v>
      </c>
    </row>
    <row r="1010" spans="1:8" ht="13.5" x14ac:dyDescent="0.25">
      <c r="A1010" s="1"/>
      <c r="B1010" s="3">
        <v>43776</v>
      </c>
      <c r="C1010" s="4">
        <v>42.9</v>
      </c>
      <c r="D1010" s="4">
        <v>42.9</v>
      </c>
      <c r="E1010" s="4">
        <v>212</v>
      </c>
      <c r="F1010" s="4">
        <v>42.338700000000003</v>
      </c>
      <c r="G1010" s="4">
        <v>8975.8044000000009</v>
      </c>
      <c r="H1010" s="5">
        <f t="shared" si="15"/>
        <v>5.9259259259259227E-2</v>
      </c>
    </row>
    <row r="1011" spans="1:8" ht="13.5" x14ac:dyDescent="0.25">
      <c r="A1011" s="1"/>
      <c r="B1011" s="3">
        <v>43777</v>
      </c>
      <c r="C1011" s="4">
        <v>42.9</v>
      </c>
      <c r="D1011" s="4">
        <v>42.9</v>
      </c>
      <c r="E1011" s="4">
        <v>225</v>
      </c>
      <c r="F1011" s="4">
        <v>42.9011</v>
      </c>
      <c r="G1011" s="4">
        <v>9652.7474999999995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43.99</v>
      </c>
      <c r="D1012" s="4">
        <v>43.99</v>
      </c>
      <c r="E1012" s="4">
        <v>628</v>
      </c>
      <c r="F1012" s="4">
        <v>43.817999999999998</v>
      </c>
      <c r="G1012" s="4">
        <v>27517.704000000002</v>
      </c>
      <c r="H1012" s="5">
        <f t="shared" si="15"/>
        <v>2.540792540792549E-2</v>
      </c>
    </row>
    <row r="1013" spans="1:8" ht="13.5" x14ac:dyDescent="0.25">
      <c r="A1013" s="1"/>
      <c r="B1013" s="3">
        <v>43781</v>
      </c>
      <c r="C1013" s="4">
        <v>42.68</v>
      </c>
      <c r="D1013" s="4">
        <v>42.68</v>
      </c>
      <c r="E1013" s="4">
        <v>1995</v>
      </c>
      <c r="F1013" s="4">
        <v>42.68</v>
      </c>
      <c r="G1013" s="4">
        <v>85146.6</v>
      </c>
      <c r="H1013" s="5">
        <f t="shared" si="15"/>
        <v>-2.9779495339850016E-2</v>
      </c>
    </row>
    <row r="1014" spans="1:8" ht="13.5" x14ac:dyDescent="0.25">
      <c r="A1014" s="1"/>
      <c r="B1014" s="3">
        <v>43782</v>
      </c>
      <c r="C1014" s="4">
        <v>42.68</v>
      </c>
      <c r="D1014" s="4">
        <v>42.68</v>
      </c>
      <c r="E1014" s="4">
        <v>5</v>
      </c>
      <c r="F1014" s="4">
        <v>42.68</v>
      </c>
      <c r="G1014" s="4">
        <v>213.4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42.68</v>
      </c>
      <c r="D1015" s="4">
        <v>42.68</v>
      </c>
      <c r="E1015" s="4">
        <v>0</v>
      </c>
      <c r="F1015" s="4">
        <v>0</v>
      </c>
      <c r="G1015" s="4">
        <v>0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41.4</v>
      </c>
      <c r="D1016" s="4">
        <v>41.4</v>
      </c>
      <c r="E1016" s="4">
        <v>93</v>
      </c>
      <c r="F1016" s="4">
        <v>41.4</v>
      </c>
      <c r="G1016" s="4">
        <v>3850.2</v>
      </c>
      <c r="H1016" s="5">
        <f t="shared" si="15"/>
        <v>-2.9990627928772287E-2</v>
      </c>
    </row>
    <row r="1017" spans="1:8" ht="13.5" x14ac:dyDescent="0.25">
      <c r="A1017" s="1"/>
      <c r="B1017" s="3">
        <v>43787</v>
      </c>
      <c r="C1017" s="4">
        <v>39.54</v>
      </c>
      <c r="D1017" s="4">
        <v>39.54</v>
      </c>
      <c r="E1017" s="4">
        <v>50</v>
      </c>
      <c r="F1017" s="4">
        <v>39.799999999999997</v>
      </c>
      <c r="G1017" s="4">
        <v>1990</v>
      </c>
      <c r="H1017" s="5">
        <f t="shared" si="15"/>
        <v>-4.4927536231884044E-2</v>
      </c>
    </row>
    <row r="1018" spans="1:8" ht="13.5" x14ac:dyDescent="0.25">
      <c r="A1018" s="1"/>
      <c r="B1018" s="3">
        <v>43788</v>
      </c>
      <c r="C1018" s="4">
        <v>39</v>
      </c>
      <c r="D1018" s="4">
        <v>39</v>
      </c>
      <c r="E1018" s="4">
        <v>1001</v>
      </c>
      <c r="F1018" s="4">
        <v>39</v>
      </c>
      <c r="G1018" s="4">
        <v>39039</v>
      </c>
      <c r="H1018" s="5">
        <f t="shared" si="15"/>
        <v>-1.3657056145675243E-2</v>
      </c>
    </row>
    <row r="1019" spans="1:8" ht="13.5" x14ac:dyDescent="0.25">
      <c r="A1019" s="1"/>
      <c r="B1019" s="3">
        <v>43789</v>
      </c>
      <c r="C1019" s="4">
        <v>38.9</v>
      </c>
      <c r="D1019" s="4">
        <v>38.9</v>
      </c>
      <c r="E1019" s="4">
        <v>2173</v>
      </c>
      <c r="F1019" s="4">
        <v>38.987099999999998</v>
      </c>
      <c r="G1019" s="4">
        <v>84718.968299999993</v>
      </c>
      <c r="H1019" s="5">
        <f t="shared" si="15"/>
        <v>-2.5641025641026005E-3</v>
      </c>
    </row>
    <row r="1020" spans="1:8" ht="13.5" x14ac:dyDescent="0.25">
      <c r="A1020" s="1"/>
      <c r="B1020" s="3">
        <v>43790</v>
      </c>
      <c r="C1020" s="4">
        <v>40</v>
      </c>
      <c r="D1020" s="4">
        <v>40</v>
      </c>
      <c r="E1020" s="4">
        <v>790</v>
      </c>
      <c r="F1020" s="4">
        <v>39.810099999999998</v>
      </c>
      <c r="G1020" s="4">
        <v>31449.978999999999</v>
      </c>
      <c r="H1020" s="5">
        <f t="shared" si="15"/>
        <v>2.8277634961439625E-2</v>
      </c>
    </row>
    <row r="1021" spans="1:8" ht="13.5" x14ac:dyDescent="0.25">
      <c r="A1021" s="1"/>
      <c r="B1021" s="3">
        <v>43791</v>
      </c>
      <c r="C1021" s="4">
        <v>40</v>
      </c>
      <c r="D1021" s="4">
        <v>40</v>
      </c>
      <c r="E1021" s="4">
        <v>0</v>
      </c>
      <c r="F1021" s="4">
        <v>0</v>
      </c>
      <c r="G1021" s="4">
        <v>0</v>
      </c>
      <c r="H1021" s="5">
        <f t="shared" si="15"/>
        <v>0</v>
      </c>
    </row>
    <row r="1022" spans="1:8" ht="13.5" x14ac:dyDescent="0.25">
      <c r="A1022" s="1"/>
      <c r="B1022" s="3">
        <v>43794</v>
      </c>
      <c r="C1022" s="4">
        <v>40</v>
      </c>
      <c r="D1022" s="4">
        <v>40</v>
      </c>
      <c r="E1022" s="4">
        <v>0</v>
      </c>
      <c r="F1022" s="4">
        <v>0</v>
      </c>
      <c r="G1022" s="4">
        <v>0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40</v>
      </c>
      <c r="D1023" s="4">
        <v>40</v>
      </c>
      <c r="E1023" s="4">
        <v>0</v>
      </c>
      <c r="F1023" s="4">
        <v>0</v>
      </c>
      <c r="G1023" s="4">
        <v>0</v>
      </c>
      <c r="H1023" s="5">
        <f t="shared" si="15"/>
        <v>0</v>
      </c>
    </row>
    <row r="1024" spans="1:8" ht="13.5" x14ac:dyDescent="0.25">
      <c r="A1024" s="1"/>
      <c r="B1024" s="3">
        <v>43796</v>
      </c>
      <c r="C1024" s="4">
        <v>40</v>
      </c>
      <c r="D1024" s="4">
        <v>40</v>
      </c>
      <c r="E1024" s="4">
        <v>0</v>
      </c>
      <c r="F1024" s="4">
        <v>0</v>
      </c>
      <c r="G1024" s="4">
        <v>0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40</v>
      </c>
      <c r="D1025" s="4">
        <v>40</v>
      </c>
      <c r="E1025" s="4">
        <v>0</v>
      </c>
      <c r="F1025" s="4">
        <v>0</v>
      </c>
      <c r="G1025" s="4">
        <v>0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40</v>
      </c>
      <c r="D1026" s="4">
        <v>40</v>
      </c>
      <c r="E1026" s="4">
        <v>0</v>
      </c>
      <c r="F1026" s="4">
        <v>0</v>
      </c>
      <c r="G1026" s="4">
        <v>0</v>
      </c>
      <c r="H1026" s="5">
        <f t="shared" si="15"/>
        <v>0</v>
      </c>
    </row>
    <row r="1027" spans="1:8" ht="13.5" x14ac:dyDescent="0.25">
      <c r="A1027" s="1"/>
      <c r="B1027" s="3">
        <v>43801</v>
      </c>
      <c r="C1027" s="4">
        <v>40</v>
      </c>
      <c r="D1027" s="4">
        <v>40</v>
      </c>
      <c r="E1027" s="4">
        <v>0</v>
      </c>
      <c r="F1027" s="4">
        <v>0</v>
      </c>
      <c r="G1027" s="4">
        <v>0</v>
      </c>
      <c r="H1027" s="5">
        <f t="shared" si="15"/>
        <v>0</v>
      </c>
    </row>
    <row r="1028" spans="1:8" ht="13.5" x14ac:dyDescent="0.25">
      <c r="A1028" s="1"/>
      <c r="B1028" s="3">
        <v>43802</v>
      </c>
      <c r="C1028" s="4">
        <v>39.979999999999997</v>
      </c>
      <c r="D1028" s="4">
        <v>39.979999999999997</v>
      </c>
      <c r="E1028" s="4">
        <v>5</v>
      </c>
      <c r="F1028" s="4">
        <v>39.979999999999997</v>
      </c>
      <c r="G1028" s="4">
        <v>199.9</v>
      </c>
      <c r="H1028" s="5">
        <f t="shared" si="15"/>
        <v>-5.0000000000007818E-4</v>
      </c>
    </row>
    <row r="1029" spans="1:8" ht="13.5" x14ac:dyDescent="0.25">
      <c r="A1029" s="1"/>
      <c r="B1029" s="3">
        <v>43803</v>
      </c>
      <c r="C1029" s="4">
        <v>40</v>
      </c>
      <c r="D1029" s="4">
        <v>40</v>
      </c>
      <c r="E1029" s="4">
        <v>800</v>
      </c>
      <c r="F1029" s="4">
        <v>40</v>
      </c>
      <c r="G1029" s="4">
        <v>32000</v>
      </c>
      <c r="H1029" s="5">
        <f t="shared" si="15"/>
        <v>5.0025012506260951E-4</v>
      </c>
    </row>
    <row r="1030" spans="1:8" ht="13.5" x14ac:dyDescent="0.25">
      <c r="A1030" s="1"/>
      <c r="B1030" s="3">
        <v>43804</v>
      </c>
      <c r="C1030" s="4">
        <v>39.979999999999997</v>
      </c>
      <c r="D1030" s="4">
        <v>39.979999999999997</v>
      </c>
      <c r="E1030" s="4">
        <v>73</v>
      </c>
      <c r="F1030" s="4">
        <v>39.979999999999997</v>
      </c>
      <c r="G1030" s="4">
        <v>2918.54</v>
      </c>
      <c r="H1030" s="5">
        <f t="shared" si="15"/>
        <v>-5.0000000000007818E-4</v>
      </c>
    </row>
    <row r="1031" spans="1:8" ht="13.5" x14ac:dyDescent="0.25">
      <c r="A1031" s="1"/>
      <c r="B1031" s="3">
        <v>43805</v>
      </c>
      <c r="C1031" s="4">
        <v>39.979999999999997</v>
      </c>
      <c r="D1031" s="4">
        <v>39.979999999999997</v>
      </c>
      <c r="E1031" s="4">
        <v>101</v>
      </c>
      <c r="F1031" s="4">
        <v>39.979999999999997</v>
      </c>
      <c r="G1031" s="4">
        <v>4037.98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39.979999999999997</v>
      </c>
      <c r="D1032" s="4">
        <v>39.979999999999997</v>
      </c>
      <c r="E1032" s="4">
        <v>0</v>
      </c>
      <c r="F1032" s="4">
        <v>0</v>
      </c>
      <c r="G1032" s="4">
        <v>0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38.79</v>
      </c>
      <c r="D1033" s="4">
        <v>38.79</v>
      </c>
      <c r="E1033" s="4">
        <v>1</v>
      </c>
      <c r="F1033" s="4">
        <v>38.79</v>
      </c>
      <c r="G1033" s="4">
        <v>38.79</v>
      </c>
      <c r="H1033" s="5">
        <f t="shared" si="16"/>
        <v>-2.9764882441220556E-2</v>
      </c>
    </row>
    <row r="1034" spans="1:8" ht="13.5" x14ac:dyDescent="0.25">
      <c r="A1034" s="1"/>
      <c r="B1034" s="3">
        <v>43810</v>
      </c>
      <c r="C1034" s="4">
        <v>38.93</v>
      </c>
      <c r="D1034" s="4">
        <v>38.93</v>
      </c>
      <c r="E1034" s="4">
        <v>5623</v>
      </c>
      <c r="F1034" s="4">
        <v>38.926400000000001</v>
      </c>
      <c r="G1034" s="4">
        <v>218883.14720000001</v>
      </c>
      <c r="H1034" s="5">
        <f t="shared" si="16"/>
        <v>3.6091776230987517E-3</v>
      </c>
    </row>
    <row r="1035" spans="1:8" ht="13.5" x14ac:dyDescent="0.25">
      <c r="A1035" s="1"/>
      <c r="B1035" s="3">
        <v>43811</v>
      </c>
      <c r="C1035" s="4">
        <v>41.29</v>
      </c>
      <c r="D1035" s="4">
        <v>41.29</v>
      </c>
      <c r="E1035" s="4">
        <v>2021</v>
      </c>
      <c r="F1035" s="4">
        <v>40.398800000000001</v>
      </c>
      <c r="G1035" s="4">
        <v>81645.974799999996</v>
      </c>
      <c r="H1035" s="5">
        <f t="shared" si="16"/>
        <v>6.0621628564089376E-2</v>
      </c>
    </row>
    <row r="1036" spans="1:8" ht="13.5" x14ac:dyDescent="0.25">
      <c r="A1036" s="1"/>
      <c r="B1036" s="3">
        <v>43812</v>
      </c>
      <c r="C1036" s="4">
        <v>42.52</v>
      </c>
      <c r="D1036" s="4">
        <v>42.52</v>
      </c>
      <c r="E1036" s="4">
        <v>820</v>
      </c>
      <c r="F1036" s="4">
        <v>42.52</v>
      </c>
      <c r="G1036" s="4">
        <v>34866.400000000001</v>
      </c>
      <c r="H1036" s="5">
        <f t="shared" si="16"/>
        <v>2.9789295228869073E-2</v>
      </c>
    </row>
    <row r="1037" spans="1:8" ht="13.5" x14ac:dyDescent="0.25">
      <c r="A1037" s="1"/>
      <c r="B1037" s="3">
        <v>43815</v>
      </c>
      <c r="C1037" s="4">
        <v>45.1</v>
      </c>
      <c r="D1037" s="4">
        <v>45.1</v>
      </c>
      <c r="E1037" s="4">
        <v>210</v>
      </c>
      <c r="F1037" s="4">
        <v>44.476199999999999</v>
      </c>
      <c r="G1037" s="4">
        <v>9340.0020000000004</v>
      </c>
      <c r="H1037" s="5">
        <f t="shared" si="16"/>
        <v>6.06773283160865E-2</v>
      </c>
    </row>
    <row r="1038" spans="1:8" ht="13.5" x14ac:dyDescent="0.25">
      <c r="A1038" s="1"/>
      <c r="B1038" s="3">
        <v>43816</v>
      </c>
      <c r="C1038" s="4">
        <v>45.1</v>
      </c>
      <c r="D1038" s="4">
        <v>45.1</v>
      </c>
      <c r="E1038" s="4">
        <v>0</v>
      </c>
      <c r="F1038" s="4">
        <v>0</v>
      </c>
      <c r="G1038" s="4">
        <v>0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46.8</v>
      </c>
      <c r="D1039" s="4">
        <v>46.8</v>
      </c>
      <c r="E1039" s="4">
        <v>189</v>
      </c>
      <c r="F1039" s="4">
        <v>45.781999999999996</v>
      </c>
      <c r="G1039" s="4">
        <v>8652.7980000000007</v>
      </c>
      <c r="H1039" s="5">
        <f t="shared" si="16"/>
        <v>3.7694013303769307E-2</v>
      </c>
    </row>
    <row r="1040" spans="1:8" ht="13.5" x14ac:dyDescent="0.25">
      <c r="A1040" s="1"/>
      <c r="B1040" s="3">
        <v>43818</v>
      </c>
      <c r="C1040" s="4">
        <v>46.5</v>
      </c>
      <c r="D1040" s="4">
        <v>46.5</v>
      </c>
      <c r="E1040" s="4">
        <v>392</v>
      </c>
      <c r="F1040" s="4">
        <v>46.265300000000003</v>
      </c>
      <c r="G1040" s="4">
        <v>18135.997599999999</v>
      </c>
      <c r="H1040" s="5">
        <f t="shared" si="16"/>
        <v>-6.4102564102563502E-3</v>
      </c>
    </row>
    <row r="1041" spans="1:8" ht="13.5" x14ac:dyDescent="0.25">
      <c r="A1041" s="1"/>
      <c r="B1041" s="3">
        <v>43819</v>
      </c>
      <c r="C1041" s="4">
        <v>46.5</v>
      </c>
      <c r="D1041" s="4">
        <v>46.5</v>
      </c>
      <c r="E1041" s="4">
        <v>0</v>
      </c>
      <c r="F1041" s="4">
        <v>0</v>
      </c>
      <c r="G1041" s="4">
        <v>0</v>
      </c>
      <c r="H1041" s="5">
        <f t="shared" si="16"/>
        <v>0</v>
      </c>
    </row>
    <row r="1042" spans="1:8" ht="13.5" x14ac:dyDescent="0.25">
      <c r="A1042" s="1"/>
      <c r="B1042" s="3">
        <v>43822</v>
      </c>
      <c r="C1042" s="4">
        <v>46.5</v>
      </c>
      <c r="D1042" s="4">
        <v>46.5</v>
      </c>
      <c r="E1042" s="4">
        <v>0</v>
      </c>
      <c r="F1042" s="4">
        <v>0</v>
      </c>
      <c r="G1042" s="4">
        <v>0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46.5</v>
      </c>
      <c r="D1043" s="4">
        <v>46.5</v>
      </c>
      <c r="E1043" s="4">
        <v>0</v>
      </c>
      <c r="F1043" s="4">
        <v>0</v>
      </c>
      <c r="G1043" s="4">
        <v>0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46.5</v>
      </c>
      <c r="D1044" s="4">
        <v>46.5</v>
      </c>
      <c r="E1044" s="4">
        <v>0</v>
      </c>
      <c r="F1044" s="4">
        <v>0</v>
      </c>
      <c r="G1044" s="4">
        <v>0</v>
      </c>
      <c r="H1044" s="5">
        <f t="shared" si="16"/>
        <v>0</v>
      </c>
    </row>
    <row r="1045" spans="1:8" ht="13.5" x14ac:dyDescent="0.25">
      <c r="A1045" s="1"/>
      <c r="B1045" s="3">
        <v>43825</v>
      </c>
      <c r="C1045" s="4">
        <v>46.5</v>
      </c>
      <c r="D1045" s="4">
        <v>46.5</v>
      </c>
      <c r="E1045" s="4">
        <v>0</v>
      </c>
      <c r="F1045" s="4">
        <v>0</v>
      </c>
      <c r="G1045" s="4">
        <v>0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47.89</v>
      </c>
      <c r="D1046" s="4">
        <v>47.89</v>
      </c>
      <c r="E1046" s="4">
        <v>2792</v>
      </c>
      <c r="F1046" s="4">
        <v>47.89</v>
      </c>
      <c r="G1046" s="4">
        <v>133708.88</v>
      </c>
      <c r="H1046" s="5">
        <f t="shared" si="16"/>
        <v>2.9892473118279583E-2</v>
      </c>
    </row>
    <row r="1047" spans="1:8" ht="13.5" x14ac:dyDescent="0.25">
      <c r="A1047" s="1"/>
      <c r="B1047" s="3">
        <v>43829</v>
      </c>
      <c r="C1047" s="4">
        <v>50.04</v>
      </c>
      <c r="D1047" s="4">
        <v>50.04</v>
      </c>
      <c r="E1047" s="4">
        <v>29</v>
      </c>
      <c r="F1047" s="4">
        <v>50.04</v>
      </c>
      <c r="G1047" s="4">
        <v>1451.16</v>
      </c>
      <c r="H1047" s="5">
        <f t="shared" si="16"/>
        <v>4.4894550010440563E-2</v>
      </c>
    </row>
    <row r="1048" spans="1:8" ht="13.5" x14ac:dyDescent="0.25">
      <c r="A1048" s="1"/>
      <c r="B1048" s="3">
        <v>43830</v>
      </c>
      <c r="C1048" s="4">
        <v>49.99</v>
      </c>
      <c r="D1048" s="4">
        <v>49.99</v>
      </c>
      <c r="E1048" s="4">
        <v>20</v>
      </c>
      <c r="F1048" s="4">
        <v>49.192500000000003</v>
      </c>
      <c r="G1048" s="4">
        <v>983.85</v>
      </c>
      <c r="H1048" s="5">
        <f t="shared" si="16"/>
        <v>-9.9920063948835246E-4</v>
      </c>
    </row>
    <row r="1049" spans="1:8" ht="13.5" x14ac:dyDescent="0.25">
      <c r="A1049" s="1"/>
      <c r="B1049" s="3">
        <v>43832</v>
      </c>
      <c r="C1049" s="4">
        <v>49.99</v>
      </c>
      <c r="D1049" s="4">
        <v>49.99</v>
      </c>
      <c r="E1049" s="4">
        <v>0</v>
      </c>
      <c r="F1049" s="4">
        <v>0</v>
      </c>
      <c r="G1049" s="4">
        <v>0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49.99</v>
      </c>
      <c r="D1050" s="4">
        <v>49.99</v>
      </c>
      <c r="E1050" s="4">
        <v>0</v>
      </c>
      <c r="F1050" s="4">
        <v>0</v>
      </c>
      <c r="G1050" s="4">
        <v>0</v>
      </c>
      <c r="H1050" s="5">
        <f t="shared" si="16"/>
        <v>0</v>
      </c>
    </row>
    <row r="1051" spans="1:8" ht="13.5" x14ac:dyDescent="0.25">
      <c r="A1051" s="1"/>
      <c r="B1051" s="3">
        <v>43836</v>
      </c>
      <c r="C1051" s="4">
        <v>49.99</v>
      </c>
      <c r="D1051" s="4">
        <v>49.99</v>
      </c>
      <c r="E1051" s="4">
        <v>0</v>
      </c>
      <c r="F1051" s="4">
        <v>0</v>
      </c>
      <c r="G1051" s="4">
        <v>0</v>
      </c>
      <c r="H1051" s="5">
        <f t="shared" si="16"/>
        <v>0</v>
      </c>
    </row>
    <row r="1052" spans="1:8" ht="13.5" x14ac:dyDescent="0.25">
      <c r="A1052" s="1"/>
      <c r="B1052" s="3">
        <v>43837</v>
      </c>
      <c r="C1052" s="4">
        <v>49.99</v>
      </c>
      <c r="D1052" s="4">
        <v>49.99</v>
      </c>
      <c r="E1052" s="4">
        <v>0</v>
      </c>
      <c r="F1052" s="4">
        <v>0</v>
      </c>
      <c r="G1052" s="4">
        <v>0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49.99</v>
      </c>
      <c r="D1053" s="4">
        <v>49.99</v>
      </c>
      <c r="E1053" s="4">
        <v>0</v>
      </c>
      <c r="F1053" s="4">
        <v>0</v>
      </c>
      <c r="G1053" s="4">
        <v>0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49.99</v>
      </c>
      <c r="D1054" s="4">
        <v>49.99</v>
      </c>
      <c r="E1054" s="4">
        <v>0</v>
      </c>
      <c r="F1054" s="4">
        <v>0</v>
      </c>
      <c r="G1054" s="4">
        <v>0</v>
      </c>
      <c r="H1054" s="5">
        <f t="shared" si="16"/>
        <v>0</v>
      </c>
    </row>
    <row r="1055" spans="1:8" ht="13.5" x14ac:dyDescent="0.25">
      <c r="A1055" s="1"/>
      <c r="B1055" s="3">
        <v>43840</v>
      </c>
      <c r="C1055" s="4">
        <v>49.99</v>
      </c>
      <c r="D1055" s="4">
        <v>49.99</v>
      </c>
      <c r="E1055" s="4">
        <v>0</v>
      </c>
      <c r="F1055" s="4">
        <v>0</v>
      </c>
      <c r="G1055" s="4">
        <v>0</v>
      </c>
      <c r="H1055" s="5">
        <f t="shared" si="16"/>
        <v>0</v>
      </c>
    </row>
    <row r="1056" spans="1:8" ht="13.5" x14ac:dyDescent="0.25">
      <c r="A1056" s="1"/>
      <c r="B1056" s="3">
        <v>43843</v>
      </c>
      <c r="C1056" s="4">
        <v>49.99</v>
      </c>
      <c r="D1056" s="4">
        <v>49.99</v>
      </c>
      <c r="E1056" s="4">
        <v>0</v>
      </c>
      <c r="F1056" s="4">
        <v>0</v>
      </c>
      <c r="G1056" s="4">
        <v>0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49.99</v>
      </c>
      <c r="D1057" s="4">
        <v>49.99</v>
      </c>
      <c r="E1057" s="4">
        <v>0</v>
      </c>
      <c r="F1057" s="4">
        <v>0</v>
      </c>
      <c r="G1057" s="4">
        <v>0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49.99</v>
      </c>
      <c r="D1058" s="4">
        <v>49.99</v>
      </c>
      <c r="E1058" s="4">
        <v>0</v>
      </c>
      <c r="F1058" s="4">
        <v>0</v>
      </c>
      <c r="G1058" s="4">
        <v>0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49.99</v>
      </c>
      <c r="D1059" s="4">
        <v>49.99</v>
      </c>
      <c r="E1059" s="4">
        <v>0</v>
      </c>
      <c r="F1059" s="4">
        <v>0</v>
      </c>
      <c r="G1059" s="4">
        <v>0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49.99</v>
      </c>
      <c r="D1060" s="4">
        <v>49.99</v>
      </c>
      <c r="E1060" s="4">
        <v>0</v>
      </c>
      <c r="F1060" s="4">
        <v>0</v>
      </c>
      <c r="G1060" s="4">
        <v>0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48.5</v>
      </c>
      <c r="D1061" s="4">
        <v>48.5</v>
      </c>
      <c r="E1061" s="4">
        <v>1</v>
      </c>
      <c r="F1061" s="4">
        <v>48.5</v>
      </c>
      <c r="G1061" s="4">
        <v>48.5</v>
      </c>
      <c r="H1061" s="5">
        <f t="shared" si="16"/>
        <v>-2.9805961192238488E-2</v>
      </c>
    </row>
    <row r="1062" spans="1:8" ht="13.5" x14ac:dyDescent="0.25">
      <c r="A1062" s="1"/>
      <c r="B1062" s="3">
        <v>43852</v>
      </c>
      <c r="C1062" s="4">
        <v>48.5</v>
      </c>
      <c r="D1062" s="4">
        <v>48.5</v>
      </c>
      <c r="E1062" s="4">
        <v>0</v>
      </c>
      <c r="F1062" s="4">
        <v>0</v>
      </c>
      <c r="G1062" s="4">
        <v>0</v>
      </c>
      <c r="H1062" s="5">
        <f t="shared" si="16"/>
        <v>0</v>
      </c>
    </row>
    <row r="1063" spans="1:8" ht="13.5" x14ac:dyDescent="0.25">
      <c r="A1063" s="1"/>
      <c r="B1063" s="3">
        <v>43853</v>
      </c>
      <c r="C1063" s="4">
        <v>48.5</v>
      </c>
      <c r="D1063" s="4">
        <v>48.5</v>
      </c>
      <c r="E1063" s="4">
        <v>0</v>
      </c>
      <c r="F1063" s="4">
        <v>0</v>
      </c>
      <c r="G1063" s="4">
        <v>0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48.5</v>
      </c>
      <c r="D1064" s="4">
        <v>48.5</v>
      </c>
      <c r="E1064" s="4">
        <v>0</v>
      </c>
      <c r="F1064" s="4">
        <v>0</v>
      </c>
      <c r="G1064" s="4">
        <v>0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48.5</v>
      </c>
      <c r="D1065" s="4">
        <v>48.5</v>
      </c>
      <c r="E1065" s="4">
        <v>0</v>
      </c>
      <c r="F1065" s="4">
        <v>0</v>
      </c>
      <c r="G1065" s="4">
        <v>0</v>
      </c>
      <c r="H1065" s="5">
        <f t="shared" si="16"/>
        <v>0</v>
      </c>
    </row>
    <row r="1066" spans="1:8" ht="13.5" x14ac:dyDescent="0.25">
      <c r="A1066" s="1"/>
      <c r="B1066" s="3">
        <v>43858</v>
      </c>
      <c r="C1066" s="4">
        <v>46.32</v>
      </c>
      <c r="D1066" s="4">
        <v>46.32</v>
      </c>
      <c r="E1066" s="4">
        <v>0</v>
      </c>
      <c r="F1066" s="4">
        <v>0</v>
      </c>
      <c r="G1066" s="4">
        <v>0</v>
      </c>
      <c r="H1066" s="5">
        <f t="shared" si="16"/>
        <v>-4.4948453608247417E-2</v>
      </c>
    </row>
    <row r="1067" spans="1:8" ht="13.5" x14ac:dyDescent="0.25">
      <c r="A1067" s="1"/>
      <c r="B1067" s="3">
        <v>43859</v>
      </c>
      <c r="C1067" s="4">
        <v>46.32</v>
      </c>
      <c r="D1067" s="4">
        <v>46.32</v>
      </c>
      <c r="E1067" s="4">
        <v>0</v>
      </c>
      <c r="F1067" s="4">
        <v>0</v>
      </c>
      <c r="G1067" s="4">
        <v>0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46.32</v>
      </c>
      <c r="D1068" s="4">
        <v>46.32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44.94</v>
      </c>
      <c r="D1069" s="4">
        <v>44.94</v>
      </c>
      <c r="E1069" s="4">
        <v>1</v>
      </c>
      <c r="F1069" s="4">
        <v>44.94</v>
      </c>
      <c r="G1069" s="4">
        <v>44.94</v>
      </c>
      <c r="H1069" s="5">
        <f t="shared" si="16"/>
        <v>-2.9792746113989691E-2</v>
      </c>
    </row>
    <row r="1070" spans="1:8" ht="13.5" x14ac:dyDescent="0.25">
      <c r="A1070" s="1"/>
      <c r="B1070" s="3">
        <v>43864</v>
      </c>
      <c r="C1070" s="4">
        <v>44.94</v>
      </c>
      <c r="D1070" s="4">
        <v>44.94</v>
      </c>
      <c r="E1070" s="4">
        <v>1</v>
      </c>
      <c r="F1070" s="4">
        <v>44.94</v>
      </c>
      <c r="G1070" s="4">
        <v>44.94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42.92</v>
      </c>
      <c r="D1071" s="4">
        <v>42.92</v>
      </c>
      <c r="E1071" s="4">
        <v>0</v>
      </c>
      <c r="F1071" s="4">
        <v>0</v>
      </c>
      <c r="G1071" s="4">
        <v>0</v>
      </c>
      <c r="H1071" s="5">
        <f t="shared" si="16"/>
        <v>-4.4948820649755146E-2</v>
      </c>
    </row>
    <row r="1072" spans="1:8" ht="13.5" x14ac:dyDescent="0.25">
      <c r="A1072" s="1"/>
      <c r="B1072" s="3">
        <v>43866</v>
      </c>
      <c r="C1072" s="4">
        <v>42.92</v>
      </c>
      <c r="D1072" s="4">
        <v>42.92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42.4</v>
      </c>
      <c r="D1073" s="4">
        <v>42.4</v>
      </c>
      <c r="E1073" s="4">
        <v>14</v>
      </c>
      <c r="F1073" s="4">
        <v>42.4</v>
      </c>
      <c r="G1073" s="4">
        <v>593.6</v>
      </c>
      <c r="H1073" s="5">
        <f t="shared" si="16"/>
        <v>-1.2115563839701844E-2</v>
      </c>
    </row>
    <row r="1074" spans="1:8" ht="13.5" x14ac:dyDescent="0.25">
      <c r="A1074" s="1"/>
      <c r="B1074" s="3">
        <v>43868</v>
      </c>
      <c r="C1074" s="4">
        <v>41.13</v>
      </c>
      <c r="D1074" s="4">
        <v>41.13</v>
      </c>
      <c r="E1074" s="4">
        <v>1</v>
      </c>
      <c r="F1074" s="4">
        <v>41.13</v>
      </c>
      <c r="G1074" s="4">
        <v>41.13</v>
      </c>
      <c r="H1074" s="5">
        <f t="shared" si="16"/>
        <v>-2.9952830188679152E-2</v>
      </c>
    </row>
    <row r="1075" spans="1:8" ht="13.5" x14ac:dyDescent="0.25">
      <c r="A1075" s="1"/>
      <c r="B1075" s="3">
        <v>43871</v>
      </c>
      <c r="C1075" s="4">
        <v>41.13</v>
      </c>
      <c r="D1075" s="4">
        <v>41.13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41</v>
      </c>
      <c r="D1076" s="4">
        <v>41</v>
      </c>
      <c r="E1076" s="4">
        <v>1</v>
      </c>
      <c r="F1076" s="4">
        <v>41</v>
      </c>
      <c r="G1076" s="4">
        <v>41</v>
      </c>
      <c r="H1076" s="5">
        <f t="shared" si="16"/>
        <v>-3.1607099440798089E-3</v>
      </c>
    </row>
    <row r="1077" spans="1:8" ht="13.5" x14ac:dyDescent="0.25">
      <c r="A1077" s="1"/>
      <c r="B1077" s="3">
        <v>43873</v>
      </c>
      <c r="C1077" s="4">
        <v>41</v>
      </c>
      <c r="D1077" s="4">
        <v>41</v>
      </c>
      <c r="E1077" s="4">
        <v>0</v>
      </c>
      <c r="F1077" s="4">
        <v>0</v>
      </c>
      <c r="G1077" s="4">
        <v>0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41</v>
      </c>
      <c r="D1078" s="4">
        <v>41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41</v>
      </c>
      <c r="D1079" s="4">
        <v>41</v>
      </c>
      <c r="E1079" s="4">
        <v>0</v>
      </c>
      <c r="F1079" s="4">
        <v>0</v>
      </c>
      <c r="G1079" s="4">
        <v>0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41</v>
      </c>
      <c r="D1080" s="4">
        <v>41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41</v>
      </c>
      <c r="D1081" s="4">
        <v>41</v>
      </c>
      <c r="E1081" s="4">
        <v>0</v>
      </c>
      <c r="F1081" s="4">
        <v>0</v>
      </c>
      <c r="G1081" s="4">
        <v>0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41</v>
      </c>
      <c r="D1082" s="4">
        <v>41</v>
      </c>
      <c r="E1082" s="4">
        <v>0</v>
      </c>
      <c r="F1082" s="4">
        <v>0</v>
      </c>
      <c r="G1082" s="4">
        <v>0</v>
      </c>
      <c r="H1082" s="5">
        <f t="shared" si="16"/>
        <v>0</v>
      </c>
    </row>
    <row r="1083" spans="1:8" ht="13.5" x14ac:dyDescent="0.25">
      <c r="A1083" s="1"/>
      <c r="B1083" s="3">
        <v>43881</v>
      </c>
      <c r="C1083" s="4">
        <v>41</v>
      </c>
      <c r="D1083" s="4">
        <v>41</v>
      </c>
      <c r="E1083" s="4">
        <v>0</v>
      </c>
      <c r="F1083" s="4">
        <v>0</v>
      </c>
      <c r="G1083" s="4">
        <v>0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41</v>
      </c>
      <c r="D1084" s="4">
        <v>41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41</v>
      </c>
      <c r="D1085" s="4">
        <v>41</v>
      </c>
      <c r="E1085" s="4">
        <v>0</v>
      </c>
      <c r="F1085" s="4">
        <v>0</v>
      </c>
      <c r="G1085" s="4">
        <v>0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41</v>
      </c>
      <c r="D1086" s="4">
        <v>41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41</v>
      </c>
      <c r="D1087" s="4">
        <v>41</v>
      </c>
      <c r="E1087" s="4">
        <v>0</v>
      </c>
      <c r="F1087" s="4">
        <v>0</v>
      </c>
      <c r="G1087" s="4">
        <v>0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41</v>
      </c>
      <c r="D1088" s="4">
        <v>41</v>
      </c>
      <c r="E1088" s="4">
        <v>0</v>
      </c>
      <c r="F1088" s="4">
        <v>0</v>
      </c>
      <c r="G1088" s="4">
        <v>0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41</v>
      </c>
      <c r="D1089" s="4">
        <v>41</v>
      </c>
      <c r="E1089" s="4">
        <v>0</v>
      </c>
      <c r="F1089" s="4">
        <v>0</v>
      </c>
      <c r="G1089" s="4">
        <v>0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41</v>
      </c>
      <c r="D1090" s="4">
        <v>41</v>
      </c>
      <c r="E1090" s="4">
        <v>0</v>
      </c>
      <c r="F1090" s="4">
        <v>0</v>
      </c>
      <c r="G1090" s="4">
        <v>0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41</v>
      </c>
      <c r="D1091" s="4">
        <v>41</v>
      </c>
      <c r="E1091" s="4">
        <v>0</v>
      </c>
      <c r="F1091" s="4">
        <v>0</v>
      </c>
      <c r="G1091" s="4">
        <v>0</v>
      </c>
      <c r="H1091" s="5">
        <f t="shared" si="16"/>
        <v>0</v>
      </c>
    </row>
    <row r="1092" spans="1:8" ht="13.5" x14ac:dyDescent="0.25">
      <c r="A1092" s="1"/>
      <c r="B1092" s="3">
        <v>43894</v>
      </c>
      <c r="C1092" s="4">
        <v>41</v>
      </c>
      <c r="D1092" s="4">
        <v>41</v>
      </c>
      <c r="E1092" s="4">
        <v>0</v>
      </c>
      <c r="F1092" s="4">
        <v>0</v>
      </c>
      <c r="G1092" s="4">
        <v>0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41</v>
      </c>
      <c r="D1093" s="4">
        <v>41</v>
      </c>
      <c r="E1093" s="4">
        <v>0</v>
      </c>
      <c r="F1093" s="4">
        <v>0</v>
      </c>
      <c r="G1093" s="4">
        <v>0</v>
      </c>
      <c r="H1093" s="5">
        <f t="shared" si="16"/>
        <v>0</v>
      </c>
    </row>
    <row r="1094" spans="1:8" ht="13.5" x14ac:dyDescent="0.25">
      <c r="A1094" s="1"/>
      <c r="B1094" s="3">
        <v>43896</v>
      </c>
      <c r="C1094" s="4">
        <v>41</v>
      </c>
      <c r="D1094" s="4">
        <v>41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41</v>
      </c>
      <c r="D1095" s="4">
        <v>41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43900</v>
      </c>
      <c r="C1096" s="4">
        <v>39.159999999999997</v>
      </c>
      <c r="D1096" s="4">
        <v>39.159999999999997</v>
      </c>
      <c r="E1096" s="4">
        <v>0</v>
      </c>
      <c r="F1096" s="4">
        <v>0</v>
      </c>
      <c r="G1096" s="4">
        <v>0</v>
      </c>
      <c r="H1096" s="5">
        <f t="shared" si="17"/>
        <v>-4.4878048780487886E-2</v>
      </c>
    </row>
    <row r="1097" spans="1:8" ht="13.5" x14ac:dyDescent="0.25">
      <c r="A1097" s="1"/>
      <c r="B1097" s="3">
        <v>43901</v>
      </c>
      <c r="C1097" s="4">
        <v>39.159999999999997</v>
      </c>
      <c r="D1097" s="4">
        <v>39.159999999999997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39.159999999999997</v>
      </c>
      <c r="D1098" s="4">
        <v>39.159999999999997</v>
      </c>
      <c r="E1098" s="4">
        <v>0</v>
      </c>
      <c r="F1098" s="4">
        <v>0</v>
      </c>
      <c r="G1098" s="4">
        <v>0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39.159999999999997</v>
      </c>
      <c r="D1099" s="4">
        <v>39.159999999999997</v>
      </c>
      <c r="E1099" s="4">
        <v>0</v>
      </c>
      <c r="F1099" s="4">
        <v>0</v>
      </c>
      <c r="G1099" s="4">
        <v>0</v>
      </c>
      <c r="H1099" s="5">
        <f t="shared" si="17"/>
        <v>0</v>
      </c>
    </row>
    <row r="1100" spans="1:8" ht="13.5" x14ac:dyDescent="0.25">
      <c r="A1100" s="1"/>
      <c r="B1100" s="3">
        <v>43906</v>
      </c>
      <c r="C1100" s="4">
        <v>37.4</v>
      </c>
      <c r="D1100" s="4">
        <v>37.4</v>
      </c>
      <c r="E1100" s="4">
        <v>0</v>
      </c>
      <c r="F1100" s="4">
        <v>0</v>
      </c>
      <c r="G1100" s="4">
        <v>0</v>
      </c>
      <c r="H1100" s="5">
        <f t="shared" si="17"/>
        <v>-4.4943820224719051E-2</v>
      </c>
    </row>
    <row r="1101" spans="1:8" ht="13.5" x14ac:dyDescent="0.25">
      <c r="A1101" s="1"/>
      <c r="B1101" s="3">
        <v>43907</v>
      </c>
      <c r="C1101" s="4">
        <v>35.72</v>
      </c>
      <c r="D1101" s="4">
        <v>35.72</v>
      </c>
      <c r="E1101" s="4">
        <v>0</v>
      </c>
      <c r="F1101" s="4">
        <v>0</v>
      </c>
      <c r="G1101" s="4">
        <v>0</v>
      </c>
      <c r="H1101" s="5">
        <f t="shared" si="17"/>
        <v>-4.4919786096256679E-2</v>
      </c>
    </row>
    <row r="1102" spans="1:8" ht="13.5" x14ac:dyDescent="0.25">
      <c r="A1102" s="1"/>
      <c r="B1102" s="3">
        <v>43908</v>
      </c>
      <c r="C1102" s="4">
        <v>34.65</v>
      </c>
      <c r="D1102" s="4">
        <v>34.65</v>
      </c>
      <c r="E1102" s="4">
        <v>0</v>
      </c>
      <c r="F1102" s="4">
        <v>0</v>
      </c>
      <c r="G1102" s="4">
        <v>0</v>
      </c>
      <c r="H1102" s="5">
        <f t="shared" si="17"/>
        <v>-2.9955207166853313E-2</v>
      </c>
    </row>
    <row r="1103" spans="1:8" ht="13.5" x14ac:dyDescent="0.25">
      <c r="A1103" s="1"/>
      <c r="B1103" s="3">
        <v>43909</v>
      </c>
      <c r="C1103" s="4">
        <v>34.65</v>
      </c>
      <c r="D1103" s="4">
        <v>34.65</v>
      </c>
      <c r="E1103" s="4">
        <v>0</v>
      </c>
      <c r="F1103" s="4">
        <v>0</v>
      </c>
      <c r="G1103" s="4">
        <v>0</v>
      </c>
      <c r="H1103" s="5">
        <f t="shared" si="17"/>
        <v>0</v>
      </c>
    </row>
    <row r="1104" spans="1:8" ht="13.5" x14ac:dyDescent="0.25">
      <c r="A1104" s="1"/>
      <c r="B1104" s="3">
        <v>43913</v>
      </c>
      <c r="C1104" s="4">
        <v>34.65</v>
      </c>
      <c r="D1104" s="4">
        <v>34.65</v>
      </c>
      <c r="E1104" s="4">
        <v>0</v>
      </c>
      <c r="F1104" s="4">
        <v>0</v>
      </c>
      <c r="G1104" s="4">
        <v>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34.65</v>
      </c>
      <c r="D1105" s="4">
        <v>34.65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34.65</v>
      </c>
      <c r="D1106" s="4">
        <v>34.65</v>
      </c>
      <c r="E1106" s="4">
        <v>0</v>
      </c>
      <c r="F1106" s="4">
        <v>0</v>
      </c>
      <c r="G1106" s="4">
        <v>0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34.65</v>
      </c>
      <c r="D1107" s="4">
        <v>34.65</v>
      </c>
      <c r="E1107" s="4">
        <v>0</v>
      </c>
      <c r="F1107" s="4">
        <v>0</v>
      </c>
      <c r="G1107" s="4">
        <v>0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34.65</v>
      </c>
      <c r="D1108" s="4">
        <v>34.65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34.65</v>
      </c>
      <c r="D1109" s="4">
        <v>34.65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34.65</v>
      </c>
      <c r="D1110" s="4">
        <v>34.65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34.65</v>
      </c>
      <c r="D1111" s="4">
        <v>34.65</v>
      </c>
      <c r="E1111" s="4">
        <v>0</v>
      </c>
      <c r="F1111" s="4">
        <v>0</v>
      </c>
      <c r="G1111" s="4">
        <v>0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34.65</v>
      </c>
      <c r="D1112" s="4">
        <v>34.65</v>
      </c>
      <c r="E1112" s="4">
        <v>0</v>
      </c>
      <c r="F1112" s="4">
        <v>0</v>
      </c>
      <c r="G1112" s="4">
        <v>0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34.65</v>
      </c>
      <c r="D1113" s="4">
        <v>34.65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34.65</v>
      </c>
      <c r="D1114" s="4">
        <v>34.65</v>
      </c>
      <c r="E1114" s="4">
        <v>0</v>
      </c>
      <c r="F1114" s="4">
        <v>0</v>
      </c>
      <c r="G1114" s="4">
        <v>0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34.65</v>
      </c>
      <c r="D1115" s="4">
        <v>34.65</v>
      </c>
      <c r="E1115" s="4">
        <v>0</v>
      </c>
      <c r="F1115" s="4">
        <v>0</v>
      </c>
      <c r="G1115" s="4">
        <v>0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34.65</v>
      </c>
      <c r="D1116" s="4">
        <v>34.65</v>
      </c>
      <c r="E1116" s="4">
        <v>0</v>
      </c>
      <c r="F1116" s="4">
        <v>0</v>
      </c>
      <c r="G1116" s="4">
        <v>0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34.65</v>
      </c>
      <c r="D1117" s="4">
        <v>34.65</v>
      </c>
      <c r="E1117" s="4">
        <v>0</v>
      </c>
      <c r="F1117" s="4">
        <v>0</v>
      </c>
      <c r="G1117" s="4">
        <v>0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34.65</v>
      </c>
      <c r="D1118" s="4">
        <v>34.65</v>
      </c>
      <c r="E1118" s="4">
        <v>0</v>
      </c>
      <c r="F1118" s="4">
        <v>0</v>
      </c>
      <c r="G1118" s="4">
        <v>0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34.65</v>
      </c>
      <c r="D1119" s="4">
        <v>34.65</v>
      </c>
      <c r="E1119" s="4">
        <v>0</v>
      </c>
      <c r="F1119" s="4">
        <v>0</v>
      </c>
      <c r="G1119" s="4">
        <v>0</v>
      </c>
      <c r="H1119" s="5">
        <f t="shared" si="17"/>
        <v>0</v>
      </c>
    </row>
    <row r="1120" spans="1:8" ht="13.5" x14ac:dyDescent="0.25">
      <c r="A1120" s="1"/>
      <c r="B1120" s="3">
        <v>43937</v>
      </c>
      <c r="C1120" s="4">
        <v>34.65</v>
      </c>
      <c r="D1120" s="4">
        <v>34.65</v>
      </c>
      <c r="E1120" s="4">
        <v>0</v>
      </c>
      <c r="F1120" s="4">
        <v>0</v>
      </c>
      <c r="G1120" s="4">
        <v>0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34.65</v>
      </c>
      <c r="D1121" s="4">
        <v>34.65</v>
      </c>
      <c r="E1121" s="4">
        <v>0</v>
      </c>
      <c r="F1121" s="4">
        <v>0</v>
      </c>
      <c r="G1121" s="4">
        <v>0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34.65</v>
      </c>
      <c r="D1122" s="4">
        <v>34.65</v>
      </c>
      <c r="E1122" s="4">
        <v>0</v>
      </c>
      <c r="F1122" s="4">
        <v>0</v>
      </c>
      <c r="G1122" s="4">
        <v>0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34.65</v>
      </c>
      <c r="D1123" s="4">
        <v>34.65</v>
      </c>
      <c r="E1123" s="4">
        <v>0</v>
      </c>
      <c r="F1123" s="4">
        <v>0</v>
      </c>
      <c r="G1123" s="4">
        <v>0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34.65</v>
      </c>
      <c r="D1124" s="4">
        <v>34.65</v>
      </c>
      <c r="E1124" s="4">
        <v>0</v>
      </c>
      <c r="F1124" s="4">
        <v>0</v>
      </c>
      <c r="G1124" s="4">
        <v>0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34.65</v>
      </c>
      <c r="D1125" s="4">
        <v>34.65</v>
      </c>
      <c r="E1125" s="4">
        <v>0</v>
      </c>
      <c r="F1125" s="4">
        <v>0</v>
      </c>
      <c r="G1125" s="4">
        <v>0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34.65</v>
      </c>
      <c r="D1126" s="4">
        <v>34.65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34.65</v>
      </c>
      <c r="D1127" s="4">
        <v>34.65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34.65</v>
      </c>
      <c r="D1128" s="4">
        <v>34.65</v>
      </c>
      <c r="E1128" s="4">
        <v>0</v>
      </c>
      <c r="F1128" s="4">
        <v>0</v>
      </c>
      <c r="G1128" s="4">
        <v>0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34.65</v>
      </c>
      <c r="D1129" s="4">
        <v>34.65</v>
      </c>
      <c r="E1129" s="4">
        <v>0</v>
      </c>
      <c r="F1129" s="4">
        <v>0</v>
      </c>
      <c r="G1129" s="4">
        <v>0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34.65</v>
      </c>
      <c r="D1130" s="4">
        <v>34.65</v>
      </c>
      <c r="E1130" s="4">
        <v>0</v>
      </c>
      <c r="F1130" s="4">
        <v>0</v>
      </c>
      <c r="G1130" s="4">
        <v>0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34.65</v>
      </c>
      <c r="D1131" s="4">
        <v>34.65</v>
      </c>
      <c r="E1131" s="4">
        <v>0</v>
      </c>
      <c r="F1131" s="4">
        <v>0</v>
      </c>
      <c r="G1131" s="4">
        <v>0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34.65</v>
      </c>
      <c r="D1132" s="4">
        <v>34.65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34.65</v>
      </c>
      <c r="D1133" s="4">
        <v>34.65</v>
      </c>
      <c r="E1133" s="4">
        <v>0</v>
      </c>
      <c r="F1133" s="4">
        <v>0</v>
      </c>
      <c r="G1133" s="4">
        <v>0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34.65</v>
      </c>
      <c r="D1134" s="4">
        <v>34.65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33.619999999999997</v>
      </c>
      <c r="D1135" s="4">
        <v>33.619999999999997</v>
      </c>
      <c r="E1135" s="4">
        <v>0</v>
      </c>
      <c r="F1135" s="4">
        <v>0</v>
      </c>
      <c r="G1135" s="4">
        <v>0</v>
      </c>
      <c r="H1135" s="5">
        <f t="shared" si="17"/>
        <v>-2.972582972582976E-2</v>
      </c>
    </row>
    <row r="1136" spans="1:8" ht="13.5" x14ac:dyDescent="0.25">
      <c r="A1136" s="1"/>
      <c r="B1136" s="3">
        <v>43962</v>
      </c>
      <c r="C1136" s="4">
        <v>32.619999999999997</v>
      </c>
      <c r="D1136" s="4">
        <v>32.619999999999997</v>
      </c>
      <c r="E1136" s="4">
        <v>0</v>
      </c>
      <c r="F1136" s="4">
        <v>0</v>
      </c>
      <c r="G1136" s="4">
        <v>0</v>
      </c>
      <c r="H1136" s="5">
        <f t="shared" si="17"/>
        <v>-2.9744199881023201E-2</v>
      </c>
    </row>
    <row r="1137" spans="1:8" ht="13.5" x14ac:dyDescent="0.25">
      <c r="A1137" s="1"/>
      <c r="B1137" s="3">
        <v>43963</v>
      </c>
      <c r="C1137" s="4">
        <v>31.65</v>
      </c>
      <c r="D1137" s="4">
        <v>31.65</v>
      </c>
      <c r="E1137" s="4">
        <v>0</v>
      </c>
      <c r="F1137" s="4">
        <v>0</v>
      </c>
      <c r="G1137" s="4">
        <v>0</v>
      </c>
      <c r="H1137" s="5">
        <f t="shared" si="17"/>
        <v>-2.9736358062538288E-2</v>
      </c>
    </row>
    <row r="1138" spans="1:8" ht="13.5" x14ac:dyDescent="0.25">
      <c r="A1138" s="1"/>
      <c r="B1138" s="3">
        <v>43964</v>
      </c>
      <c r="C1138" s="4">
        <v>30.72</v>
      </c>
      <c r="D1138" s="4">
        <v>30.72</v>
      </c>
      <c r="E1138" s="4">
        <v>1</v>
      </c>
      <c r="F1138" s="4">
        <v>30.72</v>
      </c>
      <c r="G1138" s="4">
        <v>30.72</v>
      </c>
      <c r="H1138" s="5">
        <f t="shared" si="17"/>
        <v>-2.9383886255924162E-2</v>
      </c>
    </row>
    <row r="1139" spans="1:8" ht="13.5" x14ac:dyDescent="0.25">
      <c r="A1139" s="1"/>
      <c r="B1139" s="3">
        <v>43965</v>
      </c>
      <c r="C1139" s="4">
        <v>30.71</v>
      </c>
      <c r="D1139" s="4">
        <v>30.71</v>
      </c>
      <c r="E1139" s="4">
        <v>1</v>
      </c>
      <c r="F1139" s="4">
        <v>30.71</v>
      </c>
      <c r="G1139" s="4">
        <v>30.71</v>
      </c>
      <c r="H1139" s="5">
        <f t="shared" si="17"/>
        <v>-3.2552083333326859E-4</v>
      </c>
    </row>
    <row r="1140" spans="1:8" ht="13.5" x14ac:dyDescent="0.25">
      <c r="A1140" s="1"/>
      <c r="B1140" s="3">
        <v>43966</v>
      </c>
      <c r="C1140" s="4">
        <v>29.8</v>
      </c>
      <c r="D1140" s="4">
        <v>29.8</v>
      </c>
      <c r="E1140" s="4">
        <v>1</v>
      </c>
      <c r="F1140" s="4">
        <v>29.8</v>
      </c>
      <c r="G1140" s="4">
        <v>29.8</v>
      </c>
      <c r="H1140" s="5">
        <f t="shared" si="17"/>
        <v>-2.9632041680234453E-2</v>
      </c>
    </row>
    <row r="1141" spans="1:8" ht="13.5" x14ac:dyDescent="0.25">
      <c r="A1141" s="1"/>
      <c r="B1141" s="3">
        <v>43969</v>
      </c>
      <c r="C1141" s="4">
        <v>29.8</v>
      </c>
      <c r="D1141" s="4">
        <v>29.8</v>
      </c>
      <c r="E1141" s="4">
        <v>0</v>
      </c>
      <c r="F1141" s="4">
        <v>0</v>
      </c>
      <c r="G1141" s="4">
        <v>0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29.8</v>
      </c>
      <c r="D1142" s="4">
        <v>29.8</v>
      </c>
      <c r="E1142" s="4">
        <v>0</v>
      </c>
      <c r="F1142" s="4">
        <v>0</v>
      </c>
      <c r="G1142" s="4">
        <v>0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29.8</v>
      </c>
      <c r="D1143" s="4">
        <v>29.8</v>
      </c>
      <c r="E1143" s="4">
        <v>0</v>
      </c>
      <c r="F1143" s="4">
        <v>0</v>
      </c>
      <c r="G1143" s="4">
        <v>0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29.8</v>
      </c>
      <c r="D1144" s="4">
        <v>29.8</v>
      </c>
      <c r="E1144" s="4">
        <v>0</v>
      </c>
      <c r="F1144" s="4">
        <v>0</v>
      </c>
      <c r="G1144" s="4">
        <v>0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29.8</v>
      </c>
      <c r="D1145" s="4">
        <v>29.8</v>
      </c>
      <c r="E1145" s="4">
        <v>0</v>
      </c>
      <c r="F1145" s="4">
        <v>0</v>
      </c>
      <c r="G1145" s="4">
        <v>0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29.8</v>
      </c>
      <c r="D1146" s="4">
        <v>29.8</v>
      </c>
      <c r="E1146" s="4">
        <v>0</v>
      </c>
      <c r="F1146" s="4">
        <v>0</v>
      </c>
      <c r="G1146" s="4">
        <v>0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29.8</v>
      </c>
      <c r="D1147" s="4">
        <v>29.8</v>
      </c>
      <c r="E1147" s="4">
        <v>0</v>
      </c>
      <c r="F1147" s="4">
        <v>0</v>
      </c>
      <c r="G1147" s="4">
        <v>0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29.8</v>
      </c>
      <c r="D1148" s="4">
        <v>29.8</v>
      </c>
      <c r="E1148" s="4">
        <v>0</v>
      </c>
      <c r="F1148" s="4">
        <v>0</v>
      </c>
      <c r="G1148" s="4">
        <v>0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29.8</v>
      </c>
      <c r="D1149" s="4">
        <v>29.8</v>
      </c>
      <c r="E1149" s="4">
        <v>0</v>
      </c>
      <c r="F1149" s="4">
        <v>0</v>
      </c>
      <c r="G1149" s="4">
        <v>0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29.8</v>
      </c>
      <c r="D1150" s="4">
        <v>29.8</v>
      </c>
      <c r="E1150" s="4">
        <v>0</v>
      </c>
      <c r="F1150" s="4">
        <v>0</v>
      </c>
      <c r="G1150" s="4">
        <v>0</v>
      </c>
      <c r="H1150" s="5">
        <f t="shared" si="17"/>
        <v>0</v>
      </c>
    </row>
    <row r="1151" spans="1:8" ht="13.5" x14ac:dyDescent="0.25">
      <c r="A1151" s="1"/>
      <c r="B1151" s="3">
        <v>43984</v>
      </c>
      <c r="C1151" s="4">
        <v>29.8</v>
      </c>
      <c r="D1151" s="4">
        <v>29.8</v>
      </c>
      <c r="E1151" s="4">
        <v>0</v>
      </c>
      <c r="F1151" s="4">
        <v>0</v>
      </c>
      <c r="G1151" s="4">
        <v>0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29.8</v>
      </c>
      <c r="D1152" s="4">
        <v>29.8</v>
      </c>
      <c r="E1152" s="4">
        <v>0</v>
      </c>
      <c r="F1152" s="4">
        <v>0</v>
      </c>
      <c r="G1152" s="4">
        <v>0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29.8</v>
      </c>
      <c r="D1153" s="4">
        <v>29.8</v>
      </c>
      <c r="E1153" s="4">
        <v>0</v>
      </c>
      <c r="F1153" s="4">
        <v>0</v>
      </c>
      <c r="G1153" s="4">
        <v>0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29.8</v>
      </c>
      <c r="D1154" s="4">
        <v>29.8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29.8</v>
      </c>
      <c r="D1155" s="4">
        <v>29.8</v>
      </c>
      <c r="E1155" s="4">
        <v>0</v>
      </c>
      <c r="F1155" s="4">
        <v>0</v>
      </c>
      <c r="G1155" s="4">
        <v>0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29.8</v>
      </c>
      <c r="D1156" s="4">
        <v>29.8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29.8</v>
      </c>
      <c r="D1157" s="4">
        <v>29.8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29.8</v>
      </c>
      <c r="D1158" s="4">
        <v>29.8</v>
      </c>
      <c r="E1158" s="4">
        <v>0</v>
      </c>
      <c r="F1158" s="4">
        <v>0</v>
      </c>
      <c r="G1158" s="4">
        <v>0</v>
      </c>
      <c r="H1158" s="5">
        <f t="shared" si="17"/>
        <v>0</v>
      </c>
    </row>
    <row r="1159" spans="1:8" ht="13.5" x14ac:dyDescent="0.25">
      <c r="A1159" s="1"/>
      <c r="B1159" s="3">
        <v>43994</v>
      </c>
      <c r="C1159" s="4">
        <v>29.8</v>
      </c>
      <c r="D1159" s="4">
        <v>29.8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29.8</v>
      </c>
      <c r="D1160" s="4">
        <v>29.8</v>
      </c>
      <c r="E1160" s="4">
        <v>0</v>
      </c>
      <c r="F1160" s="4">
        <v>0</v>
      </c>
      <c r="G1160" s="4">
        <v>0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29.8</v>
      </c>
      <c r="D1161" s="4">
        <v>29.8</v>
      </c>
      <c r="E1161" s="4">
        <v>0</v>
      </c>
      <c r="F1161" s="4">
        <v>0</v>
      </c>
      <c r="G1161" s="4">
        <v>0</v>
      </c>
      <c r="H1161" s="5">
        <f t="shared" si="18"/>
        <v>0</v>
      </c>
    </row>
    <row r="1162" spans="1:8" ht="13.5" x14ac:dyDescent="0.25">
      <c r="A1162" s="1"/>
      <c r="B1162" s="3">
        <v>43999</v>
      </c>
      <c r="C1162" s="4">
        <v>29.8</v>
      </c>
      <c r="D1162" s="4">
        <v>29.8</v>
      </c>
      <c r="E1162" s="4">
        <v>0</v>
      </c>
      <c r="F1162" s="4">
        <v>0</v>
      </c>
      <c r="G1162" s="4">
        <v>0</v>
      </c>
      <c r="H1162" s="5">
        <f t="shared" si="18"/>
        <v>0</v>
      </c>
    </row>
    <row r="1163" spans="1:8" ht="13.5" x14ac:dyDescent="0.25">
      <c r="A1163" s="1"/>
      <c r="B1163" s="3">
        <v>44000</v>
      </c>
      <c r="C1163" s="4">
        <v>29.8</v>
      </c>
      <c r="D1163" s="4">
        <v>29.8</v>
      </c>
      <c r="E1163" s="4">
        <v>0</v>
      </c>
      <c r="F1163" s="4">
        <v>0</v>
      </c>
      <c r="G1163" s="4">
        <v>0</v>
      </c>
      <c r="H1163" s="5">
        <f t="shared" si="18"/>
        <v>0</v>
      </c>
    </row>
    <row r="1164" spans="1:8" ht="13.5" x14ac:dyDescent="0.25">
      <c r="A1164" s="1"/>
      <c r="B1164" s="3">
        <v>44001</v>
      </c>
      <c r="C1164" s="4">
        <v>29.8</v>
      </c>
      <c r="D1164" s="4">
        <v>29.8</v>
      </c>
      <c r="E1164" s="4">
        <v>0</v>
      </c>
      <c r="F1164" s="4">
        <v>0</v>
      </c>
      <c r="G1164" s="4">
        <v>0</v>
      </c>
      <c r="H1164" s="5">
        <f t="shared" si="18"/>
        <v>0</v>
      </c>
    </row>
    <row r="1165" spans="1:8" ht="13.5" x14ac:dyDescent="0.25">
      <c r="A1165" s="1"/>
      <c r="B1165" s="3">
        <v>44004</v>
      </c>
      <c r="C1165" s="4">
        <v>29.8</v>
      </c>
      <c r="D1165" s="4">
        <v>29.8</v>
      </c>
      <c r="E1165" s="4">
        <v>0</v>
      </c>
      <c r="F1165" s="4">
        <v>0</v>
      </c>
      <c r="G1165" s="4">
        <v>0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29.8</v>
      </c>
      <c r="D1166" s="4">
        <v>29.8</v>
      </c>
      <c r="E1166" s="4">
        <v>0</v>
      </c>
      <c r="F1166" s="4">
        <v>0</v>
      </c>
      <c r="G1166" s="4">
        <v>0</v>
      </c>
      <c r="H1166" s="5">
        <f t="shared" si="18"/>
        <v>0</v>
      </c>
    </row>
    <row r="1167" spans="1:8" ht="13.5" x14ac:dyDescent="0.25">
      <c r="A1167" s="1"/>
      <c r="B1167" s="3">
        <v>44006</v>
      </c>
      <c r="C1167" s="4">
        <v>29.8</v>
      </c>
      <c r="D1167" s="4">
        <v>29.8</v>
      </c>
      <c r="E1167" s="4">
        <v>0</v>
      </c>
      <c r="F1167" s="4">
        <v>0</v>
      </c>
      <c r="G1167" s="4">
        <v>0</v>
      </c>
      <c r="H1167" s="5">
        <f t="shared" si="18"/>
        <v>0</v>
      </c>
    </row>
    <row r="1168" spans="1:8" ht="13.5" x14ac:dyDescent="0.25">
      <c r="A1168" s="1"/>
      <c r="B1168" s="3">
        <v>44007</v>
      </c>
      <c r="C1168" s="4">
        <v>29.8</v>
      </c>
      <c r="D1168" s="4">
        <v>29.8</v>
      </c>
      <c r="E1168" s="4">
        <v>0</v>
      </c>
      <c r="F1168" s="4">
        <v>0</v>
      </c>
      <c r="G1168" s="4">
        <v>0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29.8</v>
      </c>
      <c r="D1169" s="4">
        <v>29.8</v>
      </c>
      <c r="E1169" s="4">
        <v>0</v>
      </c>
      <c r="F1169" s="4">
        <v>0</v>
      </c>
      <c r="G1169" s="4">
        <v>0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29.8</v>
      </c>
      <c r="D1170" s="4">
        <v>29.8</v>
      </c>
      <c r="E1170" s="4">
        <v>0</v>
      </c>
      <c r="F1170" s="4">
        <v>0</v>
      </c>
      <c r="G1170" s="4">
        <v>0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29.8</v>
      </c>
      <c r="D1171" s="4">
        <v>29.8</v>
      </c>
      <c r="E1171" s="4">
        <v>0</v>
      </c>
      <c r="F1171" s="4">
        <v>0</v>
      </c>
      <c r="G1171" s="4">
        <v>0</v>
      </c>
      <c r="H1171" s="5">
        <f t="shared" si="18"/>
        <v>0</v>
      </c>
    </row>
    <row r="1172" spans="1:8" ht="13.5" x14ac:dyDescent="0.25">
      <c r="A1172" s="1"/>
      <c r="B1172" s="3">
        <v>44013</v>
      </c>
      <c r="C1172" s="4">
        <v>29.8</v>
      </c>
      <c r="D1172" s="4">
        <v>29.8</v>
      </c>
      <c r="E1172" s="4">
        <v>0</v>
      </c>
      <c r="F1172" s="4">
        <v>0</v>
      </c>
      <c r="G1172" s="4">
        <v>0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29.8</v>
      </c>
      <c r="D1173" s="4">
        <v>29.8</v>
      </c>
      <c r="E1173" s="4">
        <v>0</v>
      </c>
      <c r="F1173" s="4">
        <v>0</v>
      </c>
      <c r="G1173" s="4">
        <v>0</v>
      </c>
      <c r="H1173" s="5">
        <f t="shared" si="18"/>
        <v>0</v>
      </c>
    </row>
    <row r="1174" spans="1:8" ht="13.5" x14ac:dyDescent="0.25">
      <c r="A1174" s="1"/>
      <c r="B1174" s="3">
        <v>44015</v>
      </c>
      <c r="C1174" s="4">
        <v>29.8</v>
      </c>
      <c r="D1174" s="4">
        <v>29.8</v>
      </c>
      <c r="E1174" s="4">
        <v>0</v>
      </c>
      <c r="F1174" s="4">
        <v>0</v>
      </c>
      <c r="G1174" s="4">
        <v>0</v>
      </c>
      <c r="H1174" s="5">
        <f t="shared" si="18"/>
        <v>0</v>
      </c>
    </row>
    <row r="1175" spans="1:8" ht="13.5" x14ac:dyDescent="0.25">
      <c r="A1175" s="1"/>
      <c r="B1175" s="3">
        <v>44018</v>
      </c>
      <c r="C1175" s="4">
        <v>29.8</v>
      </c>
      <c r="D1175" s="4">
        <v>29.8</v>
      </c>
      <c r="E1175" s="4">
        <v>0</v>
      </c>
      <c r="F1175" s="4">
        <v>0</v>
      </c>
      <c r="G1175" s="4">
        <v>0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29.8</v>
      </c>
      <c r="D1176" s="4">
        <v>29.8</v>
      </c>
      <c r="E1176" s="4">
        <v>0</v>
      </c>
      <c r="F1176" s="4">
        <v>0</v>
      </c>
      <c r="G1176" s="4">
        <v>0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29.8</v>
      </c>
      <c r="D1177" s="4">
        <v>29.8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29.1</v>
      </c>
      <c r="D1178" s="4">
        <v>29.1</v>
      </c>
      <c r="E1178" s="4">
        <v>30</v>
      </c>
      <c r="F1178" s="4">
        <v>29.1</v>
      </c>
      <c r="G1178" s="4">
        <v>873</v>
      </c>
      <c r="H1178" s="5">
        <f t="shared" si="18"/>
        <v>-2.3489932885906017E-2</v>
      </c>
    </row>
    <row r="1179" spans="1:8" ht="13.5" x14ac:dyDescent="0.25">
      <c r="A1179" s="1"/>
      <c r="B1179" s="3">
        <v>44022</v>
      </c>
      <c r="C1179" s="4">
        <v>29.1</v>
      </c>
      <c r="D1179" s="4">
        <v>29.1</v>
      </c>
      <c r="E1179" s="4">
        <v>0</v>
      </c>
      <c r="F1179" s="4">
        <v>0</v>
      </c>
      <c r="G1179" s="4">
        <v>0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29.1</v>
      </c>
      <c r="D1180" s="4">
        <v>29.1</v>
      </c>
      <c r="E1180" s="4">
        <v>0</v>
      </c>
      <c r="F1180" s="4">
        <v>0</v>
      </c>
      <c r="G1180" s="4">
        <v>0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29.1</v>
      </c>
      <c r="D1181" s="4">
        <v>29.1</v>
      </c>
      <c r="E1181" s="4">
        <v>0</v>
      </c>
      <c r="F1181" s="4">
        <v>0</v>
      </c>
      <c r="G1181" s="4">
        <v>0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29.1</v>
      </c>
      <c r="D1182" s="4">
        <v>29.1</v>
      </c>
      <c r="E1182" s="4">
        <v>0</v>
      </c>
      <c r="F1182" s="4">
        <v>0</v>
      </c>
      <c r="G1182" s="4">
        <v>0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28.31</v>
      </c>
      <c r="D1183" s="4">
        <v>28.31</v>
      </c>
      <c r="E1183" s="4">
        <v>10</v>
      </c>
      <c r="F1183" s="4">
        <v>28.31</v>
      </c>
      <c r="G1183" s="4">
        <v>283.10000000000002</v>
      </c>
      <c r="H1183" s="5">
        <f t="shared" si="18"/>
        <v>-2.7147766323024146E-2</v>
      </c>
    </row>
    <row r="1184" spans="1:8" ht="13.5" x14ac:dyDescent="0.25">
      <c r="A1184" s="1"/>
      <c r="B1184" s="3">
        <v>44029</v>
      </c>
      <c r="C1184" s="4">
        <v>28.31</v>
      </c>
      <c r="D1184" s="4">
        <v>28.31</v>
      </c>
      <c r="E1184" s="4">
        <v>182</v>
      </c>
      <c r="F1184" s="4">
        <v>28.31</v>
      </c>
      <c r="G1184" s="4">
        <v>5152.42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28.31</v>
      </c>
      <c r="D1185" s="4">
        <v>28.31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28.31</v>
      </c>
      <c r="D1186" s="4">
        <v>28.31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28.31</v>
      </c>
      <c r="D1187" s="4">
        <v>28.31</v>
      </c>
      <c r="E1187" s="4">
        <v>0</v>
      </c>
      <c r="F1187" s="4">
        <v>0</v>
      </c>
      <c r="G1187" s="4">
        <v>0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28.31</v>
      </c>
      <c r="D1188" s="4">
        <v>28.31</v>
      </c>
      <c r="E1188" s="4">
        <v>0</v>
      </c>
      <c r="F1188" s="4">
        <v>0</v>
      </c>
      <c r="G1188" s="4">
        <v>0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28.31</v>
      </c>
      <c r="D1189" s="4">
        <v>28.31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28.31</v>
      </c>
      <c r="D1190" s="4">
        <v>28.31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28.31</v>
      </c>
      <c r="D1191" s="4">
        <v>28.31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28.31</v>
      </c>
      <c r="D1192" s="4">
        <v>28.31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28.31</v>
      </c>
      <c r="D1193" s="4">
        <v>28.31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28.31</v>
      </c>
      <c r="D1194" s="4">
        <v>28.31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28.31</v>
      </c>
      <c r="D1195" s="4">
        <v>28.31</v>
      </c>
      <c r="E1195" s="4">
        <v>0</v>
      </c>
      <c r="F1195" s="4">
        <v>0</v>
      </c>
      <c r="G1195" s="4">
        <v>0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28.31</v>
      </c>
      <c r="D1196" s="4">
        <v>28.31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28.31</v>
      </c>
      <c r="D1197" s="4">
        <v>28.31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28.31</v>
      </c>
      <c r="D1198" s="4">
        <v>28.31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28.31</v>
      </c>
      <c r="D1199" s="4">
        <v>28.31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29.15</v>
      </c>
      <c r="D1200" s="4">
        <v>29.15</v>
      </c>
      <c r="E1200" s="4">
        <v>6</v>
      </c>
      <c r="F1200" s="4">
        <v>29.15</v>
      </c>
      <c r="G1200" s="4">
        <v>174.9</v>
      </c>
      <c r="H1200" s="5">
        <f t="shared" si="18"/>
        <v>2.9671494171670785E-2</v>
      </c>
    </row>
    <row r="1201" spans="1:8" ht="13.5" x14ac:dyDescent="0.25">
      <c r="A1201" s="1"/>
      <c r="B1201" s="3">
        <v>44055</v>
      </c>
      <c r="C1201" s="4">
        <v>29.15</v>
      </c>
      <c r="D1201" s="4">
        <v>29.15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30.02</v>
      </c>
      <c r="D1202" s="4">
        <v>30.02</v>
      </c>
      <c r="E1202" s="4">
        <v>1</v>
      </c>
      <c r="F1202" s="4">
        <v>30.02</v>
      </c>
      <c r="G1202" s="4">
        <v>30.02</v>
      </c>
      <c r="H1202" s="5">
        <f t="shared" si="18"/>
        <v>2.9845626072041203E-2</v>
      </c>
    </row>
    <row r="1203" spans="1:8" ht="13.5" x14ac:dyDescent="0.25">
      <c r="A1203" s="1"/>
      <c r="B1203" s="3">
        <v>44060</v>
      </c>
      <c r="C1203" s="4">
        <v>30.92</v>
      </c>
      <c r="D1203" s="4">
        <v>30.92</v>
      </c>
      <c r="E1203" s="4">
        <v>0</v>
      </c>
      <c r="F1203" s="4">
        <v>0</v>
      </c>
      <c r="G1203" s="4">
        <v>0</v>
      </c>
      <c r="H1203" s="5">
        <f t="shared" si="18"/>
        <v>2.9980013324450439E-2</v>
      </c>
    </row>
    <row r="1204" spans="1:8" ht="13.5" x14ac:dyDescent="0.25">
      <c r="A1204" s="1"/>
      <c r="B1204" s="3">
        <v>44061</v>
      </c>
      <c r="C1204" s="4">
        <v>31.84</v>
      </c>
      <c r="D1204" s="4">
        <v>31.84</v>
      </c>
      <c r="E1204" s="4">
        <v>0</v>
      </c>
      <c r="F1204" s="4">
        <v>0</v>
      </c>
      <c r="G1204" s="4">
        <v>0</v>
      </c>
      <c r="H1204" s="5">
        <f t="shared" si="18"/>
        <v>2.9754204398447545E-2</v>
      </c>
    </row>
    <row r="1205" spans="1:8" ht="13.5" x14ac:dyDescent="0.25">
      <c r="A1205" s="1"/>
      <c r="B1205" s="3">
        <v>44062</v>
      </c>
      <c r="C1205" s="4">
        <v>31.84</v>
      </c>
      <c r="D1205" s="4">
        <v>31.84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32.79</v>
      </c>
      <c r="D1206" s="4">
        <v>32.79</v>
      </c>
      <c r="E1206" s="4">
        <v>40</v>
      </c>
      <c r="F1206" s="4">
        <v>32.79</v>
      </c>
      <c r="G1206" s="4">
        <v>1311.6</v>
      </c>
      <c r="H1206" s="5">
        <f t="shared" si="18"/>
        <v>2.9836683417085404E-2</v>
      </c>
    </row>
    <row r="1207" spans="1:8" ht="13.5" x14ac:dyDescent="0.25">
      <c r="A1207" s="1"/>
      <c r="B1207" s="3">
        <v>44067</v>
      </c>
      <c r="C1207" s="4">
        <v>32.79</v>
      </c>
      <c r="D1207" s="4">
        <v>32.79</v>
      </c>
      <c r="E1207" s="4">
        <v>0</v>
      </c>
      <c r="F1207" s="4">
        <v>0</v>
      </c>
      <c r="G1207" s="4">
        <v>0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32.79</v>
      </c>
      <c r="D1208" s="4">
        <v>32.79</v>
      </c>
      <c r="E1208" s="4">
        <v>0</v>
      </c>
      <c r="F1208" s="4">
        <v>0</v>
      </c>
      <c r="G1208" s="4">
        <v>0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32.79</v>
      </c>
      <c r="D1209" s="4">
        <v>32.79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33.770000000000003</v>
      </c>
      <c r="D1210" s="4">
        <v>33.770000000000003</v>
      </c>
      <c r="E1210" s="4">
        <v>4</v>
      </c>
      <c r="F1210" s="4">
        <v>33.770000000000003</v>
      </c>
      <c r="G1210" s="4">
        <v>135.08000000000001</v>
      </c>
      <c r="H1210" s="5">
        <f t="shared" si="18"/>
        <v>2.9887160719731749E-2</v>
      </c>
    </row>
    <row r="1211" spans="1:8" ht="13.5" x14ac:dyDescent="0.25">
      <c r="A1211" s="1"/>
      <c r="B1211" s="3">
        <v>44071</v>
      </c>
      <c r="C1211" s="4">
        <v>33.770000000000003</v>
      </c>
      <c r="D1211" s="4">
        <v>33.770000000000003</v>
      </c>
      <c r="E1211" s="4">
        <v>0</v>
      </c>
      <c r="F1211" s="4">
        <v>0</v>
      </c>
      <c r="G1211" s="4">
        <v>0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33.770000000000003</v>
      </c>
      <c r="D1212" s="4">
        <v>33.770000000000003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33.770000000000003</v>
      </c>
      <c r="D1213" s="4">
        <v>33.770000000000003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33.770000000000003</v>
      </c>
      <c r="D1214" s="4">
        <v>33.770000000000003</v>
      </c>
      <c r="E1214" s="4">
        <v>0</v>
      </c>
      <c r="F1214" s="4">
        <v>0</v>
      </c>
      <c r="G1214" s="4">
        <v>0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33.770000000000003</v>
      </c>
      <c r="D1215" s="4">
        <v>33.770000000000003</v>
      </c>
      <c r="E1215" s="4">
        <v>0</v>
      </c>
      <c r="F1215" s="4">
        <v>0</v>
      </c>
      <c r="G1215" s="4">
        <v>0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33.770000000000003</v>
      </c>
      <c r="D1216" s="4">
        <v>33.770000000000003</v>
      </c>
      <c r="E1216" s="4">
        <v>0</v>
      </c>
      <c r="F1216" s="4">
        <v>0</v>
      </c>
      <c r="G1216" s="4">
        <v>0</v>
      </c>
      <c r="H1216" s="5">
        <f t="shared" si="18"/>
        <v>0</v>
      </c>
    </row>
    <row r="1217" spans="1:8" ht="13.5" x14ac:dyDescent="0.25">
      <c r="A1217" s="1"/>
      <c r="B1217" s="3">
        <v>44081</v>
      </c>
      <c r="C1217" s="4">
        <v>33.770000000000003</v>
      </c>
      <c r="D1217" s="4">
        <v>33.770000000000003</v>
      </c>
      <c r="E1217" s="4">
        <v>0</v>
      </c>
      <c r="F1217" s="4">
        <v>0</v>
      </c>
      <c r="G1217" s="4">
        <v>0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33.770000000000003</v>
      </c>
      <c r="D1218" s="4">
        <v>33.770000000000003</v>
      </c>
      <c r="E1218" s="4">
        <v>0</v>
      </c>
      <c r="F1218" s="4">
        <v>0</v>
      </c>
      <c r="G1218" s="4">
        <v>0</v>
      </c>
      <c r="H1218" s="5">
        <f t="shared" si="18"/>
        <v>0</v>
      </c>
    </row>
    <row r="1219" spans="1:8" ht="13.5" x14ac:dyDescent="0.25">
      <c r="A1219" s="1"/>
      <c r="B1219" s="3">
        <v>44083</v>
      </c>
      <c r="C1219" s="4">
        <v>33.770000000000003</v>
      </c>
      <c r="D1219" s="4">
        <v>33.770000000000003</v>
      </c>
      <c r="E1219" s="4">
        <v>0</v>
      </c>
      <c r="F1219" s="4">
        <v>0</v>
      </c>
      <c r="G1219" s="4">
        <v>0</v>
      </c>
      <c r="H1219" s="5">
        <f t="shared" si="18"/>
        <v>0</v>
      </c>
    </row>
    <row r="1220" spans="1:8" ht="13.5" x14ac:dyDescent="0.25">
      <c r="A1220" s="1"/>
      <c r="B1220" s="3">
        <v>44084</v>
      </c>
      <c r="C1220" s="4">
        <v>33.770000000000003</v>
      </c>
      <c r="D1220" s="4">
        <v>33.770000000000003</v>
      </c>
      <c r="E1220" s="4">
        <v>0</v>
      </c>
      <c r="F1220" s="4">
        <v>0</v>
      </c>
      <c r="G1220" s="4">
        <v>0</v>
      </c>
      <c r="H1220" s="5">
        <f t="shared" si="18"/>
        <v>0</v>
      </c>
    </row>
    <row r="1221" spans="1:8" ht="13.5" x14ac:dyDescent="0.25">
      <c r="A1221" s="1"/>
      <c r="B1221" s="3">
        <v>44085</v>
      </c>
      <c r="C1221" s="4">
        <v>33.770000000000003</v>
      </c>
      <c r="D1221" s="4">
        <v>33.770000000000003</v>
      </c>
      <c r="E1221" s="4">
        <v>0</v>
      </c>
      <c r="F1221" s="4">
        <v>0</v>
      </c>
      <c r="G1221" s="4">
        <v>0</v>
      </c>
      <c r="H1221" s="5">
        <f t="shared" si="18"/>
        <v>0</v>
      </c>
    </row>
    <row r="1222" spans="1:8" ht="13.5" x14ac:dyDescent="0.25">
      <c r="A1222" s="1"/>
      <c r="B1222" s="3">
        <v>44088</v>
      </c>
      <c r="C1222" s="4">
        <v>33.770000000000003</v>
      </c>
      <c r="D1222" s="4">
        <v>33.770000000000003</v>
      </c>
      <c r="E1222" s="4">
        <v>0</v>
      </c>
      <c r="F1222" s="4">
        <v>0</v>
      </c>
      <c r="G1222" s="4">
        <v>0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33.770000000000003</v>
      </c>
      <c r="D1223" s="4">
        <v>33.770000000000003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33.770000000000003</v>
      </c>
      <c r="D1224" s="4">
        <v>33.770000000000003</v>
      </c>
      <c r="E1224" s="4">
        <v>0</v>
      </c>
      <c r="F1224" s="4">
        <v>0</v>
      </c>
      <c r="G1224" s="4">
        <v>0</v>
      </c>
      <c r="H1224" s="5">
        <f t="shared" si="19"/>
        <v>0</v>
      </c>
    </row>
    <row r="1225" spans="1:8" ht="13.5" x14ac:dyDescent="0.25">
      <c r="A1225" s="1"/>
      <c r="B1225" s="3">
        <v>44091</v>
      </c>
      <c r="C1225" s="4">
        <v>32.799999999999997</v>
      </c>
      <c r="D1225" s="4">
        <v>32.799999999999997</v>
      </c>
      <c r="E1225" s="4">
        <v>6</v>
      </c>
      <c r="F1225" s="4">
        <v>32.799999999999997</v>
      </c>
      <c r="G1225" s="4">
        <v>196.8</v>
      </c>
      <c r="H1225" s="5">
        <f t="shared" si="19"/>
        <v>-2.8723719277465379E-2</v>
      </c>
    </row>
    <row r="1226" spans="1:8" ht="13.5" x14ac:dyDescent="0.25">
      <c r="A1226" s="1"/>
      <c r="B1226" s="3">
        <v>44092</v>
      </c>
      <c r="C1226" s="4">
        <v>34.270000000000003</v>
      </c>
      <c r="D1226" s="4">
        <v>34.270000000000003</v>
      </c>
      <c r="E1226" s="4">
        <v>572</v>
      </c>
      <c r="F1226" s="4">
        <v>34.270000000000003</v>
      </c>
      <c r="G1226" s="4">
        <v>19602.439999999999</v>
      </c>
      <c r="H1226" s="5">
        <f t="shared" si="19"/>
        <v>4.4817073170731893E-2</v>
      </c>
    </row>
    <row r="1227" spans="1:8" ht="13.5" x14ac:dyDescent="0.25">
      <c r="A1227" s="1"/>
      <c r="B1227" s="3">
        <v>44095</v>
      </c>
      <c r="C1227" s="4">
        <v>34.270000000000003</v>
      </c>
      <c r="D1227" s="4">
        <v>34.270000000000003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34.270000000000003</v>
      </c>
      <c r="D1228" s="4">
        <v>34.270000000000003</v>
      </c>
      <c r="E1228" s="4">
        <v>0</v>
      </c>
      <c r="F1228" s="4">
        <v>0</v>
      </c>
      <c r="G1228" s="4">
        <v>0</v>
      </c>
      <c r="H1228" s="5">
        <f t="shared" si="19"/>
        <v>0</v>
      </c>
    </row>
    <row r="1229" spans="1:8" ht="13.5" x14ac:dyDescent="0.25">
      <c r="A1229" s="1"/>
      <c r="B1229" s="3">
        <v>44097</v>
      </c>
      <c r="C1229" s="4">
        <v>34.270000000000003</v>
      </c>
      <c r="D1229" s="4">
        <v>34.270000000000003</v>
      </c>
      <c r="E1229" s="4">
        <v>0</v>
      </c>
      <c r="F1229" s="4">
        <v>0</v>
      </c>
      <c r="G1229" s="4">
        <v>0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34.270000000000003</v>
      </c>
      <c r="D1230" s="4">
        <v>34.270000000000003</v>
      </c>
      <c r="E1230" s="4">
        <v>0</v>
      </c>
      <c r="F1230" s="4">
        <v>0</v>
      </c>
      <c r="G1230" s="4">
        <v>0</v>
      </c>
      <c r="H1230" s="5">
        <f t="shared" si="19"/>
        <v>0</v>
      </c>
    </row>
    <row r="1231" spans="1:8" ht="13.5" x14ac:dyDescent="0.25">
      <c r="A1231" s="1"/>
      <c r="B1231" s="3">
        <v>44099</v>
      </c>
      <c r="C1231" s="4">
        <v>34.270000000000003</v>
      </c>
      <c r="D1231" s="4">
        <v>34.270000000000003</v>
      </c>
      <c r="E1231" s="4">
        <v>0</v>
      </c>
      <c r="F1231" s="4">
        <v>0</v>
      </c>
      <c r="G1231" s="4">
        <v>0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34.270000000000003</v>
      </c>
      <c r="D1232" s="4">
        <v>34.270000000000003</v>
      </c>
      <c r="E1232" s="4">
        <v>0</v>
      </c>
      <c r="F1232" s="4">
        <v>0</v>
      </c>
      <c r="G1232" s="4">
        <v>0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34.270000000000003</v>
      </c>
      <c r="D1233" s="4">
        <v>34.270000000000003</v>
      </c>
      <c r="E1233" s="4">
        <v>0</v>
      </c>
      <c r="F1233" s="4">
        <v>0</v>
      </c>
      <c r="G1233" s="4">
        <v>0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34.270000000000003</v>
      </c>
      <c r="D1234" s="4">
        <v>34.270000000000003</v>
      </c>
      <c r="E1234" s="4">
        <v>0</v>
      </c>
      <c r="F1234" s="4">
        <v>0</v>
      </c>
      <c r="G1234" s="4">
        <v>0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34.270000000000003</v>
      </c>
      <c r="D1235" s="4">
        <v>34.270000000000003</v>
      </c>
      <c r="E1235" s="4">
        <v>0</v>
      </c>
      <c r="F1235" s="4">
        <v>0</v>
      </c>
      <c r="G1235" s="4">
        <v>0</v>
      </c>
      <c r="H1235" s="5">
        <f t="shared" si="19"/>
        <v>0</v>
      </c>
    </row>
    <row r="1236" spans="1:8" ht="13.5" x14ac:dyDescent="0.25">
      <c r="A1236" s="1"/>
      <c r="B1236" s="3">
        <v>44106</v>
      </c>
      <c r="C1236" s="4">
        <v>34.270000000000003</v>
      </c>
      <c r="D1236" s="4">
        <v>34.270000000000003</v>
      </c>
      <c r="E1236" s="4">
        <v>0</v>
      </c>
      <c r="F1236" s="4">
        <v>0</v>
      </c>
      <c r="G1236" s="4">
        <v>0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34.270000000000003</v>
      </c>
      <c r="D1237" s="4">
        <v>34.270000000000003</v>
      </c>
      <c r="E1237" s="4">
        <v>0</v>
      </c>
      <c r="F1237" s="4">
        <v>0</v>
      </c>
      <c r="G1237" s="4">
        <v>0</v>
      </c>
      <c r="H1237" s="5">
        <f t="shared" si="19"/>
        <v>0</v>
      </c>
    </row>
    <row r="1238" spans="1:8" ht="13.5" x14ac:dyDescent="0.25">
      <c r="A1238" s="1"/>
      <c r="B1238" s="3">
        <v>44110</v>
      </c>
      <c r="C1238" s="4">
        <v>34.270000000000003</v>
      </c>
      <c r="D1238" s="4">
        <v>34.270000000000003</v>
      </c>
      <c r="E1238" s="4">
        <v>0</v>
      </c>
      <c r="F1238" s="4">
        <v>0</v>
      </c>
      <c r="G1238" s="4">
        <v>0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34.270000000000003</v>
      </c>
      <c r="D1239" s="4">
        <v>34.270000000000003</v>
      </c>
      <c r="E1239" s="4">
        <v>0</v>
      </c>
      <c r="F1239" s="4">
        <v>0</v>
      </c>
      <c r="G1239" s="4">
        <v>0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34.270000000000003</v>
      </c>
      <c r="D1240" s="4">
        <v>34.270000000000003</v>
      </c>
      <c r="E1240" s="4">
        <v>0</v>
      </c>
      <c r="F1240" s="4">
        <v>0</v>
      </c>
      <c r="G1240" s="4">
        <v>0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34.270000000000003</v>
      </c>
      <c r="D1241" s="4">
        <v>34.270000000000003</v>
      </c>
      <c r="E1241" s="4">
        <v>0</v>
      </c>
      <c r="F1241" s="4">
        <v>0</v>
      </c>
      <c r="G1241" s="4">
        <v>0</v>
      </c>
      <c r="H1241" s="5">
        <f t="shared" si="19"/>
        <v>0</v>
      </c>
    </row>
    <row r="1242" spans="1:8" ht="13.5" x14ac:dyDescent="0.25">
      <c r="A1242" s="1"/>
      <c r="B1242" s="3">
        <v>44116</v>
      </c>
      <c r="C1242" s="4">
        <v>34.270000000000003</v>
      </c>
      <c r="D1242" s="4">
        <v>34.270000000000003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34.270000000000003</v>
      </c>
      <c r="D1243" s="4">
        <v>34.270000000000003</v>
      </c>
      <c r="E1243" s="4">
        <v>0</v>
      </c>
      <c r="F1243" s="4">
        <v>0</v>
      </c>
      <c r="G1243" s="4">
        <v>0</v>
      </c>
      <c r="H1243" s="5">
        <f t="shared" si="19"/>
        <v>0</v>
      </c>
    </row>
    <row r="1244" spans="1:8" ht="13.5" x14ac:dyDescent="0.25">
      <c r="A1244" s="1"/>
      <c r="B1244" s="3">
        <v>44118</v>
      </c>
      <c r="C1244" s="4">
        <v>34.270000000000003</v>
      </c>
      <c r="D1244" s="4">
        <v>34.270000000000003</v>
      </c>
      <c r="E1244" s="4">
        <v>0</v>
      </c>
      <c r="F1244" s="4">
        <v>0</v>
      </c>
      <c r="G1244" s="4">
        <v>0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33.33</v>
      </c>
      <c r="D1245" s="4">
        <v>33.33</v>
      </c>
      <c r="E1245" s="4">
        <v>20</v>
      </c>
      <c r="F1245" s="4">
        <v>33.33</v>
      </c>
      <c r="G1245" s="4">
        <v>666.6</v>
      </c>
      <c r="H1245" s="5">
        <f t="shared" si="19"/>
        <v>-2.7429238400933899E-2</v>
      </c>
    </row>
    <row r="1246" spans="1:8" ht="13.5" x14ac:dyDescent="0.25">
      <c r="A1246" s="1"/>
      <c r="B1246" s="3">
        <v>44123</v>
      </c>
      <c r="C1246" s="4">
        <v>33.33</v>
      </c>
      <c r="D1246" s="4">
        <v>33.33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33.33</v>
      </c>
      <c r="D1247" s="4">
        <v>33.33</v>
      </c>
      <c r="E1247" s="4">
        <v>0</v>
      </c>
      <c r="F1247" s="4">
        <v>0</v>
      </c>
      <c r="G1247" s="4">
        <v>0</v>
      </c>
      <c r="H1247" s="5">
        <f t="shared" si="19"/>
        <v>0</v>
      </c>
    </row>
    <row r="1248" spans="1:8" ht="13.5" x14ac:dyDescent="0.25">
      <c r="A1248" s="1"/>
      <c r="B1248" s="3">
        <v>44125</v>
      </c>
      <c r="C1248" s="4">
        <v>33.33</v>
      </c>
      <c r="D1248" s="4">
        <v>33.33</v>
      </c>
      <c r="E1248" s="4">
        <v>201</v>
      </c>
      <c r="F1248" s="4">
        <v>33.33</v>
      </c>
      <c r="G1248" s="4">
        <v>6699.33</v>
      </c>
      <c r="H1248" s="5">
        <f t="shared" si="19"/>
        <v>0</v>
      </c>
    </row>
    <row r="1249" spans="1:8" ht="13.5" x14ac:dyDescent="0.25">
      <c r="A1249" s="1"/>
      <c r="B1249" s="3">
        <v>44126</v>
      </c>
      <c r="C1249" s="4">
        <v>33.33</v>
      </c>
      <c r="D1249" s="4">
        <v>33.33</v>
      </c>
      <c r="E1249" s="4">
        <v>130</v>
      </c>
      <c r="F1249" s="4">
        <v>33.33</v>
      </c>
      <c r="G1249" s="4">
        <v>4332.8999999999996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33.33</v>
      </c>
      <c r="D1250" s="4">
        <v>33.33</v>
      </c>
      <c r="E1250" s="4">
        <v>0</v>
      </c>
      <c r="F1250" s="4">
        <v>0</v>
      </c>
      <c r="G1250" s="4">
        <v>0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33.299999999999997</v>
      </c>
      <c r="D1251" s="4">
        <v>33.299999999999997</v>
      </c>
      <c r="E1251" s="4">
        <v>175</v>
      </c>
      <c r="F1251" s="4">
        <v>33.299999999999997</v>
      </c>
      <c r="G1251" s="4">
        <v>5827.5</v>
      </c>
      <c r="H1251" s="5">
        <f t="shared" si="19"/>
        <v>-9.000900090009342E-4</v>
      </c>
    </row>
    <row r="1252" spans="1:8" ht="13.5" x14ac:dyDescent="0.25">
      <c r="A1252" s="1"/>
      <c r="B1252" s="3">
        <v>44131</v>
      </c>
      <c r="C1252" s="4">
        <v>33.299999999999997</v>
      </c>
      <c r="D1252" s="4">
        <v>33.299999999999997</v>
      </c>
      <c r="E1252" s="4">
        <v>32</v>
      </c>
      <c r="F1252" s="4">
        <v>32.962499999999999</v>
      </c>
      <c r="G1252" s="4">
        <v>1054.8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33.31</v>
      </c>
      <c r="D1253" s="4">
        <v>33.31</v>
      </c>
      <c r="E1253" s="4">
        <v>5</v>
      </c>
      <c r="F1253" s="4">
        <v>33.31</v>
      </c>
      <c r="G1253" s="4">
        <v>166.55</v>
      </c>
      <c r="H1253" s="5">
        <f t="shared" si="19"/>
        <v>3.0030030030045397E-4</v>
      </c>
    </row>
    <row r="1254" spans="1:8" ht="13.5" x14ac:dyDescent="0.25">
      <c r="A1254" s="1"/>
      <c r="B1254" s="3">
        <v>44134</v>
      </c>
      <c r="C1254" s="4">
        <v>33.31</v>
      </c>
      <c r="D1254" s="4">
        <v>33.31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33.31</v>
      </c>
      <c r="D1255" s="4">
        <v>33.31</v>
      </c>
      <c r="E1255" s="4">
        <v>0</v>
      </c>
      <c r="F1255" s="4">
        <v>0</v>
      </c>
      <c r="G1255" s="4">
        <v>0</v>
      </c>
      <c r="H1255" s="5">
        <f t="shared" si="19"/>
        <v>0</v>
      </c>
    </row>
    <row r="1256" spans="1:8" ht="13.5" x14ac:dyDescent="0.25">
      <c r="A1256" s="1"/>
      <c r="B1256" s="3">
        <v>44138</v>
      </c>
      <c r="C1256" s="4">
        <v>33.31</v>
      </c>
      <c r="D1256" s="4">
        <v>33.31</v>
      </c>
      <c r="E1256" s="4">
        <v>0</v>
      </c>
      <c r="F1256" s="4">
        <v>0</v>
      </c>
      <c r="G1256" s="4">
        <v>0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33.31</v>
      </c>
      <c r="D1257" s="4">
        <v>33.31</v>
      </c>
      <c r="E1257" s="4">
        <v>0</v>
      </c>
      <c r="F1257" s="4">
        <v>0</v>
      </c>
      <c r="G1257" s="4">
        <v>0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34.35</v>
      </c>
      <c r="D1258" s="4">
        <v>34.35</v>
      </c>
      <c r="E1258" s="4">
        <v>12</v>
      </c>
      <c r="F1258" s="4">
        <v>34.35</v>
      </c>
      <c r="G1258" s="4">
        <v>412.2</v>
      </c>
      <c r="H1258" s="5">
        <f t="shared" si="19"/>
        <v>3.1221855298709068E-2</v>
      </c>
    </row>
    <row r="1259" spans="1:8" ht="13.5" x14ac:dyDescent="0.25">
      <c r="A1259" s="1"/>
      <c r="B1259" s="3">
        <v>44141</v>
      </c>
      <c r="C1259" s="4">
        <v>34.35</v>
      </c>
      <c r="D1259" s="4">
        <v>34.35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34.35</v>
      </c>
      <c r="D1260" s="4">
        <v>34.35</v>
      </c>
      <c r="E1260" s="4">
        <v>0</v>
      </c>
      <c r="F1260" s="4">
        <v>0</v>
      </c>
      <c r="G1260" s="4">
        <v>0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34.35</v>
      </c>
      <c r="D1261" s="4">
        <v>34.35</v>
      </c>
      <c r="E1261" s="4">
        <v>0</v>
      </c>
      <c r="F1261" s="4">
        <v>0</v>
      </c>
      <c r="G1261" s="4">
        <v>0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35.380000000000003</v>
      </c>
      <c r="D1262" s="4">
        <v>35.380000000000003</v>
      </c>
      <c r="E1262" s="4">
        <v>0</v>
      </c>
      <c r="F1262" s="4">
        <v>0</v>
      </c>
      <c r="G1262" s="4">
        <v>0</v>
      </c>
      <c r="H1262" s="5">
        <f t="shared" si="19"/>
        <v>2.9985443959243116E-2</v>
      </c>
    </row>
    <row r="1263" spans="1:8" ht="13.5" x14ac:dyDescent="0.25">
      <c r="A1263" s="1"/>
      <c r="B1263" s="3">
        <v>44147</v>
      </c>
      <c r="C1263" s="4">
        <v>36.97</v>
      </c>
      <c r="D1263" s="4">
        <v>36.97</v>
      </c>
      <c r="E1263" s="4">
        <v>40</v>
      </c>
      <c r="F1263" s="4">
        <v>36.97</v>
      </c>
      <c r="G1263" s="4">
        <v>1478.8</v>
      </c>
      <c r="H1263" s="5">
        <f t="shared" si="19"/>
        <v>4.494064443188231E-2</v>
      </c>
    </row>
    <row r="1264" spans="1:8" ht="13.5" x14ac:dyDescent="0.25">
      <c r="A1264" s="1"/>
      <c r="B1264" s="3">
        <v>44148</v>
      </c>
      <c r="C1264" s="4">
        <v>38.630000000000003</v>
      </c>
      <c r="D1264" s="4">
        <v>38.630000000000003</v>
      </c>
      <c r="E1264" s="4">
        <v>0</v>
      </c>
      <c r="F1264" s="4">
        <v>0</v>
      </c>
      <c r="G1264" s="4">
        <v>0</v>
      </c>
      <c r="H1264" s="5">
        <f t="shared" si="19"/>
        <v>4.4901271301055014E-2</v>
      </c>
    </row>
    <row r="1265" spans="1:8" ht="13.5" x14ac:dyDescent="0.25">
      <c r="A1265" s="1"/>
      <c r="B1265" s="3">
        <v>44151</v>
      </c>
      <c r="C1265" s="4">
        <v>40.36</v>
      </c>
      <c r="D1265" s="4">
        <v>40.36</v>
      </c>
      <c r="E1265" s="4">
        <v>0</v>
      </c>
      <c r="F1265" s="4">
        <v>0</v>
      </c>
      <c r="G1265" s="4">
        <v>0</v>
      </c>
      <c r="H1265" s="5">
        <f t="shared" si="19"/>
        <v>4.4783846751229532E-2</v>
      </c>
    </row>
    <row r="1266" spans="1:8" ht="13.5" x14ac:dyDescent="0.25">
      <c r="A1266" s="1"/>
      <c r="B1266" s="3">
        <v>44152</v>
      </c>
      <c r="C1266" s="4">
        <v>41.57</v>
      </c>
      <c r="D1266" s="4">
        <v>41.57</v>
      </c>
      <c r="E1266" s="4">
        <v>100</v>
      </c>
      <c r="F1266" s="4">
        <v>41.57</v>
      </c>
      <c r="G1266" s="4">
        <v>4157</v>
      </c>
      <c r="H1266" s="5">
        <f t="shared" si="19"/>
        <v>2.9980178394449972E-2</v>
      </c>
    </row>
    <row r="1267" spans="1:8" ht="13.5" x14ac:dyDescent="0.25">
      <c r="A1267" s="1"/>
      <c r="B1267" s="3">
        <v>44153</v>
      </c>
      <c r="C1267" s="4">
        <v>42.77</v>
      </c>
      <c r="D1267" s="4">
        <v>42.77</v>
      </c>
      <c r="E1267" s="4">
        <v>14</v>
      </c>
      <c r="F1267" s="4">
        <v>42.77</v>
      </c>
      <c r="G1267" s="4">
        <v>598.78</v>
      </c>
      <c r="H1267" s="5">
        <f t="shared" si="19"/>
        <v>2.8866971373586788E-2</v>
      </c>
    </row>
    <row r="1268" spans="1:8" ht="13.5" x14ac:dyDescent="0.25">
      <c r="A1268" s="1"/>
      <c r="B1268" s="3">
        <v>44154</v>
      </c>
      <c r="C1268" s="4">
        <v>42.77</v>
      </c>
      <c r="D1268" s="4">
        <v>42.77</v>
      </c>
      <c r="E1268" s="4">
        <v>0</v>
      </c>
      <c r="F1268" s="4">
        <v>0</v>
      </c>
      <c r="G1268" s="4">
        <v>0</v>
      </c>
      <c r="H1268" s="5">
        <f t="shared" si="19"/>
        <v>0</v>
      </c>
    </row>
    <row r="1269" spans="1:8" ht="13.5" x14ac:dyDescent="0.25">
      <c r="A1269" s="1"/>
      <c r="B1269" s="3">
        <v>44155</v>
      </c>
      <c r="C1269" s="4">
        <v>43.26</v>
      </c>
      <c r="D1269" s="4">
        <v>43.26</v>
      </c>
      <c r="E1269" s="4">
        <v>155</v>
      </c>
      <c r="F1269" s="4">
        <v>42.040599999999998</v>
      </c>
      <c r="G1269" s="4">
        <v>6516.2929999999997</v>
      </c>
      <c r="H1269" s="5">
        <f t="shared" si="19"/>
        <v>1.1456628477904953E-2</v>
      </c>
    </row>
    <row r="1270" spans="1:8" ht="13.5" x14ac:dyDescent="0.25">
      <c r="A1270" s="1"/>
      <c r="B1270" s="3">
        <v>44158</v>
      </c>
      <c r="C1270" s="4">
        <v>43.26</v>
      </c>
      <c r="D1270" s="4">
        <v>43.26</v>
      </c>
      <c r="E1270" s="4">
        <v>0</v>
      </c>
      <c r="F1270" s="4">
        <v>0</v>
      </c>
      <c r="G1270" s="4">
        <v>0</v>
      </c>
      <c r="H1270" s="5">
        <f t="shared" si="19"/>
        <v>0</v>
      </c>
    </row>
    <row r="1271" spans="1:8" ht="13.5" x14ac:dyDescent="0.25">
      <c r="A1271" s="1"/>
      <c r="B1271" s="3">
        <v>44159</v>
      </c>
      <c r="C1271" s="4">
        <v>44.55</v>
      </c>
      <c r="D1271" s="4">
        <v>44.55</v>
      </c>
      <c r="E1271" s="4">
        <v>0</v>
      </c>
      <c r="F1271" s="4">
        <v>0</v>
      </c>
      <c r="G1271" s="4">
        <v>0</v>
      </c>
      <c r="H1271" s="5">
        <f t="shared" si="19"/>
        <v>2.9819694868238541E-2</v>
      </c>
    </row>
    <row r="1272" spans="1:8" ht="13.5" x14ac:dyDescent="0.25">
      <c r="A1272" s="1"/>
      <c r="B1272" s="3">
        <v>44160</v>
      </c>
      <c r="C1272" s="4">
        <v>44.55</v>
      </c>
      <c r="D1272" s="4">
        <v>44.55</v>
      </c>
      <c r="E1272" s="4">
        <v>0</v>
      </c>
      <c r="F1272" s="4">
        <v>0</v>
      </c>
      <c r="G1272" s="4">
        <v>0</v>
      </c>
      <c r="H1272" s="5">
        <f t="shared" si="19"/>
        <v>0</v>
      </c>
    </row>
    <row r="1273" spans="1:8" ht="13.5" x14ac:dyDescent="0.25">
      <c r="A1273" s="1"/>
      <c r="B1273" s="3">
        <v>44161</v>
      </c>
      <c r="C1273" s="4">
        <v>44.55</v>
      </c>
      <c r="D1273" s="4">
        <v>44.55</v>
      </c>
      <c r="E1273" s="4">
        <v>29</v>
      </c>
      <c r="F1273" s="4">
        <v>44.55</v>
      </c>
      <c r="G1273" s="4">
        <v>1291.95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45.88</v>
      </c>
      <c r="D1274" s="4">
        <v>45.88</v>
      </c>
      <c r="E1274" s="4">
        <v>0</v>
      </c>
      <c r="F1274" s="4">
        <v>0</v>
      </c>
      <c r="G1274" s="4">
        <v>0</v>
      </c>
      <c r="H1274" s="5">
        <f t="shared" si="19"/>
        <v>2.9854096520763311E-2</v>
      </c>
    </row>
    <row r="1275" spans="1:8" ht="13.5" x14ac:dyDescent="0.25">
      <c r="A1275" s="1"/>
      <c r="B1275" s="3">
        <v>44165</v>
      </c>
      <c r="C1275" s="4">
        <v>47</v>
      </c>
      <c r="D1275" s="4">
        <v>47</v>
      </c>
      <c r="E1275" s="4">
        <v>1</v>
      </c>
      <c r="F1275" s="4">
        <v>47</v>
      </c>
      <c r="G1275" s="4">
        <v>47</v>
      </c>
      <c r="H1275" s="5">
        <f t="shared" si="19"/>
        <v>2.4411508282475968E-2</v>
      </c>
    </row>
    <row r="1276" spans="1:8" ht="13.5" x14ac:dyDescent="0.25">
      <c r="A1276" s="1"/>
      <c r="B1276" s="3">
        <v>44166</v>
      </c>
      <c r="C1276" s="4">
        <v>46.99</v>
      </c>
      <c r="D1276" s="4">
        <v>46.99</v>
      </c>
      <c r="E1276" s="4">
        <v>50</v>
      </c>
      <c r="F1276" s="4">
        <v>46.99</v>
      </c>
      <c r="G1276" s="4">
        <v>2349.5</v>
      </c>
      <c r="H1276" s="5">
        <f t="shared" si="19"/>
        <v>-2.1276595744676617E-4</v>
      </c>
    </row>
    <row r="1277" spans="1:8" ht="13.5" x14ac:dyDescent="0.25">
      <c r="A1277" s="1"/>
      <c r="B1277" s="3">
        <v>44167</v>
      </c>
      <c r="C1277" s="4">
        <v>46.99</v>
      </c>
      <c r="D1277" s="4">
        <v>46.99</v>
      </c>
      <c r="E1277" s="4">
        <v>0</v>
      </c>
      <c r="F1277" s="4">
        <v>0</v>
      </c>
      <c r="G1277" s="4">
        <v>0</v>
      </c>
      <c r="H1277" s="5">
        <f t="shared" si="19"/>
        <v>0</v>
      </c>
    </row>
    <row r="1278" spans="1:8" ht="13.5" x14ac:dyDescent="0.25">
      <c r="A1278" s="1"/>
      <c r="B1278" s="3">
        <v>44168</v>
      </c>
      <c r="C1278" s="4">
        <v>46.99</v>
      </c>
      <c r="D1278" s="4">
        <v>46.99</v>
      </c>
      <c r="E1278" s="4">
        <v>0</v>
      </c>
      <c r="F1278" s="4">
        <v>0</v>
      </c>
      <c r="G1278" s="4">
        <v>0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46.99</v>
      </c>
      <c r="D1279" s="4">
        <v>46.99</v>
      </c>
      <c r="E1279" s="4">
        <v>0</v>
      </c>
      <c r="F1279" s="4">
        <v>0</v>
      </c>
      <c r="G1279" s="4">
        <v>0</v>
      </c>
      <c r="H1279" s="5">
        <f t="shared" si="19"/>
        <v>0</v>
      </c>
    </row>
    <row r="1280" spans="1:8" ht="13.5" x14ac:dyDescent="0.25">
      <c r="A1280" s="1"/>
      <c r="B1280" s="3">
        <v>44172</v>
      </c>
      <c r="C1280" s="4">
        <v>46.9</v>
      </c>
      <c r="D1280" s="4">
        <v>46.9</v>
      </c>
      <c r="E1280" s="4">
        <v>51</v>
      </c>
      <c r="F1280" s="4">
        <v>46.9</v>
      </c>
      <c r="G1280" s="4">
        <v>2391.9</v>
      </c>
      <c r="H1280" s="5">
        <f t="shared" si="19"/>
        <v>-1.9153011278996257E-3</v>
      </c>
    </row>
    <row r="1281" spans="1:8" ht="13.5" x14ac:dyDescent="0.25">
      <c r="A1281" s="1"/>
      <c r="B1281" s="3">
        <v>44173</v>
      </c>
      <c r="C1281" s="4">
        <v>48</v>
      </c>
      <c r="D1281" s="4">
        <v>48</v>
      </c>
      <c r="E1281" s="4">
        <v>46</v>
      </c>
      <c r="F1281" s="4">
        <v>48</v>
      </c>
      <c r="G1281" s="4">
        <v>2208</v>
      </c>
      <c r="H1281" s="5">
        <f t="shared" si="19"/>
        <v>2.3454157782516024E-2</v>
      </c>
    </row>
    <row r="1282" spans="1:8" ht="13.5" x14ac:dyDescent="0.25">
      <c r="A1282" s="1"/>
      <c r="B1282" s="3">
        <v>44174</v>
      </c>
      <c r="C1282" s="4">
        <v>48</v>
      </c>
      <c r="D1282" s="4">
        <v>48</v>
      </c>
      <c r="E1282" s="4">
        <v>41</v>
      </c>
      <c r="F1282" s="4">
        <v>48</v>
      </c>
      <c r="G1282" s="4">
        <v>1968</v>
      </c>
      <c r="H1282" s="5">
        <f t="shared" si="19"/>
        <v>0</v>
      </c>
    </row>
    <row r="1283" spans="1:8" ht="13.5" x14ac:dyDescent="0.25">
      <c r="A1283" s="1"/>
      <c r="B1283" s="3">
        <v>44175</v>
      </c>
      <c r="C1283" s="4">
        <v>47.8</v>
      </c>
      <c r="D1283" s="4">
        <v>47.8</v>
      </c>
      <c r="E1283" s="4">
        <v>32</v>
      </c>
      <c r="F1283" s="4">
        <v>47.8</v>
      </c>
      <c r="G1283" s="4">
        <v>1529.6</v>
      </c>
      <c r="H1283" s="5">
        <f t="shared" si="19"/>
        <v>-4.1666666666667256E-3</v>
      </c>
    </row>
    <row r="1284" spans="1:8" ht="13.5" x14ac:dyDescent="0.25">
      <c r="A1284" s="1"/>
      <c r="B1284" s="3">
        <v>44176</v>
      </c>
      <c r="C1284" s="4">
        <v>46.37</v>
      </c>
      <c r="D1284" s="4">
        <v>46.37</v>
      </c>
      <c r="E1284" s="4">
        <v>0</v>
      </c>
      <c r="F1284" s="4">
        <v>0</v>
      </c>
      <c r="G1284" s="4">
        <v>0</v>
      </c>
      <c r="H1284" s="5">
        <f t="shared" si="19"/>
        <v>-2.9916317991631795E-2</v>
      </c>
    </row>
    <row r="1285" spans="1:8" ht="13.5" x14ac:dyDescent="0.25">
      <c r="A1285" s="1"/>
      <c r="B1285" s="3">
        <v>44179</v>
      </c>
      <c r="C1285" s="4">
        <v>47.8</v>
      </c>
      <c r="D1285" s="4">
        <v>47.8</v>
      </c>
      <c r="E1285" s="4">
        <v>27</v>
      </c>
      <c r="F1285" s="4">
        <v>47.8</v>
      </c>
      <c r="G1285" s="4">
        <v>1290.5999999999999</v>
      </c>
      <c r="H1285" s="5">
        <f t="shared" si="19"/>
        <v>3.083890446409316E-2</v>
      </c>
    </row>
    <row r="1286" spans="1:8" ht="13.5" x14ac:dyDescent="0.25">
      <c r="A1286" s="1"/>
      <c r="B1286" s="3">
        <v>44180</v>
      </c>
      <c r="C1286" s="4">
        <v>45.65</v>
      </c>
      <c r="D1286" s="4">
        <v>45.65</v>
      </c>
      <c r="E1286" s="4">
        <v>0</v>
      </c>
      <c r="F1286" s="4">
        <v>0</v>
      </c>
      <c r="G1286" s="4">
        <v>0</v>
      </c>
      <c r="H1286" s="5">
        <f t="shared" si="19"/>
        <v>-4.4979079497907921E-2</v>
      </c>
    </row>
    <row r="1287" spans="1:8" ht="13.5" x14ac:dyDescent="0.25">
      <c r="A1287" s="1"/>
      <c r="B1287" s="3">
        <v>44181</v>
      </c>
      <c r="C1287" s="4">
        <v>47.7</v>
      </c>
      <c r="D1287" s="4">
        <v>47.7</v>
      </c>
      <c r="E1287" s="4">
        <v>0</v>
      </c>
      <c r="F1287" s="4">
        <v>0</v>
      </c>
      <c r="G1287" s="4">
        <v>0</v>
      </c>
      <c r="H1287" s="5">
        <f t="shared" ref="H1287:H1350" si="20">(D1287-D1286)/D1286</f>
        <v>4.4906900328587171E-2</v>
      </c>
    </row>
    <row r="1288" spans="1:8" ht="13.5" x14ac:dyDescent="0.25">
      <c r="A1288" s="1"/>
      <c r="B1288" s="3">
        <v>44182</v>
      </c>
      <c r="C1288" s="4">
        <v>47.8</v>
      </c>
      <c r="D1288" s="4">
        <v>47.8</v>
      </c>
      <c r="E1288" s="4">
        <v>70</v>
      </c>
      <c r="F1288" s="4">
        <v>47.8</v>
      </c>
      <c r="G1288" s="4">
        <v>3346</v>
      </c>
      <c r="H1288" s="5">
        <f t="shared" si="20"/>
        <v>2.0964360587000905E-3</v>
      </c>
    </row>
    <row r="1289" spans="1:8" ht="13.5" x14ac:dyDescent="0.25">
      <c r="A1289" s="1"/>
      <c r="B1289" s="3">
        <v>44183</v>
      </c>
      <c r="C1289" s="4">
        <v>45.65</v>
      </c>
      <c r="D1289" s="4">
        <v>45.65</v>
      </c>
      <c r="E1289" s="4">
        <v>0</v>
      </c>
      <c r="F1289" s="4">
        <v>0</v>
      </c>
      <c r="G1289" s="4">
        <v>0</v>
      </c>
      <c r="H1289" s="5">
        <f t="shared" si="20"/>
        <v>-4.4979079497907921E-2</v>
      </c>
    </row>
    <row r="1290" spans="1:8" ht="13.5" x14ac:dyDescent="0.25">
      <c r="A1290" s="1"/>
      <c r="B1290" s="3">
        <v>44186</v>
      </c>
      <c r="C1290" s="4">
        <v>45.61</v>
      </c>
      <c r="D1290" s="4">
        <v>45.61</v>
      </c>
      <c r="E1290" s="4">
        <v>65</v>
      </c>
      <c r="F1290" s="4">
        <v>45.325699999999998</v>
      </c>
      <c r="G1290" s="4">
        <v>2946.1705000000002</v>
      </c>
      <c r="H1290" s="5">
        <f t="shared" si="20"/>
        <v>-8.7623220153338775E-4</v>
      </c>
    </row>
    <row r="1291" spans="1:8" ht="13.5" x14ac:dyDescent="0.25">
      <c r="A1291" s="1"/>
      <c r="B1291" s="3">
        <v>44187</v>
      </c>
      <c r="C1291" s="4">
        <v>47.66</v>
      </c>
      <c r="D1291" s="4">
        <v>47.66</v>
      </c>
      <c r="E1291" s="4">
        <v>71</v>
      </c>
      <c r="F1291" s="4">
        <v>47.66</v>
      </c>
      <c r="G1291" s="4">
        <v>3383.86</v>
      </c>
      <c r="H1291" s="5">
        <f t="shared" si="20"/>
        <v>4.4946283709712723E-2</v>
      </c>
    </row>
    <row r="1292" spans="1:8" ht="13.5" x14ac:dyDescent="0.25">
      <c r="A1292" s="1"/>
      <c r="B1292" s="3">
        <v>44188</v>
      </c>
      <c r="C1292" s="4">
        <v>47.8</v>
      </c>
      <c r="D1292" s="4">
        <v>47.8</v>
      </c>
      <c r="E1292" s="4">
        <v>35</v>
      </c>
      <c r="F1292" s="4">
        <v>47.8</v>
      </c>
      <c r="G1292" s="4">
        <v>1673</v>
      </c>
      <c r="H1292" s="5">
        <f t="shared" si="20"/>
        <v>2.9374737725556144E-3</v>
      </c>
    </row>
    <row r="1293" spans="1:8" ht="13.5" x14ac:dyDescent="0.25">
      <c r="A1293" s="1"/>
      <c r="B1293" s="3">
        <v>44189</v>
      </c>
      <c r="C1293" s="4">
        <v>47.8</v>
      </c>
      <c r="D1293" s="4">
        <v>47.8</v>
      </c>
      <c r="E1293" s="4">
        <v>80</v>
      </c>
      <c r="F1293" s="4">
        <v>47.8</v>
      </c>
      <c r="G1293" s="4">
        <v>3824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47.8</v>
      </c>
      <c r="D1294" s="4">
        <v>47.8</v>
      </c>
      <c r="E1294" s="4">
        <v>31</v>
      </c>
      <c r="F1294" s="4">
        <v>47.8</v>
      </c>
      <c r="G1294" s="4">
        <v>1481.8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47.8</v>
      </c>
      <c r="D1295" s="4">
        <v>47.8</v>
      </c>
      <c r="E1295" s="4">
        <v>26</v>
      </c>
      <c r="F1295" s="4">
        <v>47.8</v>
      </c>
      <c r="G1295" s="4">
        <v>1242.8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47.8</v>
      </c>
      <c r="D1296" s="4">
        <v>47.8</v>
      </c>
      <c r="E1296" s="4">
        <v>0</v>
      </c>
      <c r="F1296" s="4">
        <v>0</v>
      </c>
      <c r="G1296" s="4">
        <v>0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47.8</v>
      </c>
      <c r="D1297" s="4">
        <v>47.8</v>
      </c>
      <c r="E1297" s="4">
        <v>0</v>
      </c>
      <c r="F1297" s="4">
        <v>0</v>
      </c>
      <c r="G1297" s="4">
        <v>0</v>
      </c>
      <c r="H1297" s="5">
        <f t="shared" si="20"/>
        <v>0</v>
      </c>
    </row>
    <row r="1298" spans="1:8" ht="13.5" x14ac:dyDescent="0.25">
      <c r="A1298" s="1"/>
      <c r="B1298" s="3">
        <v>44196</v>
      </c>
      <c r="C1298" s="4">
        <v>47.8</v>
      </c>
      <c r="D1298" s="4">
        <v>47.8</v>
      </c>
      <c r="E1298" s="4">
        <v>0</v>
      </c>
      <c r="F1298" s="4">
        <v>0</v>
      </c>
      <c r="G1298" s="4">
        <v>0</v>
      </c>
      <c r="H1298" s="5">
        <f t="shared" si="20"/>
        <v>0</v>
      </c>
    </row>
    <row r="1299" spans="1:8" ht="13.5" x14ac:dyDescent="0.25">
      <c r="A1299" s="1"/>
      <c r="B1299" s="3">
        <v>44200</v>
      </c>
      <c r="C1299" s="4">
        <v>47.8</v>
      </c>
      <c r="D1299" s="4">
        <v>47.8</v>
      </c>
      <c r="E1299" s="4">
        <v>0</v>
      </c>
      <c r="F1299" s="4">
        <v>0</v>
      </c>
      <c r="G1299" s="4">
        <v>0</v>
      </c>
      <c r="H1299" s="5">
        <f t="shared" si="20"/>
        <v>0</v>
      </c>
    </row>
    <row r="1300" spans="1:8" ht="13.5" x14ac:dyDescent="0.25">
      <c r="A1300" s="1"/>
      <c r="B1300" s="3">
        <v>44201</v>
      </c>
      <c r="C1300" s="4">
        <v>47.8</v>
      </c>
      <c r="D1300" s="4">
        <v>47.8</v>
      </c>
      <c r="E1300" s="4">
        <v>0</v>
      </c>
      <c r="F1300" s="4">
        <v>0</v>
      </c>
      <c r="G1300" s="4">
        <v>0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47.8</v>
      </c>
      <c r="D1301" s="4">
        <v>47.8</v>
      </c>
      <c r="E1301" s="4">
        <v>0</v>
      </c>
      <c r="F1301" s="4">
        <v>0</v>
      </c>
      <c r="G1301" s="4">
        <v>0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47.8</v>
      </c>
      <c r="D1302" s="4">
        <v>47.8</v>
      </c>
      <c r="E1302" s="4">
        <v>0</v>
      </c>
      <c r="F1302" s="4">
        <v>0</v>
      </c>
      <c r="G1302" s="4">
        <v>0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47.8</v>
      </c>
      <c r="D1303" s="4">
        <v>47.8</v>
      </c>
      <c r="E1303" s="4">
        <v>0</v>
      </c>
      <c r="F1303" s="4">
        <v>0</v>
      </c>
      <c r="G1303" s="4">
        <v>0</v>
      </c>
      <c r="H1303" s="5">
        <f t="shared" si="20"/>
        <v>0</v>
      </c>
    </row>
    <row r="1304" spans="1:8" ht="13.5" x14ac:dyDescent="0.25">
      <c r="A1304" s="1"/>
      <c r="B1304" s="3">
        <v>44207</v>
      </c>
      <c r="C1304" s="4">
        <v>47.8</v>
      </c>
      <c r="D1304" s="4">
        <v>47.8</v>
      </c>
      <c r="E1304" s="4">
        <v>0</v>
      </c>
      <c r="F1304" s="4">
        <v>0</v>
      </c>
      <c r="G1304" s="4">
        <v>0</v>
      </c>
      <c r="H1304" s="5">
        <f t="shared" si="20"/>
        <v>0</v>
      </c>
    </row>
    <row r="1305" spans="1:8" ht="13.5" x14ac:dyDescent="0.25">
      <c r="A1305" s="1"/>
      <c r="B1305" s="3">
        <v>44208</v>
      </c>
      <c r="C1305" s="4">
        <v>47.8</v>
      </c>
      <c r="D1305" s="4">
        <v>47.8</v>
      </c>
      <c r="E1305" s="4">
        <v>0</v>
      </c>
      <c r="F1305" s="4">
        <v>0</v>
      </c>
      <c r="G1305" s="4">
        <v>0</v>
      </c>
      <c r="H1305" s="5">
        <f t="shared" si="20"/>
        <v>0</v>
      </c>
    </row>
    <row r="1306" spans="1:8" ht="13.5" x14ac:dyDescent="0.25">
      <c r="A1306" s="1"/>
      <c r="B1306" s="3">
        <v>44209</v>
      </c>
      <c r="C1306" s="4">
        <v>47.8</v>
      </c>
      <c r="D1306" s="4">
        <v>47.8</v>
      </c>
      <c r="E1306" s="4">
        <v>0</v>
      </c>
      <c r="F1306" s="4">
        <v>0</v>
      </c>
      <c r="G1306" s="4">
        <v>0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47.8</v>
      </c>
      <c r="D1307" s="4">
        <v>47.8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47.8</v>
      </c>
      <c r="D1308" s="4">
        <v>47.8</v>
      </c>
      <c r="E1308" s="4">
        <v>0</v>
      </c>
      <c r="F1308" s="4">
        <v>0</v>
      </c>
      <c r="G1308" s="4">
        <v>0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47.8</v>
      </c>
      <c r="D1309" s="4">
        <v>47.8</v>
      </c>
      <c r="E1309" s="4">
        <v>0</v>
      </c>
      <c r="F1309" s="4">
        <v>0</v>
      </c>
      <c r="G1309" s="4">
        <v>0</v>
      </c>
      <c r="H1309" s="5">
        <f t="shared" si="20"/>
        <v>0</v>
      </c>
    </row>
    <row r="1310" spans="1:8" ht="13.5" x14ac:dyDescent="0.25">
      <c r="A1310" s="1"/>
      <c r="B1310" s="3">
        <v>44216</v>
      </c>
      <c r="C1310" s="4">
        <v>47.8</v>
      </c>
      <c r="D1310" s="4">
        <v>47.8</v>
      </c>
      <c r="E1310" s="4">
        <v>0</v>
      </c>
      <c r="F1310" s="4">
        <v>0</v>
      </c>
      <c r="G1310" s="4">
        <v>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47.8</v>
      </c>
      <c r="D1311" s="4">
        <v>47.8</v>
      </c>
      <c r="E1311" s="4">
        <v>0</v>
      </c>
      <c r="F1311" s="4">
        <v>0</v>
      </c>
      <c r="G1311" s="4">
        <v>0</v>
      </c>
      <c r="H1311" s="5">
        <f t="shared" si="20"/>
        <v>0</v>
      </c>
    </row>
    <row r="1312" spans="1:8" ht="13.5" x14ac:dyDescent="0.25">
      <c r="A1312" s="1"/>
      <c r="B1312" s="3">
        <v>44218</v>
      </c>
      <c r="C1312" s="4">
        <v>47.8</v>
      </c>
      <c r="D1312" s="4">
        <v>47.8</v>
      </c>
      <c r="E1312" s="4">
        <v>0</v>
      </c>
      <c r="F1312" s="4">
        <v>0</v>
      </c>
      <c r="G1312" s="4">
        <v>0</v>
      </c>
      <c r="H1312" s="5">
        <f t="shared" si="20"/>
        <v>0</v>
      </c>
    </row>
    <row r="1313" spans="1:8" ht="13.5" x14ac:dyDescent="0.25">
      <c r="A1313" s="1"/>
      <c r="B1313" s="3">
        <v>44221</v>
      </c>
      <c r="C1313" s="4">
        <v>47.8</v>
      </c>
      <c r="D1313" s="4">
        <v>47.8</v>
      </c>
      <c r="E1313" s="4">
        <v>0</v>
      </c>
      <c r="F1313" s="4">
        <v>0</v>
      </c>
      <c r="G1313" s="4">
        <v>0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47.8</v>
      </c>
      <c r="D1314" s="4">
        <v>47.8</v>
      </c>
      <c r="E1314" s="4">
        <v>0</v>
      </c>
      <c r="F1314" s="4">
        <v>0</v>
      </c>
      <c r="G1314" s="4">
        <v>0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47.8</v>
      </c>
      <c r="D1315" s="4">
        <v>47.8</v>
      </c>
      <c r="E1315" s="4">
        <v>0</v>
      </c>
      <c r="F1315" s="4">
        <v>0</v>
      </c>
      <c r="G1315" s="4">
        <v>0</v>
      </c>
      <c r="H1315" s="5">
        <f t="shared" si="20"/>
        <v>0</v>
      </c>
    </row>
    <row r="1316" spans="1:8" ht="13.5" x14ac:dyDescent="0.25">
      <c r="A1316" s="1"/>
      <c r="B1316" s="3">
        <v>44224</v>
      </c>
      <c r="C1316" s="4">
        <v>47.79</v>
      </c>
      <c r="D1316" s="4">
        <v>47.79</v>
      </c>
      <c r="E1316" s="4">
        <v>70</v>
      </c>
      <c r="F1316" s="4">
        <v>47.79</v>
      </c>
      <c r="G1316" s="4">
        <v>3345.3</v>
      </c>
      <c r="H1316" s="5">
        <f t="shared" si="20"/>
        <v>-2.0920502092046047E-4</v>
      </c>
    </row>
    <row r="1317" spans="1:8" ht="13.5" x14ac:dyDescent="0.25">
      <c r="A1317" s="1"/>
      <c r="B1317" s="3">
        <v>44225</v>
      </c>
      <c r="C1317" s="4">
        <v>47.79</v>
      </c>
      <c r="D1317" s="4">
        <v>47.79</v>
      </c>
      <c r="E1317" s="4">
        <v>0</v>
      </c>
      <c r="F1317" s="4">
        <v>0</v>
      </c>
      <c r="G1317" s="4">
        <v>0</v>
      </c>
      <c r="H1317" s="5">
        <f t="shared" si="20"/>
        <v>0</v>
      </c>
    </row>
    <row r="1318" spans="1:8" ht="13.5" x14ac:dyDescent="0.25">
      <c r="A1318" s="1"/>
      <c r="B1318" s="3">
        <v>44228</v>
      </c>
      <c r="C1318" s="4">
        <v>47.79</v>
      </c>
      <c r="D1318" s="4">
        <v>47.79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47.79</v>
      </c>
      <c r="D1319" s="4">
        <v>47.79</v>
      </c>
      <c r="E1319" s="4">
        <v>0</v>
      </c>
      <c r="F1319" s="4">
        <v>0</v>
      </c>
      <c r="G1319" s="4">
        <v>0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47.79</v>
      </c>
      <c r="D1320" s="4">
        <v>47.79</v>
      </c>
      <c r="E1320" s="4">
        <v>0</v>
      </c>
      <c r="F1320" s="4">
        <v>0</v>
      </c>
      <c r="G1320" s="4">
        <v>0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47.79</v>
      </c>
      <c r="D1321" s="4">
        <v>47.79</v>
      </c>
      <c r="E1321" s="4">
        <v>0</v>
      </c>
      <c r="F1321" s="4">
        <v>0</v>
      </c>
      <c r="G1321" s="4">
        <v>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47.79</v>
      </c>
      <c r="D1322" s="4">
        <v>47.79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47.79</v>
      </c>
      <c r="D1323" s="4">
        <v>47.79</v>
      </c>
      <c r="E1323" s="4">
        <v>0</v>
      </c>
      <c r="F1323" s="4">
        <v>0</v>
      </c>
      <c r="G1323" s="4">
        <v>0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47.79</v>
      </c>
      <c r="D1324" s="4">
        <v>47.79</v>
      </c>
      <c r="E1324" s="4">
        <v>0</v>
      </c>
      <c r="F1324" s="4">
        <v>0</v>
      </c>
      <c r="G1324" s="4">
        <v>0</v>
      </c>
      <c r="H1324" s="5">
        <f t="shared" si="20"/>
        <v>0</v>
      </c>
    </row>
    <row r="1325" spans="1:8" ht="13.5" x14ac:dyDescent="0.25">
      <c r="A1325" s="1"/>
      <c r="B1325" s="3">
        <v>44237</v>
      </c>
      <c r="C1325" s="4">
        <v>47.79</v>
      </c>
      <c r="D1325" s="4">
        <v>47.79</v>
      </c>
      <c r="E1325" s="4">
        <v>0</v>
      </c>
      <c r="F1325" s="4">
        <v>0</v>
      </c>
      <c r="G1325" s="4">
        <v>0</v>
      </c>
      <c r="H1325" s="5">
        <f t="shared" si="20"/>
        <v>0</v>
      </c>
    </row>
    <row r="1326" spans="1:8" ht="13.5" x14ac:dyDescent="0.25">
      <c r="A1326" s="1"/>
      <c r="B1326" s="3">
        <v>44238</v>
      </c>
      <c r="C1326" s="4">
        <v>47.79</v>
      </c>
      <c r="D1326" s="4">
        <v>47.79</v>
      </c>
      <c r="E1326" s="4">
        <v>0</v>
      </c>
      <c r="F1326" s="4">
        <v>0</v>
      </c>
      <c r="G1326" s="4">
        <v>0</v>
      </c>
      <c r="H1326" s="5">
        <f t="shared" si="20"/>
        <v>0</v>
      </c>
    </row>
    <row r="1327" spans="1:8" ht="13.5" x14ac:dyDescent="0.25">
      <c r="A1327" s="1"/>
      <c r="B1327" s="3">
        <v>44239</v>
      </c>
      <c r="C1327" s="4">
        <v>45.64</v>
      </c>
      <c r="D1327" s="4">
        <v>45.64</v>
      </c>
      <c r="E1327" s="4">
        <v>0</v>
      </c>
      <c r="F1327" s="4">
        <v>0</v>
      </c>
      <c r="G1327" s="4">
        <v>0</v>
      </c>
      <c r="H1327" s="5">
        <f t="shared" si="20"/>
        <v>-4.4988491316174904E-2</v>
      </c>
    </row>
    <row r="1328" spans="1:8" ht="13.5" x14ac:dyDescent="0.25">
      <c r="A1328" s="1"/>
      <c r="B1328" s="3">
        <v>44242</v>
      </c>
      <c r="C1328" s="4">
        <v>45.64</v>
      </c>
      <c r="D1328" s="4">
        <v>45.64</v>
      </c>
      <c r="E1328" s="4">
        <v>0</v>
      </c>
      <c r="F1328" s="4">
        <v>0</v>
      </c>
      <c r="G1328" s="4">
        <v>0</v>
      </c>
      <c r="H1328" s="5">
        <f t="shared" si="20"/>
        <v>0</v>
      </c>
    </row>
    <row r="1329" spans="1:8" ht="13.5" x14ac:dyDescent="0.25">
      <c r="A1329" s="1"/>
      <c r="B1329" s="3">
        <v>44243</v>
      </c>
      <c r="C1329" s="4">
        <v>45.64</v>
      </c>
      <c r="D1329" s="4">
        <v>45.64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45.64</v>
      </c>
      <c r="D1330" s="4">
        <v>45.64</v>
      </c>
      <c r="E1330" s="4">
        <v>0</v>
      </c>
      <c r="F1330" s="4">
        <v>0</v>
      </c>
      <c r="G1330" s="4">
        <v>0</v>
      </c>
      <c r="H1330" s="5">
        <f t="shared" si="20"/>
        <v>0</v>
      </c>
    </row>
    <row r="1331" spans="1:8" ht="13.5" x14ac:dyDescent="0.25">
      <c r="A1331" s="1"/>
      <c r="B1331" s="3">
        <v>44245</v>
      </c>
      <c r="C1331" s="4">
        <v>45.64</v>
      </c>
      <c r="D1331" s="4">
        <v>45.64</v>
      </c>
      <c r="E1331" s="4">
        <v>0</v>
      </c>
      <c r="F1331" s="4">
        <v>0</v>
      </c>
      <c r="G1331" s="4">
        <v>0</v>
      </c>
      <c r="H1331" s="5">
        <f t="shared" si="20"/>
        <v>0</v>
      </c>
    </row>
    <row r="1332" spans="1:8" ht="13.5" x14ac:dyDescent="0.25">
      <c r="A1332" s="1"/>
      <c r="B1332" s="3">
        <v>44246</v>
      </c>
      <c r="C1332" s="4">
        <v>45.64</v>
      </c>
      <c r="D1332" s="4">
        <v>45.64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45.64</v>
      </c>
      <c r="D1333" s="4">
        <v>45.64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45.64</v>
      </c>
      <c r="D1334" s="4">
        <v>45.64</v>
      </c>
      <c r="E1334" s="4">
        <v>0</v>
      </c>
      <c r="F1334" s="4">
        <v>0</v>
      </c>
      <c r="G1334" s="4">
        <v>0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45.64</v>
      </c>
      <c r="D1335" s="4">
        <v>45.64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45.64</v>
      </c>
      <c r="D1336" s="4">
        <v>45.64</v>
      </c>
      <c r="E1336" s="4">
        <v>0</v>
      </c>
      <c r="F1336" s="4">
        <v>0</v>
      </c>
      <c r="G1336" s="4">
        <v>0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45.64</v>
      </c>
      <c r="D1337" s="4">
        <v>45.64</v>
      </c>
      <c r="E1337" s="4">
        <v>0</v>
      </c>
      <c r="F1337" s="4">
        <v>0</v>
      </c>
      <c r="G1337" s="4">
        <v>0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45.64</v>
      </c>
      <c r="D1338" s="4">
        <v>45.64</v>
      </c>
      <c r="E1338" s="4">
        <v>0</v>
      </c>
      <c r="F1338" s="4">
        <v>0</v>
      </c>
      <c r="G1338" s="4">
        <v>0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45.64</v>
      </c>
      <c r="D1339" s="4">
        <v>45.64</v>
      </c>
      <c r="E1339" s="4">
        <v>0</v>
      </c>
      <c r="F1339" s="4">
        <v>0</v>
      </c>
      <c r="G1339" s="4">
        <v>0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45.64</v>
      </c>
      <c r="D1340" s="4">
        <v>45.64</v>
      </c>
      <c r="E1340" s="4">
        <v>0</v>
      </c>
      <c r="F1340" s="4">
        <v>0</v>
      </c>
      <c r="G1340" s="4">
        <v>0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45.64</v>
      </c>
      <c r="D1341" s="4">
        <v>45.64</v>
      </c>
      <c r="E1341" s="4">
        <v>0</v>
      </c>
      <c r="F1341" s="4">
        <v>0</v>
      </c>
      <c r="G1341" s="4">
        <v>0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45.64</v>
      </c>
      <c r="D1342" s="4">
        <v>45.64</v>
      </c>
      <c r="E1342" s="4">
        <v>11</v>
      </c>
      <c r="F1342" s="4">
        <v>45.64</v>
      </c>
      <c r="G1342" s="4">
        <v>502.04</v>
      </c>
      <c r="H1342" s="5">
        <f t="shared" si="20"/>
        <v>0</v>
      </c>
    </row>
    <row r="1343" spans="1:8" ht="13.5" x14ac:dyDescent="0.25">
      <c r="A1343" s="1"/>
      <c r="B1343" s="3">
        <v>44263</v>
      </c>
      <c r="C1343" s="4">
        <v>45.64</v>
      </c>
      <c r="D1343" s="4">
        <v>45.64</v>
      </c>
      <c r="E1343" s="4">
        <v>0</v>
      </c>
      <c r="F1343" s="4">
        <v>0</v>
      </c>
      <c r="G1343" s="4">
        <v>0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45.64</v>
      </c>
      <c r="D1344" s="4">
        <v>45.64</v>
      </c>
      <c r="E1344" s="4">
        <v>29</v>
      </c>
      <c r="F1344" s="4">
        <v>45.64</v>
      </c>
      <c r="G1344" s="4">
        <v>1323.56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45.64</v>
      </c>
      <c r="D1345" s="4">
        <v>45.64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45.64</v>
      </c>
      <c r="D1346" s="4">
        <v>45.64</v>
      </c>
      <c r="E1346" s="4">
        <v>0</v>
      </c>
      <c r="F1346" s="4">
        <v>0</v>
      </c>
      <c r="G1346" s="4">
        <v>0</v>
      </c>
      <c r="H1346" s="5">
        <f t="shared" si="20"/>
        <v>0</v>
      </c>
    </row>
    <row r="1347" spans="1:8" ht="13.5" x14ac:dyDescent="0.25">
      <c r="A1347" s="1"/>
      <c r="B1347" s="3">
        <v>44267</v>
      </c>
      <c r="C1347" s="4">
        <v>45.64</v>
      </c>
      <c r="D1347" s="4">
        <v>45.64</v>
      </c>
      <c r="E1347" s="4">
        <v>0</v>
      </c>
      <c r="F1347" s="4">
        <v>0</v>
      </c>
      <c r="G1347" s="4">
        <v>0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45.64</v>
      </c>
      <c r="D1348" s="4">
        <v>45.64</v>
      </c>
      <c r="E1348" s="4">
        <v>0</v>
      </c>
      <c r="F1348" s="4">
        <v>0</v>
      </c>
      <c r="G1348" s="4">
        <v>0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45.64</v>
      </c>
      <c r="D1349" s="4">
        <v>45.64</v>
      </c>
      <c r="E1349" s="4">
        <v>0</v>
      </c>
      <c r="F1349" s="4">
        <v>0</v>
      </c>
      <c r="G1349" s="4">
        <v>0</v>
      </c>
      <c r="H1349" s="5">
        <f t="shared" si="20"/>
        <v>0</v>
      </c>
    </row>
    <row r="1350" spans="1:8" ht="13.5" x14ac:dyDescent="0.25">
      <c r="A1350" s="1"/>
      <c r="B1350" s="3">
        <v>44272</v>
      </c>
      <c r="C1350" s="4">
        <v>45.64</v>
      </c>
      <c r="D1350" s="4">
        <v>45.64</v>
      </c>
      <c r="E1350" s="4">
        <v>0</v>
      </c>
      <c r="F1350" s="4">
        <v>0</v>
      </c>
      <c r="G1350" s="4">
        <v>0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45.64</v>
      </c>
      <c r="D1351" s="4">
        <v>45.64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45.64</v>
      </c>
      <c r="D1352" s="4">
        <v>45.64</v>
      </c>
      <c r="E1352" s="4">
        <v>0</v>
      </c>
      <c r="F1352" s="4">
        <v>0</v>
      </c>
      <c r="G1352" s="4">
        <v>0</v>
      </c>
      <c r="H1352" s="5">
        <f t="shared" si="21"/>
        <v>0</v>
      </c>
    </row>
    <row r="1353" spans="1:8" ht="13.5" x14ac:dyDescent="0.25">
      <c r="A1353" s="1"/>
      <c r="B1353" s="3">
        <v>44277</v>
      </c>
      <c r="C1353" s="4">
        <v>45.64</v>
      </c>
      <c r="D1353" s="4">
        <v>45.64</v>
      </c>
      <c r="E1353" s="4">
        <v>0</v>
      </c>
      <c r="F1353" s="4">
        <v>0</v>
      </c>
      <c r="G1353" s="4">
        <v>0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45.64</v>
      </c>
      <c r="D1354" s="4">
        <v>45.64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45.64</v>
      </c>
      <c r="D1355" s="4">
        <v>45.64</v>
      </c>
      <c r="E1355" s="4">
        <v>0</v>
      </c>
      <c r="F1355" s="4">
        <v>0</v>
      </c>
      <c r="G1355" s="4">
        <v>0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45.64</v>
      </c>
      <c r="D1356" s="4">
        <v>45.64</v>
      </c>
      <c r="E1356" s="4">
        <v>0</v>
      </c>
      <c r="F1356" s="4">
        <v>0</v>
      </c>
      <c r="G1356" s="4">
        <v>0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45.64</v>
      </c>
      <c r="D1357" s="4">
        <v>45.64</v>
      </c>
      <c r="E1357" s="4">
        <v>0</v>
      </c>
      <c r="F1357" s="4">
        <v>0</v>
      </c>
      <c r="G1357" s="4">
        <v>0</v>
      </c>
      <c r="H1357" s="5">
        <f t="shared" si="21"/>
        <v>0</v>
      </c>
    </row>
    <row r="1358" spans="1:8" ht="13.5" x14ac:dyDescent="0.25">
      <c r="A1358" s="1"/>
      <c r="B1358" s="3">
        <v>44284</v>
      </c>
      <c r="C1358" s="4">
        <v>45.64</v>
      </c>
      <c r="D1358" s="4">
        <v>45.64</v>
      </c>
      <c r="E1358" s="4">
        <v>0</v>
      </c>
      <c r="F1358" s="4">
        <v>0</v>
      </c>
      <c r="G1358" s="4">
        <v>0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45.64</v>
      </c>
      <c r="D1359" s="4">
        <v>45.64</v>
      </c>
      <c r="E1359" s="4">
        <v>0</v>
      </c>
      <c r="F1359" s="4">
        <v>0</v>
      </c>
      <c r="G1359" s="4">
        <v>0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45.64</v>
      </c>
      <c r="D1360" s="4">
        <v>45.64</v>
      </c>
      <c r="E1360" s="4">
        <v>0</v>
      </c>
      <c r="F1360" s="4">
        <v>0</v>
      </c>
      <c r="G1360" s="4">
        <v>0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45.64</v>
      </c>
      <c r="D1361" s="4">
        <v>45.64</v>
      </c>
      <c r="E1361" s="4">
        <v>0</v>
      </c>
      <c r="F1361" s="4">
        <v>0</v>
      </c>
      <c r="G1361" s="4">
        <v>0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45.64</v>
      </c>
      <c r="D1362" s="4">
        <v>45.64</v>
      </c>
      <c r="E1362" s="4">
        <v>0</v>
      </c>
      <c r="F1362" s="4">
        <v>0</v>
      </c>
      <c r="G1362" s="4">
        <v>0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45.64</v>
      </c>
      <c r="D1363" s="4">
        <v>45.64</v>
      </c>
      <c r="E1363" s="4">
        <v>0</v>
      </c>
      <c r="F1363" s="4">
        <v>0</v>
      </c>
      <c r="G1363" s="4">
        <v>0</v>
      </c>
      <c r="H1363" s="5">
        <f t="shared" si="21"/>
        <v>0</v>
      </c>
    </row>
    <row r="1364" spans="1:8" ht="13.5" x14ac:dyDescent="0.25">
      <c r="A1364" s="1"/>
      <c r="B1364" s="3">
        <v>44292</v>
      </c>
      <c r="C1364" s="4">
        <v>45.64</v>
      </c>
      <c r="D1364" s="4">
        <v>45.64</v>
      </c>
      <c r="E1364" s="4">
        <v>0</v>
      </c>
      <c r="F1364" s="4">
        <v>0</v>
      </c>
      <c r="G1364" s="4">
        <v>0</v>
      </c>
      <c r="H1364" s="5">
        <f t="shared" si="21"/>
        <v>0</v>
      </c>
    </row>
    <row r="1365" spans="1:8" ht="13.5" x14ac:dyDescent="0.25">
      <c r="A1365" s="1"/>
      <c r="B1365" s="3">
        <v>44293</v>
      </c>
      <c r="C1365" s="4">
        <v>45.64</v>
      </c>
      <c r="D1365" s="4">
        <v>45.64</v>
      </c>
      <c r="E1365" s="4">
        <v>0</v>
      </c>
      <c r="F1365" s="4">
        <v>0</v>
      </c>
      <c r="G1365" s="4">
        <v>0</v>
      </c>
      <c r="H1365" s="5">
        <f t="shared" si="21"/>
        <v>0</v>
      </c>
    </row>
    <row r="1366" spans="1:8" ht="13.5" x14ac:dyDescent="0.25">
      <c r="A1366" s="1"/>
      <c r="B1366" s="3">
        <v>44294</v>
      </c>
      <c r="C1366" s="4">
        <v>45.64</v>
      </c>
      <c r="D1366" s="4">
        <v>45.64</v>
      </c>
      <c r="E1366" s="4">
        <v>0</v>
      </c>
      <c r="F1366" s="4">
        <v>0</v>
      </c>
      <c r="G1366" s="4">
        <v>0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45.64</v>
      </c>
      <c r="D1367" s="4">
        <v>45.64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45.64</v>
      </c>
      <c r="D1368" s="4">
        <v>45.64</v>
      </c>
      <c r="E1368" s="4">
        <v>0</v>
      </c>
      <c r="F1368" s="4">
        <v>0</v>
      </c>
      <c r="G1368" s="4">
        <v>0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45.64</v>
      </c>
      <c r="D1369" s="4">
        <v>45.64</v>
      </c>
      <c r="E1369" s="4">
        <v>0</v>
      </c>
      <c r="F1369" s="4">
        <v>0</v>
      </c>
      <c r="G1369" s="4">
        <v>0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45.64</v>
      </c>
      <c r="D1370" s="4">
        <v>45.64</v>
      </c>
      <c r="E1370" s="4">
        <v>0</v>
      </c>
      <c r="F1370" s="4">
        <v>0</v>
      </c>
      <c r="G1370" s="4">
        <v>0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45.64</v>
      </c>
      <c r="D1371" s="4">
        <v>45.64</v>
      </c>
      <c r="E1371" s="4">
        <v>0</v>
      </c>
      <c r="F1371" s="4">
        <v>0</v>
      </c>
      <c r="G1371" s="4">
        <v>0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45.64</v>
      </c>
      <c r="D1372" s="4">
        <v>45.64</v>
      </c>
      <c r="E1372" s="4">
        <v>0</v>
      </c>
      <c r="F1372" s="4">
        <v>0</v>
      </c>
      <c r="G1372" s="4">
        <v>0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45.64</v>
      </c>
      <c r="D1373" s="4">
        <v>45.64</v>
      </c>
      <c r="E1373" s="4">
        <v>0</v>
      </c>
      <c r="F1373" s="4">
        <v>0</v>
      </c>
      <c r="G1373" s="4">
        <v>0</v>
      </c>
      <c r="H1373" s="5">
        <f t="shared" si="21"/>
        <v>0</v>
      </c>
    </row>
    <row r="1374" spans="1:8" ht="13.5" x14ac:dyDescent="0.25">
      <c r="A1374" s="1"/>
      <c r="B1374" s="3">
        <v>44307</v>
      </c>
      <c r="C1374" s="4">
        <v>45.64</v>
      </c>
      <c r="D1374" s="4">
        <v>45.64</v>
      </c>
      <c r="E1374" s="4">
        <v>0</v>
      </c>
      <c r="F1374" s="4">
        <v>0</v>
      </c>
      <c r="G1374" s="4">
        <v>0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45.64</v>
      </c>
      <c r="D1375" s="4">
        <v>45.64</v>
      </c>
      <c r="E1375" s="4">
        <v>0</v>
      </c>
      <c r="F1375" s="4">
        <v>0</v>
      </c>
      <c r="G1375" s="4">
        <v>0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45.64</v>
      </c>
      <c r="D1376" s="4">
        <v>45.64</v>
      </c>
      <c r="E1376" s="4">
        <v>0</v>
      </c>
      <c r="F1376" s="4">
        <v>0</v>
      </c>
      <c r="G1376" s="4">
        <v>0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45.64</v>
      </c>
      <c r="D1377" s="4">
        <v>45.64</v>
      </c>
      <c r="E1377" s="4">
        <v>0</v>
      </c>
      <c r="F1377" s="4">
        <v>0</v>
      </c>
      <c r="G1377" s="4">
        <v>0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45.64</v>
      </c>
      <c r="D1378" s="4">
        <v>45.64</v>
      </c>
      <c r="E1378" s="4">
        <v>0</v>
      </c>
      <c r="F1378" s="4">
        <v>0</v>
      </c>
      <c r="G1378" s="4">
        <v>0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45.64</v>
      </c>
      <c r="D1379" s="4">
        <v>45.64</v>
      </c>
      <c r="E1379" s="4">
        <v>0</v>
      </c>
      <c r="F1379" s="4">
        <v>0</v>
      </c>
      <c r="G1379" s="4">
        <v>0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44.28</v>
      </c>
      <c r="D1380" s="4">
        <v>44.28</v>
      </c>
      <c r="E1380" s="4">
        <v>0</v>
      </c>
      <c r="F1380" s="4">
        <v>0</v>
      </c>
      <c r="G1380" s="4">
        <v>0</v>
      </c>
      <c r="H1380" s="5">
        <f t="shared" si="21"/>
        <v>-2.9798422436459235E-2</v>
      </c>
    </row>
    <row r="1381" spans="1:8" ht="13.5" x14ac:dyDescent="0.25">
      <c r="A1381" s="1"/>
      <c r="B1381" s="3">
        <v>44316</v>
      </c>
      <c r="C1381" s="4">
        <v>44.28</v>
      </c>
      <c r="D1381" s="4">
        <v>44.28</v>
      </c>
      <c r="E1381" s="4">
        <v>0</v>
      </c>
      <c r="F1381" s="4">
        <v>0</v>
      </c>
      <c r="G1381" s="4">
        <v>0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44.28</v>
      </c>
      <c r="D1382" s="4">
        <v>44.28</v>
      </c>
      <c r="E1382" s="4">
        <v>0</v>
      </c>
      <c r="F1382" s="4">
        <v>0</v>
      </c>
      <c r="G1382" s="4">
        <v>0</v>
      </c>
      <c r="H1382" s="5">
        <f t="shared" si="21"/>
        <v>0</v>
      </c>
    </row>
    <row r="1383" spans="1:8" ht="13.5" x14ac:dyDescent="0.25">
      <c r="A1383" s="1"/>
      <c r="B1383" s="3">
        <v>44320</v>
      </c>
      <c r="C1383" s="4">
        <v>44.28</v>
      </c>
      <c r="D1383" s="4">
        <v>44.28</v>
      </c>
      <c r="E1383" s="4">
        <v>0</v>
      </c>
      <c r="F1383" s="4">
        <v>0</v>
      </c>
      <c r="G1383" s="4">
        <v>0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44.28</v>
      </c>
      <c r="D1384" s="4">
        <v>44.28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44.28</v>
      </c>
      <c r="D1385" s="4">
        <v>44.28</v>
      </c>
      <c r="E1385" s="4">
        <v>0</v>
      </c>
      <c r="F1385" s="4">
        <v>0</v>
      </c>
      <c r="G1385" s="4">
        <v>0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44.28</v>
      </c>
      <c r="D1386" s="4">
        <v>44.28</v>
      </c>
      <c r="E1386" s="4">
        <v>0</v>
      </c>
      <c r="F1386" s="4">
        <v>0</v>
      </c>
      <c r="G1386" s="4">
        <v>0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44.28</v>
      </c>
      <c r="D1387" s="4">
        <v>44.28</v>
      </c>
      <c r="E1387" s="4">
        <v>0</v>
      </c>
      <c r="F1387" s="4">
        <v>0</v>
      </c>
      <c r="G1387" s="4">
        <v>0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44.28</v>
      </c>
      <c r="D1388" s="4">
        <v>44.28</v>
      </c>
      <c r="E1388" s="4">
        <v>0</v>
      </c>
      <c r="F1388" s="4">
        <v>0</v>
      </c>
      <c r="G1388" s="4">
        <v>0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44.28</v>
      </c>
      <c r="D1389" s="4">
        <v>44.28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44.28</v>
      </c>
      <c r="D1390" s="4">
        <v>44.28</v>
      </c>
      <c r="E1390" s="4">
        <v>0</v>
      </c>
      <c r="F1390" s="4">
        <v>0</v>
      </c>
      <c r="G1390" s="4">
        <v>0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44.28</v>
      </c>
      <c r="D1391" s="4">
        <v>44.28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44.28</v>
      </c>
      <c r="D1392" s="4">
        <v>44.28</v>
      </c>
      <c r="E1392" s="4">
        <v>0</v>
      </c>
      <c r="F1392" s="4">
        <v>0</v>
      </c>
      <c r="G1392" s="4">
        <v>0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42.29</v>
      </c>
      <c r="D1393" s="4">
        <v>42.29</v>
      </c>
      <c r="E1393" s="4">
        <v>0</v>
      </c>
      <c r="F1393" s="4">
        <v>0</v>
      </c>
      <c r="G1393" s="4">
        <v>0</v>
      </c>
      <c r="H1393" s="5">
        <f t="shared" si="21"/>
        <v>-4.4941282746160841E-2</v>
      </c>
    </row>
    <row r="1394" spans="1:8" ht="13.5" x14ac:dyDescent="0.25">
      <c r="A1394" s="1"/>
      <c r="B1394" s="3">
        <v>44340</v>
      </c>
      <c r="C1394" s="4">
        <v>42.29</v>
      </c>
      <c r="D1394" s="4">
        <v>42.29</v>
      </c>
      <c r="E1394" s="4">
        <v>0</v>
      </c>
      <c r="F1394" s="4">
        <v>0</v>
      </c>
      <c r="G1394" s="4">
        <v>0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42.29</v>
      </c>
      <c r="D1395" s="4">
        <v>42.29</v>
      </c>
      <c r="E1395" s="4">
        <v>0</v>
      </c>
      <c r="F1395" s="4">
        <v>0</v>
      </c>
      <c r="G1395" s="4">
        <v>0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42.29</v>
      </c>
      <c r="D1396" s="4">
        <v>42.29</v>
      </c>
      <c r="E1396" s="4">
        <v>0</v>
      </c>
      <c r="F1396" s="4">
        <v>0</v>
      </c>
      <c r="G1396" s="4">
        <v>0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42.29</v>
      </c>
      <c r="D1397" s="4">
        <v>42.29</v>
      </c>
      <c r="E1397" s="4">
        <v>0</v>
      </c>
      <c r="F1397" s="4">
        <v>0</v>
      </c>
      <c r="G1397" s="4">
        <v>0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42.29</v>
      </c>
      <c r="D1398" s="4">
        <v>42.29</v>
      </c>
      <c r="E1398" s="4">
        <v>0</v>
      </c>
      <c r="F1398" s="4">
        <v>0</v>
      </c>
      <c r="G1398" s="4">
        <v>0</v>
      </c>
      <c r="H1398" s="5">
        <f t="shared" si="21"/>
        <v>0</v>
      </c>
    </row>
    <row r="1399" spans="1:8" ht="13.5" x14ac:dyDescent="0.25">
      <c r="A1399" s="1"/>
      <c r="B1399" s="3">
        <v>44347</v>
      </c>
      <c r="C1399" s="4">
        <v>42.29</v>
      </c>
      <c r="D1399" s="4">
        <v>42.29</v>
      </c>
      <c r="E1399" s="4">
        <v>0</v>
      </c>
      <c r="F1399" s="4">
        <v>0</v>
      </c>
      <c r="G1399" s="4">
        <v>0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42.29</v>
      </c>
      <c r="D1400" s="4">
        <v>42.29</v>
      </c>
      <c r="E1400" s="4">
        <v>0</v>
      </c>
      <c r="F1400" s="4">
        <v>0</v>
      </c>
      <c r="G1400" s="4">
        <v>0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42.29</v>
      </c>
      <c r="D1401" s="4">
        <v>42.29</v>
      </c>
      <c r="E1401" s="4">
        <v>0</v>
      </c>
      <c r="F1401" s="4">
        <v>0</v>
      </c>
      <c r="G1401" s="4">
        <v>0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42.29</v>
      </c>
      <c r="D1402" s="4">
        <v>42.29</v>
      </c>
      <c r="E1402" s="4">
        <v>0</v>
      </c>
      <c r="F1402" s="4">
        <v>0</v>
      </c>
      <c r="G1402" s="4">
        <v>0</v>
      </c>
      <c r="H1402" s="5">
        <f t="shared" si="21"/>
        <v>0</v>
      </c>
    </row>
    <row r="1403" spans="1:8" ht="13.5" x14ac:dyDescent="0.25">
      <c r="A1403" s="1"/>
      <c r="B1403" s="3">
        <v>44351</v>
      </c>
      <c r="C1403" s="4">
        <v>42.29</v>
      </c>
      <c r="D1403" s="4">
        <v>42.29</v>
      </c>
      <c r="E1403" s="4">
        <v>0</v>
      </c>
      <c r="F1403" s="4">
        <v>0</v>
      </c>
      <c r="G1403" s="4">
        <v>0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42.29</v>
      </c>
      <c r="D1404" s="4">
        <v>42.29</v>
      </c>
      <c r="E1404" s="4">
        <v>0</v>
      </c>
      <c r="F1404" s="4">
        <v>0</v>
      </c>
      <c r="G1404" s="4">
        <v>0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42.29</v>
      </c>
      <c r="D1405" s="4">
        <v>42.29</v>
      </c>
      <c r="E1405" s="4">
        <v>0</v>
      </c>
      <c r="F1405" s="4">
        <v>0</v>
      </c>
      <c r="G1405" s="4">
        <v>0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42.29</v>
      </c>
      <c r="D1406" s="4">
        <v>42.29</v>
      </c>
      <c r="E1406" s="4">
        <v>0</v>
      </c>
      <c r="F1406" s="4">
        <v>0</v>
      </c>
      <c r="G1406" s="4">
        <v>0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42.29</v>
      </c>
      <c r="D1407" s="4">
        <v>42.29</v>
      </c>
      <c r="E1407" s="4">
        <v>0</v>
      </c>
      <c r="F1407" s="4">
        <v>0</v>
      </c>
      <c r="G1407" s="4">
        <v>0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42.29</v>
      </c>
      <c r="D1408" s="4">
        <v>42.29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42.29</v>
      </c>
      <c r="D1409" s="4">
        <v>42.29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42.29</v>
      </c>
      <c r="D1410" s="4">
        <v>42.29</v>
      </c>
      <c r="E1410" s="4">
        <v>0</v>
      </c>
      <c r="F1410" s="4">
        <v>0</v>
      </c>
      <c r="G1410" s="4">
        <v>0</v>
      </c>
      <c r="H1410" s="5">
        <f t="shared" si="21"/>
        <v>0</v>
      </c>
    </row>
    <row r="1411" spans="1:8" ht="13.5" x14ac:dyDescent="0.25">
      <c r="A1411" s="1"/>
      <c r="B1411" s="3">
        <v>44363</v>
      </c>
      <c r="C1411" s="4">
        <v>42.29</v>
      </c>
      <c r="D1411" s="4">
        <v>42.29</v>
      </c>
      <c r="E1411" s="4">
        <v>0</v>
      </c>
      <c r="F1411" s="4">
        <v>0</v>
      </c>
      <c r="G1411" s="4">
        <v>0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42.29</v>
      </c>
      <c r="D1412" s="4">
        <v>42.29</v>
      </c>
      <c r="E1412" s="4">
        <v>0</v>
      </c>
      <c r="F1412" s="4">
        <v>0</v>
      </c>
      <c r="G1412" s="4">
        <v>0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42.29</v>
      </c>
      <c r="D1413" s="4">
        <v>42.29</v>
      </c>
      <c r="E1413" s="4">
        <v>0</v>
      </c>
      <c r="F1413" s="4">
        <v>0</v>
      </c>
      <c r="G1413" s="4">
        <v>0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42.29</v>
      </c>
      <c r="D1414" s="4">
        <v>42.29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42.29</v>
      </c>
      <c r="D1415" s="4">
        <v>42.29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42.29</v>
      </c>
      <c r="D1416" s="4">
        <v>42.29</v>
      </c>
      <c r="E1416" s="4">
        <v>0</v>
      </c>
      <c r="F1416" s="4">
        <v>0</v>
      </c>
      <c r="G1416" s="4">
        <v>0</v>
      </c>
      <c r="H1416" s="5">
        <f t="shared" si="22"/>
        <v>0</v>
      </c>
    </row>
    <row r="1417" spans="1:8" ht="13.5" x14ac:dyDescent="0.25">
      <c r="A1417" s="1"/>
      <c r="B1417" s="3">
        <v>44371</v>
      </c>
      <c r="C1417" s="4">
        <v>42.29</v>
      </c>
      <c r="D1417" s="4">
        <v>42.29</v>
      </c>
      <c r="E1417" s="4">
        <v>0</v>
      </c>
      <c r="F1417" s="4">
        <v>0</v>
      </c>
      <c r="G1417" s="4">
        <v>0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42.29</v>
      </c>
      <c r="D1418" s="4">
        <v>42.29</v>
      </c>
      <c r="E1418" s="4">
        <v>0</v>
      </c>
      <c r="F1418" s="4">
        <v>0</v>
      </c>
      <c r="G1418" s="4">
        <v>0</v>
      </c>
      <c r="H1418" s="5">
        <f t="shared" si="22"/>
        <v>0</v>
      </c>
    </row>
    <row r="1419" spans="1:8" ht="13.5" x14ac:dyDescent="0.25">
      <c r="A1419" s="1"/>
      <c r="B1419" s="3">
        <v>44375</v>
      </c>
      <c r="C1419" s="4">
        <v>42.29</v>
      </c>
      <c r="D1419" s="4">
        <v>42.29</v>
      </c>
      <c r="E1419" s="4">
        <v>0</v>
      </c>
      <c r="F1419" s="4">
        <v>0</v>
      </c>
      <c r="G1419" s="4">
        <v>0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42.29</v>
      </c>
      <c r="D1420" s="4">
        <v>42.29</v>
      </c>
      <c r="E1420" s="4">
        <v>0</v>
      </c>
      <c r="F1420" s="4">
        <v>0</v>
      </c>
      <c r="G1420" s="4">
        <v>0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42.29</v>
      </c>
      <c r="D1421" s="4">
        <v>42.29</v>
      </c>
      <c r="E1421" s="4">
        <v>0</v>
      </c>
      <c r="F1421" s="4">
        <v>0</v>
      </c>
      <c r="G1421" s="4">
        <v>0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42.29</v>
      </c>
      <c r="D1422" s="4">
        <v>42.29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42.29</v>
      </c>
      <c r="D1423" s="4">
        <v>42.29</v>
      </c>
      <c r="E1423" s="4">
        <v>0</v>
      </c>
      <c r="F1423" s="4">
        <v>0</v>
      </c>
      <c r="G1423" s="4">
        <v>0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42.29</v>
      </c>
      <c r="D1424" s="4">
        <v>42.29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42.29</v>
      </c>
      <c r="D1425" s="4">
        <v>42.29</v>
      </c>
      <c r="E1425" s="4">
        <v>0</v>
      </c>
      <c r="F1425" s="4">
        <v>0</v>
      </c>
      <c r="G1425" s="4">
        <v>0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42.29</v>
      </c>
      <c r="D1426" s="4">
        <v>42.29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42.29</v>
      </c>
      <c r="D1427" s="4">
        <v>42.29</v>
      </c>
      <c r="E1427" s="4">
        <v>0</v>
      </c>
      <c r="F1427" s="4">
        <v>0</v>
      </c>
      <c r="G1427" s="4">
        <v>0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42.29</v>
      </c>
      <c r="D1428" s="4">
        <v>42.29</v>
      </c>
      <c r="E1428" s="4">
        <v>0</v>
      </c>
      <c r="F1428" s="4">
        <v>0</v>
      </c>
      <c r="G1428" s="4">
        <v>0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42.29</v>
      </c>
      <c r="D1429" s="4">
        <v>42.29</v>
      </c>
      <c r="E1429" s="4">
        <v>0</v>
      </c>
      <c r="F1429" s="4">
        <v>0</v>
      </c>
      <c r="G1429" s="4">
        <v>0</v>
      </c>
      <c r="H1429" s="5">
        <f t="shared" si="22"/>
        <v>0</v>
      </c>
    </row>
    <row r="1430" spans="1:8" ht="13.5" x14ac:dyDescent="0.25">
      <c r="A1430" s="1"/>
      <c r="B1430" s="3">
        <v>44390</v>
      </c>
      <c r="C1430" s="4">
        <v>42.29</v>
      </c>
      <c r="D1430" s="4">
        <v>42.29</v>
      </c>
      <c r="E1430" s="4">
        <v>0</v>
      </c>
      <c r="F1430" s="4">
        <v>0</v>
      </c>
      <c r="G1430" s="4">
        <v>0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42.29</v>
      </c>
      <c r="D1431" s="4">
        <v>42.29</v>
      </c>
      <c r="E1431" s="4">
        <v>0</v>
      </c>
      <c r="F1431" s="4">
        <v>0</v>
      </c>
      <c r="G1431" s="4">
        <v>0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42.29</v>
      </c>
      <c r="D1432" s="4">
        <v>42.29</v>
      </c>
      <c r="E1432" s="4">
        <v>0</v>
      </c>
      <c r="F1432" s="4">
        <v>0</v>
      </c>
      <c r="G1432" s="4">
        <v>0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42.29</v>
      </c>
      <c r="D1433" s="4">
        <v>42.29</v>
      </c>
      <c r="E1433" s="4">
        <v>0</v>
      </c>
      <c r="F1433" s="4">
        <v>0</v>
      </c>
      <c r="G1433" s="4">
        <v>0</v>
      </c>
      <c r="H1433" s="5">
        <f t="shared" si="22"/>
        <v>0</v>
      </c>
    </row>
    <row r="1434" spans="1:8" ht="13.5" x14ac:dyDescent="0.25">
      <c r="A1434" s="1"/>
      <c r="B1434" s="3">
        <v>44396</v>
      </c>
      <c r="C1434" s="4">
        <v>42.29</v>
      </c>
      <c r="D1434" s="4">
        <v>42.29</v>
      </c>
      <c r="E1434" s="4">
        <v>0</v>
      </c>
      <c r="F1434" s="4">
        <v>0</v>
      </c>
      <c r="G1434" s="4">
        <v>0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42.29</v>
      </c>
      <c r="D1435" s="4">
        <v>42.29</v>
      </c>
      <c r="E1435" s="4">
        <v>0</v>
      </c>
      <c r="F1435" s="4">
        <v>0</v>
      </c>
      <c r="G1435" s="4">
        <v>0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42.29</v>
      </c>
      <c r="D1436" s="4">
        <v>42.29</v>
      </c>
      <c r="E1436" s="4">
        <v>0</v>
      </c>
      <c r="F1436" s="4">
        <v>0</v>
      </c>
      <c r="G1436" s="4">
        <v>0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42.29</v>
      </c>
      <c r="D1437" s="4">
        <v>42.29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42.29</v>
      </c>
      <c r="D1438" s="4">
        <v>42.29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42.29</v>
      </c>
      <c r="D1439" s="4">
        <v>42.29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42.29</v>
      </c>
      <c r="D1440" s="4">
        <v>42.29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42.29</v>
      </c>
      <c r="D1441" s="4">
        <v>42.29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42.29</v>
      </c>
      <c r="D1442" s="4">
        <v>42.29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41.03</v>
      </c>
      <c r="D1443" s="4">
        <v>41.03</v>
      </c>
      <c r="E1443" s="4">
        <v>50</v>
      </c>
      <c r="F1443" s="4">
        <v>41.03</v>
      </c>
      <c r="G1443" s="4">
        <v>2051.5</v>
      </c>
      <c r="H1443" s="5">
        <f t="shared" si="22"/>
        <v>-2.9794277606999243E-2</v>
      </c>
    </row>
    <row r="1444" spans="1:8" ht="13.5" x14ac:dyDescent="0.25">
      <c r="A1444" s="1"/>
      <c r="B1444" s="3">
        <v>44412</v>
      </c>
      <c r="C1444" s="4">
        <v>41.03</v>
      </c>
      <c r="D1444" s="4">
        <v>41.03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41.03</v>
      </c>
      <c r="D1445" s="4">
        <v>41.03</v>
      </c>
      <c r="E1445" s="4">
        <v>10</v>
      </c>
      <c r="F1445" s="4">
        <v>41.03</v>
      </c>
      <c r="G1445" s="4">
        <v>410.3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41.03</v>
      </c>
      <c r="D1446" s="4">
        <v>41.03</v>
      </c>
      <c r="E1446" s="4">
        <v>10</v>
      </c>
      <c r="F1446" s="4">
        <v>41.03</v>
      </c>
      <c r="G1446" s="4">
        <v>410.3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41.03</v>
      </c>
      <c r="D1447" s="4">
        <v>41.03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41.03</v>
      </c>
      <c r="D1448" s="4">
        <v>41.03</v>
      </c>
      <c r="E1448" s="4">
        <v>62</v>
      </c>
      <c r="F1448" s="4">
        <v>41.03</v>
      </c>
      <c r="G1448" s="4">
        <v>2543.86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41.03</v>
      </c>
      <c r="D1449" s="4">
        <v>41.03</v>
      </c>
      <c r="E1449" s="4">
        <v>0</v>
      </c>
      <c r="F1449" s="4">
        <v>0</v>
      </c>
      <c r="G1449" s="4">
        <v>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41.03</v>
      </c>
      <c r="D1450" s="4">
        <v>41.03</v>
      </c>
      <c r="E1450" s="4">
        <v>0</v>
      </c>
      <c r="F1450" s="4">
        <v>0</v>
      </c>
      <c r="G1450" s="4">
        <v>0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41.03</v>
      </c>
      <c r="D1451" s="4">
        <v>41.03</v>
      </c>
      <c r="E1451" s="4">
        <v>0</v>
      </c>
      <c r="F1451" s="4">
        <v>0</v>
      </c>
      <c r="G1451" s="4">
        <v>0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41.03</v>
      </c>
      <c r="D1452" s="4">
        <v>41.03</v>
      </c>
      <c r="E1452" s="4">
        <v>0</v>
      </c>
      <c r="F1452" s="4">
        <v>0</v>
      </c>
      <c r="G1452" s="4">
        <v>0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41.03</v>
      </c>
      <c r="D1453" s="4">
        <v>41.03</v>
      </c>
      <c r="E1453" s="4">
        <v>0</v>
      </c>
      <c r="F1453" s="4">
        <v>0</v>
      </c>
      <c r="G1453" s="4">
        <v>0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41.03</v>
      </c>
      <c r="D1454" s="4">
        <v>41.03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41.03</v>
      </c>
      <c r="D1455" s="4">
        <v>41.03</v>
      </c>
      <c r="E1455" s="4">
        <v>0</v>
      </c>
      <c r="F1455" s="4">
        <v>0</v>
      </c>
      <c r="G1455" s="4">
        <v>0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41.03</v>
      </c>
      <c r="D1456" s="4">
        <v>41.03</v>
      </c>
      <c r="E1456" s="4">
        <v>0</v>
      </c>
      <c r="F1456" s="4">
        <v>0</v>
      </c>
      <c r="G1456" s="4">
        <v>0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41.03</v>
      </c>
      <c r="D1457" s="4">
        <v>41.03</v>
      </c>
      <c r="E1457" s="4">
        <v>0</v>
      </c>
      <c r="F1457" s="4">
        <v>0</v>
      </c>
      <c r="G1457" s="4">
        <v>0</v>
      </c>
      <c r="H1457" s="5">
        <f t="shared" si="22"/>
        <v>0</v>
      </c>
    </row>
    <row r="1458" spans="1:8" ht="13.5" x14ac:dyDescent="0.25">
      <c r="A1458" s="1"/>
      <c r="B1458" s="3">
        <v>44434</v>
      </c>
      <c r="C1458" s="4">
        <v>41.03</v>
      </c>
      <c r="D1458" s="4">
        <v>41.03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41.03</v>
      </c>
      <c r="D1459" s="4">
        <v>41.03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41.03</v>
      </c>
      <c r="D1460" s="4">
        <v>41.03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41.03</v>
      </c>
      <c r="D1461" s="4">
        <v>41.03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41.03</v>
      </c>
      <c r="D1462" s="4">
        <v>41.03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41.03</v>
      </c>
      <c r="D1463" s="4">
        <v>41.03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41.03</v>
      </c>
      <c r="D1464" s="4">
        <v>41.03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41.03</v>
      </c>
      <c r="D1465" s="4">
        <v>41.03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41.03</v>
      </c>
      <c r="D1466" s="4">
        <v>41.03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41.03</v>
      </c>
      <c r="D1467" s="4">
        <v>41.03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41.03</v>
      </c>
      <c r="D1468" s="4">
        <v>41.03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41.03</v>
      </c>
      <c r="D1469" s="4">
        <v>41.03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41.03</v>
      </c>
      <c r="D1470" s="4">
        <v>41.03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41.03</v>
      </c>
      <c r="D1471" s="4">
        <v>41.03</v>
      </c>
      <c r="E1471" s="4">
        <v>0</v>
      </c>
      <c r="F1471" s="4">
        <v>0</v>
      </c>
      <c r="G1471" s="4">
        <v>0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41</v>
      </c>
      <c r="D1472" s="4">
        <v>41</v>
      </c>
      <c r="E1472" s="4">
        <v>20</v>
      </c>
      <c r="F1472" s="4">
        <v>41</v>
      </c>
      <c r="G1472" s="4">
        <v>820</v>
      </c>
      <c r="H1472" s="5">
        <f t="shared" si="22"/>
        <v>-7.3117231294177762E-4</v>
      </c>
    </row>
    <row r="1473" spans="1:8" ht="13.5" x14ac:dyDescent="0.25">
      <c r="A1473" s="1"/>
      <c r="B1473" s="3">
        <v>44455</v>
      </c>
      <c r="C1473" s="4">
        <v>41</v>
      </c>
      <c r="D1473" s="4">
        <v>41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41</v>
      </c>
      <c r="D1474" s="4">
        <v>41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41</v>
      </c>
      <c r="D1475" s="4">
        <v>41</v>
      </c>
      <c r="E1475" s="4">
        <v>0</v>
      </c>
      <c r="F1475" s="4">
        <v>0</v>
      </c>
      <c r="G1475" s="4">
        <v>0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41</v>
      </c>
      <c r="D1476" s="4">
        <v>41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39.5</v>
      </c>
      <c r="D1477" s="4">
        <v>39.5</v>
      </c>
      <c r="E1477" s="4">
        <v>25</v>
      </c>
      <c r="F1477" s="4">
        <v>39.5</v>
      </c>
      <c r="G1477" s="4">
        <v>987.5</v>
      </c>
      <c r="H1477" s="5">
        <f t="shared" si="22"/>
        <v>-3.6585365853658534E-2</v>
      </c>
    </row>
    <row r="1478" spans="1:8" ht="13.5" x14ac:dyDescent="0.25">
      <c r="A1478" s="1"/>
      <c r="B1478" s="3">
        <v>44462</v>
      </c>
      <c r="C1478" s="4">
        <v>39.5</v>
      </c>
      <c r="D1478" s="4">
        <v>39.5</v>
      </c>
      <c r="E1478" s="4">
        <v>0</v>
      </c>
      <c r="F1478" s="4">
        <v>0</v>
      </c>
      <c r="G1478" s="4">
        <v>0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39.200000000000003</v>
      </c>
      <c r="D1479" s="4">
        <v>39.200000000000003</v>
      </c>
      <c r="E1479" s="4">
        <v>25</v>
      </c>
      <c r="F1479" s="4">
        <v>39.200000000000003</v>
      </c>
      <c r="G1479" s="4">
        <v>980</v>
      </c>
      <c r="H1479" s="5">
        <f t="shared" ref="H1479:H1542" si="23">(D1479-D1478)/D1478</f>
        <v>-7.5949367088606872E-3</v>
      </c>
    </row>
    <row r="1480" spans="1:8" ht="13.5" x14ac:dyDescent="0.25">
      <c r="A1480" s="1"/>
      <c r="B1480" s="3">
        <v>44466</v>
      </c>
      <c r="C1480" s="4">
        <v>39</v>
      </c>
      <c r="D1480" s="4">
        <v>39</v>
      </c>
      <c r="E1480" s="4">
        <v>30</v>
      </c>
      <c r="F1480" s="4">
        <v>39</v>
      </c>
      <c r="G1480" s="4">
        <v>1170</v>
      </c>
      <c r="H1480" s="5">
        <f t="shared" si="23"/>
        <v>-5.1020408163266031E-3</v>
      </c>
    </row>
    <row r="1481" spans="1:8" ht="13.5" x14ac:dyDescent="0.25">
      <c r="A1481" s="1"/>
      <c r="B1481" s="3">
        <v>44467</v>
      </c>
      <c r="C1481" s="4">
        <v>37.6</v>
      </c>
      <c r="D1481" s="4">
        <v>37.6</v>
      </c>
      <c r="E1481" s="4">
        <v>351</v>
      </c>
      <c r="F1481" s="4">
        <v>37.6</v>
      </c>
      <c r="G1481" s="4">
        <v>13197.6</v>
      </c>
      <c r="H1481" s="5">
        <f t="shared" si="23"/>
        <v>-3.589743589743586E-2</v>
      </c>
    </row>
    <row r="1482" spans="1:8" ht="13.5" x14ac:dyDescent="0.25">
      <c r="A1482" s="1"/>
      <c r="B1482" s="3">
        <v>44468</v>
      </c>
      <c r="C1482" s="4">
        <v>37.6</v>
      </c>
      <c r="D1482" s="4">
        <v>37.6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37.6</v>
      </c>
      <c r="D1483" s="4">
        <v>37.6</v>
      </c>
      <c r="E1483" s="4">
        <v>0</v>
      </c>
      <c r="F1483" s="4">
        <v>0</v>
      </c>
      <c r="G1483" s="4">
        <v>0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37.6</v>
      </c>
      <c r="D1484" s="4">
        <v>37.6</v>
      </c>
      <c r="E1484" s="4">
        <v>102</v>
      </c>
      <c r="F1484" s="4">
        <v>37.6</v>
      </c>
      <c r="G1484" s="4">
        <v>3835.2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37.6</v>
      </c>
      <c r="D1485" s="4">
        <v>37.6</v>
      </c>
      <c r="E1485" s="4">
        <v>3</v>
      </c>
      <c r="F1485" s="4">
        <v>37.6</v>
      </c>
      <c r="G1485" s="4">
        <v>112.8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37.6</v>
      </c>
      <c r="D1486" s="4">
        <v>37.6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37.6</v>
      </c>
      <c r="D1487" s="4">
        <v>37.6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36</v>
      </c>
      <c r="D1488" s="4">
        <v>36</v>
      </c>
      <c r="E1488" s="4">
        <v>406</v>
      </c>
      <c r="F1488" s="4">
        <v>36</v>
      </c>
      <c r="G1488" s="4">
        <v>14616</v>
      </c>
      <c r="H1488" s="5">
        <f t="shared" si="23"/>
        <v>-4.2553191489361736E-2</v>
      </c>
    </row>
    <row r="1489" spans="1:8" ht="13.5" x14ac:dyDescent="0.25">
      <c r="A1489" s="1"/>
      <c r="B1489" s="3">
        <v>44477</v>
      </c>
      <c r="C1489" s="4">
        <v>35.950000000000003</v>
      </c>
      <c r="D1489" s="4">
        <v>35.950000000000003</v>
      </c>
      <c r="E1489" s="4">
        <v>11</v>
      </c>
      <c r="F1489" s="4">
        <v>35.950000000000003</v>
      </c>
      <c r="G1489" s="4">
        <v>395.45</v>
      </c>
      <c r="H1489" s="5">
        <f t="shared" si="23"/>
        <v>-1.38888888888881E-3</v>
      </c>
    </row>
    <row r="1490" spans="1:8" ht="13.5" x14ac:dyDescent="0.25">
      <c r="A1490" s="1"/>
      <c r="B1490" s="3">
        <v>44480</v>
      </c>
      <c r="C1490" s="4">
        <v>35.950000000000003</v>
      </c>
      <c r="D1490" s="4">
        <v>35.950000000000003</v>
      </c>
      <c r="E1490" s="4">
        <v>0</v>
      </c>
      <c r="F1490" s="4">
        <v>0</v>
      </c>
      <c r="G1490" s="4">
        <v>0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36.299999999999997</v>
      </c>
      <c r="D1491" s="4">
        <v>36.299999999999997</v>
      </c>
      <c r="E1491" s="4">
        <v>40</v>
      </c>
      <c r="F1491" s="4">
        <v>36.299999999999997</v>
      </c>
      <c r="G1491" s="4">
        <v>1452</v>
      </c>
      <c r="H1491" s="5">
        <f t="shared" si="23"/>
        <v>9.7357440890123593E-3</v>
      </c>
    </row>
    <row r="1492" spans="1:8" ht="13.5" x14ac:dyDescent="0.25">
      <c r="A1492" s="1"/>
      <c r="B1492" s="3">
        <v>44482</v>
      </c>
      <c r="C1492" s="4">
        <v>36.299999999999997</v>
      </c>
      <c r="D1492" s="4">
        <v>36.299999999999997</v>
      </c>
      <c r="E1492" s="4">
        <v>167</v>
      </c>
      <c r="F1492" s="4">
        <v>36.299999999999997</v>
      </c>
      <c r="G1492" s="4">
        <v>6062.1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36.299999999999997</v>
      </c>
      <c r="D1493" s="4">
        <v>36.299999999999997</v>
      </c>
      <c r="E1493" s="4">
        <v>40</v>
      </c>
      <c r="F1493" s="4">
        <v>36.299999999999997</v>
      </c>
      <c r="G1493" s="4">
        <v>1452</v>
      </c>
      <c r="H1493" s="5">
        <f t="shared" si="23"/>
        <v>0</v>
      </c>
    </row>
    <row r="1494" spans="1:8" ht="13.5" x14ac:dyDescent="0.25">
      <c r="A1494" s="1"/>
      <c r="B1494" s="3">
        <v>44488</v>
      </c>
      <c r="C1494" s="4">
        <v>36.299999999999997</v>
      </c>
      <c r="D1494" s="4">
        <v>36.299999999999997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36.299999999999997</v>
      </c>
      <c r="D1495" s="4">
        <v>36.299999999999997</v>
      </c>
      <c r="E1495" s="4">
        <v>0</v>
      </c>
      <c r="F1495" s="4">
        <v>0</v>
      </c>
      <c r="G1495" s="4">
        <v>0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36</v>
      </c>
      <c r="D1496" s="4">
        <v>36</v>
      </c>
      <c r="E1496" s="4">
        <v>64</v>
      </c>
      <c r="F1496" s="4">
        <v>36</v>
      </c>
      <c r="G1496" s="4">
        <v>2304</v>
      </c>
      <c r="H1496" s="5">
        <f t="shared" si="23"/>
        <v>-8.2644628099172775E-3</v>
      </c>
    </row>
    <row r="1497" spans="1:8" ht="13.5" x14ac:dyDescent="0.25">
      <c r="A1497" s="1"/>
      <c r="B1497" s="3">
        <v>44491</v>
      </c>
      <c r="C1497" s="4">
        <v>36</v>
      </c>
      <c r="D1497" s="4">
        <v>36</v>
      </c>
      <c r="E1497" s="4">
        <v>0</v>
      </c>
      <c r="F1497" s="4">
        <v>0</v>
      </c>
      <c r="G1497" s="4">
        <v>0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36</v>
      </c>
      <c r="D1498" s="4">
        <v>36</v>
      </c>
      <c r="E1498" s="4">
        <v>0</v>
      </c>
      <c r="F1498" s="4">
        <v>0</v>
      </c>
      <c r="G1498" s="4">
        <v>0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36</v>
      </c>
      <c r="D1499" s="4">
        <v>36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36</v>
      </c>
      <c r="D1500" s="4">
        <v>36</v>
      </c>
      <c r="E1500" s="4">
        <v>0</v>
      </c>
      <c r="F1500" s="4">
        <v>0</v>
      </c>
      <c r="G1500" s="4">
        <v>0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36</v>
      </c>
      <c r="D1501" s="4">
        <v>36</v>
      </c>
      <c r="E1501" s="4">
        <v>112</v>
      </c>
      <c r="F1501" s="4">
        <v>36</v>
      </c>
      <c r="G1501" s="4">
        <v>4032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36</v>
      </c>
      <c r="D1502" s="4">
        <v>36</v>
      </c>
      <c r="E1502" s="4">
        <v>79</v>
      </c>
      <c r="F1502" s="4">
        <v>36</v>
      </c>
      <c r="G1502" s="4">
        <v>2844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36</v>
      </c>
      <c r="D1503" s="4">
        <v>36</v>
      </c>
      <c r="E1503" s="4">
        <v>0</v>
      </c>
      <c r="F1503" s="4">
        <v>0</v>
      </c>
      <c r="G1503" s="4">
        <v>0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36</v>
      </c>
      <c r="D1504" s="4">
        <v>36</v>
      </c>
      <c r="E1504" s="4">
        <v>386</v>
      </c>
      <c r="F1504" s="4">
        <v>36</v>
      </c>
      <c r="G1504" s="4">
        <v>13896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36</v>
      </c>
      <c r="D1505" s="4">
        <v>36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37</v>
      </c>
      <c r="D1506" s="4">
        <v>37</v>
      </c>
      <c r="E1506" s="4">
        <v>77</v>
      </c>
      <c r="F1506" s="4">
        <v>37</v>
      </c>
      <c r="G1506" s="4">
        <v>2849</v>
      </c>
      <c r="H1506" s="5">
        <f t="shared" si="23"/>
        <v>2.7777777777777776E-2</v>
      </c>
    </row>
    <row r="1507" spans="1:8" ht="13.5" x14ac:dyDescent="0.25">
      <c r="A1507" s="1"/>
      <c r="B1507" s="3">
        <v>44505</v>
      </c>
      <c r="C1507" s="4">
        <v>36</v>
      </c>
      <c r="D1507" s="4">
        <v>36</v>
      </c>
      <c r="E1507" s="4">
        <v>164</v>
      </c>
      <c r="F1507" s="4">
        <v>36</v>
      </c>
      <c r="G1507" s="4">
        <v>5904</v>
      </c>
      <c r="H1507" s="5">
        <f t="shared" si="23"/>
        <v>-2.7027027027027029E-2</v>
      </c>
    </row>
    <row r="1508" spans="1:8" ht="13.5" x14ac:dyDescent="0.25">
      <c r="A1508" s="1"/>
      <c r="B1508" s="3">
        <v>44508</v>
      </c>
      <c r="C1508" s="4">
        <v>36</v>
      </c>
      <c r="D1508" s="4">
        <v>36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36</v>
      </c>
      <c r="D1509" s="4">
        <v>36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36</v>
      </c>
      <c r="D1510" s="4">
        <v>36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36</v>
      </c>
      <c r="D1511" s="4">
        <v>36</v>
      </c>
      <c r="E1511" s="4">
        <v>0</v>
      </c>
      <c r="F1511" s="4">
        <v>0</v>
      </c>
      <c r="G1511" s="4">
        <v>0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36</v>
      </c>
      <c r="D1512" s="4">
        <v>36</v>
      </c>
      <c r="E1512" s="4">
        <v>3</v>
      </c>
      <c r="F1512" s="4">
        <v>36</v>
      </c>
      <c r="G1512" s="4">
        <v>108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36</v>
      </c>
      <c r="D1513" s="4">
        <v>36</v>
      </c>
      <c r="E1513" s="4">
        <v>26</v>
      </c>
      <c r="F1513" s="4">
        <v>36</v>
      </c>
      <c r="G1513" s="4">
        <v>936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36</v>
      </c>
      <c r="D1514" s="4">
        <v>36</v>
      </c>
      <c r="E1514" s="4">
        <v>143</v>
      </c>
      <c r="F1514" s="4">
        <v>36</v>
      </c>
      <c r="G1514" s="4">
        <v>5148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36</v>
      </c>
      <c r="D1515" s="4">
        <v>36</v>
      </c>
      <c r="E1515" s="4">
        <v>0</v>
      </c>
      <c r="F1515" s="4">
        <v>0</v>
      </c>
      <c r="G1515" s="4">
        <v>0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36</v>
      </c>
      <c r="D1516" s="4">
        <v>36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36</v>
      </c>
      <c r="D1517" s="4">
        <v>36</v>
      </c>
      <c r="E1517" s="4">
        <v>91</v>
      </c>
      <c r="F1517" s="4">
        <v>36</v>
      </c>
      <c r="G1517" s="4">
        <v>3276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36</v>
      </c>
      <c r="D1518" s="4">
        <v>36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36</v>
      </c>
      <c r="D1519" s="4">
        <v>36</v>
      </c>
      <c r="E1519" s="4">
        <v>0</v>
      </c>
      <c r="F1519" s="4">
        <v>0</v>
      </c>
      <c r="G1519" s="4">
        <v>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36</v>
      </c>
      <c r="D1520" s="4">
        <v>36</v>
      </c>
      <c r="E1520" s="4">
        <v>0</v>
      </c>
      <c r="F1520" s="4">
        <v>0</v>
      </c>
      <c r="G1520" s="4">
        <v>0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37</v>
      </c>
      <c r="D1521" s="4">
        <v>37</v>
      </c>
      <c r="E1521" s="4">
        <v>69</v>
      </c>
      <c r="F1521" s="4">
        <v>37</v>
      </c>
      <c r="G1521" s="4">
        <v>2553</v>
      </c>
      <c r="H1521" s="5">
        <f t="shared" si="23"/>
        <v>2.7777777777777776E-2</v>
      </c>
    </row>
    <row r="1522" spans="1:8" ht="13.5" x14ac:dyDescent="0.25">
      <c r="A1522" s="1"/>
      <c r="B1522" s="3">
        <v>44526</v>
      </c>
      <c r="C1522" s="4">
        <v>37</v>
      </c>
      <c r="D1522" s="4">
        <v>37</v>
      </c>
      <c r="E1522" s="4">
        <v>72</v>
      </c>
      <c r="F1522" s="4">
        <v>37</v>
      </c>
      <c r="G1522" s="4">
        <v>2664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38</v>
      </c>
      <c r="D1523" s="4">
        <v>38</v>
      </c>
      <c r="E1523" s="4">
        <v>45</v>
      </c>
      <c r="F1523" s="4">
        <v>38</v>
      </c>
      <c r="G1523" s="4">
        <v>1710</v>
      </c>
      <c r="H1523" s="5">
        <f t="shared" si="23"/>
        <v>2.7027027027027029E-2</v>
      </c>
    </row>
    <row r="1524" spans="1:8" ht="13.5" x14ac:dyDescent="0.25">
      <c r="A1524" s="1"/>
      <c r="B1524" s="3">
        <v>44530</v>
      </c>
      <c r="C1524" s="4">
        <v>38</v>
      </c>
      <c r="D1524" s="4">
        <v>38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38</v>
      </c>
      <c r="D1525" s="4">
        <v>38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38</v>
      </c>
      <c r="D1526" s="4">
        <v>38</v>
      </c>
      <c r="E1526" s="4">
        <v>0</v>
      </c>
      <c r="F1526" s="4">
        <v>0</v>
      </c>
      <c r="G1526" s="4">
        <v>0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38</v>
      </c>
      <c r="D1527" s="4">
        <v>38</v>
      </c>
      <c r="E1527" s="4">
        <v>81</v>
      </c>
      <c r="F1527" s="4">
        <v>38</v>
      </c>
      <c r="G1527" s="4">
        <v>3078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38</v>
      </c>
      <c r="D1528" s="4">
        <v>38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38</v>
      </c>
      <c r="D1529" s="4">
        <v>38</v>
      </c>
      <c r="E1529" s="4">
        <v>0</v>
      </c>
      <c r="F1529" s="4">
        <v>0</v>
      </c>
      <c r="G1529" s="4">
        <v>0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38</v>
      </c>
      <c r="D1530" s="4">
        <v>38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38</v>
      </c>
      <c r="D1531" s="4">
        <v>38</v>
      </c>
      <c r="E1531" s="4">
        <v>0</v>
      </c>
      <c r="F1531" s="4">
        <v>0</v>
      </c>
      <c r="G1531" s="4">
        <v>0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38</v>
      </c>
      <c r="D1532" s="4">
        <v>38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38</v>
      </c>
      <c r="D1533" s="4">
        <v>38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38</v>
      </c>
      <c r="D1534" s="4">
        <v>38</v>
      </c>
      <c r="E1534" s="4">
        <v>29</v>
      </c>
      <c r="F1534" s="4">
        <v>38</v>
      </c>
      <c r="G1534" s="4">
        <v>1102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38</v>
      </c>
      <c r="D1535" s="4">
        <v>38</v>
      </c>
      <c r="E1535" s="4">
        <v>15</v>
      </c>
      <c r="F1535" s="4">
        <v>38</v>
      </c>
      <c r="G1535" s="4">
        <v>570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38</v>
      </c>
      <c r="D1536" s="4">
        <v>38</v>
      </c>
      <c r="E1536" s="4">
        <v>6</v>
      </c>
      <c r="F1536" s="4">
        <v>38</v>
      </c>
      <c r="G1536" s="4">
        <v>228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38</v>
      </c>
      <c r="D1537" s="4">
        <v>38</v>
      </c>
      <c r="E1537" s="4">
        <v>0</v>
      </c>
      <c r="F1537" s="4">
        <v>0</v>
      </c>
      <c r="G1537" s="4">
        <v>0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38</v>
      </c>
      <c r="D1538" s="4">
        <v>38</v>
      </c>
      <c r="E1538" s="4">
        <v>0</v>
      </c>
      <c r="F1538" s="4">
        <v>0</v>
      </c>
      <c r="G1538" s="4">
        <v>0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38</v>
      </c>
      <c r="D1539" s="4">
        <v>38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38</v>
      </c>
      <c r="D1540" s="4">
        <v>38</v>
      </c>
      <c r="E1540" s="4">
        <v>0</v>
      </c>
      <c r="F1540" s="4">
        <v>0</v>
      </c>
      <c r="G1540" s="4">
        <v>0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38</v>
      </c>
      <c r="D1541" s="4">
        <v>38</v>
      </c>
      <c r="E1541" s="4">
        <v>0</v>
      </c>
      <c r="F1541" s="4">
        <v>0</v>
      </c>
      <c r="G1541" s="4">
        <v>0</v>
      </c>
      <c r="H1541" s="5">
        <f t="shared" si="23"/>
        <v>0</v>
      </c>
    </row>
    <row r="1542" spans="1:8" ht="13.5" x14ac:dyDescent="0.25">
      <c r="A1542" s="1"/>
      <c r="B1542" s="3">
        <v>44557</v>
      </c>
      <c r="C1542" s="4">
        <v>38</v>
      </c>
      <c r="D1542" s="4">
        <v>38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38</v>
      </c>
      <c r="D1543" s="4">
        <v>38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38</v>
      </c>
      <c r="D1544" s="4">
        <v>38</v>
      </c>
      <c r="E1544" s="4">
        <v>200</v>
      </c>
      <c r="F1544" s="4">
        <v>38</v>
      </c>
      <c r="G1544" s="4">
        <v>7600</v>
      </c>
      <c r="H1544" s="5">
        <f t="shared" si="24"/>
        <v>0</v>
      </c>
    </row>
    <row r="1545" spans="1:8" ht="13.5" x14ac:dyDescent="0.25">
      <c r="A1545" s="1"/>
      <c r="B1545" s="3">
        <v>44560</v>
      </c>
      <c r="C1545" s="4">
        <v>39.71</v>
      </c>
      <c r="D1545" s="4">
        <v>39.71</v>
      </c>
      <c r="E1545" s="4">
        <v>0</v>
      </c>
      <c r="F1545" s="4">
        <v>0</v>
      </c>
      <c r="G1545" s="4">
        <v>0</v>
      </c>
      <c r="H1545" s="5">
        <f t="shared" si="24"/>
        <v>4.5000000000000019E-2</v>
      </c>
    </row>
    <row r="1546" spans="1:8" ht="13.5" x14ac:dyDescent="0.25">
      <c r="A1546" s="1"/>
      <c r="B1546" s="3">
        <v>44561</v>
      </c>
      <c r="C1546" s="4">
        <v>41.49</v>
      </c>
      <c r="D1546" s="4">
        <v>41.49</v>
      </c>
      <c r="E1546" s="4">
        <v>204</v>
      </c>
      <c r="F1546" s="4">
        <v>41.49</v>
      </c>
      <c r="G1546" s="4">
        <v>8463.9599999999991</v>
      </c>
      <c r="H1546" s="5">
        <f t="shared" si="24"/>
        <v>4.4824981113069783E-2</v>
      </c>
    </row>
    <row r="1547" spans="1:8" ht="13.5" x14ac:dyDescent="0.25">
      <c r="A1547" s="1"/>
      <c r="B1547" s="3">
        <v>44564</v>
      </c>
      <c r="C1547" s="4">
        <v>41.49</v>
      </c>
      <c r="D1547" s="4">
        <v>41.49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41.49</v>
      </c>
      <c r="D1548" s="4">
        <v>41.49</v>
      </c>
      <c r="E1548" s="4">
        <v>20</v>
      </c>
      <c r="F1548" s="4">
        <v>41.49</v>
      </c>
      <c r="G1548" s="4">
        <v>829.8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43.21</v>
      </c>
      <c r="D1549" s="4">
        <v>43.21</v>
      </c>
      <c r="E1549" s="4">
        <v>105</v>
      </c>
      <c r="F1549" s="4">
        <v>43.21</v>
      </c>
      <c r="G1549" s="4">
        <v>4537.05</v>
      </c>
      <c r="H1549" s="5">
        <f t="shared" si="24"/>
        <v>4.1455772475295222E-2</v>
      </c>
    </row>
    <row r="1550" spans="1:8" ht="13.5" x14ac:dyDescent="0.25">
      <c r="A1550" s="1"/>
      <c r="B1550" s="3">
        <v>44567</v>
      </c>
      <c r="C1550" s="4">
        <v>43.2</v>
      </c>
      <c r="D1550" s="4">
        <v>43.2</v>
      </c>
      <c r="E1550" s="4">
        <v>52</v>
      </c>
      <c r="F1550" s="4">
        <v>43.2</v>
      </c>
      <c r="G1550" s="4">
        <v>2246.4</v>
      </c>
      <c r="H1550" s="5">
        <f t="shared" si="24"/>
        <v>-2.314279102059248E-4</v>
      </c>
    </row>
    <row r="1551" spans="1:8" ht="13.5" x14ac:dyDescent="0.25">
      <c r="A1551" s="1"/>
      <c r="B1551" s="3">
        <v>44568</v>
      </c>
      <c r="C1551" s="4">
        <v>43.2</v>
      </c>
      <c r="D1551" s="4">
        <v>43.2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43.2</v>
      </c>
      <c r="D1552" s="4">
        <v>43.2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43.2</v>
      </c>
      <c r="D1553" s="4">
        <v>43.2</v>
      </c>
      <c r="E1553" s="4">
        <v>0</v>
      </c>
      <c r="F1553" s="4">
        <v>0</v>
      </c>
      <c r="G1553" s="4">
        <v>0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43.2</v>
      </c>
      <c r="D1554" s="4">
        <v>43.2</v>
      </c>
      <c r="E1554" s="4">
        <v>0</v>
      </c>
      <c r="F1554" s="4">
        <v>0</v>
      </c>
      <c r="G1554" s="4">
        <v>0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43.2</v>
      </c>
      <c r="D1555" s="4">
        <v>43.2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43.2</v>
      </c>
      <c r="D1556" s="4">
        <v>43.2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43.2</v>
      </c>
      <c r="D1557" s="4">
        <v>43.2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41.26</v>
      </c>
      <c r="D1558" s="4">
        <v>41.26</v>
      </c>
      <c r="E1558" s="4">
        <v>0</v>
      </c>
      <c r="F1558" s="4">
        <v>0</v>
      </c>
      <c r="G1558" s="4">
        <v>0</v>
      </c>
      <c r="H1558" s="5">
        <f t="shared" si="24"/>
        <v>-4.4907407407407514E-2</v>
      </c>
    </row>
    <row r="1559" spans="1:8" ht="13.5" x14ac:dyDescent="0.25">
      <c r="A1559" s="1"/>
      <c r="B1559" s="3">
        <v>44580</v>
      </c>
      <c r="C1559" s="4">
        <v>40.61</v>
      </c>
      <c r="D1559" s="4">
        <v>40.61</v>
      </c>
      <c r="E1559" s="4">
        <v>21</v>
      </c>
      <c r="F1559" s="4">
        <v>40.61</v>
      </c>
      <c r="G1559" s="4">
        <v>852.81</v>
      </c>
      <c r="H1559" s="5">
        <f t="shared" si="24"/>
        <v>-1.5753756665050862E-2</v>
      </c>
    </row>
    <row r="1560" spans="1:8" ht="13.5" x14ac:dyDescent="0.25">
      <c r="A1560" s="1"/>
      <c r="B1560" s="3">
        <v>44581</v>
      </c>
      <c r="C1560" s="4">
        <v>40.61</v>
      </c>
      <c r="D1560" s="4">
        <v>40.61</v>
      </c>
      <c r="E1560" s="4">
        <v>0</v>
      </c>
      <c r="F1560" s="4">
        <v>0</v>
      </c>
      <c r="G1560" s="4">
        <v>0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40.61</v>
      </c>
      <c r="D1561" s="4">
        <v>40.61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40.61</v>
      </c>
      <c r="D1562" s="4">
        <v>40.61</v>
      </c>
      <c r="E1562" s="4">
        <v>0</v>
      </c>
      <c r="F1562" s="4">
        <v>0</v>
      </c>
      <c r="G1562" s="4">
        <v>0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40.61</v>
      </c>
      <c r="D1563" s="4">
        <v>40.61</v>
      </c>
      <c r="E1563" s="4">
        <v>0</v>
      </c>
      <c r="F1563" s="4">
        <v>0</v>
      </c>
      <c r="G1563" s="4">
        <v>0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40.61</v>
      </c>
      <c r="D1564" s="4">
        <v>40.61</v>
      </c>
      <c r="E1564" s="4">
        <v>0</v>
      </c>
      <c r="F1564" s="4">
        <v>0</v>
      </c>
      <c r="G1564" s="4">
        <v>0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40.61</v>
      </c>
      <c r="D1565" s="4">
        <v>40.61</v>
      </c>
      <c r="E1565" s="4">
        <v>0</v>
      </c>
      <c r="F1565" s="4">
        <v>0</v>
      </c>
      <c r="G1565" s="4">
        <v>0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40.61</v>
      </c>
      <c r="D1566" s="4">
        <v>40.61</v>
      </c>
      <c r="E1566" s="4">
        <v>0</v>
      </c>
      <c r="F1566" s="4">
        <v>0</v>
      </c>
      <c r="G1566" s="4">
        <v>0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40.61</v>
      </c>
      <c r="D1567" s="4">
        <v>40.61</v>
      </c>
      <c r="E1567" s="4">
        <v>0</v>
      </c>
      <c r="F1567" s="4">
        <v>0</v>
      </c>
      <c r="G1567" s="4">
        <v>0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40.61</v>
      </c>
      <c r="D1568" s="4">
        <v>40.61</v>
      </c>
      <c r="E1568" s="4">
        <v>0</v>
      </c>
      <c r="F1568" s="4">
        <v>0</v>
      </c>
      <c r="G1568" s="4">
        <v>0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40.61</v>
      </c>
      <c r="D1569" s="4">
        <v>40.61</v>
      </c>
      <c r="E1569" s="4">
        <v>0</v>
      </c>
      <c r="F1569" s="4">
        <v>0</v>
      </c>
      <c r="G1569" s="4">
        <v>0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40.61</v>
      </c>
      <c r="D1570" s="4">
        <v>40.61</v>
      </c>
      <c r="E1570" s="4">
        <v>0</v>
      </c>
      <c r="F1570" s="4">
        <v>0</v>
      </c>
      <c r="G1570" s="4">
        <v>0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40.61</v>
      </c>
      <c r="D1571" s="4">
        <v>40.61</v>
      </c>
      <c r="E1571" s="4">
        <v>0</v>
      </c>
      <c r="F1571" s="4">
        <v>0</v>
      </c>
      <c r="G1571" s="4">
        <v>0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40.61</v>
      </c>
      <c r="D1572" s="4">
        <v>40.61</v>
      </c>
      <c r="E1572" s="4">
        <v>4</v>
      </c>
      <c r="F1572" s="4">
        <v>40.61</v>
      </c>
      <c r="G1572" s="4">
        <v>162.44</v>
      </c>
      <c r="H1572" s="5">
        <f t="shared" si="24"/>
        <v>0</v>
      </c>
    </row>
    <row r="1573" spans="1:8" ht="13.5" x14ac:dyDescent="0.25">
      <c r="A1573" s="1"/>
      <c r="B1573" s="3">
        <v>44600</v>
      </c>
      <c r="C1573" s="4">
        <v>40.61</v>
      </c>
      <c r="D1573" s="4">
        <v>40.61</v>
      </c>
      <c r="E1573" s="4">
        <v>8</v>
      </c>
      <c r="F1573" s="4">
        <v>40.61</v>
      </c>
      <c r="G1573" s="4">
        <v>324.88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40.61</v>
      </c>
      <c r="D1574" s="4">
        <v>40.61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40.61</v>
      </c>
      <c r="D1575" s="4">
        <v>40.61</v>
      </c>
      <c r="E1575" s="4">
        <v>13</v>
      </c>
      <c r="F1575" s="4">
        <v>40.61</v>
      </c>
      <c r="G1575" s="4">
        <v>527.92999999999995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40.61</v>
      </c>
      <c r="D1576" s="4">
        <v>40.61</v>
      </c>
      <c r="E1576" s="4">
        <v>0</v>
      </c>
      <c r="F1576" s="4">
        <v>0</v>
      </c>
      <c r="G1576" s="4">
        <v>0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40.61</v>
      </c>
      <c r="D1577" s="4">
        <v>40.61</v>
      </c>
      <c r="E1577" s="4">
        <v>0</v>
      </c>
      <c r="F1577" s="4">
        <v>0</v>
      </c>
      <c r="G1577" s="4">
        <v>0</v>
      </c>
      <c r="H1577" s="5">
        <f t="shared" si="24"/>
        <v>0</v>
      </c>
    </row>
    <row r="1578" spans="1:8" ht="13.5" x14ac:dyDescent="0.25">
      <c r="A1578" s="1"/>
      <c r="B1578" s="3">
        <v>44607</v>
      </c>
      <c r="C1578" s="4">
        <v>40.61</v>
      </c>
      <c r="D1578" s="4">
        <v>40.61</v>
      </c>
      <c r="E1578" s="4">
        <v>0</v>
      </c>
      <c r="F1578" s="4">
        <v>0</v>
      </c>
      <c r="G1578" s="4">
        <v>0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38.79</v>
      </c>
      <c r="D1579" s="4">
        <v>38.79</v>
      </c>
      <c r="E1579" s="4">
        <v>0</v>
      </c>
      <c r="F1579" s="4">
        <v>0</v>
      </c>
      <c r="G1579" s="4">
        <v>0</v>
      </c>
      <c r="H1579" s="5">
        <f t="shared" si="24"/>
        <v>-4.481654764836248E-2</v>
      </c>
    </row>
    <row r="1580" spans="1:8" ht="13.5" x14ac:dyDescent="0.25">
      <c r="A1580" s="1"/>
      <c r="B1580" s="3">
        <v>44609</v>
      </c>
      <c r="C1580" s="4">
        <v>37.049999999999997</v>
      </c>
      <c r="D1580" s="4">
        <v>37.049999999999997</v>
      </c>
      <c r="E1580" s="4">
        <v>0</v>
      </c>
      <c r="F1580" s="4">
        <v>0</v>
      </c>
      <c r="G1580" s="4">
        <v>0</v>
      </c>
      <c r="H1580" s="5">
        <f t="shared" si="24"/>
        <v>-4.4856921887084351E-2</v>
      </c>
    </row>
    <row r="1581" spans="1:8" ht="13.5" x14ac:dyDescent="0.25">
      <c r="A1581" s="1"/>
      <c r="B1581" s="3">
        <v>44610</v>
      </c>
      <c r="C1581" s="4">
        <v>36.5</v>
      </c>
      <c r="D1581" s="4">
        <v>36.5</v>
      </c>
      <c r="E1581" s="4">
        <v>60</v>
      </c>
      <c r="F1581" s="4">
        <v>36.5</v>
      </c>
      <c r="G1581" s="4">
        <v>2190</v>
      </c>
      <c r="H1581" s="5">
        <f t="shared" si="24"/>
        <v>-1.4844804318488454E-2</v>
      </c>
    </row>
    <row r="1582" spans="1:8" ht="13.5" x14ac:dyDescent="0.25">
      <c r="A1582" s="1"/>
      <c r="B1582" s="3">
        <v>44613</v>
      </c>
      <c r="C1582" s="4">
        <v>36.5</v>
      </c>
      <c r="D1582" s="4">
        <v>36.5</v>
      </c>
      <c r="E1582" s="4">
        <v>0</v>
      </c>
      <c r="F1582" s="4">
        <v>0</v>
      </c>
      <c r="G1582" s="4">
        <v>0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36.5</v>
      </c>
      <c r="D1583" s="4">
        <v>36.5</v>
      </c>
      <c r="E1583" s="4">
        <v>0</v>
      </c>
      <c r="F1583" s="4">
        <v>0</v>
      </c>
      <c r="G1583" s="4">
        <v>0</v>
      </c>
      <c r="H1583" s="5">
        <f t="shared" si="24"/>
        <v>0</v>
      </c>
    </row>
    <row r="1584" spans="1:8" ht="13.5" x14ac:dyDescent="0.25">
      <c r="A1584" s="1"/>
      <c r="B1584" s="3">
        <v>44615</v>
      </c>
      <c r="C1584" s="4">
        <v>36.5</v>
      </c>
      <c r="D1584" s="4">
        <v>36.5</v>
      </c>
      <c r="E1584" s="4">
        <v>0</v>
      </c>
      <c r="F1584" s="4">
        <v>0</v>
      </c>
      <c r="G1584" s="4">
        <v>0</v>
      </c>
      <c r="H1584" s="5">
        <f t="shared" si="24"/>
        <v>0</v>
      </c>
    </row>
    <row r="1585" spans="1:8" ht="13.5" x14ac:dyDescent="0.25">
      <c r="A1585" s="1"/>
      <c r="B1585" s="3">
        <v>44616</v>
      </c>
      <c r="C1585" s="4">
        <v>36.5</v>
      </c>
      <c r="D1585" s="4">
        <v>36.5</v>
      </c>
      <c r="E1585" s="4">
        <v>0</v>
      </c>
      <c r="F1585" s="4">
        <v>0</v>
      </c>
      <c r="G1585" s="4">
        <v>0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36.5</v>
      </c>
      <c r="D1586" s="4">
        <v>36.5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36.5</v>
      </c>
      <c r="D1587" s="4">
        <v>36.5</v>
      </c>
      <c r="E1587" s="4">
        <v>0</v>
      </c>
      <c r="F1587" s="4">
        <v>0</v>
      </c>
      <c r="G1587" s="4">
        <v>0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38.14</v>
      </c>
      <c r="D1588" s="4">
        <v>38.14</v>
      </c>
      <c r="E1588" s="4">
        <v>0</v>
      </c>
      <c r="F1588" s="4">
        <v>0</v>
      </c>
      <c r="G1588" s="4">
        <v>0</v>
      </c>
      <c r="H1588" s="5">
        <f t="shared" si="24"/>
        <v>4.4931506849315087E-2</v>
      </c>
    </row>
    <row r="1589" spans="1:8" ht="13.5" x14ac:dyDescent="0.25">
      <c r="A1589" s="1"/>
      <c r="B1589" s="3">
        <v>44622</v>
      </c>
      <c r="C1589" s="4">
        <v>38.14</v>
      </c>
      <c r="D1589" s="4">
        <v>38.14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38.14</v>
      </c>
      <c r="D1590" s="4">
        <v>38.14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38.14</v>
      </c>
      <c r="D1591" s="4">
        <v>38.14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38.14</v>
      </c>
      <c r="D1592" s="4">
        <v>38.14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38.14</v>
      </c>
      <c r="D1593" s="4">
        <v>38.14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38.14</v>
      </c>
      <c r="D1594" s="4">
        <v>38.14</v>
      </c>
      <c r="E1594" s="4">
        <v>0</v>
      </c>
      <c r="F1594" s="4">
        <v>0</v>
      </c>
      <c r="G1594" s="4">
        <v>0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38.14</v>
      </c>
      <c r="D1595" s="4">
        <v>38.14</v>
      </c>
      <c r="E1595" s="4">
        <v>0</v>
      </c>
      <c r="F1595" s="4">
        <v>0</v>
      </c>
      <c r="G1595" s="4">
        <v>0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38.14</v>
      </c>
      <c r="D1596" s="4">
        <v>38.14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38.14</v>
      </c>
      <c r="D1597" s="4">
        <v>38.14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38.14</v>
      </c>
      <c r="D1598" s="4">
        <v>38.14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38.14</v>
      </c>
      <c r="D1599" s="4">
        <v>38.14</v>
      </c>
      <c r="E1599" s="4">
        <v>0</v>
      </c>
      <c r="F1599" s="4">
        <v>0</v>
      </c>
      <c r="G1599" s="4">
        <v>0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38.14</v>
      </c>
      <c r="D1600" s="4">
        <v>38.14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38.14</v>
      </c>
      <c r="D1601" s="4">
        <v>38.14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38.14</v>
      </c>
      <c r="D1602" s="4">
        <v>38.14</v>
      </c>
      <c r="E1602" s="4">
        <v>0</v>
      </c>
      <c r="F1602" s="4">
        <v>0</v>
      </c>
      <c r="G1602" s="4">
        <v>0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38.14</v>
      </c>
      <c r="D1603" s="4">
        <v>38.14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38.14</v>
      </c>
      <c r="D1604" s="4">
        <v>38.14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38.14</v>
      </c>
      <c r="D1605" s="4">
        <v>38.14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38.14</v>
      </c>
      <c r="D1606" s="4">
        <v>38.14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38.14</v>
      </c>
      <c r="D1607" s="4">
        <v>38.14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38.14</v>
      </c>
      <c r="D1608" s="4">
        <v>38.14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38.14</v>
      </c>
      <c r="D1609" s="4">
        <v>38.14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38.14</v>
      </c>
      <c r="D1610" s="4">
        <v>38.14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38.14</v>
      </c>
      <c r="D1611" s="4">
        <v>38.14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38.14</v>
      </c>
      <c r="D1612" s="4">
        <v>38.14</v>
      </c>
      <c r="E1612" s="4">
        <v>0</v>
      </c>
      <c r="F1612" s="4">
        <v>0</v>
      </c>
      <c r="G1612" s="4">
        <v>0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36.5</v>
      </c>
      <c r="D1613" s="4">
        <v>36.5</v>
      </c>
      <c r="E1613" s="4">
        <v>9</v>
      </c>
      <c r="F1613" s="4">
        <v>36.5</v>
      </c>
      <c r="G1613" s="4">
        <v>328.5</v>
      </c>
      <c r="H1613" s="5">
        <f t="shared" si="25"/>
        <v>-4.2999475616151035E-2</v>
      </c>
    </row>
    <row r="1614" spans="1:8" ht="13.5" x14ac:dyDescent="0.25">
      <c r="A1614" s="1"/>
      <c r="B1614" s="3">
        <v>44657</v>
      </c>
      <c r="C1614" s="4">
        <v>36.5</v>
      </c>
      <c r="D1614" s="4">
        <v>36.5</v>
      </c>
      <c r="E1614" s="4">
        <v>36</v>
      </c>
      <c r="F1614" s="4">
        <v>36.5</v>
      </c>
      <c r="G1614" s="4">
        <v>1314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36.5</v>
      </c>
      <c r="D1615" s="4">
        <v>36.5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36.5</v>
      </c>
      <c r="D1616" s="4">
        <v>36.5</v>
      </c>
      <c r="E1616" s="4">
        <v>0</v>
      </c>
      <c r="F1616" s="4">
        <v>0</v>
      </c>
      <c r="G1616" s="4">
        <v>0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36.5</v>
      </c>
      <c r="D1617" s="4">
        <v>36.5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36.5</v>
      </c>
      <c r="D1618" s="4">
        <v>36.5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36.5</v>
      </c>
      <c r="D1619" s="4">
        <v>36.5</v>
      </c>
      <c r="E1619" s="4">
        <v>0</v>
      </c>
      <c r="F1619" s="4">
        <v>0</v>
      </c>
      <c r="G1619" s="4">
        <v>0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36.5</v>
      </c>
      <c r="D1620" s="4">
        <v>36.5</v>
      </c>
      <c r="E1620" s="4">
        <v>0</v>
      </c>
      <c r="F1620" s="4">
        <v>0</v>
      </c>
      <c r="G1620" s="4">
        <v>0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36.5</v>
      </c>
      <c r="D1621" s="4">
        <v>36.5</v>
      </c>
      <c r="E1621" s="4">
        <v>0</v>
      </c>
      <c r="F1621" s="4">
        <v>0</v>
      </c>
      <c r="G1621" s="4">
        <v>0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36.5</v>
      </c>
      <c r="D1622" s="4">
        <v>36.5</v>
      </c>
      <c r="E1622" s="4">
        <v>0</v>
      </c>
      <c r="F1622" s="4">
        <v>0</v>
      </c>
      <c r="G1622" s="4">
        <v>0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36</v>
      </c>
      <c r="D1623" s="4">
        <v>36</v>
      </c>
      <c r="E1623" s="4">
        <v>20</v>
      </c>
      <c r="F1623" s="4">
        <v>36</v>
      </c>
      <c r="G1623" s="4">
        <v>720</v>
      </c>
      <c r="H1623" s="5">
        <f t="shared" si="25"/>
        <v>-1.3698630136986301E-2</v>
      </c>
    </row>
    <row r="1624" spans="1:8" ht="13.5" x14ac:dyDescent="0.25">
      <c r="A1624" s="1"/>
      <c r="B1624" s="3">
        <v>44671</v>
      </c>
      <c r="C1624" s="4">
        <v>36</v>
      </c>
      <c r="D1624" s="4">
        <v>36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36</v>
      </c>
      <c r="D1625" s="4">
        <v>36</v>
      </c>
      <c r="E1625" s="4">
        <v>0</v>
      </c>
      <c r="F1625" s="4">
        <v>0</v>
      </c>
      <c r="G1625" s="4">
        <v>0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36</v>
      </c>
      <c r="D1626" s="4">
        <v>36</v>
      </c>
      <c r="E1626" s="4">
        <v>0</v>
      </c>
      <c r="F1626" s="4">
        <v>0</v>
      </c>
      <c r="G1626" s="4">
        <v>0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36</v>
      </c>
      <c r="D1627" s="4">
        <v>36</v>
      </c>
      <c r="E1627" s="4">
        <v>0</v>
      </c>
      <c r="F1627" s="4">
        <v>0</v>
      </c>
      <c r="G1627" s="4">
        <v>0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34.380000000000003</v>
      </c>
      <c r="D1628" s="4">
        <v>34.380000000000003</v>
      </c>
      <c r="E1628" s="4">
        <v>45</v>
      </c>
      <c r="F1628" s="4">
        <v>34.380000000000003</v>
      </c>
      <c r="G1628" s="4">
        <v>1547.1</v>
      </c>
      <c r="H1628" s="5">
        <f t="shared" si="25"/>
        <v>-4.4999999999999929E-2</v>
      </c>
    </row>
    <row r="1629" spans="1:8" ht="13.5" x14ac:dyDescent="0.25">
      <c r="A1629" s="1"/>
      <c r="B1629" s="3">
        <v>44678</v>
      </c>
      <c r="C1629" s="4">
        <v>34.380000000000003</v>
      </c>
      <c r="D1629" s="4">
        <v>34.380000000000003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34.380000000000003</v>
      </c>
      <c r="D1630" s="4">
        <v>34.380000000000003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34.380000000000003</v>
      </c>
      <c r="D1631" s="4">
        <v>34.380000000000003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34.380000000000003</v>
      </c>
      <c r="D1632" s="4">
        <v>34.380000000000003</v>
      </c>
      <c r="E1632" s="4">
        <v>0</v>
      </c>
      <c r="F1632" s="4">
        <v>0</v>
      </c>
      <c r="G1632" s="4">
        <v>0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34.380000000000003</v>
      </c>
      <c r="D1633" s="4">
        <v>34.380000000000003</v>
      </c>
      <c r="E1633" s="4">
        <v>0</v>
      </c>
      <c r="F1633" s="4">
        <v>0</v>
      </c>
      <c r="G1633" s="4">
        <v>0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35.5</v>
      </c>
      <c r="D1634" s="4">
        <v>35.5</v>
      </c>
      <c r="E1634" s="4">
        <v>250</v>
      </c>
      <c r="F1634" s="4">
        <v>35.5</v>
      </c>
      <c r="G1634" s="4">
        <v>8875</v>
      </c>
      <c r="H1634" s="5">
        <f t="shared" si="25"/>
        <v>3.2577079697498471E-2</v>
      </c>
    </row>
    <row r="1635" spans="1:8" ht="13.5" x14ac:dyDescent="0.25">
      <c r="A1635" s="1"/>
      <c r="B1635" s="3">
        <v>44690</v>
      </c>
      <c r="C1635" s="4">
        <v>35.5</v>
      </c>
      <c r="D1635" s="4">
        <v>35.5</v>
      </c>
      <c r="E1635" s="4">
        <v>0</v>
      </c>
      <c r="F1635" s="4">
        <v>0</v>
      </c>
      <c r="G1635" s="4">
        <v>0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35.5</v>
      </c>
      <c r="D1636" s="4">
        <v>35.5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35.5</v>
      </c>
      <c r="D1637" s="4">
        <v>35.5</v>
      </c>
      <c r="E1637" s="4">
        <v>57</v>
      </c>
      <c r="F1637" s="4">
        <v>35.5</v>
      </c>
      <c r="G1637" s="4">
        <v>2023.5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35.5</v>
      </c>
      <c r="D1638" s="4">
        <v>35.5</v>
      </c>
      <c r="E1638" s="4">
        <v>28</v>
      </c>
      <c r="F1638" s="4">
        <v>35.5</v>
      </c>
      <c r="G1638" s="4">
        <v>994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35.5</v>
      </c>
      <c r="D1639" s="4">
        <v>35.5</v>
      </c>
      <c r="E1639" s="4">
        <v>88</v>
      </c>
      <c r="F1639" s="4">
        <v>35.5</v>
      </c>
      <c r="G1639" s="4">
        <v>3124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35.5</v>
      </c>
      <c r="D1640" s="4">
        <v>35.5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35.5</v>
      </c>
      <c r="D1641" s="4">
        <v>35.5</v>
      </c>
      <c r="E1641" s="4">
        <v>52</v>
      </c>
      <c r="F1641" s="4">
        <v>35.5</v>
      </c>
      <c r="G1641" s="4">
        <v>1846</v>
      </c>
      <c r="H1641" s="5">
        <f t="shared" si="25"/>
        <v>0</v>
      </c>
    </row>
    <row r="1642" spans="1:8" ht="13.5" x14ac:dyDescent="0.25">
      <c r="A1642" s="1"/>
      <c r="B1642" s="3">
        <v>44699</v>
      </c>
      <c r="C1642" s="4">
        <v>35.5</v>
      </c>
      <c r="D1642" s="4">
        <v>35.5</v>
      </c>
      <c r="E1642" s="4">
        <v>40</v>
      </c>
      <c r="F1642" s="4">
        <v>35.5</v>
      </c>
      <c r="G1642" s="4">
        <v>1420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35.450000000000003</v>
      </c>
      <c r="D1643" s="4">
        <v>35.450000000000003</v>
      </c>
      <c r="E1643" s="4">
        <v>24</v>
      </c>
      <c r="F1643" s="4">
        <v>35.450000000000003</v>
      </c>
      <c r="G1643" s="4">
        <v>850.8</v>
      </c>
      <c r="H1643" s="5">
        <f t="shared" si="25"/>
        <v>-1.408450704225272E-3</v>
      </c>
    </row>
    <row r="1644" spans="1:8" ht="13.5" x14ac:dyDescent="0.25">
      <c r="A1644" s="1"/>
      <c r="B1644" s="3">
        <v>44701</v>
      </c>
      <c r="C1644" s="4">
        <v>35.450000000000003</v>
      </c>
      <c r="D1644" s="4">
        <v>35.450000000000003</v>
      </c>
      <c r="E1644" s="4">
        <v>61</v>
      </c>
      <c r="F1644" s="4">
        <v>35.450000000000003</v>
      </c>
      <c r="G1644" s="4">
        <v>2162.4499999999998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35.450000000000003</v>
      </c>
      <c r="D1645" s="4">
        <v>35.450000000000003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35</v>
      </c>
      <c r="D1646" s="4">
        <v>35</v>
      </c>
      <c r="E1646" s="4">
        <v>146</v>
      </c>
      <c r="F1646" s="4">
        <v>35</v>
      </c>
      <c r="G1646" s="4">
        <v>5110</v>
      </c>
      <c r="H1646" s="5">
        <f t="shared" si="25"/>
        <v>-1.2693935119887244E-2</v>
      </c>
    </row>
    <row r="1647" spans="1:8" ht="13.5" x14ac:dyDescent="0.25">
      <c r="A1647" s="1"/>
      <c r="B1647" s="3">
        <v>44706</v>
      </c>
      <c r="C1647" s="4">
        <v>35</v>
      </c>
      <c r="D1647" s="4">
        <v>35</v>
      </c>
      <c r="E1647" s="4">
        <v>0</v>
      </c>
      <c r="F1647" s="4">
        <v>0</v>
      </c>
      <c r="G1647" s="4">
        <v>0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35</v>
      </c>
      <c r="D1648" s="4">
        <v>35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35</v>
      </c>
      <c r="D1649" s="4">
        <v>35</v>
      </c>
      <c r="E1649" s="4">
        <v>0</v>
      </c>
      <c r="F1649" s="4">
        <v>0</v>
      </c>
      <c r="G1649" s="4">
        <v>0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35</v>
      </c>
      <c r="D1650" s="4">
        <v>35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35</v>
      </c>
      <c r="D1651" s="4">
        <v>35</v>
      </c>
      <c r="E1651" s="4">
        <v>0</v>
      </c>
      <c r="F1651" s="4">
        <v>0</v>
      </c>
      <c r="G1651" s="4">
        <v>0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35</v>
      </c>
      <c r="D1652" s="4">
        <v>35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35</v>
      </c>
      <c r="D1653" s="4">
        <v>35</v>
      </c>
      <c r="E1653" s="4">
        <v>0</v>
      </c>
      <c r="F1653" s="4">
        <v>0</v>
      </c>
      <c r="G1653" s="4">
        <v>0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35</v>
      </c>
      <c r="D1654" s="4">
        <v>35</v>
      </c>
      <c r="E1654" s="4">
        <v>0</v>
      </c>
      <c r="F1654" s="4">
        <v>0</v>
      </c>
      <c r="G1654" s="4">
        <v>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35</v>
      </c>
      <c r="D1655" s="4">
        <v>35</v>
      </c>
      <c r="E1655" s="4">
        <v>0</v>
      </c>
      <c r="F1655" s="4">
        <v>0</v>
      </c>
      <c r="G1655" s="4">
        <v>0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35</v>
      </c>
      <c r="D1656" s="4">
        <v>35</v>
      </c>
      <c r="E1656" s="4">
        <v>0</v>
      </c>
      <c r="F1656" s="4">
        <v>0</v>
      </c>
      <c r="G1656" s="4">
        <v>0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35.5</v>
      </c>
      <c r="D1657" s="4">
        <v>35.5</v>
      </c>
      <c r="E1657" s="4">
        <v>125</v>
      </c>
      <c r="F1657" s="4">
        <v>35.5</v>
      </c>
      <c r="G1657" s="4">
        <v>4437.5</v>
      </c>
      <c r="H1657" s="5">
        <f t="shared" si="25"/>
        <v>1.4285714285714285E-2</v>
      </c>
    </row>
    <row r="1658" spans="1:8" ht="13.5" x14ac:dyDescent="0.25">
      <c r="A1658" s="1"/>
      <c r="B1658" s="3">
        <v>44721</v>
      </c>
      <c r="C1658" s="4">
        <v>35.5</v>
      </c>
      <c r="D1658" s="4">
        <v>35.5</v>
      </c>
      <c r="E1658" s="4">
        <v>0</v>
      </c>
      <c r="F1658" s="4">
        <v>0</v>
      </c>
      <c r="G1658" s="4">
        <v>0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35.5</v>
      </c>
      <c r="D1659" s="4">
        <v>35.5</v>
      </c>
      <c r="E1659" s="4">
        <v>0</v>
      </c>
      <c r="F1659" s="4">
        <v>0</v>
      </c>
      <c r="G1659" s="4">
        <v>0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35.5</v>
      </c>
      <c r="D1660" s="4">
        <v>35.5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33.909999999999997</v>
      </c>
      <c r="D1661" s="4">
        <v>33.909999999999997</v>
      </c>
      <c r="E1661" s="4">
        <v>30</v>
      </c>
      <c r="F1661" s="4">
        <v>33.909999999999997</v>
      </c>
      <c r="G1661" s="4">
        <v>1017.3</v>
      </c>
      <c r="H1661" s="5">
        <f t="shared" si="25"/>
        <v>-4.4788732394366294E-2</v>
      </c>
    </row>
    <row r="1662" spans="1:8" ht="13.5" x14ac:dyDescent="0.25">
      <c r="A1662" s="1"/>
      <c r="B1662" s="3">
        <v>44727</v>
      </c>
      <c r="C1662" s="4">
        <v>33.909999999999997</v>
      </c>
      <c r="D1662" s="4">
        <v>33.909999999999997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33.909999999999997</v>
      </c>
      <c r="D1663" s="4">
        <v>33.909999999999997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33.909999999999997</v>
      </c>
      <c r="D1664" s="4">
        <v>33.909999999999997</v>
      </c>
      <c r="E1664" s="4">
        <v>0</v>
      </c>
      <c r="F1664" s="4">
        <v>0</v>
      </c>
      <c r="G1664" s="4">
        <v>0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33.909999999999997</v>
      </c>
      <c r="D1665" s="4">
        <v>33.909999999999997</v>
      </c>
      <c r="E1665" s="4">
        <v>0</v>
      </c>
      <c r="F1665" s="4">
        <v>0</v>
      </c>
      <c r="G1665" s="4">
        <v>0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33.909999999999997</v>
      </c>
      <c r="D1666" s="4">
        <v>33.909999999999997</v>
      </c>
      <c r="E1666" s="4">
        <v>0</v>
      </c>
      <c r="F1666" s="4">
        <v>0</v>
      </c>
      <c r="G1666" s="4">
        <v>0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33.909999999999997</v>
      </c>
      <c r="D1667" s="4">
        <v>33.909999999999997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33.909999999999997</v>
      </c>
      <c r="D1668" s="4">
        <v>33.909999999999997</v>
      </c>
      <c r="E1668" s="4">
        <v>0</v>
      </c>
      <c r="F1668" s="4">
        <v>0</v>
      </c>
      <c r="G1668" s="4">
        <v>0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33.909999999999997</v>
      </c>
      <c r="D1669" s="4">
        <v>33.909999999999997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33.909999999999997</v>
      </c>
      <c r="D1670" s="4">
        <v>33.909999999999997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33.9</v>
      </c>
      <c r="D1671" s="4">
        <v>33.9</v>
      </c>
      <c r="E1671" s="4">
        <v>76</v>
      </c>
      <c r="F1671" s="4">
        <v>33.9</v>
      </c>
      <c r="G1671" s="4">
        <v>2576.4</v>
      </c>
      <c r="H1671" s="5">
        <f t="shared" ref="H1671:H1734" si="26">(D1671-D1670)/D1670</f>
        <v>-2.9489826010020676E-4</v>
      </c>
    </row>
    <row r="1672" spans="1:8" ht="13.5" x14ac:dyDescent="0.25">
      <c r="A1672" s="1"/>
      <c r="B1672" s="3">
        <v>44741</v>
      </c>
      <c r="C1672" s="4">
        <v>33.9</v>
      </c>
      <c r="D1672" s="4">
        <v>33.9</v>
      </c>
      <c r="E1672" s="4">
        <v>0</v>
      </c>
      <c r="F1672" s="4">
        <v>0</v>
      </c>
      <c r="G1672" s="4">
        <v>0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33.9</v>
      </c>
      <c r="D1673" s="4">
        <v>33.9</v>
      </c>
      <c r="E1673" s="4">
        <v>0</v>
      </c>
      <c r="F1673" s="4">
        <v>0</v>
      </c>
      <c r="G1673" s="4">
        <v>0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33.9</v>
      </c>
      <c r="D1674" s="4">
        <v>33.9</v>
      </c>
      <c r="E1674" s="4">
        <v>0</v>
      </c>
      <c r="F1674" s="4">
        <v>0</v>
      </c>
      <c r="G1674" s="4">
        <v>0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33.9</v>
      </c>
      <c r="D1675" s="4">
        <v>33.9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32.380000000000003</v>
      </c>
      <c r="D1676" s="4">
        <v>32.380000000000003</v>
      </c>
      <c r="E1676" s="4">
        <v>35</v>
      </c>
      <c r="F1676" s="4">
        <v>32.380000000000003</v>
      </c>
      <c r="G1676" s="4">
        <v>1133.3</v>
      </c>
      <c r="H1676" s="5">
        <f t="shared" si="26"/>
        <v>-4.4837758112094277E-2</v>
      </c>
    </row>
    <row r="1677" spans="1:8" ht="13.5" x14ac:dyDescent="0.25">
      <c r="A1677" s="1"/>
      <c r="B1677" s="3">
        <v>44748</v>
      </c>
      <c r="C1677" s="4">
        <v>32.380000000000003</v>
      </c>
      <c r="D1677" s="4">
        <v>32.380000000000003</v>
      </c>
      <c r="E1677" s="4">
        <v>0</v>
      </c>
      <c r="F1677" s="4">
        <v>0</v>
      </c>
      <c r="G1677" s="4">
        <v>0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32.380000000000003</v>
      </c>
      <c r="D1678" s="4">
        <v>32.380000000000003</v>
      </c>
      <c r="E1678" s="4">
        <v>0</v>
      </c>
      <c r="F1678" s="4">
        <v>0</v>
      </c>
      <c r="G1678" s="4">
        <v>0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32.380000000000003</v>
      </c>
      <c r="D1679" s="4">
        <v>32.380000000000003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32.380000000000003</v>
      </c>
      <c r="D1680" s="4">
        <v>32.380000000000003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32.380000000000003</v>
      </c>
      <c r="D1681" s="4">
        <v>32.380000000000003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32.380000000000003</v>
      </c>
      <c r="D1682" s="4">
        <v>32.380000000000003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32.380000000000003</v>
      </c>
      <c r="D1683" s="4">
        <v>32.380000000000003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32.380000000000003</v>
      </c>
      <c r="D1684" s="4">
        <v>32.380000000000003</v>
      </c>
      <c r="E1684" s="4">
        <v>0</v>
      </c>
      <c r="F1684" s="4">
        <v>0</v>
      </c>
      <c r="G1684" s="4">
        <v>0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32.380000000000003</v>
      </c>
      <c r="D1685" s="4">
        <v>32.380000000000003</v>
      </c>
      <c r="E1685" s="4">
        <v>0</v>
      </c>
      <c r="F1685" s="4">
        <v>0</v>
      </c>
      <c r="G1685" s="4">
        <v>0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32.380000000000003</v>
      </c>
      <c r="D1686" s="4">
        <v>32.380000000000003</v>
      </c>
      <c r="E1686" s="4">
        <v>0</v>
      </c>
      <c r="F1686" s="4">
        <v>0</v>
      </c>
      <c r="G1686" s="4">
        <v>0</v>
      </c>
      <c r="H1686" s="5">
        <f t="shared" si="26"/>
        <v>0</v>
      </c>
    </row>
    <row r="1687" spans="1:8" ht="13.5" x14ac:dyDescent="0.25">
      <c r="A1687" s="1"/>
      <c r="B1687" s="3">
        <v>44762</v>
      </c>
      <c r="C1687" s="4">
        <v>32.380000000000003</v>
      </c>
      <c r="D1687" s="4">
        <v>32.380000000000003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32.380000000000003</v>
      </c>
      <c r="D1688" s="4">
        <v>32.380000000000003</v>
      </c>
      <c r="E1688" s="4">
        <v>0</v>
      </c>
      <c r="F1688" s="4">
        <v>0</v>
      </c>
      <c r="G1688" s="4">
        <v>0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32.380000000000003</v>
      </c>
      <c r="D1689" s="4">
        <v>32.380000000000003</v>
      </c>
      <c r="E1689" s="4">
        <v>0</v>
      </c>
      <c r="F1689" s="4">
        <v>0</v>
      </c>
      <c r="G1689" s="4">
        <v>0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32.380000000000003</v>
      </c>
      <c r="D1690" s="4">
        <v>32.380000000000003</v>
      </c>
      <c r="E1690" s="4">
        <v>0</v>
      </c>
      <c r="F1690" s="4">
        <v>0</v>
      </c>
      <c r="G1690" s="4">
        <v>0</v>
      </c>
      <c r="H1690" s="5">
        <f t="shared" si="26"/>
        <v>0</v>
      </c>
    </row>
    <row r="1691" spans="1:8" ht="13.5" x14ac:dyDescent="0.25">
      <c r="A1691" s="1"/>
      <c r="B1691" s="3">
        <v>44769</v>
      </c>
      <c r="C1691" s="4">
        <v>31</v>
      </c>
      <c r="D1691" s="4">
        <v>31</v>
      </c>
      <c r="E1691" s="4">
        <v>15</v>
      </c>
      <c r="F1691" s="4">
        <v>31</v>
      </c>
      <c r="G1691" s="4">
        <v>465</v>
      </c>
      <c r="H1691" s="5">
        <f t="shared" si="26"/>
        <v>-4.261890055589878E-2</v>
      </c>
    </row>
    <row r="1692" spans="1:8" ht="13.5" x14ac:dyDescent="0.25">
      <c r="A1692" s="1"/>
      <c r="B1692" s="3">
        <v>44770</v>
      </c>
      <c r="C1692" s="4">
        <v>31</v>
      </c>
      <c r="D1692" s="4">
        <v>31</v>
      </c>
      <c r="E1692" s="4">
        <v>0</v>
      </c>
      <c r="F1692" s="4">
        <v>0</v>
      </c>
      <c r="G1692" s="4">
        <v>0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31</v>
      </c>
      <c r="D1693" s="4">
        <v>31</v>
      </c>
      <c r="E1693" s="4">
        <v>0</v>
      </c>
      <c r="F1693" s="4">
        <v>0</v>
      </c>
      <c r="G1693" s="4">
        <v>0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31</v>
      </c>
      <c r="D1694" s="4">
        <v>31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31</v>
      </c>
      <c r="D1695" s="4">
        <v>31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31</v>
      </c>
      <c r="D1696" s="4">
        <v>31</v>
      </c>
      <c r="E1696" s="4">
        <v>0</v>
      </c>
      <c r="F1696" s="4">
        <v>0</v>
      </c>
      <c r="G1696" s="4">
        <v>0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32.39</v>
      </c>
      <c r="D1697" s="4">
        <v>32.39</v>
      </c>
      <c r="E1697" s="4">
        <v>2</v>
      </c>
      <c r="F1697" s="4">
        <v>32.39</v>
      </c>
      <c r="G1697" s="4">
        <v>64.78</v>
      </c>
      <c r="H1697" s="5">
        <f t="shared" si="26"/>
        <v>4.4838709677419375E-2</v>
      </c>
    </row>
    <row r="1698" spans="1:8" ht="13.5" x14ac:dyDescent="0.25">
      <c r="A1698" s="1"/>
      <c r="B1698" s="3">
        <v>44778</v>
      </c>
      <c r="C1698" s="4">
        <v>32.39</v>
      </c>
      <c r="D1698" s="4">
        <v>32.39</v>
      </c>
      <c r="E1698" s="4">
        <v>0</v>
      </c>
      <c r="F1698" s="4">
        <v>0</v>
      </c>
      <c r="G1698" s="4">
        <v>0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32.39</v>
      </c>
      <c r="D1699" s="4">
        <v>32.39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32.39</v>
      </c>
      <c r="D1700" s="4">
        <v>32.39</v>
      </c>
      <c r="E1700" s="4">
        <v>0</v>
      </c>
      <c r="F1700" s="4">
        <v>0</v>
      </c>
      <c r="G1700" s="4">
        <v>0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32.39</v>
      </c>
      <c r="D1701" s="4">
        <v>32.39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32.39</v>
      </c>
      <c r="D1702" s="4">
        <v>32.39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32.39</v>
      </c>
      <c r="D1703" s="4">
        <v>32.39</v>
      </c>
      <c r="E1703" s="4">
        <v>0</v>
      </c>
      <c r="F1703" s="4">
        <v>0</v>
      </c>
      <c r="G1703" s="4">
        <v>0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32.39</v>
      </c>
      <c r="D1704" s="4">
        <v>32.39</v>
      </c>
      <c r="E1704" s="4">
        <v>0</v>
      </c>
      <c r="F1704" s="4">
        <v>0</v>
      </c>
      <c r="G1704" s="4">
        <v>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33.5</v>
      </c>
      <c r="D1705" s="4">
        <v>33.5</v>
      </c>
      <c r="E1705" s="4">
        <v>4</v>
      </c>
      <c r="F1705" s="4">
        <v>33.5</v>
      </c>
      <c r="G1705" s="4">
        <v>134</v>
      </c>
      <c r="H1705" s="5">
        <f t="shared" si="26"/>
        <v>3.4269836369249754E-2</v>
      </c>
    </row>
    <row r="1706" spans="1:8" ht="13.5" x14ac:dyDescent="0.25">
      <c r="A1706" s="1"/>
      <c r="B1706" s="3">
        <v>44790</v>
      </c>
      <c r="C1706" s="4">
        <v>33.5</v>
      </c>
      <c r="D1706" s="4">
        <v>33.5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33.5</v>
      </c>
      <c r="D1707" s="4">
        <v>33.5</v>
      </c>
      <c r="E1707" s="4">
        <v>9</v>
      </c>
      <c r="F1707" s="4">
        <v>33.5</v>
      </c>
      <c r="G1707" s="4">
        <v>301.5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33.5</v>
      </c>
      <c r="D1708" s="4">
        <v>33.5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33.5</v>
      </c>
      <c r="D1709" s="4">
        <v>33.5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33.5</v>
      </c>
      <c r="D1710" s="4">
        <v>33.5</v>
      </c>
      <c r="E1710" s="4">
        <v>13</v>
      </c>
      <c r="F1710" s="4">
        <v>33.5</v>
      </c>
      <c r="G1710" s="4">
        <v>435.5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33.5</v>
      </c>
      <c r="D1711" s="4">
        <v>33.5</v>
      </c>
      <c r="E1711" s="4">
        <v>0</v>
      </c>
      <c r="F1711" s="4">
        <v>0</v>
      </c>
      <c r="G1711" s="4">
        <v>0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33.5</v>
      </c>
      <c r="D1712" s="4">
        <v>33.5</v>
      </c>
      <c r="E1712" s="4">
        <v>0</v>
      </c>
      <c r="F1712" s="4">
        <v>0</v>
      </c>
      <c r="G1712" s="4">
        <v>0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33.880000000000003</v>
      </c>
      <c r="D1713" s="4">
        <v>33.880000000000003</v>
      </c>
      <c r="E1713" s="4">
        <v>11</v>
      </c>
      <c r="F1713" s="4">
        <v>33.880000000000003</v>
      </c>
      <c r="G1713" s="4">
        <v>372.68</v>
      </c>
      <c r="H1713" s="5">
        <f t="shared" si="26"/>
        <v>1.1343283582089629E-2</v>
      </c>
    </row>
    <row r="1714" spans="1:8" ht="13.5" x14ac:dyDescent="0.25">
      <c r="A1714" s="1"/>
      <c r="B1714" s="3">
        <v>44802</v>
      </c>
      <c r="C1714" s="4">
        <v>33.880000000000003</v>
      </c>
      <c r="D1714" s="4">
        <v>33.880000000000003</v>
      </c>
      <c r="E1714" s="4">
        <v>0</v>
      </c>
      <c r="F1714" s="4">
        <v>0</v>
      </c>
      <c r="G1714" s="4">
        <v>0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33.880000000000003</v>
      </c>
      <c r="D1715" s="4">
        <v>33.880000000000003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33.880000000000003</v>
      </c>
      <c r="D1716" s="4">
        <v>33.880000000000003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33.880000000000003</v>
      </c>
      <c r="D1717" s="4">
        <v>33.880000000000003</v>
      </c>
      <c r="E1717" s="4">
        <v>0</v>
      </c>
      <c r="F1717" s="4">
        <v>0</v>
      </c>
      <c r="G1717" s="4">
        <v>0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33.880000000000003</v>
      </c>
      <c r="D1718" s="4">
        <v>33.880000000000003</v>
      </c>
      <c r="E1718" s="4">
        <v>0</v>
      </c>
      <c r="F1718" s="4">
        <v>0</v>
      </c>
      <c r="G1718" s="4">
        <v>0</v>
      </c>
      <c r="H1718" s="5">
        <f t="shared" si="26"/>
        <v>0</v>
      </c>
    </row>
    <row r="1719" spans="1:8" ht="13.5" x14ac:dyDescent="0.25">
      <c r="A1719" s="1"/>
      <c r="B1719" s="3">
        <v>44809</v>
      </c>
      <c r="C1719" s="4">
        <v>33.880000000000003</v>
      </c>
      <c r="D1719" s="4">
        <v>33.880000000000003</v>
      </c>
      <c r="E1719" s="4">
        <v>0</v>
      </c>
      <c r="F1719" s="4">
        <v>0</v>
      </c>
      <c r="G1719" s="4">
        <v>0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33.880000000000003</v>
      </c>
      <c r="D1720" s="4">
        <v>33.880000000000003</v>
      </c>
      <c r="E1720" s="4">
        <v>0</v>
      </c>
      <c r="F1720" s="4">
        <v>0</v>
      </c>
      <c r="G1720" s="4">
        <v>0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33.880000000000003</v>
      </c>
      <c r="D1721" s="4">
        <v>33.880000000000003</v>
      </c>
      <c r="E1721" s="4">
        <v>0</v>
      </c>
      <c r="F1721" s="4">
        <v>0</v>
      </c>
      <c r="G1721" s="4">
        <v>0</v>
      </c>
      <c r="H1721" s="5">
        <f t="shared" si="26"/>
        <v>0</v>
      </c>
    </row>
    <row r="1722" spans="1:8" ht="13.5" x14ac:dyDescent="0.25">
      <c r="A1722" s="1"/>
      <c r="B1722" s="3">
        <v>44812</v>
      </c>
      <c r="C1722" s="4">
        <v>33.880000000000003</v>
      </c>
      <c r="D1722" s="4">
        <v>33.880000000000003</v>
      </c>
      <c r="E1722" s="4">
        <v>0</v>
      </c>
      <c r="F1722" s="4">
        <v>0</v>
      </c>
      <c r="G1722" s="4">
        <v>0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33.880000000000003</v>
      </c>
      <c r="D1723" s="4">
        <v>33.880000000000003</v>
      </c>
      <c r="E1723" s="4">
        <v>0</v>
      </c>
      <c r="F1723" s="4">
        <v>0</v>
      </c>
      <c r="G1723" s="4">
        <v>0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33.880000000000003</v>
      </c>
      <c r="D1724" s="4">
        <v>33.880000000000003</v>
      </c>
      <c r="E1724" s="4">
        <v>0</v>
      </c>
      <c r="F1724" s="4">
        <v>0</v>
      </c>
      <c r="G1724" s="4">
        <v>0</v>
      </c>
      <c r="H1724" s="5">
        <f t="shared" si="26"/>
        <v>0</v>
      </c>
    </row>
    <row r="1725" spans="1:8" ht="13.5" x14ac:dyDescent="0.25">
      <c r="A1725" s="1"/>
      <c r="B1725" s="3">
        <v>44817</v>
      </c>
      <c r="C1725" s="4">
        <v>33.880000000000003</v>
      </c>
      <c r="D1725" s="4">
        <v>33.880000000000003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34.99</v>
      </c>
      <c r="D1726" s="4">
        <v>34.99</v>
      </c>
      <c r="E1726" s="4">
        <v>15</v>
      </c>
      <c r="F1726" s="4">
        <v>34.99</v>
      </c>
      <c r="G1726" s="4">
        <v>524.85</v>
      </c>
      <c r="H1726" s="5">
        <f t="shared" si="26"/>
        <v>3.2762691853600923E-2</v>
      </c>
    </row>
    <row r="1727" spans="1:8" ht="13.5" x14ac:dyDescent="0.25">
      <c r="A1727" s="1"/>
      <c r="B1727" s="3">
        <v>44819</v>
      </c>
      <c r="C1727" s="4">
        <v>34</v>
      </c>
      <c r="D1727" s="4">
        <v>34</v>
      </c>
      <c r="E1727" s="4">
        <v>25</v>
      </c>
      <c r="F1727" s="4">
        <v>34</v>
      </c>
      <c r="G1727" s="4">
        <v>850</v>
      </c>
      <c r="H1727" s="5">
        <f t="shared" si="26"/>
        <v>-2.8293798228065218E-2</v>
      </c>
    </row>
    <row r="1728" spans="1:8" ht="13.5" x14ac:dyDescent="0.25">
      <c r="A1728" s="1"/>
      <c r="B1728" s="3">
        <v>44820</v>
      </c>
      <c r="C1728" s="4">
        <v>34</v>
      </c>
      <c r="D1728" s="4">
        <v>34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33.5</v>
      </c>
      <c r="D1729" s="4">
        <v>33.5</v>
      </c>
      <c r="E1729" s="4">
        <v>34</v>
      </c>
      <c r="F1729" s="4">
        <v>33.5</v>
      </c>
      <c r="G1729" s="4">
        <v>1139</v>
      </c>
      <c r="H1729" s="5">
        <f t="shared" si="26"/>
        <v>-1.4705882352941176E-2</v>
      </c>
    </row>
    <row r="1730" spans="1:8" ht="13.5" x14ac:dyDescent="0.25">
      <c r="A1730" s="1"/>
      <c r="B1730" s="3">
        <v>44824</v>
      </c>
      <c r="C1730" s="4">
        <v>33.5</v>
      </c>
      <c r="D1730" s="4">
        <v>33.5</v>
      </c>
      <c r="E1730" s="4">
        <v>0</v>
      </c>
      <c r="F1730" s="4">
        <v>0</v>
      </c>
      <c r="G1730" s="4">
        <v>0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32</v>
      </c>
      <c r="D1731" s="4">
        <v>32</v>
      </c>
      <c r="E1731" s="4">
        <v>31</v>
      </c>
      <c r="F1731" s="4">
        <v>32</v>
      </c>
      <c r="G1731" s="4">
        <v>992</v>
      </c>
      <c r="H1731" s="5">
        <f t="shared" si="26"/>
        <v>-4.4776119402985072E-2</v>
      </c>
    </row>
    <row r="1732" spans="1:8" ht="13.5" x14ac:dyDescent="0.25">
      <c r="A1732" s="1"/>
      <c r="B1732" s="3">
        <v>44826</v>
      </c>
      <c r="C1732" s="4">
        <v>30.7</v>
      </c>
      <c r="D1732" s="4">
        <v>30.7</v>
      </c>
      <c r="E1732" s="4">
        <v>30</v>
      </c>
      <c r="F1732" s="4">
        <v>30.7</v>
      </c>
      <c r="G1732" s="4">
        <v>921</v>
      </c>
      <c r="H1732" s="5">
        <f t="shared" si="26"/>
        <v>-4.0625000000000022E-2</v>
      </c>
    </row>
    <row r="1733" spans="1:8" ht="13.5" x14ac:dyDescent="0.25">
      <c r="A1733" s="1"/>
      <c r="B1733" s="3">
        <v>44827</v>
      </c>
      <c r="C1733" s="4">
        <v>29.5</v>
      </c>
      <c r="D1733" s="4">
        <v>29.5</v>
      </c>
      <c r="E1733" s="4">
        <v>24</v>
      </c>
      <c r="F1733" s="4">
        <v>29.5</v>
      </c>
      <c r="G1733" s="4">
        <v>708</v>
      </c>
      <c r="H1733" s="5">
        <f t="shared" si="26"/>
        <v>-3.9087947882736132E-2</v>
      </c>
    </row>
    <row r="1734" spans="1:8" ht="13.5" x14ac:dyDescent="0.25">
      <c r="A1734" s="1"/>
      <c r="B1734" s="3">
        <v>44830</v>
      </c>
      <c r="C1734" s="4">
        <v>29.5</v>
      </c>
      <c r="D1734" s="4">
        <v>29.5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29.5</v>
      </c>
      <c r="D1735" s="4">
        <v>29.5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29.5</v>
      </c>
      <c r="D1736" s="4">
        <v>29.5</v>
      </c>
      <c r="E1736" s="4">
        <v>0</v>
      </c>
      <c r="F1736" s="4">
        <v>0</v>
      </c>
      <c r="G1736" s="4">
        <v>0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29.5</v>
      </c>
      <c r="D1737" s="4">
        <v>29.5</v>
      </c>
      <c r="E1737" s="4">
        <v>0</v>
      </c>
      <c r="F1737" s="4">
        <v>0</v>
      </c>
      <c r="G1737" s="4">
        <v>0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29.5</v>
      </c>
      <c r="D1738" s="4">
        <v>29.5</v>
      </c>
      <c r="E1738" s="4">
        <v>0</v>
      </c>
      <c r="F1738" s="4">
        <v>0</v>
      </c>
      <c r="G1738" s="4">
        <v>0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29.5</v>
      </c>
      <c r="D1739" s="4">
        <v>29.5</v>
      </c>
      <c r="E1739" s="4">
        <v>90</v>
      </c>
      <c r="F1739" s="4">
        <v>29.5</v>
      </c>
      <c r="G1739" s="4">
        <v>2655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29.5</v>
      </c>
      <c r="D1740" s="4">
        <v>29.5</v>
      </c>
      <c r="E1740" s="4">
        <v>0</v>
      </c>
      <c r="F1740" s="4">
        <v>0</v>
      </c>
      <c r="G1740" s="4">
        <v>0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29.5</v>
      </c>
      <c r="D1741" s="4">
        <v>29.5</v>
      </c>
      <c r="E1741" s="4">
        <v>0</v>
      </c>
      <c r="F1741" s="4">
        <v>0</v>
      </c>
      <c r="G1741" s="4">
        <v>0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29.5</v>
      </c>
      <c r="D1742" s="4">
        <v>29.5</v>
      </c>
      <c r="E1742" s="4">
        <v>0</v>
      </c>
      <c r="F1742" s="4">
        <v>0</v>
      </c>
      <c r="G1742" s="4">
        <v>0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29.5</v>
      </c>
      <c r="D1743" s="4">
        <v>29.5</v>
      </c>
      <c r="E1743" s="4">
        <v>0</v>
      </c>
      <c r="F1743" s="4">
        <v>0</v>
      </c>
      <c r="G1743" s="4">
        <v>0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29.5</v>
      </c>
      <c r="D1744" s="4">
        <v>29.5</v>
      </c>
      <c r="E1744" s="4">
        <v>0</v>
      </c>
      <c r="F1744" s="4">
        <v>0</v>
      </c>
      <c r="G1744" s="4">
        <v>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29.5</v>
      </c>
      <c r="D1745" s="4">
        <v>29.5</v>
      </c>
      <c r="E1745" s="4">
        <v>0</v>
      </c>
      <c r="F1745" s="4">
        <v>0</v>
      </c>
      <c r="G1745" s="4">
        <v>0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29.5</v>
      </c>
      <c r="D1746" s="4">
        <v>29.5</v>
      </c>
      <c r="E1746" s="4">
        <v>0</v>
      </c>
      <c r="F1746" s="4">
        <v>0</v>
      </c>
      <c r="G1746" s="4">
        <v>0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29.5</v>
      </c>
      <c r="D1747" s="4">
        <v>29.5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29.5</v>
      </c>
      <c r="D1748" s="4">
        <v>29.5</v>
      </c>
      <c r="E1748" s="4">
        <v>0</v>
      </c>
      <c r="F1748" s="4">
        <v>0</v>
      </c>
      <c r="G1748" s="4">
        <v>0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29.51</v>
      </c>
      <c r="D1749" s="4">
        <v>29.51</v>
      </c>
      <c r="E1749" s="4">
        <v>15</v>
      </c>
      <c r="F1749" s="4">
        <v>29.51</v>
      </c>
      <c r="G1749" s="4">
        <v>442.65</v>
      </c>
      <c r="H1749" s="5">
        <f t="shared" si="27"/>
        <v>3.3898305084751061E-4</v>
      </c>
    </row>
    <row r="1750" spans="1:8" ht="13.5" x14ac:dyDescent="0.25">
      <c r="A1750" s="1"/>
      <c r="B1750" s="3">
        <v>44852</v>
      </c>
      <c r="C1750" s="4">
        <v>29.5</v>
      </c>
      <c r="D1750" s="4">
        <v>29.5</v>
      </c>
      <c r="E1750" s="4">
        <v>89</v>
      </c>
      <c r="F1750" s="4">
        <v>29.5</v>
      </c>
      <c r="G1750" s="4">
        <v>2625.5</v>
      </c>
      <c r="H1750" s="5">
        <f t="shared" si="27"/>
        <v>-3.3886818027792484E-4</v>
      </c>
    </row>
    <row r="1751" spans="1:8" ht="13.5" x14ac:dyDescent="0.25">
      <c r="A1751" s="1"/>
      <c r="B1751" s="3">
        <v>44853</v>
      </c>
      <c r="C1751" s="4">
        <v>29.5</v>
      </c>
      <c r="D1751" s="4">
        <v>29.5</v>
      </c>
      <c r="E1751" s="4">
        <v>0</v>
      </c>
      <c r="F1751" s="4">
        <v>0</v>
      </c>
      <c r="G1751" s="4">
        <v>0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29.5</v>
      </c>
      <c r="D1752" s="4">
        <v>29.5</v>
      </c>
      <c r="E1752" s="4">
        <v>14</v>
      </c>
      <c r="F1752" s="4">
        <v>29.5</v>
      </c>
      <c r="G1752" s="4">
        <v>413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29.5</v>
      </c>
      <c r="D1753" s="4">
        <v>29.5</v>
      </c>
      <c r="E1753" s="4">
        <v>0</v>
      </c>
      <c r="F1753" s="4">
        <v>0</v>
      </c>
      <c r="G1753" s="4">
        <v>0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29.5</v>
      </c>
      <c r="D1754" s="4">
        <v>29.5</v>
      </c>
      <c r="E1754" s="4">
        <v>0</v>
      </c>
      <c r="F1754" s="4">
        <v>0</v>
      </c>
      <c r="G1754" s="4">
        <v>0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29.5</v>
      </c>
      <c r="D1755" s="4">
        <v>29.5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29.5</v>
      </c>
      <c r="D1756" s="4">
        <v>29.5</v>
      </c>
      <c r="E1756" s="4">
        <v>0</v>
      </c>
      <c r="F1756" s="4">
        <v>0</v>
      </c>
      <c r="G1756" s="4">
        <v>0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29.5</v>
      </c>
      <c r="D1757" s="4">
        <v>29.5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29.5</v>
      </c>
      <c r="D1758" s="4">
        <v>29.5</v>
      </c>
      <c r="E1758" s="4">
        <v>0</v>
      </c>
      <c r="F1758" s="4">
        <v>0</v>
      </c>
      <c r="G1758" s="4">
        <v>0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29.5</v>
      </c>
      <c r="D1759" s="4">
        <v>29.5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29.5</v>
      </c>
      <c r="D1760" s="4">
        <v>29.5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29.5</v>
      </c>
      <c r="D1761" s="4">
        <v>29.5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29.5</v>
      </c>
      <c r="D1762" s="4">
        <v>29.5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29.5</v>
      </c>
      <c r="D1763" s="4">
        <v>29.5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29.5</v>
      </c>
      <c r="D1764" s="4">
        <v>29.5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29.5</v>
      </c>
      <c r="D1765" s="4">
        <v>29.5</v>
      </c>
      <c r="E1765" s="4">
        <v>0</v>
      </c>
      <c r="F1765" s="4">
        <v>0</v>
      </c>
      <c r="G1765" s="4">
        <v>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29.5</v>
      </c>
      <c r="D1766" s="4">
        <v>29.5</v>
      </c>
      <c r="E1766" s="4">
        <v>0</v>
      </c>
      <c r="F1766" s="4">
        <v>0</v>
      </c>
      <c r="G1766" s="4">
        <v>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28.51</v>
      </c>
      <c r="D1767" s="4">
        <v>28.51</v>
      </c>
      <c r="E1767" s="4">
        <v>11</v>
      </c>
      <c r="F1767" s="4">
        <v>28.51</v>
      </c>
      <c r="G1767" s="4">
        <v>313.61</v>
      </c>
      <c r="H1767" s="5">
        <f t="shared" si="27"/>
        <v>-3.3559322033898255E-2</v>
      </c>
    </row>
    <row r="1768" spans="1:8" ht="13.5" x14ac:dyDescent="0.25">
      <c r="A1768" s="1"/>
      <c r="B1768" s="3">
        <v>44876</v>
      </c>
      <c r="C1768" s="4">
        <v>28.51</v>
      </c>
      <c r="D1768" s="4">
        <v>28.51</v>
      </c>
      <c r="E1768" s="4">
        <v>0</v>
      </c>
      <c r="F1768" s="4">
        <v>0</v>
      </c>
      <c r="G1768" s="4">
        <v>0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28.51</v>
      </c>
      <c r="D1769" s="4">
        <v>28.51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28.51</v>
      </c>
      <c r="D1770" s="4">
        <v>28.51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28.51</v>
      </c>
      <c r="D1771" s="4">
        <v>28.51</v>
      </c>
      <c r="E1771" s="4">
        <v>0</v>
      </c>
      <c r="F1771" s="4">
        <v>0</v>
      </c>
      <c r="G1771" s="4">
        <v>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28.51</v>
      </c>
      <c r="D1772" s="4">
        <v>28.51</v>
      </c>
      <c r="E1772" s="4">
        <v>0</v>
      </c>
      <c r="F1772" s="4">
        <v>0</v>
      </c>
      <c r="G1772" s="4">
        <v>0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28.51</v>
      </c>
      <c r="D1773" s="4">
        <v>28.51</v>
      </c>
      <c r="E1773" s="4">
        <v>0</v>
      </c>
      <c r="F1773" s="4">
        <v>0</v>
      </c>
      <c r="G1773" s="4">
        <v>0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28.51</v>
      </c>
      <c r="D1774" s="4">
        <v>28.51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29.79</v>
      </c>
      <c r="D1775" s="4">
        <v>29.79</v>
      </c>
      <c r="E1775" s="4">
        <v>0</v>
      </c>
      <c r="F1775" s="4">
        <v>0</v>
      </c>
      <c r="G1775" s="4">
        <v>0</v>
      </c>
      <c r="H1775" s="5">
        <f t="shared" si="27"/>
        <v>4.4896527534198441E-2</v>
      </c>
    </row>
    <row r="1776" spans="1:8" ht="13.5" x14ac:dyDescent="0.25">
      <c r="A1776" s="1"/>
      <c r="B1776" s="3">
        <v>44888</v>
      </c>
      <c r="C1776" s="4">
        <v>31.13</v>
      </c>
      <c r="D1776" s="4">
        <v>31.13</v>
      </c>
      <c r="E1776" s="4">
        <v>38</v>
      </c>
      <c r="F1776" s="4">
        <v>31.13</v>
      </c>
      <c r="G1776" s="4">
        <v>1182.94</v>
      </c>
      <c r="H1776" s="5">
        <f t="shared" si="27"/>
        <v>4.4981537428667333E-2</v>
      </c>
    </row>
    <row r="1777" spans="1:8" ht="13.5" x14ac:dyDescent="0.25">
      <c r="A1777" s="1"/>
      <c r="B1777" s="3">
        <v>44889</v>
      </c>
      <c r="C1777" s="4">
        <v>32.5</v>
      </c>
      <c r="D1777" s="4">
        <v>32.5</v>
      </c>
      <c r="E1777" s="4">
        <v>5</v>
      </c>
      <c r="F1777" s="4">
        <v>32.5</v>
      </c>
      <c r="G1777" s="4">
        <v>162.5</v>
      </c>
      <c r="H1777" s="5">
        <f t="shared" si="27"/>
        <v>4.4008994539029907E-2</v>
      </c>
    </row>
    <row r="1778" spans="1:8" ht="13.5" x14ac:dyDescent="0.25">
      <c r="A1778" s="1"/>
      <c r="B1778" s="3">
        <v>44890</v>
      </c>
      <c r="C1778" s="4">
        <v>33.5</v>
      </c>
      <c r="D1778" s="4">
        <v>33.5</v>
      </c>
      <c r="E1778" s="4">
        <v>181</v>
      </c>
      <c r="F1778" s="4">
        <v>33.5</v>
      </c>
      <c r="G1778" s="4">
        <v>6063.5</v>
      </c>
      <c r="H1778" s="5">
        <f t="shared" si="27"/>
        <v>3.0769230769230771E-2</v>
      </c>
    </row>
    <row r="1779" spans="1:8" ht="13.5" x14ac:dyDescent="0.25">
      <c r="A1779" s="1"/>
      <c r="B1779" s="3">
        <v>44893</v>
      </c>
      <c r="C1779" s="4">
        <v>33.5</v>
      </c>
      <c r="D1779" s="4">
        <v>33.5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33.5</v>
      </c>
      <c r="D1780" s="4">
        <v>33.5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33.5</v>
      </c>
      <c r="D1781" s="4">
        <v>33.5</v>
      </c>
      <c r="E1781" s="4">
        <v>333</v>
      </c>
      <c r="F1781" s="4">
        <v>33.5</v>
      </c>
      <c r="G1781" s="4">
        <v>11155.5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33.5</v>
      </c>
      <c r="D1782" s="4">
        <v>33.5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33.5</v>
      </c>
      <c r="D1783" s="4">
        <v>33.5</v>
      </c>
      <c r="E1783" s="4">
        <v>0</v>
      </c>
      <c r="F1783" s="4">
        <v>0</v>
      </c>
      <c r="G1783" s="4">
        <v>0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35</v>
      </c>
      <c r="D1784" s="4">
        <v>35</v>
      </c>
      <c r="E1784" s="4">
        <v>50</v>
      </c>
      <c r="F1784" s="4">
        <v>35</v>
      </c>
      <c r="G1784" s="4">
        <v>1750</v>
      </c>
      <c r="H1784" s="5">
        <f t="shared" si="27"/>
        <v>4.4776119402985072E-2</v>
      </c>
    </row>
    <row r="1785" spans="1:8" ht="13.5" x14ac:dyDescent="0.25">
      <c r="A1785" s="1"/>
      <c r="B1785" s="3">
        <v>44901</v>
      </c>
      <c r="C1785" s="4">
        <v>35</v>
      </c>
      <c r="D1785" s="4">
        <v>35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35.49</v>
      </c>
      <c r="D1786" s="4">
        <v>35.49</v>
      </c>
      <c r="E1786" s="4">
        <v>265</v>
      </c>
      <c r="F1786" s="4">
        <v>35.49</v>
      </c>
      <c r="G1786" s="4">
        <v>9404.85</v>
      </c>
      <c r="H1786" s="5">
        <f t="shared" si="27"/>
        <v>1.4000000000000058E-2</v>
      </c>
    </row>
    <row r="1787" spans="1:8" ht="13.5" x14ac:dyDescent="0.25">
      <c r="A1787" s="1"/>
      <c r="B1787" s="3">
        <v>44903</v>
      </c>
      <c r="C1787" s="4">
        <v>33.9</v>
      </c>
      <c r="D1787" s="4">
        <v>33.9</v>
      </c>
      <c r="E1787" s="4">
        <v>0</v>
      </c>
      <c r="F1787" s="4">
        <v>0</v>
      </c>
      <c r="G1787" s="4">
        <v>0</v>
      </c>
      <c r="H1787" s="5">
        <f t="shared" si="27"/>
        <v>-4.4801352493660282E-2</v>
      </c>
    </row>
    <row r="1788" spans="1:8" ht="13.5" x14ac:dyDescent="0.25">
      <c r="A1788" s="1"/>
      <c r="B1788" s="3">
        <v>44904</v>
      </c>
      <c r="C1788" s="4">
        <v>33.5</v>
      </c>
      <c r="D1788" s="4">
        <v>33.5</v>
      </c>
      <c r="E1788" s="4">
        <v>63</v>
      </c>
      <c r="F1788" s="4">
        <v>33.5</v>
      </c>
      <c r="G1788" s="4">
        <v>2110.5</v>
      </c>
      <c r="H1788" s="5">
        <f t="shared" si="27"/>
        <v>-1.1799410029498483E-2</v>
      </c>
    </row>
    <row r="1789" spans="1:8" ht="13.5" x14ac:dyDescent="0.25">
      <c r="A1789" s="1"/>
      <c r="B1789" s="3">
        <v>44907</v>
      </c>
      <c r="C1789" s="4">
        <v>35</v>
      </c>
      <c r="D1789" s="4">
        <v>35</v>
      </c>
      <c r="E1789" s="4">
        <v>44</v>
      </c>
      <c r="F1789" s="4">
        <v>35</v>
      </c>
      <c r="G1789" s="4">
        <v>1540</v>
      </c>
      <c r="H1789" s="5">
        <f t="shared" si="27"/>
        <v>4.4776119402985072E-2</v>
      </c>
    </row>
    <row r="1790" spans="1:8" ht="13.5" x14ac:dyDescent="0.25">
      <c r="A1790" s="1"/>
      <c r="B1790" s="3">
        <v>44908</v>
      </c>
      <c r="C1790" s="4">
        <v>35.49</v>
      </c>
      <c r="D1790" s="4">
        <v>35.49</v>
      </c>
      <c r="E1790" s="4">
        <v>45</v>
      </c>
      <c r="F1790" s="4">
        <v>35.49</v>
      </c>
      <c r="G1790" s="4">
        <v>1597.05</v>
      </c>
      <c r="H1790" s="5">
        <f t="shared" si="27"/>
        <v>1.4000000000000058E-2</v>
      </c>
    </row>
    <row r="1791" spans="1:8" ht="13.5" x14ac:dyDescent="0.25">
      <c r="A1791" s="1"/>
      <c r="B1791" s="3">
        <v>44909</v>
      </c>
      <c r="C1791" s="4">
        <v>33.9</v>
      </c>
      <c r="D1791" s="4">
        <v>33.9</v>
      </c>
      <c r="E1791" s="4">
        <v>0</v>
      </c>
      <c r="F1791" s="4">
        <v>0</v>
      </c>
      <c r="G1791" s="4">
        <v>0</v>
      </c>
      <c r="H1791" s="5">
        <f t="shared" si="27"/>
        <v>-4.4801352493660282E-2</v>
      </c>
    </row>
    <row r="1792" spans="1:8" ht="13.5" x14ac:dyDescent="0.25">
      <c r="A1792" s="1"/>
      <c r="B1792" s="3">
        <v>44910</v>
      </c>
      <c r="C1792" s="4">
        <v>35.42</v>
      </c>
      <c r="D1792" s="4">
        <v>35.42</v>
      </c>
      <c r="E1792" s="4">
        <v>136</v>
      </c>
      <c r="F1792" s="4">
        <v>35.42</v>
      </c>
      <c r="G1792" s="4">
        <v>4817.12</v>
      </c>
      <c r="H1792" s="5">
        <f t="shared" si="27"/>
        <v>4.4837758112094492E-2</v>
      </c>
    </row>
    <row r="1793" spans="1:8" ht="13.5" x14ac:dyDescent="0.25">
      <c r="A1793" s="1"/>
      <c r="B1793" s="3">
        <v>44911</v>
      </c>
      <c r="C1793" s="4">
        <v>33.83</v>
      </c>
      <c r="D1793" s="4">
        <v>33.83</v>
      </c>
      <c r="E1793" s="4">
        <v>0</v>
      </c>
      <c r="F1793" s="4">
        <v>0</v>
      </c>
      <c r="G1793" s="4">
        <v>0</v>
      </c>
      <c r="H1793" s="5">
        <f t="shared" si="27"/>
        <v>-4.4889892715979769E-2</v>
      </c>
    </row>
    <row r="1794" spans="1:8" ht="13.5" x14ac:dyDescent="0.25">
      <c r="A1794" s="1"/>
      <c r="B1794" s="3">
        <v>44914</v>
      </c>
      <c r="C1794" s="4">
        <v>33.83</v>
      </c>
      <c r="D1794" s="4">
        <v>33.83</v>
      </c>
      <c r="E1794" s="4">
        <v>95</v>
      </c>
      <c r="F1794" s="4">
        <v>33.83</v>
      </c>
      <c r="G1794" s="4">
        <v>3213.85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33.83</v>
      </c>
      <c r="D1795" s="4">
        <v>33.83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35.35</v>
      </c>
      <c r="D1796" s="4">
        <v>35.35</v>
      </c>
      <c r="E1796" s="4">
        <v>75</v>
      </c>
      <c r="F1796" s="4">
        <v>35.35</v>
      </c>
      <c r="G1796" s="4">
        <v>2651.25</v>
      </c>
      <c r="H1796" s="5">
        <f t="shared" si="27"/>
        <v>4.4930535028081676E-2</v>
      </c>
    </row>
    <row r="1797" spans="1:8" ht="13.5" x14ac:dyDescent="0.25">
      <c r="A1797" s="1"/>
      <c r="B1797" s="3">
        <v>44917</v>
      </c>
      <c r="C1797" s="4">
        <v>33.76</v>
      </c>
      <c r="D1797" s="4">
        <v>33.76</v>
      </c>
      <c r="E1797" s="4">
        <v>0</v>
      </c>
      <c r="F1797" s="4">
        <v>0</v>
      </c>
      <c r="G1797" s="4">
        <v>0</v>
      </c>
      <c r="H1797" s="5">
        <f t="shared" si="27"/>
        <v>-4.4978783592645073E-2</v>
      </c>
    </row>
    <row r="1798" spans="1:8" ht="13.5" x14ac:dyDescent="0.25">
      <c r="A1798" s="1"/>
      <c r="B1798" s="3">
        <v>44918</v>
      </c>
      <c r="C1798" s="4">
        <v>35.270000000000003</v>
      </c>
      <c r="D1798" s="4">
        <v>35.270000000000003</v>
      </c>
      <c r="E1798" s="4">
        <v>92</v>
      </c>
      <c r="F1798" s="4">
        <v>35.270000000000003</v>
      </c>
      <c r="G1798" s="4">
        <v>3244.84</v>
      </c>
      <c r="H1798" s="5">
        <f t="shared" si="27"/>
        <v>4.4727488151658924E-2</v>
      </c>
    </row>
    <row r="1799" spans="1:8" ht="13.5" x14ac:dyDescent="0.25">
      <c r="A1799" s="1"/>
      <c r="B1799" s="3">
        <v>44921</v>
      </c>
      <c r="C1799" s="4">
        <v>35.4</v>
      </c>
      <c r="D1799" s="4">
        <v>35.4</v>
      </c>
      <c r="E1799" s="4">
        <v>1</v>
      </c>
      <c r="F1799" s="4">
        <v>35.4</v>
      </c>
      <c r="G1799" s="4">
        <v>35.4</v>
      </c>
      <c r="H1799" s="5">
        <f t="shared" ref="H1799:H1862" si="28">(D1799-D1798)/D1798</f>
        <v>3.6858519988657626E-3</v>
      </c>
    </row>
    <row r="1800" spans="1:8" ht="13.5" x14ac:dyDescent="0.25">
      <c r="A1800" s="1"/>
      <c r="B1800" s="3">
        <v>44922</v>
      </c>
      <c r="C1800" s="4">
        <v>35.4</v>
      </c>
      <c r="D1800" s="4">
        <v>35.4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35.4</v>
      </c>
      <c r="D1801" s="4">
        <v>35.4</v>
      </c>
      <c r="E1801" s="4">
        <v>0</v>
      </c>
      <c r="F1801" s="4">
        <v>0</v>
      </c>
      <c r="G1801" s="4">
        <v>0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34</v>
      </c>
      <c r="D1802" s="4">
        <v>34</v>
      </c>
      <c r="E1802" s="4">
        <v>36</v>
      </c>
      <c r="F1802" s="4">
        <v>34</v>
      </c>
      <c r="G1802" s="4">
        <v>1224</v>
      </c>
      <c r="H1802" s="5">
        <f t="shared" si="28"/>
        <v>-3.9548022598870018E-2</v>
      </c>
    </row>
    <row r="1803" spans="1:8" ht="13.5" x14ac:dyDescent="0.25">
      <c r="A1803" s="1"/>
      <c r="B1803" s="3">
        <v>44925</v>
      </c>
      <c r="C1803" s="4">
        <v>35.53</v>
      </c>
      <c r="D1803" s="4">
        <v>35.53</v>
      </c>
      <c r="E1803" s="4">
        <v>554</v>
      </c>
      <c r="F1803" s="4">
        <v>35.53</v>
      </c>
      <c r="G1803" s="4">
        <v>19683.62</v>
      </c>
      <c r="H1803" s="5">
        <f t="shared" si="28"/>
        <v>4.5000000000000033E-2</v>
      </c>
    </row>
    <row r="1804" spans="1:8" ht="13.5" x14ac:dyDescent="0.25">
      <c r="A1804" s="1"/>
      <c r="B1804" s="3">
        <v>44928</v>
      </c>
      <c r="C1804" s="4">
        <v>35</v>
      </c>
      <c r="D1804" s="4">
        <v>35</v>
      </c>
      <c r="E1804" s="4">
        <v>50</v>
      </c>
      <c r="F1804" s="4">
        <v>35</v>
      </c>
      <c r="G1804" s="4">
        <v>1750</v>
      </c>
      <c r="H1804" s="5">
        <f t="shared" si="28"/>
        <v>-1.4916971573318354E-2</v>
      </c>
    </row>
    <row r="1805" spans="1:8" ht="13.5" x14ac:dyDescent="0.25">
      <c r="A1805" s="1"/>
      <c r="B1805" s="3">
        <v>44929</v>
      </c>
      <c r="C1805" s="4">
        <v>35</v>
      </c>
      <c r="D1805" s="4">
        <v>35</v>
      </c>
      <c r="E1805" s="4">
        <v>0</v>
      </c>
      <c r="F1805" s="4">
        <v>0</v>
      </c>
      <c r="G1805" s="4">
        <v>0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35</v>
      </c>
      <c r="D1806" s="4">
        <v>35</v>
      </c>
      <c r="E1806" s="4">
        <v>0</v>
      </c>
      <c r="F1806" s="4">
        <v>0</v>
      </c>
      <c r="G1806" s="4">
        <v>0</v>
      </c>
      <c r="H1806" s="5">
        <f t="shared" si="28"/>
        <v>0</v>
      </c>
    </row>
    <row r="1807" spans="1:8" ht="13.5" x14ac:dyDescent="0.25">
      <c r="A1807" s="1"/>
      <c r="B1807" s="3">
        <v>44931</v>
      </c>
      <c r="C1807" s="4">
        <v>35</v>
      </c>
      <c r="D1807" s="4">
        <v>35</v>
      </c>
      <c r="E1807" s="4">
        <v>0</v>
      </c>
      <c r="F1807" s="4">
        <v>0</v>
      </c>
      <c r="G1807" s="4">
        <v>0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35</v>
      </c>
      <c r="D1808" s="4">
        <v>35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35</v>
      </c>
      <c r="D1809" s="4">
        <v>35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34</v>
      </c>
      <c r="D1810" s="4">
        <v>34</v>
      </c>
      <c r="E1810" s="4">
        <v>23</v>
      </c>
      <c r="F1810" s="4">
        <v>34</v>
      </c>
      <c r="G1810" s="4">
        <v>782</v>
      </c>
      <c r="H1810" s="5">
        <f t="shared" si="28"/>
        <v>-2.8571428571428571E-2</v>
      </c>
    </row>
    <row r="1811" spans="1:8" ht="13.5" x14ac:dyDescent="0.25">
      <c r="A1811" s="1"/>
      <c r="B1811" s="3">
        <v>44937</v>
      </c>
      <c r="C1811" s="4">
        <v>34</v>
      </c>
      <c r="D1811" s="4">
        <v>34</v>
      </c>
      <c r="E1811" s="4">
        <v>37</v>
      </c>
      <c r="F1811" s="4">
        <v>34</v>
      </c>
      <c r="G1811" s="4">
        <v>1258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34</v>
      </c>
      <c r="D1812" s="4">
        <v>34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34</v>
      </c>
      <c r="D1813" s="4">
        <v>34</v>
      </c>
      <c r="E1813" s="4">
        <v>58</v>
      </c>
      <c r="F1813" s="4">
        <v>34</v>
      </c>
      <c r="G1813" s="4">
        <v>1972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34</v>
      </c>
      <c r="D1814" s="4">
        <v>34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34</v>
      </c>
      <c r="D1815" s="4">
        <v>34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34</v>
      </c>
      <c r="D1816" s="4">
        <v>34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34</v>
      </c>
      <c r="D1817" s="4">
        <v>34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34</v>
      </c>
      <c r="D1818" s="4">
        <v>34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34</v>
      </c>
      <c r="D1819" s="4">
        <v>34</v>
      </c>
      <c r="E1819" s="4">
        <v>0</v>
      </c>
      <c r="F1819" s="4">
        <v>0</v>
      </c>
      <c r="G1819" s="4">
        <v>0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34</v>
      </c>
      <c r="D1820" s="4">
        <v>34</v>
      </c>
      <c r="E1820" s="4">
        <v>0</v>
      </c>
      <c r="F1820" s="4">
        <v>0</v>
      </c>
      <c r="G1820" s="4">
        <v>0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34</v>
      </c>
      <c r="D1821" s="4">
        <v>34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34</v>
      </c>
      <c r="D1822" s="4">
        <v>34</v>
      </c>
      <c r="E1822" s="4">
        <v>0</v>
      </c>
      <c r="F1822" s="4">
        <v>0</v>
      </c>
      <c r="G1822" s="4">
        <v>0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34</v>
      </c>
      <c r="D1823" s="4">
        <v>34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34</v>
      </c>
      <c r="D1824" s="4">
        <v>34</v>
      </c>
      <c r="E1824" s="4">
        <v>0</v>
      </c>
      <c r="F1824" s="4">
        <v>0</v>
      </c>
      <c r="G1824" s="4">
        <v>0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34</v>
      </c>
      <c r="D1825" s="4">
        <v>34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34</v>
      </c>
      <c r="D1826" s="4">
        <v>34</v>
      </c>
      <c r="E1826" s="4">
        <v>0</v>
      </c>
      <c r="F1826" s="4">
        <v>0</v>
      </c>
      <c r="G1826" s="4">
        <v>0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34</v>
      </c>
      <c r="D1827" s="4">
        <v>34</v>
      </c>
      <c r="E1827" s="4">
        <v>0</v>
      </c>
      <c r="F1827" s="4">
        <v>0</v>
      </c>
      <c r="G1827" s="4">
        <v>0</v>
      </c>
      <c r="H1827" s="5">
        <f t="shared" si="28"/>
        <v>0</v>
      </c>
    </row>
    <row r="1828" spans="1:8" ht="13.5" x14ac:dyDescent="0.25">
      <c r="A1828" s="1"/>
      <c r="B1828" s="3">
        <v>44960</v>
      </c>
      <c r="C1828" s="4">
        <v>34</v>
      </c>
      <c r="D1828" s="4">
        <v>34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35.5</v>
      </c>
      <c r="D1829" s="4">
        <v>35.5</v>
      </c>
      <c r="E1829" s="4">
        <v>7</v>
      </c>
      <c r="F1829" s="4">
        <v>35.5</v>
      </c>
      <c r="G1829" s="4">
        <v>248.5</v>
      </c>
      <c r="H1829" s="5">
        <f t="shared" si="28"/>
        <v>4.4117647058823532E-2</v>
      </c>
    </row>
    <row r="1830" spans="1:8" ht="13.5" x14ac:dyDescent="0.25">
      <c r="A1830" s="1"/>
      <c r="B1830" s="3">
        <v>44964</v>
      </c>
      <c r="C1830" s="4">
        <v>35.5</v>
      </c>
      <c r="D1830" s="4">
        <v>35.5</v>
      </c>
      <c r="E1830" s="4">
        <v>0</v>
      </c>
      <c r="F1830" s="4">
        <v>0</v>
      </c>
      <c r="G1830" s="4">
        <v>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35.5</v>
      </c>
      <c r="D1831" s="4">
        <v>35.5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35.5</v>
      </c>
      <c r="D1832" s="4">
        <v>35.5</v>
      </c>
      <c r="E1832" s="4">
        <v>0</v>
      </c>
      <c r="F1832" s="4">
        <v>0</v>
      </c>
      <c r="G1832" s="4">
        <v>0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35.5</v>
      </c>
      <c r="D1833" s="4">
        <v>35.5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35.5</v>
      </c>
      <c r="D1834" s="4">
        <v>35.5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35.5</v>
      </c>
      <c r="D1835" s="4">
        <v>35.5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35.5</v>
      </c>
      <c r="D1836" s="4">
        <v>35.5</v>
      </c>
      <c r="E1836" s="4">
        <v>0</v>
      </c>
      <c r="F1836" s="4">
        <v>0</v>
      </c>
      <c r="G1836" s="4">
        <v>0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35.5</v>
      </c>
      <c r="D1837" s="4">
        <v>35.5</v>
      </c>
      <c r="E1837" s="4">
        <v>13</v>
      </c>
      <c r="F1837" s="4">
        <v>35.5</v>
      </c>
      <c r="G1837" s="4">
        <v>461.5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35.5</v>
      </c>
      <c r="D1838" s="4">
        <v>35.5</v>
      </c>
      <c r="E1838" s="4">
        <v>0</v>
      </c>
      <c r="F1838" s="4">
        <v>0</v>
      </c>
      <c r="G1838" s="4">
        <v>0</v>
      </c>
      <c r="H1838" s="5">
        <f t="shared" si="28"/>
        <v>0</v>
      </c>
    </row>
    <row r="1839" spans="1:8" ht="13.5" x14ac:dyDescent="0.25">
      <c r="A1839" s="1"/>
      <c r="B1839" s="3">
        <v>44977</v>
      </c>
      <c r="C1839" s="4">
        <v>35.5</v>
      </c>
      <c r="D1839" s="4">
        <v>35.5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35.5</v>
      </c>
      <c r="D1840" s="4">
        <v>35.5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35.5</v>
      </c>
      <c r="D1841" s="4">
        <v>35.5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35.5</v>
      </c>
      <c r="D1842" s="4">
        <v>35.5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35.5</v>
      </c>
      <c r="D1843" s="4">
        <v>35.5</v>
      </c>
      <c r="E1843" s="4">
        <v>0</v>
      </c>
      <c r="F1843" s="4">
        <v>0</v>
      </c>
      <c r="G1843" s="4">
        <v>0</v>
      </c>
      <c r="H1843" s="5">
        <f t="shared" si="28"/>
        <v>0</v>
      </c>
    </row>
    <row r="1844" spans="1:8" ht="13.5" x14ac:dyDescent="0.25">
      <c r="A1844" s="1"/>
      <c r="B1844" s="3">
        <v>44984</v>
      </c>
      <c r="C1844" s="4">
        <v>35.5</v>
      </c>
      <c r="D1844" s="4">
        <v>35.5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35.5</v>
      </c>
      <c r="D1845" s="4">
        <v>35.5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35.5</v>
      </c>
      <c r="D1846" s="4">
        <v>35.5</v>
      </c>
      <c r="E1846" s="4">
        <v>0</v>
      </c>
      <c r="F1846" s="4">
        <v>0</v>
      </c>
      <c r="G1846" s="4">
        <v>0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35.5</v>
      </c>
      <c r="D1847" s="4">
        <v>35.5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35.5</v>
      </c>
      <c r="D1848" s="4">
        <v>35.5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35.5</v>
      </c>
      <c r="D1849" s="4">
        <v>35.5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35.5</v>
      </c>
      <c r="D1850" s="4">
        <v>35.5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35.5</v>
      </c>
      <c r="D1851" s="4">
        <v>35.5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35.5</v>
      </c>
      <c r="D1852" s="4">
        <v>35.5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35.5</v>
      </c>
      <c r="D1853" s="4">
        <v>35.5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35.5</v>
      </c>
      <c r="D1854" s="4">
        <v>35.5</v>
      </c>
      <c r="E1854" s="4">
        <v>0</v>
      </c>
      <c r="F1854" s="4">
        <v>0</v>
      </c>
      <c r="G1854" s="4">
        <v>0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35.5</v>
      </c>
      <c r="D1855" s="4">
        <v>35.5</v>
      </c>
      <c r="E1855" s="4">
        <v>0</v>
      </c>
      <c r="F1855" s="4">
        <v>0</v>
      </c>
      <c r="G1855" s="4">
        <v>0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35.5</v>
      </c>
      <c r="D1856" s="4">
        <v>35.5</v>
      </c>
      <c r="E1856" s="4">
        <v>0</v>
      </c>
      <c r="F1856" s="4">
        <v>0</v>
      </c>
      <c r="G1856" s="4">
        <v>0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35.5</v>
      </c>
      <c r="D1857" s="4">
        <v>35.5</v>
      </c>
      <c r="E1857" s="4">
        <v>0</v>
      </c>
      <c r="F1857" s="4">
        <v>0</v>
      </c>
      <c r="G1857" s="4">
        <v>0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35.5</v>
      </c>
      <c r="D1858" s="4">
        <v>35.5</v>
      </c>
      <c r="E1858" s="4">
        <v>0</v>
      </c>
      <c r="F1858" s="4">
        <v>0</v>
      </c>
      <c r="G1858" s="4">
        <v>0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35.5</v>
      </c>
      <c r="D1859" s="4">
        <v>35.5</v>
      </c>
      <c r="E1859" s="4">
        <v>0</v>
      </c>
      <c r="F1859" s="4">
        <v>0</v>
      </c>
      <c r="G1859" s="4">
        <v>0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35.5</v>
      </c>
      <c r="D1860" s="4">
        <v>35.5</v>
      </c>
      <c r="E1860" s="4">
        <v>0</v>
      </c>
      <c r="F1860" s="4">
        <v>0</v>
      </c>
      <c r="G1860" s="4">
        <v>0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35.5</v>
      </c>
      <c r="D1861" s="4">
        <v>35.5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35.5</v>
      </c>
      <c r="D1862" s="4">
        <v>35.5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35.5</v>
      </c>
      <c r="D1863" s="4">
        <v>35.5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35.5</v>
      </c>
      <c r="D1864" s="4">
        <v>35.5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35.5</v>
      </c>
      <c r="D1865" s="4">
        <v>35.5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35.5</v>
      </c>
      <c r="D1866" s="4">
        <v>35.5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35.5</v>
      </c>
      <c r="D1867" s="4">
        <v>35.5</v>
      </c>
      <c r="E1867" s="4">
        <v>0</v>
      </c>
      <c r="F1867" s="4">
        <v>0</v>
      </c>
      <c r="G1867" s="4">
        <v>0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35.5</v>
      </c>
      <c r="D1868" s="4">
        <v>35.5</v>
      </c>
      <c r="E1868" s="4">
        <v>0</v>
      </c>
      <c r="F1868" s="4">
        <v>0</v>
      </c>
      <c r="G1868" s="4">
        <v>0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35.5</v>
      </c>
      <c r="D1869" s="4">
        <v>35.5</v>
      </c>
      <c r="E1869" s="4">
        <v>0</v>
      </c>
      <c r="F1869" s="4">
        <v>0</v>
      </c>
      <c r="G1869" s="4">
        <v>0</v>
      </c>
      <c r="H1869" s="5">
        <f t="shared" si="29"/>
        <v>0</v>
      </c>
    </row>
    <row r="1870" spans="1:8" ht="13.5" x14ac:dyDescent="0.25">
      <c r="A1870" s="1"/>
      <c r="B1870" s="3">
        <v>45021</v>
      </c>
      <c r="C1870" s="4">
        <v>35.5</v>
      </c>
      <c r="D1870" s="4">
        <v>35.5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35.5</v>
      </c>
      <c r="D1871" s="4">
        <v>35.5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35.5</v>
      </c>
      <c r="D1872" s="4">
        <v>35.5</v>
      </c>
      <c r="E1872" s="4">
        <v>0</v>
      </c>
      <c r="F1872" s="4">
        <v>0</v>
      </c>
      <c r="G1872" s="4">
        <v>0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35.5</v>
      </c>
      <c r="D1873" s="4">
        <v>35.5</v>
      </c>
      <c r="E1873" s="4">
        <v>0</v>
      </c>
      <c r="F1873" s="4">
        <v>0</v>
      </c>
      <c r="G1873" s="4">
        <v>0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35.5</v>
      </c>
      <c r="D1874" s="4">
        <v>35.5</v>
      </c>
      <c r="E1874" s="4">
        <v>0</v>
      </c>
      <c r="F1874" s="4">
        <v>0</v>
      </c>
      <c r="G1874" s="4">
        <v>0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35.5</v>
      </c>
      <c r="D1875" s="4">
        <v>35.5</v>
      </c>
      <c r="E1875" s="4">
        <v>0</v>
      </c>
      <c r="F1875" s="4">
        <v>0</v>
      </c>
      <c r="G1875" s="4">
        <v>0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35.5</v>
      </c>
      <c r="D1876" s="4">
        <v>35.5</v>
      </c>
      <c r="E1876" s="4">
        <v>0</v>
      </c>
      <c r="F1876" s="4">
        <v>0</v>
      </c>
      <c r="G1876" s="4">
        <v>0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35.5</v>
      </c>
      <c r="D1877" s="4">
        <v>35.5</v>
      </c>
      <c r="E1877" s="4">
        <v>0</v>
      </c>
      <c r="F1877" s="4">
        <v>0</v>
      </c>
      <c r="G1877" s="4">
        <v>0</v>
      </c>
      <c r="H1877" s="5">
        <f t="shared" si="29"/>
        <v>0</v>
      </c>
    </row>
    <row r="1878" spans="1:8" ht="13.5" x14ac:dyDescent="0.25">
      <c r="A1878" s="1"/>
      <c r="B1878" s="3">
        <v>45033</v>
      </c>
      <c r="C1878" s="4">
        <v>35.5</v>
      </c>
      <c r="D1878" s="4">
        <v>35.5</v>
      </c>
      <c r="E1878" s="4">
        <v>0</v>
      </c>
      <c r="F1878" s="4">
        <v>0</v>
      </c>
      <c r="G1878" s="4">
        <v>0</v>
      </c>
      <c r="H1878" s="5">
        <f t="shared" si="29"/>
        <v>0</v>
      </c>
    </row>
    <row r="1879" spans="1:8" ht="13.5" x14ac:dyDescent="0.25">
      <c r="A1879" s="1"/>
      <c r="B1879" s="3">
        <v>45034</v>
      </c>
      <c r="C1879" s="4">
        <v>35.5</v>
      </c>
      <c r="D1879" s="4">
        <v>35.5</v>
      </c>
      <c r="E1879" s="4">
        <v>0</v>
      </c>
      <c r="F1879" s="4">
        <v>0</v>
      </c>
      <c r="G1879" s="4">
        <v>0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35.5</v>
      </c>
      <c r="D1880" s="4">
        <v>35.5</v>
      </c>
      <c r="E1880" s="4">
        <v>0</v>
      </c>
      <c r="F1880" s="4">
        <v>0</v>
      </c>
      <c r="G1880" s="4">
        <v>0</v>
      </c>
      <c r="H1880" s="5">
        <f t="shared" si="29"/>
        <v>0</v>
      </c>
    </row>
    <row r="1881" spans="1:8" ht="13.5" x14ac:dyDescent="0.25">
      <c r="A1881" s="1"/>
      <c r="B1881" s="3">
        <v>45036</v>
      </c>
      <c r="C1881" s="4">
        <v>35.5</v>
      </c>
      <c r="D1881" s="4">
        <v>35.5</v>
      </c>
      <c r="E1881" s="4">
        <v>0</v>
      </c>
      <c r="F1881" s="4">
        <v>0</v>
      </c>
      <c r="G1881" s="4">
        <v>0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35.5</v>
      </c>
      <c r="D1882" s="4">
        <v>35.5</v>
      </c>
      <c r="E1882" s="4">
        <v>0</v>
      </c>
      <c r="F1882" s="4">
        <v>0</v>
      </c>
      <c r="G1882" s="4">
        <v>0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35.5</v>
      </c>
      <c r="D1883" s="4">
        <v>35.5</v>
      </c>
      <c r="E1883" s="4">
        <v>0</v>
      </c>
      <c r="F1883" s="4">
        <v>0</v>
      </c>
      <c r="G1883" s="4">
        <v>0</v>
      </c>
      <c r="H1883" s="5">
        <f t="shared" si="29"/>
        <v>0</v>
      </c>
    </row>
    <row r="1884" spans="1:8" ht="13.5" x14ac:dyDescent="0.25">
      <c r="A1884" s="1"/>
      <c r="B1884" s="3">
        <v>45042</v>
      </c>
      <c r="C1884" s="4">
        <v>35.5</v>
      </c>
      <c r="D1884" s="4">
        <v>35.5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35.5</v>
      </c>
      <c r="D1885" s="4">
        <v>35.5</v>
      </c>
      <c r="E1885" s="4">
        <v>0</v>
      </c>
      <c r="F1885" s="4">
        <v>0</v>
      </c>
      <c r="G1885" s="4">
        <v>0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35.5</v>
      </c>
      <c r="D1886" s="4">
        <v>35.5</v>
      </c>
      <c r="E1886" s="4">
        <v>0</v>
      </c>
      <c r="F1886" s="4">
        <v>0</v>
      </c>
      <c r="G1886" s="4">
        <v>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35.5</v>
      </c>
      <c r="D1887" s="4">
        <v>35.5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35.5</v>
      </c>
      <c r="D1888" s="4">
        <v>35.5</v>
      </c>
      <c r="E1888" s="4">
        <v>0</v>
      </c>
      <c r="F1888" s="4">
        <v>0</v>
      </c>
      <c r="G1888" s="4">
        <v>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35.5</v>
      </c>
      <c r="D1889" s="4">
        <v>35.5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35.5</v>
      </c>
      <c r="D1890" s="4">
        <v>35.5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35.5</v>
      </c>
      <c r="D1891" s="4">
        <v>35.5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35.5</v>
      </c>
      <c r="D1892" s="4">
        <v>35.5</v>
      </c>
      <c r="E1892" s="4">
        <v>0</v>
      </c>
      <c r="F1892" s="4">
        <v>0</v>
      </c>
      <c r="G1892" s="4">
        <v>0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35.5</v>
      </c>
      <c r="D1893" s="4">
        <v>35.5</v>
      </c>
      <c r="E1893" s="4">
        <v>0</v>
      </c>
      <c r="F1893" s="4">
        <v>0</v>
      </c>
      <c r="G1893" s="4">
        <v>0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35.5</v>
      </c>
      <c r="D1894" s="4">
        <v>35.5</v>
      </c>
      <c r="E1894" s="4">
        <v>0</v>
      </c>
      <c r="F1894" s="4">
        <v>0</v>
      </c>
      <c r="G1894" s="4">
        <v>0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35.5</v>
      </c>
      <c r="D1895" s="4">
        <v>35.5</v>
      </c>
      <c r="E1895" s="4">
        <v>0</v>
      </c>
      <c r="F1895" s="4">
        <v>0</v>
      </c>
      <c r="G1895" s="4">
        <v>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35.5</v>
      </c>
      <c r="D1896" s="4">
        <v>35.5</v>
      </c>
      <c r="E1896" s="4">
        <v>0</v>
      </c>
      <c r="F1896" s="4">
        <v>0</v>
      </c>
      <c r="G1896" s="4">
        <v>0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33.909999999999997</v>
      </c>
      <c r="D1897" s="4">
        <v>33.909999999999997</v>
      </c>
      <c r="E1897" s="4">
        <v>0</v>
      </c>
      <c r="F1897" s="4">
        <v>0</v>
      </c>
      <c r="G1897" s="4">
        <v>0</v>
      </c>
      <c r="H1897" s="5">
        <f t="shared" si="29"/>
        <v>-4.4788732394366294E-2</v>
      </c>
    </row>
    <row r="1898" spans="1:8" ht="13.5" x14ac:dyDescent="0.25">
      <c r="A1898" s="1"/>
      <c r="B1898" s="3">
        <v>45063</v>
      </c>
      <c r="C1898" s="4">
        <v>32.39</v>
      </c>
      <c r="D1898" s="4">
        <v>32.39</v>
      </c>
      <c r="E1898" s="4">
        <v>0</v>
      </c>
      <c r="F1898" s="4">
        <v>0</v>
      </c>
      <c r="G1898" s="4">
        <v>0</v>
      </c>
      <c r="H1898" s="5">
        <f t="shared" si="29"/>
        <v>-4.4824535535240226E-2</v>
      </c>
    </row>
    <row r="1899" spans="1:8" ht="13.5" x14ac:dyDescent="0.25">
      <c r="A1899" s="1"/>
      <c r="B1899" s="3">
        <v>45064</v>
      </c>
      <c r="C1899" s="4">
        <v>30.94</v>
      </c>
      <c r="D1899" s="4">
        <v>30.94</v>
      </c>
      <c r="E1899" s="4">
        <v>41</v>
      </c>
      <c r="F1899" s="4">
        <v>30.94</v>
      </c>
      <c r="G1899" s="4">
        <v>1268.54</v>
      </c>
      <c r="H1899" s="5">
        <f t="shared" si="29"/>
        <v>-4.4766903365236164E-2</v>
      </c>
    </row>
    <row r="1900" spans="1:8" ht="13.5" x14ac:dyDescent="0.25">
      <c r="A1900" s="1"/>
      <c r="B1900" s="3">
        <v>45065</v>
      </c>
      <c r="C1900" s="4">
        <v>32.33</v>
      </c>
      <c r="D1900" s="4">
        <v>32.33</v>
      </c>
      <c r="E1900" s="4">
        <v>0</v>
      </c>
      <c r="F1900" s="4">
        <v>0</v>
      </c>
      <c r="G1900" s="4">
        <v>0</v>
      </c>
      <c r="H1900" s="5">
        <f t="shared" si="29"/>
        <v>4.4925662572721299E-2</v>
      </c>
    </row>
    <row r="1901" spans="1:8" ht="13.5" x14ac:dyDescent="0.25">
      <c r="A1901" s="1"/>
      <c r="B1901" s="3">
        <v>45068</v>
      </c>
      <c r="C1901" s="4">
        <v>33.78</v>
      </c>
      <c r="D1901" s="4">
        <v>33.78</v>
      </c>
      <c r="E1901" s="4">
        <v>0</v>
      </c>
      <c r="F1901" s="4">
        <v>0</v>
      </c>
      <c r="G1901" s="4">
        <v>0</v>
      </c>
      <c r="H1901" s="5">
        <f t="shared" si="29"/>
        <v>4.4849984534488178E-2</v>
      </c>
    </row>
    <row r="1902" spans="1:8" ht="13.5" x14ac:dyDescent="0.25">
      <c r="A1902" s="1"/>
      <c r="B1902" s="3">
        <v>45069</v>
      </c>
      <c r="C1902" s="4">
        <v>35.299999999999997</v>
      </c>
      <c r="D1902" s="4">
        <v>35.299999999999997</v>
      </c>
      <c r="E1902" s="4">
        <v>0</v>
      </c>
      <c r="F1902" s="4">
        <v>0</v>
      </c>
      <c r="G1902" s="4">
        <v>0</v>
      </c>
      <c r="H1902" s="5">
        <f t="shared" si="29"/>
        <v>4.4997039668442748E-2</v>
      </c>
    </row>
    <row r="1903" spans="1:8" ht="13.5" x14ac:dyDescent="0.25">
      <c r="A1903" s="1"/>
      <c r="B1903" s="3">
        <v>45070</v>
      </c>
      <c r="C1903" s="4">
        <v>35.299999999999997</v>
      </c>
      <c r="D1903" s="4">
        <v>35.299999999999997</v>
      </c>
      <c r="E1903" s="4">
        <v>0</v>
      </c>
      <c r="F1903" s="4">
        <v>0</v>
      </c>
      <c r="G1903" s="4">
        <v>0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35.299999999999997</v>
      </c>
      <c r="D1904" s="4">
        <v>35.299999999999997</v>
      </c>
      <c r="E1904" s="4">
        <v>0</v>
      </c>
      <c r="F1904" s="4">
        <v>0</v>
      </c>
      <c r="G1904" s="4">
        <v>0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35.299999999999997</v>
      </c>
      <c r="D1905" s="4">
        <v>35.299999999999997</v>
      </c>
      <c r="E1905" s="4">
        <v>0</v>
      </c>
      <c r="F1905" s="4">
        <v>0</v>
      </c>
      <c r="G1905" s="4">
        <v>0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35.299999999999997</v>
      </c>
      <c r="D1906" s="4">
        <v>35.299999999999997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35.299999999999997</v>
      </c>
      <c r="D1907" s="4">
        <v>35.299999999999997</v>
      </c>
      <c r="E1907" s="4">
        <v>0</v>
      </c>
      <c r="F1907" s="4">
        <v>0</v>
      </c>
      <c r="G1907" s="4">
        <v>0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35.299999999999997</v>
      </c>
      <c r="D1908" s="4">
        <v>35.299999999999997</v>
      </c>
      <c r="E1908" s="4">
        <v>0</v>
      </c>
      <c r="F1908" s="4">
        <v>0</v>
      </c>
      <c r="G1908" s="4">
        <v>0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35.299999999999997</v>
      </c>
      <c r="D1909" s="4">
        <v>35.299999999999997</v>
      </c>
      <c r="E1909" s="4">
        <v>0</v>
      </c>
      <c r="F1909" s="4">
        <v>0</v>
      </c>
      <c r="G1909" s="4">
        <v>0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35.299999999999997</v>
      </c>
      <c r="D1910" s="4">
        <v>35.299999999999997</v>
      </c>
      <c r="E1910" s="4">
        <v>0</v>
      </c>
      <c r="F1910" s="4">
        <v>0</v>
      </c>
      <c r="G1910" s="4">
        <v>0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35.299999999999997</v>
      </c>
      <c r="D1911" s="4">
        <v>35.299999999999997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35.299999999999997</v>
      </c>
      <c r="D1912" s="4">
        <v>35.299999999999997</v>
      </c>
      <c r="E1912" s="4">
        <v>0</v>
      </c>
      <c r="F1912" s="4">
        <v>0</v>
      </c>
      <c r="G1912" s="4">
        <v>0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35.299999999999997</v>
      </c>
      <c r="D1913" s="4">
        <v>35.299999999999997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35.299999999999997</v>
      </c>
      <c r="D1914" s="4">
        <v>35.299999999999997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35.299999999999997</v>
      </c>
      <c r="D1915" s="4">
        <v>35.299999999999997</v>
      </c>
      <c r="E1915" s="4">
        <v>0</v>
      </c>
      <c r="F1915" s="4">
        <v>0</v>
      </c>
      <c r="G1915" s="4">
        <v>0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35.299999999999997</v>
      </c>
      <c r="D1916" s="4">
        <v>35.299999999999997</v>
      </c>
      <c r="E1916" s="4">
        <v>0</v>
      </c>
      <c r="F1916" s="4">
        <v>0</v>
      </c>
      <c r="G1916" s="4">
        <v>0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35.299999999999997</v>
      </c>
      <c r="D1917" s="4">
        <v>35.299999999999997</v>
      </c>
      <c r="E1917" s="4">
        <v>0</v>
      </c>
      <c r="F1917" s="4">
        <v>0</v>
      </c>
      <c r="G1917" s="4">
        <v>0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35.299999999999997</v>
      </c>
      <c r="D1918" s="4">
        <v>35.299999999999997</v>
      </c>
      <c r="E1918" s="4">
        <v>0</v>
      </c>
      <c r="F1918" s="4">
        <v>0</v>
      </c>
      <c r="G1918" s="4">
        <v>0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35.299999999999997</v>
      </c>
      <c r="D1919" s="4">
        <v>35.299999999999997</v>
      </c>
      <c r="E1919" s="4">
        <v>0</v>
      </c>
      <c r="F1919" s="4">
        <v>0</v>
      </c>
      <c r="G1919" s="4">
        <v>0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35.299999999999997</v>
      </c>
      <c r="D1920" s="4">
        <v>35.299999999999997</v>
      </c>
      <c r="E1920" s="4">
        <v>0</v>
      </c>
      <c r="F1920" s="4">
        <v>0</v>
      </c>
      <c r="G1920" s="4">
        <v>0</v>
      </c>
      <c r="H1920" s="5">
        <f t="shared" si="29"/>
        <v>0</v>
      </c>
    </row>
    <row r="1921" spans="1:8" ht="13.5" x14ac:dyDescent="0.25">
      <c r="A1921" s="1"/>
      <c r="B1921" s="3">
        <v>45096</v>
      </c>
      <c r="C1921" s="4">
        <v>35.299999999999997</v>
      </c>
      <c r="D1921" s="4">
        <v>35.299999999999997</v>
      </c>
      <c r="E1921" s="4">
        <v>0</v>
      </c>
      <c r="F1921" s="4">
        <v>0</v>
      </c>
      <c r="G1921" s="4">
        <v>0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35.299999999999997</v>
      </c>
      <c r="D1922" s="4">
        <v>35.299999999999997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35.299999999999997</v>
      </c>
      <c r="D1923" s="4">
        <v>35.299999999999997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35.299999999999997</v>
      </c>
      <c r="D1924" s="4">
        <v>35.299999999999997</v>
      </c>
      <c r="E1924" s="4">
        <v>0</v>
      </c>
      <c r="F1924" s="4">
        <v>0</v>
      </c>
      <c r="G1924" s="4">
        <v>0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35.299999999999997</v>
      </c>
      <c r="D1925" s="4">
        <v>35.299999999999997</v>
      </c>
      <c r="E1925" s="4">
        <v>0</v>
      </c>
      <c r="F1925" s="4">
        <v>0</v>
      </c>
      <c r="G1925" s="4">
        <v>0</v>
      </c>
      <c r="H1925" s="5">
        <f t="shared" si="29"/>
        <v>0</v>
      </c>
    </row>
    <row r="1926" spans="1:8" ht="13.5" x14ac:dyDescent="0.25">
      <c r="A1926" s="1"/>
      <c r="B1926" s="3">
        <v>45103</v>
      </c>
      <c r="C1926" s="4">
        <v>35.299999999999997</v>
      </c>
      <c r="D1926" s="4">
        <v>35.299999999999997</v>
      </c>
      <c r="E1926" s="4">
        <v>0</v>
      </c>
      <c r="F1926" s="4">
        <v>0</v>
      </c>
      <c r="G1926" s="4">
        <v>0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35.299999999999997</v>
      </c>
      <c r="D1927" s="4">
        <v>35.299999999999997</v>
      </c>
      <c r="E1927" s="4">
        <v>0</v>
      </c>
      <c r="F1927" s="4">
        <v>0</v>
      </c>
      <c r="G1927" s="4">
        <v>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35.299999999999997</v>
      </c>
      <c r="D1928" s="4">
        <v>35.299999999999997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35.299999999999997</v>
      </c>
      <c r="D1929" s="4">
        <v>35.299999999999997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35.299999999999997</v>
      </c>
      <c r="D1930" s="4">
        <v>35.299999999999997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35.299999999999997</v>
      </c>
      <c r="D1931" s="4">
        <v>35.299999999999997</v>
      </c>
      <c r="E1931" s="4">
        <v>0</v>
      </c>
      <c r="F1931" s="4">
        <v>0</v>
      </c>
      <c r="G1931" s="4">
        <v>0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35.299999999999997</v>
      </c>
      <c r="D1932" s="4">
        <v>35.299999999999997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35.299999999999997</v>
      </c>
      <c r="D1933" s="4">
        <v>35.299999999999997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35.299999999999997</v>
      </c>
      <c r="D1934" s="4">
        <v>35.299999999999997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35.299999999999997</v>
      </c>
      <c r="D1935" s="4">
        <v>35.299999999999997</v>
      </c>
      <c r="E1935" s="4">
        <v>0</v>
      </c>
      <c r="F1935" s="4">
        <v>0</v>
      </c>
      <c r="G1935" s="4">
        <v>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35.299999999999997</v>
      </c>
      <c r="D1936" s="4">
        <v>35.299999999999997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35.299999999999997</v>
      </c>
      <c r="D1937" s="4">
        <v>35.299999999999997</v>
      </c>
      <c r="E1937" s="4">
        <v>0</v>
      </c>
      <c r="F1937" s="4">
        <v>0</v>
      </c>
      <c r="G1937" s="4">
        <v>0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35.299999999999997</v>
      </c>
      <c r="D1938" s="4">
        <v>35.299999999999997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35.299999999999997</v>
      </c>
      <c r="D1939" s="4">
        <v>35.299999999999997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35.299999999999997</v>
      </c>
      <c r="D1940" s="4">
        <v>35.299999999999997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35.299999999999997</v>
      </c>
      <c r="D1941" s="4">
        <v>35.299999999999997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35.299999999999997</v>
      </c>
      <c r="D1942" s="4">
        <v>35.299999999999997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35.299999999999997</v>
      </c>
      <c r="D1943" s="4">
        <v>35.299999999999997</v>
      </c>
      <c r="E1943" s="4">
        <v>0</v>
      </c>
      <c r="F1943" s="4">
        <v>0</v>
      </c>
      <c r="G1943" s="4">
        <v>0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33.72</v>
      </c>
      <c r="D1944" s="4">
        <v>33.72</v>
      </c>
      <c r="E1944" s="4">
        <v>26</v>
      </c>
      <c r="F1944" s="4">
        <v>33.72</v>
      </c>
      <c r="G1944" s="4">
        <v>876.72</v>
      </c>
      <c r="H1944" s="5">
        <f t="shared" si="30"/>
        <v>-4.4759206798866809E-2</v>
      </c>
    </row>
    <row r="1945" spans="1:8" ht="13.5" x14ac:dyDescent="0.25">
      <c r="A1945" s="1"/>
      <c r="B1945" s="3">
        <v>45134</v>
      </c>
      <c r="C1945" s="4">
        <v>33.72</v>
      </c>
      <c r="D1945" s="4">
        <v>33.72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33.72</v>
      </c>
      <c r="D1946" s="4">
        <v>33.72</v>
      </c>
      <c r="E1946" s="4">
        <v>0</v>
      </c>
      <c r="F1946" s="4">
        <v>0</v>
      </c>
      <c r="G1946" s="4">
        <v>0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33.72</v>
      </c>
      <c r="D1947" s="4">
        <v>33.72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33.72</v>
      </c>
      <c r="D1948" s="4">
        <v>33.72</v>
      </c>
      <c r="E1948" s="4">
        <v>0</v>
      </c>
      <c r="F1948" s="4">
        <v>0</v>
      </c>
      <c r="G1948" s="4">
        <v>0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33.72</v>
      </c>
      <c r="D1949" s="4">
        <v>33.72</v>
      </c>
      <c r="E1949" s="4">
        <v>0</v>
      </c>
      <c r="F1949" s="4">
        <v>0</v>
      </c>
      <c r="G1949" s="4">
        <v>0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33.72</v>
      </c>
      <c r="D1950" s="4">
        <v>33.72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33.72</v>
      </c>
      <c r="D1951" s="4">
        <v>33.72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33.72</v>
      </c>
      <c r="D1952" s="4">
        <v>33.72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33.72</v>
      </c>
      <c r="D1953" s="4">
        <v>33.72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33.72</v>
      </c>
      <c r="D1954" s="4">
        <v>33.72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33.72</v>
      </c>
      <c r="D1955" s="4">
        <v>33.72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33.72</v>
      </c>
      <c r="D1956" s="4">
        <v>33.72</v>
      </c>
      <c r="E1956" s="4">
        <v>0</v>
      </c>
      <c r="F1956" s="4">
        <v>0</v>
      </c>
      <c r="G1956" s="4">
        <v>0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33.72</v>
      </c>
      <c r="D1957" s="4">
        <v>33.72</v>
      </c>
      <c r="E1957" s="4">
        <v>0</v>
      </c>
      <c r="F1957" s="4">
        <v>0</v>
      </c>
      <c r="G1957" s="4">
        <v>0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33.72</v>
      </c>
      <c r="D1958" s="4">
        <v>33.72</v>
      </c>
      <c r="E1958" s="4">
        <v>0</v>
      </c>
      <c r="F1958" s="4">
        <v>0</v>
      </c>
      <c r="G1958" s="4">
        <v>0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33.72</v>
      </c>
      <c r="D1959" s="4">
        <v>33.72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33.72</v>
      </c>
      <c r="D1960" s="4">
        <v>33.72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33.72</v>
      </c>
      <c r="D1961" s="4">
        <v>33.72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33.72</v>
      </c>
      <c r="D1962" s="4">
        <v>33.72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33.72</v>
      </c>
      <c r="D1963" s="4">
        <v>33.72</v>
      </c>
      <c r="E1963" s="4">
        <v>0</v>
      </c>
      <c r="F1963" s="4">
        <v>0</v>
      </c>
      <c r="G1963" s="4">
        <v>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33.72</v>
      </c>
      <c r="D1964" s="4">
        <v>33.72</v>
      </c>
      <c r="E1964" s="4">
        <v>0</v>
      </c>
      <c r="F1964" s="4">
        <v>0</v>
      </c>
      <c r="G1964" s="4">
        <v>0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33.72</v>
      </c>
      <c r="D1965" s="4">
        <v>33.72</v>
      </c>
      <c r="E1965" s="4">
        <v>10</v>
      </c>
      <c r="F1965" s="4">
        <v>33.72</v>
      </c>
      <c r="G1965" s="4">
        <v>337.2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33.72</v>
      </c>
      <c r="D1966" s="4">
        <v>33.72</v>
      </c>
      <c r="E1966" s="4">
        <v>0</v>
      </c>
      <c r="F1966" s="4">
        <v>0</v>
      </c>
      <c r="G1966" s="4">
        <v>0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32.299999999999997</v>
      </c>
      <c r="D1967" s="4">
        <v>32.299999999999997</v>
      </c>
      <c r="E1967" s="4">
        <v>45</v>
      </c>
      <c r="F1967" s="4">
        <v>32.299999999999997</v>
      </c>
      <c r="G1967" s="4">
        <v>1453.5</v>
      </c>
      <c r="H1967" s="5">
        <f t="shared" si="30"/>
        <v>-4.2111506524317964E-2</v>
      </c>
    </row>
    <row r="1968" spans="1:8" ht="13.5" x14ac:dyDescent="0.25">
      <c r="A1968" s="1"/>
      <c r="B1968" s="3">
        <v>45167</v>
      </c>
      <c r="C1968" s="4">
        <v>32.299999999999997</v>
      </c>
      <c r="D1968" s="4">
        <v>32.299999999999997</v>
      </c>
      <c r="E1968" s="4">
        <v>0</v>
      </c>
      <c r="F1968" s="4">
        <v>0</v>
      </c>
      <c r="G1968" s="4">
        <v>0</v>
      </c>
      <c r="H1968" s="5">
        <f t="shared" si="30"/>
        <v>0</v>
      </c>
    </row>
    <row r="1969" spans="1:8" ht="13.5" x14ac:dyDescent="0.25">
      <c r="A1969" s="1"/>
      <c r="B1969" s="3">
        <v>45168</v>
      </c>
      <c r="C1969" s="4">
        <v>32.299999999999997</v>
      </c>
      <c r="D1969" s="4">
        <v>32.299999999999997</v>
      </c>
      <c r="E1969" s="4">
        <v>0</v>
      </c>
      <c r="F1969" s="4">
        <v>0</v>
      </c>
      <c r="G1969" s="4">
        <v>0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32.299999999999997</v>
      </c>
      <c r="D1970" s="4">
        <v>32.299999999999997</v>
      </c>
      <c r="E1970" s="4">
        <v>0</v>
      </c>
      <c r="F1970" s="4">
        <v>0</v>
      </c>
      <c r="G1970" s="4">
        <v>0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32.299999999999997</v>
      </c>
      <c r="D1971" s="4">
        <v>32.299999999999997</v>
      </c>
      <c r="E1971" s="4">
        <v>0</v>
      </c>
      <c r="F1971" s="4">
        <v>0</v>
      </c>
      <c r="G1971" s="4">
        <v>0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32.299999999999997</v>
      </c>
      <c r="D1972" s="4">
        <v>32.299999999999997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30.85</v>
      </c>
      <c r="D1973" s="4">
        <v>30.85</v>
      </c>
      <c r="E1973" s="4">
        <v>0</v>
      </c>
      <c r="F1973" s="4">
        <v>0</v>
      </c>
      <c r="G1973" s="4">
        <v>0</v>
      </c>
      <c r="H1973" s="5">
        <f t="shared" si="30"/>
        <v>-4.4891640866872938E-2</v>
      </c>
    </row>
    <row r="1974" spans="1:8" ht="13.5" x14ac:dyDescent="0.25">
      <c r="A1974" s="1"/>
      <c r="B1974" s="3">
        <v>45175</v>
      </c>
      <c r="C1974" s="4">
        <v>30</v>
      </c>
      <c r="D1974" s="4">
        <v>30</v>
      </c>
      <c r="E1974" s="4">
        <v>7</v>
      </c>
      <c r="F1974" s="4">
        <v>30</v>
      </c>
      <c r="G1974" s="4">
        <v>210</v>
      </c>
      <c r="H1974" s="5">
        <f t="shared" si="30"/>
        <v>-2.7552674230145912E-2</v>
      </c>
    </row>
    <row r="1975" spans="1:8" ht="13.5" x14ac:dyDescent="0.25">
      <c r="A1975" s="1"/>
      <c r="B1975" s="3">
        <v>45176</v>
      </c>
      <c r="C1975" s="4">
        <v>30</v>
      </c>
      <c r="D1975" s="4">
        <v>30</v>
      </c>
      <c r="E1975" s="4">
        <v>0</v>
      </c>
      <c r="F1975" s="4">
        <v>0</v>
      </c>
      <c r="G1975" s="4">
        <v>0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30</v>
      </c>
      <c r="D1976" s="4">
        <v>30</v>
      </c>
      <c r="E1976" s="4">
        <v>6</v>
      </c>
      <c r="F1976" s="4">
        <v>30</v>
      </c>
      <c r="G1976" s="4">
        <v>180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30</v>
      </c>
      <c r="D1977" s="4">
        <v>30</v>
      </c>
      <c r="E1977" s="4">
        <v>44</v>
      </c>
      <c r="F1977" s="4">
        <v>30</v>
      </c>
      <c r="G1977" s="4">
        <v>1320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30</v>
      </c>
      <c r="D1978" s="4">
        <v>30</v>
      </c>
      <c r="E1978" s="4">
        <v>0</v>
      </c>
      <c r="F1978" s="4">
        <v>0</v>
      </c>
      <c r="G1978" s="4">
        <v>0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30</v>
      </c>
      <c r="D1979" s="4">
        <v>30</v>
      </c>
      <c r="E1979" s="4">
        <v>0</v>
      </c>
      <c r="F1979" s="4">
        <v>0</v>
      </c>
      <c r="G1979" s="4">
        <v>0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30</v>
      </c>
      <c r="D1980" s="4">
        <v>30</v>
      </c>
      <c r="E1980" s="4">
        <v>0</v>
      </c>
      <c r="F1980" s="4">
        <v>0</v>
      </c>
      <c r="G1980" s="4">
        <v>0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30</v>
      </c>
      <c r="D1981" s="4">
        <v>30</v>
      </c>
      <c r="E1981" s="4">
        <v>0</v>
      </c>
      <c r="F1981" s="4">
        <v>0</v>
      </c>
      <c r="G1981" s="4">
        <v>0</v>
      </c>
      <c r="H1981" s="5">
        <f t="shared" si="30"/>
        <v>0</v>
      </c>
    </row>
    <row r="1982" spans="1:8" ht="13.5" x14ac:dyDescent="0.25">
      <c r="A1982" s="1"/>
      <c r="B1982" s="3">
        <v>45187</v>
      </c>
      <c r="C1982" s="4">
        <v>30</v>
      </c>
      <c r="D1982" s="4">
        <v>30</v>
      </c>
      <c r="E1982" s="4">
        <v>0</v>
      </c>
      <c r="F1982" s="4">
        <v>0</v>
      </c>
      <c r="G1982" s="4">
        <v>0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30</v>
      </c>
      <c r="D1983" s="4">
        <v>30</v>
      </c>
      <c r="E1983" s="4">
        <v>0</v>
      </c>
      <c r="F1983" s="4">
        <v>0</v>
      </c>
      <c r="G1983" s="4">
        <v>0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30</v>
      </c>
      <c r="D1984" s="4">
        <v>30</v>
      </c>
      <c r="E1984" s="4">
        <v>0</v>
      </c>
      <c r="F1984" s="4">
        <v>0</v>
      </c>
      <c r="G1984" s="4">
        <v>0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30</v>
      </c>
      <c r="D1985" s="4">
        <v>30</v>
      </c>
      <c r="E1985" s="4">
        <v>0</v>
      </c>
      <c r="F1985" s="4">
        <v>0</v>
      </c>
      <c r="G1985" s="4">
        <v>0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30</v>
      </c>
      <c r="D1986" s="4">
        <v>30</v>
      </c>
      <c r="E1986" s="4">
        <v>0</v>
      </c>
      <c r="F1986" s="4">
        <v>0</v>
      </c>
      <c r="G1986" s="4">
        <v>0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30</v>
      </c>
      <c r="D1987" s="4">
        <v>30</v>
      </c>
      <c r="E1987" s="4">
        <v>19</v>
      </c>
      <c r="F1987" s="4">
        <v>30</v>
      </c>
      <c r="G1987" s="4">
        <v>570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30</v>
      </c>
      <c r="D1988" s="4">
        <v>30</v>
      </c>
      <c r="E1988" s="4">
        <v>0</v>
      </c>
      <c r="F1988" s="4">
        <v>0</v>
      </c>
      <c r="G1988" s="4">
        <v>0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30</v>
      </c>
      <c r="D1989" s="4">
        <v>30</v>
      </c>
      <c r="E1989" s="4">
        <v>0</v>
      </c>
      <c r="F1989" s="4">
        <v>0</v>
      </c>
      <c r="G1989" s="4">
        <v>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30</v>
      </c>
      <c r="D1990" s="4">
        <v>30</v>
      </c>
      <c r="E1990" s="4">
        <v>0</v>
      </c>
      <c r="F1990" s="4">
        <v>0</v>
      </c>
      <c r="G1990" s="4">
        <v>0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30</v>
      </c>
      <c r="D1991" s="4">
        <v>30</v>
      </c>
      <c r="E1991" s="4">
        <v>50</v>
      </c>
      <c r="F1991" s="4">
        <v>30</v>
      </c>
      <c r="G1991" s="4">
        <v>1500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30</v>
      </c>
      <c r="D1992" s="4">
        <v>30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30</v>
      </c>
      <c r="D1993" s="4">
        <v>30</v>
      </c>
      <c r="E1993" s="4">
        <v>62</v>
      </c>
      <c r="F1993" s="4">
        <v>30</v>
      </c>
      <c r="G1993" s="4">
        <v>1860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29.9</v>
      </c>
      <c r="D1994" s="4">
        <v>29.9</v>
      </c>
      <c r="E1994" s="4">
        <v>20</v>
      </c>
      <c r="F1994" s="4">
        <v>29.9</v>
      </c>
      <c r="G1994" s="4">
        <v>598</v>
      </c>
      <c r="H1994" s="5">
        <f t="shared" si="31"/>
        <v>-3.3333333333333808E-3</v>
      </c>
    </row>
    <row r="1995" spans="1:8" ht="13.5" x14ac:dyDescent="0.25">
      <c r="A1995" s="1"/>
      <c r="B1995" s="3">
        <v>45205</v>
      </c>
      <c r="C1995" s="4">
        <v>30</v>
      </c>
      <c r="D1995" s="4">
        <v>30</v>
      </c>
      <c r="E1995" s="4">
        <v>26</v>
      </c>
      <c r="F1995" s="4">
        <v>30</v>
      </c>
      <c r="G1995" s="4">
        <v>780</v>
      </c>
      <c r="H1995" s="5">
        <f t="shared" si="31"/>
        <v>3.3444816053512182E-3</v>
      </c>
    </row>
    <row r="1996" spans="1:8" ht="13.5" x14ac:dyDescent="0.25">
      <c r="A1996" s="1"/>
      <c r="B1996" s="3">
        <v>45208</v>
      </c>
      <c r="C1996" s="4">
        <v>30</v>
      </c>
      <c r="D1996" s="4">
        <v>30</v>
      </c>
      <c r="E1996" s="4">
        <v>0</v>
      </c>
      <c r="F1996" s="4">
        <v>0</v>
      </c>
      <c r="G1996" s="4">
        <v>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30</v>
      </c>
      <c r="D1997" s="4">
        <v>30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30</v>
      </c>
      <c r="D1998" s="4">
        <v>30</v>
      </c>
      <c r="E1998" s="4">
        <v>0</v>
      </c>
      <c r="F1998" s="4">
        <v>0</v>
      </c>
      <c r="G1998" s="4">
        <v>0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29.9</v>
      </c>
      <c r="D1999" s="4">
        <v>29.9</v>
      </c>
      <c r="E1999" s="4">
        <v>13</v>
      </c>
      <c r="F1999" s="4">
        <v>29.9</v>
      </c>
      <c r="G1999" s="4">
        <v>388.7</v>
      </c>
      <c r="H1999" s="5">
        <f t="shared" si="31"/>
        <v>-3.3333333333333808E-3</v>
      </c>
    </row>
    <row r="2000" spans="1:8" ht="13.5" x14ac:dyDescent="0.25">
      <c r="A2000" s="1"/>
      <c r="B2000" s="3">
        <v>45212</v>
      </c>
      <c r="C2000" s="4">
        <v>29.9</v>
      </c>
      <c r="D2000" s="4">
        <v>29.9</v>
      </c>
      <c r="E2000" s="4">
        <v>0</v>
      </c>
      <c r="F2000" s="4">
        <v>0</v>
      </c>
      <c r="G2000" s="4">
        <v>0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29.9</v>
      </c>
      <c r="D2001" s="4">
        <v>29.9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29.9</v>
      </c>
      <c r="D2002" s="4">
        <v>29.9</v>
      </c>
      <c r="E2002" s="4">
        <v>0</v>
      </c>
      <c r="F2002" s="4">
        <v>0</v>
      </c>
      <c r="G2002" s="4">
        <v>0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29</v>
      </c>
      <c r="D2003" s="4">
        <v>29</v>
      </c>
      <c r="E2003" s="4">
        <v>50</v>
      </c>
      <c r="F2003" s="4">
        <v>29</v>
      </c>
      <c r="G2003" s="4">
        <v>1450</v>
      </c>
      <c r="H2003" s="5">
        <f t="shared" si="31"/>
        <v>-3.0100334448160487E-2</v>
      </c>
    </row>
    <row r="2004" spans="1:8" ht="13.5" x14ac:dyDescent="0.25">
      <c r="A2004" s="1"/>
      <c r="B2004" s="3">
        <v>45218</v>
      </c>
      <c r="C2004" s="4">
        <v>29</v>
      </c>
      <c r="D2004" s="4">
        <v>29</v>
      </c>
      <c r="E2004" s="4">
        <v>12</v>
      </c>
      <c r="F2004" s="4">
        <v>29</v>
      </c>
      <c r="G2004" s="4">
        <v>348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30</v>
      </c>
      <c r="D2005" s="4">
        <v>30</v>
      </c>
      <c r="E2005" s="4">
        <v>3</v>
      </c>
      <c r="F2005" s="4">
        <v>30</v>
      </c>
      <c r="G2005" s="4">
        <v>90</v>
      </c>
      <c r="H2005" s="5">
        <f t="shared" si="31"/>
        <v>3.4482758620689655E-2</v>
      </c>
    </row>
    <row r="2006" spans="1:8" ht="13.5" x14ac:dyDescent="0.25">
      <c r="A2006" s="1"/>
      <c r="B2006" s="3">
        <v>45222</v>
      </c>
      <c r="C2006" s="4">
        <v>30</v>
      </c>
      <c r="D2006" s="4">
        <v>30</v>
      </c>
      <c r="E2006" s="4">
        <v>0</v>
      </c>
      <c r="F2006" s="4">
        <v>0</v>
      </c>
      <c r="G2006" s="4">
        <v>0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30</v>
      </c>
      <c r="D2007" s="4">
        <v>30</v>
      </c>
      <c r="E2007" s="4">
        <v>0</v>
      </c>
      <c r="F2007" s="4">
        <v>0</v>
      </c>
      <c r="G2007" s="4">
        <v>0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29</v>
      </c>
      <c r="D2008" s="4">
        <v>29</v>
      </c>
      <c r="E2008" s="4">
        <v>5</v>
      </c>
      <c r="F2008" s="4">
        <v>29</v>
      </c>
      <c r="G2008" s="4">
        <v>145</v>
      </c>
      <c r="H2008" s="5">
        <f t="shared" si="31"/>
        <v>-3.3333333333333333E-2</v>
      </c>
    </row>
    <row r="2009" spans="1:8" ht="13.5" x14ac:dyDescent="0.25">
      <c r="A2009" s="1"/>
      <c r="B2009" s="3">
        <v>45225</v>
      </c>
      <c r="C2009" s="4">
        <v>27.7</v>
      </c>
      <c r="D2009" s="4">
        <v>27.7</v>
      </c>
      <c r="E2009" s="4">
        <v>62</v>
      </c>
      <c r="F2009" s="4">
        <v>27.7</v>
      </c>
      <c r="G2009" s="4">
        <v>1717.4</v>
      </c>
      <c r="H2009" s="5">
        <f t="shared" si="31"/>
        <v>-4.4827586206896579E-2</v>
      </c>
    </row>
    <row r="2010" spans="1:8" ht="13.5" x14ac:dyDescent="0.25">
      <c r="A2010" s="1"/>
      <c r="B2010" s="3">
        <v>45226</v>
      </c>
      <c r="C2010" s="4">
        <v>26.46</v>
      </c>
      <c r="D2010" s="4">
        <v>26.46</v>
      </c>
      <c r="E2010" s="4">
        <v>14</v>
      </c>
      <c r="F2010" s="4">
        <v>26.46</v>
      </c>
      <c r="G2010" s="4">
        <v>370.44</v>
      </c>
      <c r="H2010" s="5">
        <f t="shared" si="31"/>
        <v>-4.4765342960288751E-2</v>
      </c>
    </row>
    <row r="2011" spans="1:8" ht="13.5" x14ac:dyDescent="0.25">
      <c r="A2011" s="1"/>
      <c r="B2011" s="3">
        <v>45229</v>
      </c>
      <c r="C2011" s="4">
        <v>25.4</v>
      </c>
      <c r="D2011" s="4">
        <v>25.4</v>
      </c>
      <c r="E2011" s="4">
        <v>20</v>
      </c>
      <c r="F2011" s="4">
        <v>25.4</v>
      </c>
      <c r="G2011" s="4">
        <v>508</v>
      </c>
      <c r="H2011" s="5">
        <f t="shared" si="31"/>
        <v>-4.0060468631897286E-2</v>
      </c>
    </row>
    <row r="2012" spans="1:8" ht="13.5" x14ac:dyDescent="0.25">
      <c r="A2012" s="1"/>
      <c r="B2012" s="3">
        <v>45230</v>
      </c>
      <c r="C2012" s="4">
        <v>26.54</v>
      </c>
      <c r="D2012" s="4">
        <v>26.54</v>
      </c>
      <c r="E2012" s="4">
        <v>0</v>
      </c>
      <c r="F2012" s="4">
        <v>0</v>
      </c>
      <c r="G2012" s="4">
        <v>0</v>
      </c>
      <c r="H2012" s="5">
        <f t="shared" si="31"/>
        <v>4.4881889763779555E-2</v>
      </c>
    </row>
    <row r="2013" spans="1:8" ht="13.5" x14ac:dyDescent="0.25">
      <c r="A2013" s="1"/>
      <c r="B2013" s="3">
        <v>45231</v>
      </c>
      <c r="C2013" s="4">
        <v>27.73</v>
      </c>
      <c r="D2013" s="4">
        <v>27.73</v>
      </c>
      <c r="E2013" s="4">
        <v>0</v>
      </c>
      <c r="F2013" s="4">
        <v>0</v>
      </c>
      <c r="G2013" s="4">
        <v>0</v>
      </c>
      <c r="H2013" s="5">
        <f t="shared" si="31"/>
        <v>4.483798040693298E-2</v>
      </c>
    </row>
    <row r="2014" spans="1:8" ht="13.5" x14ac:dyDescent="0.25">
      <c r="A2014" s="1"/>
      <c r="B2014" s="3">
        <v>45232</v>
      </c>
      <c r="C2014" s="4">
        <v>28.97</v>
      </c>
      <c r="D2014" s="4">
        <v>28.97</v>
      </c>
      <c r="E2014" s="4">
        <v>0</v>
      </c>
      <c r="F2014" s="4">
        <v>0</v>
      </c>
      <c r="G2014" s="4">
        <v>0</v>
      </c>
      <c r="H2014" s="5">
        <f t="shared" si="31"/>
        <v>4.4716913090515627E-2</v>
      </c>
    </row>
    <row r="2015" spans="1:8" ht="13.5" x14ac:dyDescent="0.25">
      <c r="A2015" s="1"/>
      <c r="B2015" s="3">
        <v>45233</v>
      </c>
      <c r="C2015" s="4">
        <v>28.97</v>
      </c>
      <c r="D2015" s="4">
        <v>28.97</v>
      </c>
      <c r="E2015" s="4">
        <v>6</v>
      </c>
      <c r="F2015" s="4">
        <v>28.97</v>
      </c>
      <c r="G2015" s="4">
        <v>173.82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28.97</v>
      </c>
      <c r="D2016" s="4">
        <v>28.97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30</v>
      </c>
      <c r="D2017" s="4">
        <v>30</v>
      </c>
      <c r="E2017" s="4">
        <v>6</v>
      </c>
      <c r="F2017" s="4">
        <v>30</v>
      </c>
      <c r="G2017" s="4">
        <v>180</v>
      </c>
      <c r="H2017" s="5">
        <f t="shared" si="31"/>
        <v>3.5554021401449816E-2</v>
      </c>
    </row>
    <row r="2018" spans="1:8" ht="13.5" x14ac:dyDescent="0.25">
      <c r="A2018" s="1"/>
      <c r="B2018" s="3">
        <v>45238</v>
      </c>
      <c r="C2018" s="4">
        <v>30</v>
      </c>
      <c r="D2018" s="4">
        <v>30</v>
      </c>
      <c r="E2018" s="4">
        <v>0</v>
      </c>
      <c r="F2018" s="4">
        <v>0</v>
      </c>
      <c r="G2018" s="4">
        <v>0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30</v>
      </c>
      <c r="D2019" s="4">
        <v>30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30</v>
      </c>
      <c r="D2020" s="4">
        <v>30</v>
      </c>
      <c r="E2020" s="4">
        <v>0</v>
      </c>
      <c r="F2020" s="4">
        <v>0</v>
      </c>
      <c r="G2020" s="4">
        <v>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30</v>
      </c>
      <c r="D2021" s="4">
        <v>30</v>
      </c>
      <c r="E2021" s="4">
        <v>5</v>
      </c>
      <c r="F2021" s="4">
        <v>30</v>
      </c>
      <c r="G2021" s="4">
        <v>150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30</v>
      </c>
      <c r="D2022" s="4">
        <v>30</v>
      </c>
      <c r="E2022" s="4">
        <v>10</v>
      </c>
      <c r="F2022" s="4">
        <v>30</v>
      </c>
      <c r="G2022" s="4">
        <v>300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30</v>
      </c>
      <c r="D2023" s="4">
        <v>30</v>
      </c>
      <c r="E2023" s="4">
        <v>5</v>
      </c>
      <c r="F2023" s="4">
        <v>30</v>
      </c>
      <c r="G2023" s="4">
        <v>150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30</v>
      </c>
      <c r="D2024" s="4">
        <v>30</v>
      </c>
      <c r="E2024" s="4">
        <v>0</v>
      </c>
      <c r="F2024" s="4">
        <v>0</v>
      </c>
      <c r="G2024" s="4">
        <v>0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30</v>
      </c>
      <c r="D2025" s="4">
        <v>30</v>
      </c>
      <c r="E2025" s="4">
        <v>4</v>
      </c>
      <c r="F2025" s="4">
        <v>30</v>
      </c>
      <c r="G2025" s="4">
        <v>120</v>
      </c>
      <c r="H2025" s="5">
        <f t="shared" si="31"/>
        <v>0</v>
      </c>
    </row>
    <row r="2026" spans="1:8" ht="13.5" x14ac:dyDescent="0.25">
      <c r="A2026" s="1"/>
      <c r="B2026" s="3">
        <v>45250</v>
      </c>
      <c r="C2026" s="4">
        <v>30</v>
      </c>
      <c r="D2026" s="4">
        <v>30</v>
      </c>
      <c r="E2026" s="4">
        <v>0</v>
      </c>
      <c r="F2026" s="4">
        <v>0</v>
      </c>
      <c r="G2026" s="4">
        <v>0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30</v>
      </c>
      <c r="D2027" s="4">
        <v>30</v>
      </c>
      <c r="E2027" s="4">
        <v>0</v>
      </c>
      <c r="F2027" s="4">
        <v>0</v>
      </c>
      <c r="G2027" s="4">
        <v>0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30</v>
      </c>
      <c r="D2028" s="4">
        <v>30</v>
      </c>
      <c r="E2028" s="4">
        <v>0</v>
      </c>
      <c r="F2028" s="4">
        <v>0</v>
      </c>
      <c r="G2028" s="4">
        <v>0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30</v>
      </c>
      <c r="D2029" s="4">
        <v>30</v>
      </c>
      <c r="E2029" s="4">
        <v>0</v>
      </c>
      <c r="F2029" s="4">
        <v>0</v>
      </c>
      <c r="G2029" s="4">
        <v>0</v>
      </c>
      <c r="H2029" s="5">
        <f t="shared" si="31"/>
        <v>0</v>
      </c>
    </row>
    <row r="2030" spans="1:8" ht="13.5" x14ac:dyDescent="0.25">
      <c r="A2030" s="1"/>
      <c r="B2030" s="3">
        <v>45254</v>
      </c>
      <c r="C2030" s="4">
        <v>30</v>
      </c>
      <c r="D2030" s="4">
        <v>30</v>
      </c>
      <c r="E2030" s="4">
        <v>0</v>
      </c>
      <c r="F2030" s="4">
        <v>0</v>
      </c>
      <c r="G2030" s="4">
        <v>0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30</v>
      </c>
      <c r="D2031" s="4">
        <v>30</v>
      </c>
      <c r="E2031" s="4">
        <v>0</v>
      </c>
      <c r="F2031" s="4">
        <v>0</v>
      </c>
      <c r="G2031" s="4">
        <v>0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30</v>
      </c>
      <c r="D2032" s="4">
        <v>30</v>
      </c>
      <c r="E2032" s="4">
        <v>0</v>
      </c>
      <c r="F2032" s="4">
        <v>0</v>
      </c>
      <c r="G2032" s="4">
        <v>0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30</v>
      </c>
      <c r="D2033" s="4">
        <v>30</v>
      </c>
      <c r="E2033" s="4">
        <v>0</v>
      </c>
      <c r="F2033" s="4">
        <v>0</v>
      </c>
      <c r="G2033" s="4">
        <v>0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30</v>
      </c>
      <c r="D2034" s="4">
        <v>30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30</v>
      </c>
      <c r="D2035" s="4">
        <v>30</v>
      </c>
      <c r="E2035" s="4">
        <v>0</v>
      </c>
      <c r="F2035" s="4">
        <v>0</v>
      </c>
      <c r="G2035" s="4">
        <v>0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30</v>
      </c>
      <c r="D2036" s="4">
        <v>30</v>
      </c>
      <c r="E2036" s="4">
        <v>0</v>
      </c>
      <c r="F2036" s="4">
        <v>0</v>
      </c>
      <c r="G2036" s="4">
        <v>0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30</v>
      </c>
      <c r="D2037" s="4">
        <v>30</v>
      </c>
      <c r="E2037" s="4">
        <v>0</v>
      </c>
      <c r="F2037" s="4">
        <v>0</v>
      </c>
      <c r="G2037" s="4">
        <v>0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28.65</v>
      </c>
      <c r="D2038" s="4">
        <v>28.65</v>
      </c>
      <c r="E2038" s="4">
        <v>30</v>
      </c>
      <c r="F2038" s="4">
        <v>28.65</v>
      </c>
      <c r="G2038" s="4">
        <v>859.5</v>
      </c>
      <c r="H2038" s="5">
        <f t="shared" si="31"/>
        <v>-4.5000000000000047E-2</v>
      </c>
    </row>
    <row r="2039" spans="1:8" ht="13.5" x14ac:dyDescent="0.25">
      <c r="A2039" s="1"/>
      <c r="B2039" s="3">
        <v>45267</v>
      </c>
      <c r="C2039" s="4">
        <v>27.37</v>
      </c>
      <c r="D2039" s="4">
        <v>27.37</v>
      </c>
      <c r="E2039" s="4">
        <v>40</v>
      </c>
      <c r="F2039" s="4">
        <v>27.37</v>
      </c>
      <c r="G2039" s="4">
        <v>1094.8</v>
      </c>
      <c r="H2039" s="5">
        <f t="shared" si="31"/>
        <v>-4.4677137870855067E-2</v>
      </c>
    </row>
    <row r="2040" spans="1:8" ht="13.5" x14ac:dyDescent="0.25">
      <c r="A2040" s="1"/>
      <c r="B2040" s="3">
        <v>45268</v>
      </c>
      <c r="C2040" s="4">
        <v>26.14</v>
      </c>
      <c r="D2040" s="4">
        <v>26.14</v>
      </c>
      <c r="E2040" s="4">
        <v>10</v>
      </c>
      <c r="F2040" s="4">
        <v>26.14</v>
      </c>
      <c r="G2040" s="4">
        <v>261.39999999999998</v>
      </c>
      <c r="H2040" s="5">
        <f t="shared" si="31"/>
        <v>-4.4939715016441374E-2</v>
      </c>
    </row>
    <row r="2041" spans="1:8" ht="13.5" x14ac:dyDescent="0.25">
      <c r="A2041" s="1"/>
      <c r="B2041" s="3">
        <v>45271</v>
      </c>
      <c r="C2041" s="4">
        <v>27.31</v>
      </c>
      <c r="D2041" s="4">
        <v>27.31</v>
      </c>
      <c r="E2041" s="4">
        <v>0</v>
      </c>
      <c r="F2041" s="4">
        <v>0</v>
      </c>
      <c r="G2041" s="4">
        <v>0</v>
      </c>
      <c r="H2041" s="5">
        <f t="shared" si="31"/>
        <v>4.4758990053557692E-2</v>
      </c>
    </row>
    <row r="2042" spans="1:8" ht="13.5" x14ac:dyDescent="0.25">
      <c r="A2042" s="1"/>
      <c r="B2042" s="3">
        <v>45272</v>
      </c>
      <c r="C2042" s="4">
        <v>28.53</v>
      </c>
      <c r="D2042" s="4">
        <v>28.53</v>
      </c>
      <c r="E2042" s="4">
        <v>0</v>
      </c>
      <c r="F2042" s="4">
        <v>0</v>
      </c>
      <c r="G2042" s="4">
        <v>0</v>
      </c>
      <c r="H2042" s="5">
        <f t="shared" si="31"/>
        <v>4.4672281215672002E-2</v>
      </c>
    </row>
    <row r="2043" spans="1:8" ht="13.5" x14ac:dyDescent="0.25">
      <c r="A2043" s="1"/>
      <c r="B2043" s="3">
        <v>45273</v>
      </c>
      <c r="C2043" s="4">
        <v>28.52</v>
      </c>
      <c r="D2043" s="4">
        <v>28.52</v>
      </c>
      <c r="E2043" s="4">
        <v>1</v>
      </c>
      <c r="F2043" s="4">
        <v>28.52</v>
      </c>
      <c r="G2043" s="4">
        <v>28.52</v>
      </c>
      <c r="H2043" s="5">
        <f t="shared" si="31"/>
        <v>-3.5050823694362295E-4</v>
      </c>
    </row>
    <row r="2044" spans="1:8" ht="13.5" x14ac:dyDescent="0.25">
      <c r="A2044" s="1"/>
      <c r="B2044" s="3">
        <v>45274</v>
      </c>
      <c r="C2044" s="4">
        <v>27.24</v>
      </c>
      <c r="D2044" s="4">
        <v>27.24</v>
      </c>
      <c r="E2044" s="4">
        <v>2</v>
      </c>
      <c r="F2044" s="4">
        <v>27.24</v>
      </c>
      <c r="G2044" s="4">
        <v>54.48</v>
      </c>
      <c r="H2044" s="5">
        <f t="shared" si="31"/>
        <v>-4.4880785413744781E-2</v>
      </c>
    </row>
    <row r="2045" spans="1:8" ht="13.5" x14ac:dyDescent="0.25">
      <c r="A2045" s="1"/>
      <c r="B2045" s="3">
        <v>45275</v>
      </c>
      <c r="C2045" s="4">
        <v>27.24</v>
      </c>
      <c r="D2045" s="4">
        <v>27.24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27.24</v>
      </c>
      <c r="D2046" s="4">
        <v>27.24</v>
      </c>
      <c r="E2046" s="4">
        <v>0</v>
      </c>
      <c r="F2046" s="4">
        <v>0</v>
      </c>
      <c r="G2046" s="4">
        <v>0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27.24</v>
      </c>
      <c r="D2047" s="4">
        <v>27.24</v>
      </c>
      <c r="E2047" s="4">
        <v>0</v>
      </c>
      <c r="F2047" s="4">
        <v>0</v>
      </c>
      <c r="G2047" s="4">
        <v>0</v>
      </c>
      <c r="H2047" s="5">
        <f t="shared" si="31"/>
        <v>0</v>
      </c>
    </row>
    <row r="2048" spans="1:8" ht="13.5" x14ac:dyDescent="0.25">
      <c r="A2048" s="1"/>
      <c r="B2048" s="3">
        <v>45280</v>
      </c>
      <c r="C2048" s="4">
        <v>27.24</v>
      </c>
      <c r="D2048" s="4">
        <v>27.24</v>
      </c>
      <c r="E2048" s="4">
        <v>0</v>
      </c>
      <c r="F2048" s="4">
        <v>0</v>
      </c>
      <c r="G2048" s="4">
        <v>0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26.1</v>
      </c>
      <c r="D2049" s="4">
        <v>26.1</v>
      </c>
      <c r="E2049" s="4">
        <v>20</v>
      </c>
      <c r="F2049" s="4">
        <v>26.1</v>
      </c>
      <c r="G2049" s="4">
        <v>522</v>
      </c>
      <c r="H2049" s="5">
        <f t="shared" si="31"/>
        <v>-4.1850220264317076E-2</v>
      </c>
    </row>
    <row r="2050" spans="1:8" ht="13.5" x14ac:dyDescent="0.25">
      <c r="A2050" s="1"/>
      <c r="B2050" s="3">
        <v>45282</v>
      </c>
      <c r="C2050" s="4">
        <v>27.27</v>
      </c>
      <c r="D2050" s="4">
        <v>27.27</v>
      </c>
      <c r="E2050" s="4">
        <v>0</v>
      </c>
      <c r="F2050" s="4">
        <v>0</v>
      </c>
      <c r="G2050" s="4">
        <v>0</v>
      </c>
      <c r="H2050" s="5">
        <f t="shared" si="31"/>
        <v>4.4827586206896482E-2</v>
      </c>
    </row>
    <row r="2051" spans="1:8" ht="13.5" x14ac:dyDescent="0.25">
      <c r="A2051" s="1"/>
      <c r="B2051" s="3">
        <v>45285</v>
      </c>
      <c r="C2051" s="4">
        <v>27.27</v>
      </c>
      <c r="D2051" s="4">
        <v>27.27</v>
      </c>
      <c r="E2051" s="4">
        <v>0</v>
      </c>
      <c r="F2051" s="4">
        <v>0</v>
      </c>
      <c r="G2051" s="4">
        <v>0</v>
      </c>
      <c r="H2051" s="5">
        <f t="shared" si="31"/>
        <v>0</v>
      </c>
    </row>
    <row r="2052" spans="1:8" ht="13.5" x14ac:dyDescent="0.25">
      <c r="A2052" s="1"/>
      <c r="B2052" s="3">
        <v>45286</v>
      </c>
      <c r="C2052" s="4">
        <v>27.27</v>
      </c>
      <c r="D2052" s="4">
        <v>27.27</v>
      </c>
      <c r="E2052" s="4">
        <v>0</v>
      </c>
      <c r="F2052" s="4">
        <v>0</v>
      </c>
      <c r="G2052" s="4">
        <v>0</v>
      </c>
      <c r="H2052" s="5">
        <f t="shared" si="31"/>
        <v>0</v>
      </c>
    </row>
    <row r="2053" spans="1:8" ht="13.5" x14ac:dyDescent="0.25">
      <c r="A2053" s="1"/>
      <c r="B2053" s="3">
        <v>45287</v>
      </c>
      <c r="C2053" s="4">
        <v>27.27</v>
      </c>
      <c r="D2053" s="4">
        <v>27.27</v>
      </c>
      <c r="E2053" s="4">
        <v>0</v>
      </c>
      <c r="F2053" s="4">
        <v>0</v>
      </c>
      <c r="G2053" s="4">
        <v>0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28.49</v>
      </c>
      <c r="D2054" s="4">
        <v>28.49</v>
      </c>
      <c r="E2054" s="4">
        <v>845</v>
      </c>
      <c r="F2054" s="4">
        <v>28.49</v>
      </c>
      <c r="G2054" s="4">
        <v>24074.05</v>
      </c>
      <c r="H2054" s="5">
        <f t="shared" si="31"/>
        <v>4.4737807114044695E-2</v>
      </c>
    </row>
    <row r="2055" spans="1:8" ht="13.5" x14ac:dyDescent="0.25">
      <c r="A2055" s="1"/>
      <c r="B2055" s="3">
        <v>45289</v>
      </c>
      <c r="C2055" s="4">
        <v>29.77</v>
      </c>
      <c r="D2055" s="4">
        <v>29.77</v>
      </c>
      <c r="E2055" s="4">
        <v>0</v>
      </c>
      <c r="F2055" s="4">
        <v>0</v>
      </c>
      <c r="G2055" s="4">
        <v>0</v>
      </c>
      <c r="H2055" s="5">
        <f t="shared" ref="H2055:H2118" si="32">(D2055-D2054)/D2054</f>
        <v>4.4928044928044968E-2</v>
      </c>
    </row>
    <row r="2056" spans="1:8" ht="13.5" x14ac:dyDescent="0.25">
      <c r="A2056" s="1"/>
      <c r="B2056" s="3">
        <v>45293</v>
      </c>
      <c r="C2056" s="4">
        <v>30</v>
      </c>
      <c r="D2056" s="4">
        <v>30</v>
      </c>
      <c r="E2056" s="4">
        <v>16</v>
      </c>
      <c r="F2056" s="4">
        <v>30</v>
      </c>
      <c r="G2056" s="4">
        <v>480</v>
      </c>
      <c r="H2056" s="5">
        <f t="shared" si="32"/>
        <v>7.725898555592893E-3</v>
      </c>
    </row>
    <row r="2057" spans="1:8" ht="13.5" x14ac:dyDescent="0.25">
      <c r="A2057" s="1"/>
      <c r="B2057" s="3">
        <v>45294</v>
      </c>
      <c r="C2057" s="4">
        <v>29.99</v>
      </c>
      <c r="D2057" s="4">
        <v>29.99</v>
      </c>
      <c r="E2057" s="4">
        <v>300</v>
      </c>
      <c r="F2057" s="4">
        <v>29.99</v>
      </c>
      <c r="G2057" s="4">
        <v>8997</v>
      </c>
      <c r="H2057" s="5">
        <f t="shared" si="32"/>
        <v>-3.3333333333338542E-4</v>
      </c>
    </row>
    <row r="2058" spans="1:8" ht="13.5" x14ac:dyDescent="0.25">
      <c r="A2058" s="1"/>
      <c r="B2058" s="3">
        <v>45295</v>
      </c>
      <c r="C2058" s="4">
        <v>29.99</v>
      </c>
      <c r="D2058" s="4">
        <v>29.99</v>
      </c>
      <c r="E2058" s="4">
        <v>0</v>
      </c>
      <c r="F2058" s="4">
        <v>0</v>
      </c>
      <c r="G2058" s="4">
        <v>0</v>
      </c>
      <c r="H2058" s="5">
        <f t="shared" si="32"/>
        <v>0</v>
      </c>
    </row>
    <row r="2059" spans="1:8" ht="13.5" x14ac:dyDescent="0.25">
      <c r="A2059" s="1"/>
      <c r="B2059" s="3">
        <v>45296</v>
      </c>
      <c r="C2059" s="4">
        <v>29.99</v>
      </c>
      <c r="D2059" s="4">
        <v>29.99</v>
      </c>
      <c r="E2059" s="4">
        <v>0</v>
      </c>
      <c r="F2059" s="4">
        <v>0</v>
      </c>
      <c r="G2059" s="4">
        <v>0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28.65</v>
      </c>
      <c r="D2060" s="4">
        <v>28.65</v>
      </c>
      <c r="E2060" s="4">
        <v>6</v>
      </c>
      <c r="F2060" s="4">
        <v>28.65</v>
      </c>
      <c r="G2060" s="4">
        <v>171.9</v>
      </c>
      <c r="H2060" s="5">
        <f t="shared" si="32"/>
        <v>-4.4681560520173386E-2</v>
      </c>
    </row>
    <row r="2061" spans="1:8" ht="13.5" x14ac:dyDescent="0.25">
      <c r="A2061" s="1"/>
      <c r="B2061" s="3">
        <v>45300</v>
      </c>
      <c r="C2061" s="4">
        <v>28.65</v>
      </c>
      <c r="D2061" s="4">
        <v>28.65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28.65</v>
      </c>
      <c r="D2062" s="4">
        <v>28.65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28.65</v>
      </c>
      <c r="D2063" s="4">
        <v>28.65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28.65</v>
      </c>
      <c r="D2064" s="4">
        <v>28.65</v>
      </c>
      <c r="E2064" s="4">
        <v>0</v>
      </c>
      <c r="F2064" s="4">
        <v>0</v>
      </c>
      <c r="G2064" s="4">
        <v>0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28.65</v>
      </c>
      <c r="D2065" s="4">
        <v>28.65</v>
      </c>
      <c r="E2065" s="4">
        <v>0</v>
      </c>
      <c r="F2065" s="4">
        <v>0</v>
      </c>
      <c r="G2065" s="4">
        <v>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28.65</v>
      </c>
      <c r="D2066" s="4">
        <v>28.65</v>
      </c>
      <c r="E2066" s="4">
        <v>22</v>
      </c>
      <c r="F2066" s="4">
        <v>28.65</v>
      </c>
      <c r="G2066" s="4">
        <v>630.29999999999995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28.65</v>
      </c>
      <c r="D2067" s="4">
        <v>28.65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28.65</v>
      </c>
      <c r="D2068" s="4">
        <v>28.65</v>
      </c>
      <c r="E2068" s="4">
        <v>0</v>
      </c>
      <c r="F2068" s="4">
        <v>0</v>
      </c>
      <c r="G2068" s="4">
        <v>0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27.37</v>
      </c>
      <c r="D2069" s="4">
        <v>27.37</v>
      </c>
      <c r="E2069" s="4">
        <v>0</v>
      </c>
      <c r="F2069" s="4">
        <v>0</v>
      </c>
      <c r="G2069" s="4">
        <v>0</v>
      </c>
      <c r="H2069" s="5">
        <f t="shared" si="32"/>
        <v>-4.4677137870855067E-2</v>
      </c>
    </row>
    <row r="2070" spans="1:8" ht="13.5" x14ac:dyDescent="0.25">
      <c r="A2070" s="1"/>
      <c r="B2070" s="3">
        <v>45313</v>
      </c>
      <c r="C2070" s="4">
        <v>26.14</v>
      </c>
      <c r="D2070" s="4">
        <v>26.14</v>
      </c>
      <c r="E2070" s="4">
        <v>0</v>
      </c>
      <c r="F2070" s="4">
        <v>0</v>
      </c>
      <c r="G2070" s="4">
        <v>0</v>
      </c>
      <c r="H2070" s="5">
        <f t="shared" si="32"/>
        <v>-4.4939715016441374E-2</v>
      </c>
    </row>
    <row r="2071" spans="1:8" ht="13.5" x14ac:dyDescent="0.25">
      <c r="A2071" s="1"/>
      <c r="B2071" s="3">
        <v>45314</v>
      </c>
      <c r="C2071" s="4">
        <v>24.97</v>
      </c>
      <c r="D2071" s="4">
        <v>24.97</v>
      </c>
      <c r="E2071" s="4">
        <v>0</v>
      </c>
      <c r="F2071" s="4">
        <v>0</v>
      </c>
      <c r="G2071" s="4">
        <v>0</v>
      </c>
      <c r="H2071" s="5">
        <f t="shared" si="32"/>
        <v>-4.475899005355783E-2</v>
      </c>
    </row>
    <row r="2072" spans="1:8" ht="13.5" x14ac:dyDescent="0.25">
      <c r="A2072" s="1"/>
      <c r="B2072" s="3">
        <v>45315</v>
      </c>
      <c r="C2072" s="4">
        <v>23.85</v>
      </c>
      <c r="D2072" s="4">
        <v>23.85</v>
      </c>
      <c r="E2072" s="4">
        <v>0</v>
      </c>
      <c r="F2072" s="4">
        <v>0</v>
      </c>
      <c r="G2072" s="4">
        <v>0</v>
      </c>
      <c r="H2072" s="5">
        <f t="shared" si="32"/>
        <v>-4.4853824589507311E-2</v>
      </c>
    </row>
    <row r="2073" spans="1:8" ht="13.5" x14ac:dyDescent="0.25">
      <c r="A2073" s="1"/>
      <c r="B2073" s="3">
        <v>45316</v>
      </c>
      <c r="C2073" s="4">
        <v>22.78</v>
      </c>
      <c r="D2073" s="4">
        <v>22.78</v>
      </c>
      <c r="E2073" s="4">
        <v>54</v>
      </c>
      <c r="F2073" s="4">
        <v>22.78</v>
      </c>
      <c r="G2073" s="4">
        <v>1230.1199999999999</v>
      </c>
      <c r="H2073" s="5">
        <f t="shared" si="32"/>
        <v>-4.4863731656184493E-2</v>
      </c>
    </row>
    <row r="2074" spans="1:8" ht="13.5" x14ac:dyDescent="0.25">
      <c r="A2074" s="1"/>
      <c r="B2074" s="3">
        <v>45317</v>
      </c>
      <c r="C2074" s="4">
        <v>22.78</v>
      </c>
      <c r="D2074" s="4">
        <v>22.78</v>
      </c>
      <c r="E2074" s="4">
        <v>0</v>
      </c>
      <c r="F2074" s="4">
        <v>0</v>
      </c>
      <c r="G2074" s="4">
        <v>0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22.78</v>
      </c>
      <c r="D2075" s="4">
        <v>22.78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22.78</v>
      </c>
      <c r="D2076" s="4">
        <v>22.78</v>
      </c>
      <c r="E2076" s="4">
        <v>0</v>
      </c>
      <c r="F2076" s="4">
        <v>0</v>
      </c>
      <c r="G2076" s="4">
        <v>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22.78</v>
      </c>
      <c r="D2077" s="4">
        <v>22.78</v>
      </c>
      <c r="E2077" s="4">
        <v>0</v>
      </c>
      <c r="F2077" s="4">
        <v>0</v>
      </c>
      <c r="G2077" s="4">
        <v>0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22.78</v>
      </c>
      <c r="D2078" s="4">
        <v>22.78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22.78</v>
      </c>
      <c r="D2079" s="4">
        <v>22.78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22.78</v>
      </c>
      <c r="D2080" s="4">
        <v>22.78</v>
      </c>
      <c r="E2080" s="4">
        <v>0</v>
      </c>
      <c r="F2080" s="4">
        <v>0</v>
      </c>
      <c r="G2080" s="4">
        <v>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22.78</v>
      </c>
      <c r="D2081" s="4">
        <v>22.78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22.78</v>
      </c>
      <c r="D2082" s="4">
        <v>22.78</v>
      </c>
      <c r="E2082" s="4">
        <v>0</v>
      </c>
      <c r="F2082" s="4">
        <v>0</v>
      </c>
      <c r="G2082" s="4">
        <v>0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22.78</v>
      </c>
      <c r="D2083" s="4">
        <v>22.78</v>
      </c>
      <c r="E2083" s="4">
        <v>0</v>
      </c>
      <c r="F2083" s="4">
        <v>0</v>
      </c>
      <c r="G2083" s="4">
        <v>0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22.78</v>
      </c>
      <c r="D2084" s="4">
        <v>22.78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22.78</v>
      </c>
      <c r="D2085" s="4">
        <v>22.78</v>
      </c>
      <c r="E2085" s="4">
        <v>0</v>
      </c>
      <c r="F2085" s="4">
        <v>0</v>
      </c>
      <c r="G2085" s="4">
        <v>0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22.78</v>
      </c>
      <c r="D2086" s="4">
        <v>22.78</v>
      </c>
      <c r="E2086" s="4">
        <v>0</v>
      </c>
      <c r="F2086" s="4">
        <v>0</v>
      </c>
      <c r="G2086" s="4">
        <v>0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23.71</v>
      </c>
      <c r="D2087" s="4">
        <v>23.71</v>
      </c>
      <c r="E2087" s="4">
        <v>608</v>
      </c>
      <c r="F2087" s="4">
        <v>23.71</v>
      </c>
      <c r="G2087" s="4">
        <v>14415.68</v>
      </c>
      <c r="H2087" s="5">
        <f t="shared" si="32"/>
        <v>4.0825285338015792E-2</v>
      </c>
    </row>
    <row r="2088" spans="1:8" ht="13.5" x14ac:dyDescent="0.25">
      <c r="A2088" s="1"/>
      <c r="B2088" s="3">
        <v>45337</v>
      </c>
      <c r="C2088" s="4">
        <v>23.71</v>
      </c>
      <c r="D2088" s="4">
        <v>23.71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23.71</v>
      </c>
      <c r="D2089" s="4">
        <v>23.71</v>
      </c>
      <c r="E2089" s="4">
        <v>0</v>
      </c>
      <c r="F2089" s="4">
        <v>0</v>
      </c>
      <c r="G2089" s="4">
        <v>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23.71</v>
      </c>
      <c r="D2090" s="4">
        <v>23.71</v>
      </c>
      <c r="E2090" s="4">
        <v>0</v>
      </c>
      <c r="F2090" s="4">
        <v>0</v>
      </c>
      <c r="G2090" s="4">
        <v>0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23.71</v>
      </c>
      <c r="D2091" s="4">
        <v>23.71</v>
      </c>
      <c r="E2091" s="4">
        <v>0</v>
      </c>
      <c r="F2091" s="4">
        <v>0</v>
      </c>
      <c r="G2091" s="4">
        <v>0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23.71</v>
      </c>
      <c r="D2092" s="4">
        <v>23.71</v>
      </c>
      <c r="E2092" s="4">
        <v>0</v>
      </c>
      <c r="F2092" s="4">
        <v>0</v>
      </c>
      <c r="G2092" s="4">
        <v>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23.71</v>
      </c>
      <c r="D2093" s="4">
        <v>23.71</v>
      </c>
      <c r="E2093" s="4">
        <v>0</v>
      </c>
      <c r="F2093" s="4">
        <v>0</v>
      </c>
      <c r="G2093" s="4">
        <v>0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23.71</v>
      </c>
      <c r="D2094" s="4">
        <v>23.71</v>
      </c>
      <c r="E2094" s="4">
        <v>0</v>
      </c>
      <c r="F2094" s="4">
        <v>0</v>
      </c>
      <c r="G2094" s="4">
        <v>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23.7</v>
      </c>
      <c r="D2095" s="4">
        <v>23.7</v>
      </c>
      <c r="E2095" s="4">
        <v>2</v>
      </c>
      <c r="F2095" s="4">
        <v>23.7</v>
      </c>
      <c r="G2095" s="4">
        <v>47.4</v>
      </c>
      <c r="H2095" s="5">
        <f t="shared" si="32"/>
        <v>-4.2176296921136915E-4</v>
      </c>
    </row>
    <row r="2096" spans="1:8" ht="13.5" x14ac:dyDescent="0.25">
      <c r="A2096" s="1"/>
      <c r="B2096" s="3">
        <v>45349</v>
      </c>
      <c r="C2096" s="4">
        <v>23.7</v>
      </c>
      <c r="D2096" s="4">
        <v>23.7</v>
      </c>
      <c r="E2096" s="4">
        <v>0</v>
      </c>
      <c r="F2096" s="4">
        <v>0</v>
      </c>
      <c r="G2096" s="4">
        <v>0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23.7</v>
      </c>
      <c r="D2097" s="4">
        <v>23.7</v>
      </c>
      <c r="E2097" s="4">
        <v>0</v>
      </c>
      <c r="F2097" s="4">
        <v>0</v>
      </c>
      <c r="G2097" s="4">
        <v>0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23.7</v>
      </c>
      <c r="D2098" s="4">
        <v>23.7</v>
      </c>
      <c r="E2098" s="4">
        <v>0</v>
      </c>
      <c r="F2098" s="4">
        <v>0</v>
      </c>
      <c r="G2098" s="4">
        <v>0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23.7</v>
      </c>
      <c r="D2099" s="4">
        <v>23.7</v>
      </c>
      <c r="E2099" s="4">
        <v>0</v>
      </c>
      <c r="F2099" s="4">
        <v>0</v>
      </c>
      <c r="G2099" s="4">
        <v>0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23.7</v>
      </c>
      <c r="D2100" s="4">
        <v>23.7</v>
      </c>
      <c r="E2100" s="4">
        <v>0</v>
      </c>
      <c r="F2100" s="4">
        <v>0</v>
      </c>
      <c r="G2100" s="4">
        <v>0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23.7</v>
      </c>
      <c r="D2101" s="4">
        <v>23.7</v>
      </c>
      <c r="E2101" s="4">
        <v>0</v>
      </c>
      <c r="F2101" s="4">
        <v>0</v>
      </c>
      <c r="G2101" s="4">
        <v>0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23.7</v>
      </c>
      <c r="D2102" s="4">
        <v>23.7</v>
      </c>
      <c r="E2102" s="4">
        <v>0</v>
      </c>
      <c r="F2102" s="4">
        <v>0</v>
      </c>
      <c r="G2102" s="4">
        <v>0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23.2</v>
      </c>
      <c r="D2103" s="4">
        <v>23.2</v>
      </c>
      <c r="E2103" s="4">
        <v>10</v>
      </c>
      <c r="F2103" s="4">
        <v>23.2</v>
      </c>
      <c r="G2103" s="4">
        <v>232</v>
      </c>
      <c r="H2103" s="5">
        <f t="shared" si="32"/>
        <v>-2.1097046413502109E-2</v>
      </c>
    </row>
    <row r="2104" spans="1:8" ht="13.5" x14ac:dyDescent="0.25">
      <c r="A2104" s="1"/>
      <c r="B2104" s="3">
        <v>45359</v>
      </c>
      <c r="C2104" s="4">
        <v>23.2</v>
      </c>
      <c r="D2104" s="4">
        <v>23.2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23.2</v>
      </c>
      <c r="D2105" s="4">
        <v>23.2</v>
      </c>
      <c r="E2105" s="4">
        <v>0</v>
      </c>
      <c r="F2105" s="4">
        <v>0</v>
      </c>
      <c r="G2105" s="4">
        <v>0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23.2</v>
      </c>
      <c r="D2106" s="4">
        <v>23.2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23.2</v>
      </c>
      <c r="D2107" s="4">
        <v>23.2</v>
      </c>
      <c r="E2107" s="4">
        <v>0</v>
      </c>
      <c r="F2107" s="4">
        <v>0</v>
      </c>
      <c r="G2107" s="4">
        <v>0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23.2</v>
      </c>
      <c r="D2108" s="4">
        <v>23.2</v>
      </c>
      <c r="E2108" s="4">
        <v>0</v>
      </c>
      <c r="F2108" s="4">
        <v>0</v>
      </c>
      <c r="G2108" s="4">
        <v>0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23.2</v>
      </c>
      <c r="D2109" s="4">
        <v>23.2</v>
      </c>
      <c r="E2109" s="4">
        <v>0</v>
      </c>
      <c r="F2109" s="4">
        <v>0</v>
      </c>
      <c r="G2109" s="4">
        <v>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23.2</v>
      </c>
      <c r="D2110" s="4">
        <v>23.2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23.2</v>
      </c>
      <c r="D2111" s="4">
        <v>23.2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23.2</v>
      </c>
      <c r="D2112" s="4">
        <v>23.2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23.2</v>
      </c>
      <c r="D2113" s="4">
        <v>23.2</v>
      </c>
      <c r="E2113" s="4">
        <v>0</v>
      </c>
      <c r="F2113" s="4">
        <v>0</v>
      </c>
      <c r="G2113" s="4">
        <v>0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23.2</v>
      </c>
      <c r="D2114" s="4">
        <v>23.2</v>
      </c>
      <c r="E2114" s="4">
        <v>0</v>
      </c>
      <c r="F2114" s="4">
        <v>0</v>
      </c>
      <c r="G2114" s="4">
        <v>0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23.2</v>
      </c>
      <c r="D2115" s="4">
        <v>23.2</v>
      </c>
      <c r="E2115" s="4">
        <v>0</v>
      </c>
      <c r="F2115" s="4">
        <v>0</v>
      </c>
      <c r="G2115" s="4">
        <v>0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23.2</v>
      </c>
      <c r="D2116" s="4">
        <v>23.2</v>
      </c>
      <c r="E2116" s="4">
        <v>0</v>
      </c>
      <c r="F2116" s="4">
        <v>0</v>
      </c>
      <c r="G2116" s="4">
        <v>0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23.2</v>
      </c>
      <c r="D2117" s="4">
        <v>23.2</v>
      </c>
      <c r="E2117" s="4">
        <v>0</v>
      </c>
      <c r="F2117" s="4">
        <v>0</v>
      </c>
      <c r="G2117" s="4">
        <v>0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23.2</v>
      </c>
      <c r="D2118" s="4">
        <v>23.2</v>
      </c>
      <c r="E2118" s="4">
        <v>0</v>
      </c>
      <c r="F2118" s="4">
        <v>0</v>
      </c>
      <c r="G2118" s="4">
        <v>0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23.2</v>
      </c>
      <c r="D2119" s="4">
        <v>23.2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23.2</v>
      </c>
      <c r="D2120" s="4">
        <v>23.2</v>
      </c>
      <c r="E2120" s="4">
        <v>0</v>
      </c>
      <c r="F2120" s="4">
        <v>0</v>
      </c>
      <c r="G2120" s="4">
        <v>0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23.2</v>
      </c>
      <c r="D2121" s="4">
        <v>23.2</v>
      </c>
      <c r="E2121" s="4">
        <v>0</v>
      </c>
      <c r="F2121" s="4">
        <v>0</v>
      </c>
      <c r="G2121" s="4">
        <v>0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23.2</v>
      </c>
      <c r="D2122" s="4">
        <v>23.2</v>
      </c>
      <c r="E2122" s="4">
        <v>0</v>
      </c>
      <c r="F2122" s="4">
        <v>0</v>
      </c>
      <c r="G2122" s="4">
        <v>0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23.2</v>
      </c>
      <c r="D2123" s="4">
        <v>23.2</v>
      </c>
      <c r="E2123" s="4">
        <v>0</v>
      </c>
      <c r="F2123" s="4">
        <v>0</v>
      </c>
      <c r="G2123" s="4">
        <v>0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23.19</v>
      </c>
      <c r="D2124" s="4">
        <v>23.19</v>
      </c>
      <c r="E2124" s="4">
        <v>38</v>
      </c>
      <c r="F2124" s="4">
        <v>23.19</v>
      </c>
      <c r="G2124" s="4">
        <v>881.22</v>
      </c>
      <c r="H2124" s="5">
        <f t="shared" si="33"/>
        <v>-4.3103448275853492E-4</v>
      </c>
    </row>
    <row r="2125" spans="1:8" ht="13.5" x14ac:dyDescent="0.25">
      <c r="A2125" s="1"/>
      <c r="B2125" s="3">
        <v>45394</v>
      </c>
      <c r="C2125" s="4">
        <v>23.2</v>
      </c>
      <c r="D2125" s="4">
        <v>23.2</v>
      </c>
      <c r="E2125" s="4">
        <v>100</v>
      </c>
      <c r="F2125" s="4">
        <v>23.2</v>
      </c>
      <c r="G2125" s="4">
        <v>2320</v>
      </c>
      <c r="H2125" s="5">
        <f t="shared" si="33"/>
        <v>4.3122035360060415E-4</v>
      </c>
    </row>
    <row r="2126" spans="1:8" ht="13.5" x14ac:dyDescent="0.25">
      <c r="A2126" s="1"/>
      <c r="B2126" s="3">
        <v>45397</v>
      </c>
      <c r="C2126" s="4">
        <v>23.2</v>
      </c>
      <c r="D2126" s="4">
        <v>23.2</v>
      </c>
      <c r="E2126" s="4">
        <v>0</v>
      </c>
      <c r="F2126" s="4">
        <v>0</v>
      </c>
      <c r="G2126" s="4">
        <v>0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23.2</v>
      </c>
      <c r="D2127" s="4">
        <v>23.2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22.16</v>
      </c>
      <c r="D2128" s="4">
        <v>22.16</v>
      </c>
      <c r="E2128" s="4">
        <v>10</v>
      </c>
      <c r="F2128" s="4">
        <v>22.16</v>
      </c>
      <c r="G2128" s="4">
        <v>221.6</v>
      </c>
      <c r="H2128" s="5">
        <f t="shared" si="33"/>
        <v>-4.4827586206896516E-2</v>
      </c>
    </row>
    <row r="2129" spans="1:8" ht="13.5" x14ac:dyDescent="0.25">
      <c r="A2129" s="1"/>
      <c r="B2129" s="3">
        <v>45400</v>
      </c>
      <c r="C2129" s="4">
        <v>21.17</v>
      </c>
      <c r="D2129" s="4">
        <v>21.17</v>
      </c>
      <c r="E2129" s="4">
        <v>18</v>
      </c>
      <c r="F2129" s="4">
        <v>21.17</v>
      </c>
      <c r="G2129" s="4">
        <v>381.06</v>
      </c>
      <c r="H2129" s="5">
        <f t="shared" si="33"/>
        <v>-4.4675090252707508E-2</v>
      </c>
    </row>
    <row r="2130" spans="1:8" ht="13.5" x14ac:dyDescent="0.25">
      <c r="A2130" s="1"/>
      <c r="B2130" s="3">
        <v>45401</v>
      </c>
      <c r="C2130" s="4">
        <v>21</v>
      </c>
      <c r="D2130" s="4">
        <v>21</v>
      </c>
      <c r="E2130" s="4">
        <v>19</v>
      </c>
      <c r="F2130" s="4">
        <v>21</v>
      </c>
      <c r="G2130" s="4">
        <v>399</v>
      </c>
      <c r="H2130" s="5">
        <f t="shared" si="33"/>
        <v>-8.030231459612739E-3</v>
      </c>
    </row>
    <row r="2131" spans="1:8" ht="13.5" x14ac:dyDescent="0.25">
      <c r="A2131" s="1"/>
      <c r="B2131" s="3">
        <v>45404</v>
      </c>
      <c r="C2131" s="4">
        <v>21.02</v>
      </c>
      <c r="D2131" s="4">
        <v>21.02</v>
      </c>
      <c r="E2131" s="4">
        <v>20</v>
      </c>
      <c r="F2131" s="4">
        <v>21.02</v>
      </c>
      <c r="G2131" s="4">
        <v>420.4</v>
      </c>
      <c r="H2131" s="5">
        <f t="shared" si="33"/>
        <v>9.5238095238093211E-4</v>
      </c>
    </row>
    <row r="2132" spans="1:8" ht="13.5" x14ac:dyDescent="0.25">
      <c r="A2132" s="1"/>
      <c r="B2132" s="3">
        <v>45405</v>
      </c>
      <c r="C2132" s="4">
        <v>21.02</v>
      </c>
      <c r="D2132" s="4">
        <v>21.02</v>
      </c>
      <c r="E2132" s="4">
        <v>0</v>
      </c>
      <c r="F2132" s="4">
        <v>0</v>
      </c>
      <c r="G2132" s="4">
        <v>0</v>
      </c>
      <c r="H2132" s="5">
        <f t="shared" si="33"/>
        <v>0</v>
      </c>
    </row>
    <row r="2133" spans="1:8" ht="13.5" x14ac:dyDescent="0.25">
      <c r="A2133" s="1"/>
      <c r="B2133" s="3">
        <v>45406</v>
      </c>
      <c r="C2133" s="4">
        <v>21.02</v>
      </c>
      <c r="D2133" s="4">
        <v>21.02</v>
      </c>
      <c r="E2133" s="4">
        <v>5</v>
      </c>
      <c r="F2133" s="4">
        <v>21.02</v>
      </c>
      <c r="G2133" s="4">
        <v>105.1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21.02</v>
      </c>
      <c r="D2134" s="4">
        <v>21.02</v>
      </c>
      <c r="E2134" s="4">
        <v>0</v>
      </c>
      <c r="F2134" s="4">
        <v>0</v>
      </c>
      <c r="G2134" s="4">
        <v>0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21.02</v>
      </c>
      <c r="D2135" s="4">
        <v>21.02</v>
      </c>
      <c r="E2135" s="4">
        <v>0</v>
      </c>
      <c r="F2135" s="4">
        <v>0</v>
      </c>
      <c r="G2135" s="4">
        <v>0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21.02</v>
      </c>
      <c r="D2136" s="4">
        <v>21.02</v>
      </c>
      <c r="E2136" s="4">
        <v>0</v>
      </c>
      <c r="F2136" s="4">
        <v>0</v>
      </c>
      <c r="G2136" s="4">
        <v>0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21.02</v>
      </c>
      <c r="D2137" s="4">
        <v>21.02</v>
      </c>
      <c r="E2137" s="4">
        <v>0</v>
      </c>
      <c r="F2137" s="4">
        <v>0</v>
      </c>
      <c r="G2137" s="4">
        <v>0</v>
      </c>
      <c r="H2137" s="5">
        <f t="shared" si="33"/>
        <v>0</v>
      </c>
    </row>
    <row r="2138" spans="1:8" ht="13.5" x14ac:dyDescent="0.25">
      <c r="A2138" s="1"/>
      <c r="B2138" s="3">
        <v>45414</v>
      </c>
      <c r="C2138" s="4">
        <v>21.02</v>
      </c>
      <c r="D2138" s="4">
        <v>21.02</v>
      </c>
      <c r="E2138" s="4">
        <v>0</v>
      </c>
      <c r="F2138" s="4">
        <v>0</v>
      </c>
      <c r="G2138" s="4">
        <v>0</v>
      </c>
      <c r="H2138" s="5">
        <f t="shared" si="33"/>
        <v>0</v>
      </c>
    </row>
    <row r="2139" spans="1:8" ht="13.5" x14ac:dyDescent="0.25">
      <c r="A2139" s="1"/>
      <c r="B2139" s="3">
        <v>45415</v>
      </c>
      <c r="C2139" s="4">
        <v>21</v>
      </c>
      <c r="D2139" s="4">
        <v>21</v>
      </c>
      <c r="E2139" s="4">
        <v>15</v>
      </c>
      <c r="F2139" s="4">
        <v>21</v>
      </c>
      <c r="G2139" s="4">
        <v>315</v>
      </c>
      <c r="H2139" s="5">
        <f t="shared" si="33"/>
        <v>-9.5147478591815294E-4</v>
      </c>
    </row>
    <row r="2140" spans="1:8" ht="13.5" x14ac:dyDescent="0.25">
      <c r="A2140" s="1"/>
      <c r="B2140" s="3">
        <v>45418</v>
      </c>
      <c r="C2140" s="4">
        <v>21</v>
      </c>
      <c r="D2140" s="4">
        <v>21</v>
      </c>
      <c r="E2140" s="4">
        <v>0</v>
      </c>
      <c r="F2140" s="4">
        <v>0</v>
      </c>
      <c r="G2140" s="4">
        <v>0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21</v>
      </c>
      <c r="D2141" s="4">
        <v>21</v>
      </c>
      <c r="E2141" s="4">
        <v>0</v>
      </c>
      <c r="F2141" s="4">
        <v>0</v>
      </c>
      <c r="G2141" s="4">
        <v>0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21</v>
      </c>
      <c r="D2142" s="4">
        <v>21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21</v>
      </c>
      <c r="D2143" s="4">
        <v>21</v>
      </c>
      <c r="E2143" s="4">
        <v>0</v>
      </c>
      <c r="F2143" s="4">
        <v>0</v>
      </c>
      <c r="G2143" s="4">
        <v>0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21</v>
      </c>
      <c r="D2144" s="4">
        <v>21</v>
      </c>
      <c r="E2144" s="4">
        <v>0</v>
      </c>
      <c r="F2144" s="4">
        <v>0</v>
      </c>
      <c r="G2144" s="4">
        <v>0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21</v>
      </c>
      <c r="D2145" s="4">
        <v>21</v>
      </c>
      <c r="E2145" s="4">
        <v>0</v>
      </c>
      <c r="F2145" s="4">
        <v>0</v>
      </c>
      <c r="G2145" s="4">
        <v>0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21</v>
      </c>
      <c r="D2146" s="4">
        <v>21</v>
      </c>
      <c r="E2146" s="4">
        <v>0</v>
      </c>
      <c r="F2146" s="4">
        <v>0</v>
      </c>
      <c r="G2146" s="4">
        <v>0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20.2</v>
      </c>
      <c r="D2147" s="4">
        <v>20.2</v>
      </c>
      <c r="E2147" s="4">
        <v>20</v>
      </c>
      <c r="F2147" s="4">
        <v>20.2</v>
      </c>
      <c r="G2147" s="4">
        <v>404</v>
      </c>
      <c r="H2147" s="5">
        <f t="shared" si="33"/>
        <v>-3.8095238095238126E-2</v>
      </c>
    </row>
    <row r="2148" spans="1:8" ht="13.5" x14ac:dyDescent="0.25">
      <c r="A2148" s="1"/>
      <c r="B2148" s="3">
        <v>45428</v>
      </c>
      <c r="C2148" s="4">
        <v>20.2</v>
      </c>
      <c r="D2148" s="4">
        <v>20.2</v>
      </c>
      <c r="E2148" s="4">
        <v>0</v>
      </c>
      <c r="F2148" s="4">
        <v>0</v>
      </c>
      <c r="G2148" s="4">
        <v>0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20.2</v>
      </c>
      <c r="D2149" s="4">
        <v>20.2</v>
      </c>
      <c r="E2149" s="4">
        <v>10</v>
      </c>
      <c r="F2149" s="4">
        <v>20.2</v>
      </c>
      <c r="G2149" s="4">
        <v>202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20.2</v>
      </c>
      <c r="D2150" s="4">
        <v>20.2</v>
      </c>
      <c r="E2150" s="4">
        <v>0</v>
      </c>
      <c r="F2150" s="4">
        <v>0</v>
      </c>
      <c r="G2150" s="4">
        <v>0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20.2</v>
      </c>
      <c r="D2151" s="4">
        <v>20.2</v>
      </c>
      <c r="E2151" s="4">
        <v>0</v>
      </c>
      <c r="F2151" s="4">
        <v>0</v>
      </c>
      <c r="G2151" s="4">
        <v>0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20.2</v>
      </c>
      <c r="D2152" s="4">
        <v>20.2</v>
      </c>
      <c r="E2152" s="4">
        <v>0</v>
      </c>
      <c r="F2152" s="4">
        <v>0</v>
      </c>
      <c r="G2152" s="4">
        <v>0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20.2</v>
      </c>
      <c r="D2153" s="4">
        <v>20.2</v>
      </c>
      <c r="E2153" s="4">
        <v>0</v>
      </c>
      <c r="F2153" s="4">
        <v>0</v>
      </c>
      <c r="G2153" s="4">
        <v>0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19.45</v>
      </c>
      <c r="D2154" s="4">
        <v>19.45</v>
      </c>
      <c r="E2154" s="4">
        <v>38</v>
      </c>
      <c r="F2154" s="4">
        <v>19.45</v>
      </c>
      <c r="G2154" s="4">
        <v>739.1</v>
      </c>
      <c r="H2154" s="5">
        <f t="shared" si="33"/>
        <v>-3.7128712871287127E-2</v>
      </c>
    </row>
    <row r="2155" spans="1:8" ht="13.5" x14ac:dyDescent="0.25">
      <c r="A2155" s="1"/>
      <c r="B2155" s="3">
        <v>45439</v>
      </c>
      <c r="C2155" s="4">
        <v>19.399999999999999</v>
      </c>
      <c r="D2155" s="4">
        <v>19.399999999999999</v>
      </c>
      <c r="E2155" s="4">
        <v>20</v>
      </c>
      <c r="F2155" s="4">
        <v>19.399999999999999</v>
      </c>
      <c r="G2155" s="4">
        <v>388</v>
      </c>
      <c r="H2155" s="5">
        <f t="shared" si="33"/>
        <v>-2.5706940874036356E-3</v>
      </c>
    </row>
    <row r="2156" spans="1:8" ht="13.5" x14ac:dyDescent="0.25">
      <c r="A2156" s="1"/>
      <c r="B2156" s="3">
        <v>45440</v>
      </c>
      <c r="C2156" s="4">
        <v>19.45</v>
      </c>
      <c r="D2156" s="4">
        <v>19.45</v>
      </c>
      <c r="E2156" s="4">
        <v>10</v>
      </c>
      <c r="F2156" s="4">
        <v>19.45</v>
      </c>
      <c r="G2156" s="4">
        <v>194.5</v>
      </c>
      <c r="H2156" s="5">
        <f t="shared" si="33"/>
        <v>2.5773195876289028E-3</v>
      </c>
    </row>
    <row r="2157" spans="1:8" ht="13.5" x14ac:dyDescent="0.25">
      <c r="A2157" s="1"/>
      <c r="B2157" s="3">
        <v>45441</v>
      </c>
      <c r="C2157" s="4">
        <v>19.45</v>
      </c>
      <c r="D2157" s="4">
        <v>19.45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19.45</v>
      </c>
      <c r="D2158" s="4">
        <v>19.45</v>
      </c>
      <c r="E2158" s="4">
        <v>0</v>
      </c>
      <c r="F2158" s="4">
        <v>0</v>
      </c>
      <c r="G2158" s="4">
        <v>0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19.45</v>
      </c>
      <c r="D2159" s="4">
        <v>19.45</v>
      </c>
      <c r="E2159" s="4">
        <v>0</v>
      </c>
      <c r="F2159" s="4">
        <v>0</v>
      </c>
      <c r="G2159" s="4">
        <v>0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18.579999999999998</v>
      </c>
      <c r="D2160" s="4">
        <v>18.579999999999998</v>
      </c>
      <c r="E2160" s="4">
        <v>0</v>
      </c>
      <c r="F2160" s="4">
        <v>0</v>
      </c>
      <c r="G2160" s="4">
        <v>0</v>
      </c>
      <c r="H2160" s="5">
        <f t="shared" si="33"/>
        <v>-4.4730077120822678E-2</v>
      </c>
    </row>
    <row r="2161" spans="1:8" ht="13.5" x14ac:dyDescent="0.25">
      <c r="A2161" s="1"/>
      <c r="B2161" s="3">
        <v>45447</v>
      </c>
      <c r="C2161" s="4">
        <v>18.5</v>
      </c>
      <c r="D2161" s="4">
        <v>18.5</v>
      </c>
      <c r="E2161" s="4">
        <v>6</v>
      </c>
      <c r="F2161" s="4">
        <v>18.5</v>
      </c>
      <c r="G2161" s="4">
        <v>111</v>
      </c>
      <c r="H2161" s="5">
        <f t="shared" si="33"/>
        <v>-4.3057050592033531E-3</v>
      </c>
    </row>
    <row r="2162" spans="1:8" ht="13.5" x14ac:dyDescent="0.25">
      <c r="A2162" s="1"/>
      <c r="B2162" s="3">
        <v>45448</v>
      </c>
      <c r="C2162" s="4">
        <v>18.5</v>
      </c>
      <c r="D2162" s="4">
        <v>18.5</v>
      </c>
      <c r="E2162" s="4">
        <v>0</v>
      </c>
      <c r="F2162" s="4">
        <v>0</v>
      </c>
      <c r="G2162" s="4">
        <v>0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18.5</v>
      </c>
      <c r="D2163" s="4">
        <v>18.5</v>
      </c>
      <c r="E2163" s="4">
        <v>0</v>
      </c>
      <c r="F2163" s="4">
        <v>0</v>
      </c>
      <c r="G2163" s="4">
        <v>0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18</v>
      </c>
      <c r="D2164" s="4">
        <v>18</v>
      </c>
      <c r="E2164" s="4">
        <v>10</v>
      </c>
      <c r="F2164" s="4">
        <v>18</v>
      </c>
      <c r="G2164" s="4">
        <v>180</v>
      </c>
      <c r="H2164" s="5">
        <f t="shared" si="33"/>
        <v>-2.7027027027027029E-2</v>
      </c>
    </row>
    <row r="2165" spans="1:8" ht="13.5" x14ac:dyDescent="0.25">
      <c r="A2165" s="1"/>
      <c r="B2165" s="3">
        <v>45453</v>
      </c>
      <c r="C2165" s="4">
        <v>18</v>
      </c>
      <c r="D2165" s="4">
        <v>18</v>
      </c>
      <c r="E2165" s="4">
        <v>0</v>
      </c>
      <c r="F2165" s="4">
        <v>0</v>
      </c>
      <c r="G2165" s="4">
        <v>0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18</v>
      </c>
      <c r="D2166" s="4">
        <v>18</v>
      </c>
      <c r="E2166" s="4">
        <v>0</v>
      </c>
      <c r="F2166" s="4">
        <v>0</v>
      </c>
      <c r="G2166" s="4">
        <v>0</v>
      </c>
      <c r="H2166" s="5">
        <f t="shared" si="33"/>
        <v>0</v>
      </c>
    </row>
    <row r="2167" spans="1:8" ht="13.5" x14ac:dyDescent="0.25">
      <c r="A2167" s="1"/>
      <c r="B2167" s="3">
        <v>45455</v>
      </c>
      <c r="C2167" s="4">
        <v>18</v>
      </c>
      <c r="D2167" s="4">
        <v>18</v>
      </c>
      <c r="E2167" s="4">
        <v>0</v>
      </c>
      <c r="F2167" s="4">
        <v>0</v>
      </c>
      <c r="G2167" s="4">
        <v>0</v>
      </c>
      <c r="H2167" s="5">
        <f t="shared" si="33"/>
        <v>0</v>
      </c>
    </row>
    <row r="2168" spans="1:8" ht="13.5" x14ac:dyDescent="0.25">
      <c r="A2168" s="1"/>
      <c r="B2168" s="3">
        <v>45456</v>
      </c>
      <c r="C2168" s="4">
        <v>18</v>
      </c>
      <c r="D2168" s="4">
        <v>18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18</v>
      </c>
      <c r="D2169" s="4">
        <v>18</v>
      </c>
      <c r="E2169" s="4">
        <v>0</v>
      </c>
      <c r="F2169" s="4">
        <v>0</v>
      </c>
      <c r="G2169" s="4">
        <v>0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18</v>
      </c>
      <c r="D2170" s="4">
        <v>18</v>
      </c>
      <c r="E2170" s="4">
        <v>70</v>
      </c>
      <c r="F2170" s="4">
        <v>18</v>
      </c>
      <c r="G2170" s="4">
        <v>1260</v>
      </c>
      <c r="H2170" s="5">
        <f t="shared" si="33"/>
        <v>0</v>
      </c>
    </row>
    <row r="2171" spans="1:8" ht="13.5" x14ac:dyDescent="0.25">
      <c r="A2171" s="1"/>
      <c r="B2171" s="3">
        <v>45462</v>
      </c>
      <c r="C2171" s="4">
        <v>18</v>
      </c>
      <c r="D2171" s="4">
        <v>18</v>
      </c>
      <c r="E2171" s="4">
        <v>0</v>
      </c>
      <c r="F2171" s="4">
        <v>0</v>
      </c>
      <c r="G2171" s="4">
        <v>0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18</v>
      </c>
      <c r="D2172" s="4">
        <v>18</v>
      </c>
      <c r="E2172" s="4">
        <v>0</v>
      </c>
      <c r="F2172" s="4">
        <v>0</v>
      </c>
      <c r="G2172" s="4">
        <v>0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18</v>
      </c>
      <c r="D2173" s="4">
        <v>18</v>
      </c>
      <c r="E2173" s="4">
        <v>0</v>
      </c>
      <c r="F2173" s="4">
        <v>0</v>
      </c>
      <c r="G2173" s="4">
        <v>0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18</v>
      </c>
      <c r="D2174" s="4">
        <v>18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18</v>
      </c>
      <c r="D2175" s="4">
        <v>18</v>
      </c>
      <c r="E2175" s="4">
        <v>0</v>
      </c>
      <c r="F2175" s="4">
        <v>0</v>
      </c>
      <c r="G2175" s="4">
        <v>0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18</v>
      </c>
      <c r="D2176" s="4">
        <v>18</v>
      </c>
      <c r="E2176" s="4">
        <v>0</v>
      </c>
      <c r="F2176" s="4">
        <v>0</v>
      </c>
      <c r="G2176" s="4">
        <v>0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18</v>
      </c>
      <c r="D2177" s="4">
        <v>18</v>
      </c>
      <c r="E2177" s="4">
        <v>0</v>
      </c>
      <c r="F2177" s="4">
        <v>0</v>
      </c>
      <c r="G2177" s="4">
        <v>0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18</v>
      </c>
      <c r="D2178" s="4">
        <v>18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18</v>
      </c>
      <c r="D2179" s="4">
        <v>18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18</v>
      </c>
      <c r="D2180" s="4">
        <v>18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18</v>
      </c>
      <c r="D2181" s="4">
        <v>18</v>
      </c>
      <c r="E2181" s="4">
        <v>0</v>
      </c>
      <c r="F2181" s="4">
        <v>0</v>
      </c>
      <c r="G2181" s="4">
        <v>0</v>
      </c>
      <c r="H2181" s="5">
        <f t="shared" si="33"/>
        <v>0</v>
      </c>
    </row>
    <row r="2182" spans="1:8" ht="13.5" x14ac:dyDescent="0.25">
      <c r="A2182" s="1"/>
      <c r="B2182" s="3">
        <v>45477</v>
      </c>
      <c r="C2182" s="4">
        <v>18</v>
      </c>
      <c r="D2182" s="4">
        <v>18</v>
      </c>
      <c r="E2182" s="4">
        <v>0</v>
      </c>
      <c r="F2182" s="4">
        <v>0</v>
      </c>
      <c r="G2182" s="4">
        <v>0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18</v>
      </c>
      <c r="D2183" s="4">
        <v>18</v>
      </c>
      <c r="E2183" s="4">
        <v>0</v>
      </c>
      <c r="F2183" s="4">
        <v>0</v>
      </c>
      <c r="G2183" s="4">
        <v>0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18</v>
      </c>
      <c r="D2184" s="4">
        <v>18</v>
      </c>
      <c r="E2184" s="4">
        <v>0</v>
      </c>
      <c r="F2184" s="4">
        <v>0</v>
      </c>
      <c r="G2184" s="4">
        <v>0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18</v>
      </c>
      <c r="D2185" s="4">
        <v>18</v>
      </c>
      <c r="E2185" s="4">
        <v>5</v>
      </c>
      <c r="F2185" s="4">
        <v>18</v>
      </c>
      <c r="G2185" s="4">
        <v>90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18</v>
      </c>
      <c r="D2186" s="4">
        <v>18</v>
      </c>
      <c r="E2186" s="4">
        <v>0</v>
      </c>
      <c r="F2186" s="4">
        <v>0</v>
      </c>
      <c r="G2186" s="4">
        <v>0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18</v>
      </c>
      <c r="D2187" s="4">
        <v>18</v>
      </c>
      <c r="E2187" s="4">
        <v>300</v>
      </c>
      <c r="F2187" s="4">
        <v>18</v>
      </c>
      <c r="G2187" s="4">
        <v>5400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18</v>
      </c>
      <c r="D2188" s="4">
        <v>18</v>
      </c>
      <c r="E2188" s="4">
        <v>0</v>
      </c>
      <c r="F2188" s="4">
        <v>0</v>
      </c>
      <c r="G2188" s="4">
        <v>0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18</v>
      </c>
      <c r="D2189" s="4">
        <v>18</v>
      </c>
      <c r="E2189" s="4">
        <v>0</v>
      </c>
      <c r="F2189" s="4">
        <v>0</v>
      </c>
      <c r="G2189" s="4">
        <v>0</v>
      </c>
      <c r="H2189" s="5">
        <f t="shared" si="34"/>
        <v>0</v>
      </c>
    </row>
    <row r="2190" spans="1:8" ht="13.5" x14ac:dyDescent="0.25">
      <c r="A2190" s="1"/>
      <c r="B2190" s="3">
        <v>45489</v>
      </c>
      <c r="C2190" s="4">
        <v>17.2</v>
      </c>
      <c r="D2190" s="4">
        <v>17.2</v>
      </c>
      <c r="E2190" s="4">
        <v>623</v>
      </c>
      <c r="F2190" s="4">
        <v>17.2</v>
      </c>
      <c r="G2190" s="4">
        <v>10715.6</v>
      </c>
      <c r="H2190" s="5">
        <f t="shared" si="34"/>
        <v>-4.4444444444444481E-2</v>
      </c>
    </row>
    <row r="2191" spans="1:8" ht="13.5" x14ac:dyDescent="0.25">
      <c r="A2191" s="1"/>
      <c r="B2191" s="3">
        <v>45490</v>
      </c>
      <c r="C2191" s="4">
        <v>17.2</v>
      </c>
      <c r="D2191" s="4">
        <v>17.2</v>
      </c>
      <c r="E2191" s="4">
        <v>0</v>
      </c>
      <c r="F2191" s="4">
        <v>0</v>
      </c>
      <c r="G2191" s="4">
        <v>0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17.2</v>
      </c>
      <c r="D2192" s="4">
        <v>17.2</v>
      </c>
      <c r="E2192" s="4">
        <v>0</v>
      </c>
      <c r="F2192" s="4">
        <v>0</v>
      </c>
      <c r="G2192" s="4">
        <v>0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17.2</v>
      </c>
      <c r="D2193" s="4">
        <v>17.2</v>
      </c>
      <c r="E2193" s="4">
        <v>0</v>
      </c>
      <c r="F2193" s="4">
        <v>0</v>
      </c>
      <c r="G2193" s="4">
        <v>0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17.2</v>
      </c>
      <c r="D2194" s="4">
        <v>17.2</v>
      </c>
      <c r="E2194" s="4">
        <v>0</v>
      </c>
      <c r="F2194" s="4">
        <v>0</v>
      </c>
      <c r="G2194" s="4">
        <v>0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17.2</v>
      </c>
      <c r="D2195" s="4">
        <v>17.2</v>
      </c>
      <c r="E2195" s="4">
        <v>0</v>
      </c>
      <c r="F2195" s="4">
        <v>0</v>
      </c>
      <c r="G2195" s="4">
        <v>0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17.2</v>
      </c>
      <c r="D2196" s="4">
        <v>17.2</v>
      </c>
      <c r="E2196" s="4">
        <v>0</v>
      </c>
      <c r="F2196" s="4">
        <v>0</v>
      </c>
      <c r="G2196" s="4">
        <v>0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17.2</v>
      </c>
      <c r="D2197" s="4">
        <v>17.2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17.2</v>
      </c>
      <c r="D2198" s="4">
        <v>17.2</v>
      </c>
      <c r="E2198" s="4">
        <v>0</v>
      </c>
      <c r="F2198" s="4">
        <v>0</v>
      </c>
      <c r="G2198" s="4">
        <v>0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17.2</v>
      </c>
      <c r="D2199" s="4">
        <v>17.2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17.2</v>
      </c>
      <c r="D2200" s="4">
        <v>17.2</v>
      </c>
      <c r="E2200" s="4">
        <v>0</v>
      </c>
      <c r="F2200" s="4">
        <v>0</v>
      </c>
      <c r="G2200" s="4">
        <v>0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17.2</v>
      </c>
      <c r="D2201" s="4">
        <v>17.2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17.2</v>
      </c>
      <c r="D2202" s="4">
        <v>17.2</v>
      </c>
      <c r="E2202" s="4">
        <v>0</v>
      </c>
      <c r="F2202" s="4">
        <v>0</v>
      </c>
      <c r="G2202" s="4">
        <v>0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17.2</v>
      </c>
      <c r="D2203" s="4">
        <v>17.2</v>
      </c>
      <c r="E2203" s="4">
        <v>0</v>
      </c>
      <c r="F2203" s="4">
        <v>0</v>
      </c>
      <c r="G2203" s="4">
        <v>0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17.2</v>
      </c>
      <c r="D2204" s="4">
        <v>17.2</v>
      </c>
      <c r="E2204" s="4">
        <v>5</v>
      </c>
      <c r="F2204" s="4">
        <v>17.2</v>
      </c>
      <c r="G2204" s="4">
        <v>86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17.2</v>
      </c>
      <c r="D2205" s="4">
        <v>17.2</v>
      </c>
      <c r="E2205" s="4">
        <v>0</v>
      </c>
      <c r="F2205" s="4">
        <v>0</v>
      </c>
      <c r="G2205" s="4">
        <v>0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17.2</v>
      </c>
      <c r="D2206" s="4">
        <v>17.2</v>
      </c>
      <c r="E2206" s="4">
        <v>0</v>
      </c>
      <c r="F2206" s="4">
        <v>0</v>
      </c>
      <c r="G2206" s="4">
        <v>0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17.2</v>
      </c>
      <c r="D2207" s="4">
        <v>17.2</v>
      </c>
      <c r="E2207" s="4">
        <v>0</v>
      </c>
      <c r="F2207" s="4">
        <v>0</v>
      </c>
      <c r="G2207" s="4">
        <v>0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17.2</v>
      </c>
      <c r="D2208" s="4">
        <v>17.2</v>
      </c>
      <c r="E2208" s="4">
        <v>0</v>
      </c>
      <c r="F2208" s="4">
        <v>0</v>
      </c>
      <c r="G2208" s="4">
        <v>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17.2</v>
      </c>
      <c r="D2209" s="4">
        <v>17.2</v>
      </c>
      <c r="E2209" s="4">
        <v>0</v>
      </c>
      <c r="F2209" s="4">
        <v>0</v>
      </c>
      <c r="G2209" s="4">
        <v>0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17.2</v>
      </c>
      <c r="D2210" s="4">
        <v>17.2</v>
      </c>
      <c r="E2210" s="4">
        <v>5</v>
      </c>
      <c r="F2210" s="4">
        <v>17.2</v>
      </c>
      <c r="G2210" s="4">
        <v>86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17</v>
      </c>
      <c r="D2211" s="4">
        <v>17</v>
      </c>
      <c r="E2211" s="4">
        <v>34</v>
      </c>
      <c r="F2211" s="4">
        <v>17</v>
      </c>
      <c r="G2211" s="4">
        <v>578</v>
      </c>
      <c r="H2211" s="5">
        <f t="shared" si="34"/>
        <v>-1.1627906976744146E-2</v>
      </c>
    </row>
    <row r="2212" spans="1:8" ht="13.5" x14ac:dyDescent="0.25">
      <c r="A2212" s="1"/>
      <c r="B2212" s="3">
        <v>45523</v>
      </c>
      <c r="C2212" s="4">
        <v>17</v>
      </c>
      <c r="D2212" s="4">
        <v>17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17</v>
      </c>
      <c r="D2213" s="4">
        <v>17</v>
      </c>
      <c r="E2213" s="4">
        <v>0</v>
      </c>
      <c r="F2213" s="4">
        <v>0</v>
      </c>
      <c r="G2213" s="4">
        <v>0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17</v>
      </c>
      <c r="D2214" s="4">
        <v>17</v>
      </c>
      <c r="E2214" s="4">
        <v>0</v>
      </c>
      <c r="F2214" s="4">
        <v>0</v>
      </c>
      <c r="G2214" s="4">
        <v>0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17</v>
      </c>
      <c r="D2215" s="4">
        <v>17</v>
      </c>
      <c r="E2215" s="4">
        <v>0</v>
      </c>
      <c r="F2215" s="4">
        <v>0</v>
      </c>
      <c r="G2215" s="4">
        <v>0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17</v>
      </c>
      <c r="D2216" s="4">
        <v>17</v>
      </c>
      <c r="E2216" s="4">
        <v>0</v>
      </c>
      <c r="F2216" s="4">
        <v>0</v>
      </c>
      <c r="G2216" s="4">
        <v>0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17</v>
      </c>
      <c r="D2217" s="4">
        <v>17</v>
      </c>
      <c r="E2217" s="4">
        <v>0</v>
      </c>
      <c r="F2217" s="4">
        <v>0</v>
      </c>
      <c r="G2217" s="4">
        <v>0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17.760000000000002</v>
      </c>
      <c r="D2218" s="4">
        <v>17.760000000000002</v>
      </c>
      <c r="E2218" s="4">
        <v>18</v>
      </c>
      <c r="F2218" s="4">
        <v>17.760000000000002</v>
      </c>
      <c r="G2218" s="4">
        <v>319.68</v>
      </c>
      <c r="H2218" s="5">
        <f t="shared" si="34"/>
        <v>4.4705882352941269E-2</v>
      </c>
    </row>
    <row r="2219" spans="1:8" ht="13.5" x14ac:dyDescent="0.25">
      <c r="A2219" s="1"/>
      <c r="B2219" s="3">
        <v>45532</v>
      </c>
      <c r="C2219" s="4">
        <v>17.760000000000002</v>
      </c>
      <c r="D2219" s="4">
        <v>17.760000000000002</v>
      </c>
      <c r="E2219" s="4">
        <v>0</v>
      </c>
      <c r="F2219" s="4">
        <v>0</v>
      </c>
      <c r="G2219" s="4">
        <v>0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17.760000000000002</v>
      </c>
      <c r="D2220" s="4">
        <v>17.760000000000002</v>
      </c>
      <c r="E2220" s="4">
        <v>0</v>
      </c>
      <c r="F2220" s="4">
        <v>0</v>
      </c>
      <c r="G2220" s="4">
        <v>0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17.760000000000002</v>
      </c>
      <c r="D2221" s="4">
        <v>17.760000000000002</v>
      </c>
      <c r="E2221" s="4">
        <v>0</v>
      </c>
      <c r="F2221" s="4">
        <v>0</v>
      </c>
      <c r="G2221" s="4">
        <v>0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17.760000000000002</v>
      </c>
      <c r="D2222" s="4">
        <v>17.760000000000002</v>
      </c>
      <c r="E2222" s="4">
        <v>0</v>
      </c>
      <c r="F2222" s="4">
        <v>0</v>
      </c>
      <c r="G2222" s="4">
        <v>0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17.760000000000002</v>
      </c>
      <c r="D2223" s="4">
        <v>17.760000000000002</v>
      </c>
      <c r="E2223" s="4">
        <v>0</v>
      </c>
      <c r="F2223" s="4">
        <v>0</v>
      </c>
      <c r="G2223" s="4">
        <v>0</v>
      </c>
      <c r="H2223" s="5">
        <f t="shared" si="34"/>
        <v>0</v>
      </c>
    </row>
    <row r="2224" spans="1:8" ht="13.5" x14ac:dyDescent="0.25">
      <c r="A2224" s="1"/>
      <c r="B2224" s="3">
        <v>45539</v>
      </c>
      <c r="C2224" s="4">
        <v>17.760000000000002</v>
      </c>
      <c r="D2224" s="4">
        <v>17.760000000000002</v>
      </c>
      <c r="E2224" s="4">
        <v>0</v>
      </c>
      <c r="F2224" s="4">
        <v>0</v>
      </c>
      <c r="G2224" s="4">
        <v>0</v>
      </c>
      <c r="H2224" s="5">
        <f t="shared" si="34"/>
        <v>0</v>
      </c>
    </row>
    <row r="2225" spans="1:8" ht="13.5" x14ac:dyDescent="0.25">
      <c r="A2225" s="1"/>
      <c r="B2225" s="3">
        <v>45540</v>
      </c>
      <c r="C2225" s="4">
        <v>17.760000000000002</v>
      </c>
      <c r="D2225" s="4">
        <v>17.760000000000002</v>
      </c>
      <c r="E2225" s="4">
        <v>36</v>
      </c>
      <c r="F2225" s="4">
        <v>17.760000000000002</v>
      </c>
      <c r="G2225" s="4">
        <v>639.36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17.8</v>
      </c>
      <c r="D2226" s="4">
        <v>17.8</v>
      </c>
      <c r="E2226" s="4">
        <v>10</v>
      </c>
      <c r="F2226" s="4">
        <v>17.8</v>
      </c>
      <c r="G2226" s="4">
        <v>178</v>
      </c>
      <c r="H2226" s="5">
        <f t="shared" si="34"/>
        <v>2.2522522522522041E-3</v>
      </c>
    </row>
    <row r="2227" spans="1:8" ht="13.5" x14ac:dyDescent="0.25">
      <c r="A2227" s="1"/>
      <c r="B2227" s="3">
        <v>45544</v>
      </c>
      <c r="C2227" s="4">
        <v>17.8</v>
      </c>
      <c r="D2227" s="4">
        <v>17.8</v>
      </c>
      <c r="E2227" s="4">
        <v>0</v>
      </c>
      <c r="F2227" s="4">
        <v>0</v>
      </c>
      <c r="G2227" s="4">
        <v>0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17.8</v>
      </c>
      <c r="D2228" s="4">
        <v>17.8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17.84</v>
      </c>
      <c r="D2229" s="4">
        <v>17.84</v>
      </c>
      <c r="E2229" s="4">
        <v>294</v>
      </c>
      <c r="F2229" s="4">
        <v>17.84</v>
      </c>
      <c r="G2229" s="4">
        <v>5244.96</v>
      </c>
      <c r="H2229" s="5">
        <f t="shared" si="34"/>
        <v>2.2471910112359071E-3</v>
      </c>
    </row>
    <row r="2230" spans="1:8" ht="13.5" x14ac:dyDescent="0.25">
      <c r="A2230" s="1"/>
      <c r="B2230" s="3">
        <v>45547</v>
      </c>
      <c r="C2230" s="4">
        <v>17.84</v>
      </c>
      <c r="D2230" s="4">
        <v>17.84</v>
      </c>
      <c r="E2230" s="4">
        <v>0</v>
      </c>
      <c r="F2230" s="4">
        <v>0</v>
      </c>
      <c r="G2230" s="4">
        <v>0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17.84</v>
      </c>
      <c r="D2231" s="4">
        <v>17.84</v>
      </c>
      <c r="E2231" s="4">
        <v>0</v>
      </c>
      <c r="F2231" s="4">
        <v>0</v>
      </c>
      <c r="G2231" s="4">
        <v>0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17.84</v>
      </c>
      <c r="D2232" s="4">
        <v>17.84</v>
      </c>
      <c r="E2232" s="4">
        <v>0</v>
      </c>
      <c r="F2232" s="4">
        <v>0</v>
      </c>
      <c r="G2232" s="4">
        <v>0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17.84</v>
      </c>
      <c r="D2233" s="4">
        <v>17.84</v>
      </c>
      <c r="E2233" s="4">
        <v>0</v>
      </c>
      <c r="F2233" s="4">
        <v>0</v>
      </c>
      <c r="G2233" s="4">
        <v>0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17.84</v>
      </c>
      <c r="D2234" s="4">
        <v>17.84</v>
      </c>
      <c r="E2234" s="4">
        <v>0</v>
      </c>
      <c r="F2234" s="4">
        <v>0</v>
      </c>
      <c r="G2234" s="4">
        <v>0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17.84</v>
      </c>
      <c r="D2235" s="4">
        <v>17.84</v>
      </c>
      <c r="E2235" s="4">
        <v>0</v>
      </c>
      <c r="F2235" s="4">
        <v>0</v>
      </c>
      <c r="G2235" s="4">
        <v>0</v>
      </c>
      <c r="H2235" s="5">
        <f t="shared" si="34"/>
        <v>0</v>
      </c>
    </row>
    <row r="2236" spans="1:8" ht="13.5" x14ac:dyDescent="0.25">
      <c r="A2236" s="1"/>
      <c r="B2236" s="3">
        <v>45555</v>
      </c>
      <c r="C2236" s="4">
        <v>17.84</v>
      </c>
      <c r="D2236" s="4">
        <v>17.84</v>
      </c>
      <c r="E2236" s="4">
        <v>0</v>
      </c>
      <c r="F2236" s="4">
        <v>0</v>
      </c>
      <c r="G2236" s="4">
        <v>0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17.84</v>
      </c>
      <c r="D2237" s="4">
        <v>17.84</v>
      </c>
      <c r="E2237" s="4">
        <v>0</v>
      </c>
      <c r="F2237" s="4">
        <v>0</v>
      </c>
      <c r="G2237" s="4">
        <v>0</v>
      </c>
      <c r="H2237" s="5">
        <f t="shared" si="34"/>
        <v>0</v>
      </c>
    </row>
    <row r="2238" spans="1:8" ht="13.5" x14ac:dyDescent="0.25">
      <c r="A2238" s="1"/>
      <c r="B2238" s="3">
        <v>45559</v>
      </c>
      <c r="C2238" s="4">
        <v>17.84</v>
      </c>
      <c r="D2238" s="4">
        <v>17.84</v>
      </c>
      <c r="E2238" s="4">
        <v>0</v>
      </c>
      <c r="F2238" s="4">
        <v>0</v>
      </c>
      <c r="G2238" s="4">
        <v>0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17.600000000000001</v>
      </c>
      <c r="D2239" s="4">
        <v>17.600000000000001</v>
      </c>
      <c r="E2239" s="4">
        <v>21</v>
      </c>
      <c r="F2239" s="4">
        <v>17.600000000000001</v>
      </c>
      <c r="G2239" s="4">
        <v>369.6</v>
      </c>
      <c r="H2239" s="5">
        <f t="shared" si="34"/>
        <v>-1.345291479820619E-2</v>
      </c>
    </row>
    <row r="2240" spans="1:8" ht="13.5" x14ac:dyDescent="0.25">
      <c r="A2240" s="1"/>
      <c r="B2240" s="3">
        <v>45561</v>
      </c>
      <c r="C2240" s="4">
        <v>17.600000000000001</v>
      </c>
      <c r="D2240" s="4">
        <v>17.600000000000001</v>
      </c>
      <c r="E2240" s="4">
        <v>0</v>
      </c>
      <c r="F2240" s="4">
        <v>0</v>
      </c>
      <c r="G2240" s="4">
        <v>0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17.600000000000001</v>
      </c>
      <c r="D2241" s="4">
        <v>17.600000000000001</v>
      </c>
      <c r="E2241" s="4">
        <v>0</v>
      </c>
      <c r="F2241" s="4">
        <v>0</v>
      </c>
      <c r="G2241" s="4">
        <v>0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17.600000000000001</v>
      </c>
      <c r="D2242" s="4">
        <v>17.600000000000001</v>
      </c>
      <c r="E2242" s="4">
        <v>0</v>
      </c>
      <c r="F2242" s="4">
        <v>0</v>
      </c>
      <c r="G2242" s="4">
        <v>0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17.600000000000001</v>
      </c>
      <c r="D2243" s="4">
        <v>17.600000000000001</v>
      </c>
      <c r="E2243" s="4">
        <v>0</v>
      </c>
      <c r="F2243" s="4">
        <v>0</v>
      </c>
      <c r="G2243" s="4">
        <v>0</v>
      </c>
      <c r="H2243" s="5">
        <f t="shared" si="34"/>
        <v>0</v>
      </c>
    </row>
    <row r="2244" spans="1:8" ht="13.5" x14ac:dyDescent="0.25">
      <c r="A2244" s="1"/>
      <c r="B2244" s="3">
        <v>45567</v>
      </c>
      <c r="C2244" s="4">
        <v>17.600000000000001</v>
      </c>
      <c r="D2244" s="4">
        <v>17.600000000000001</v>
      </c>
      <c r="E2244" s="4">
        <v>0</v>
      </c>
      <c r="F2244" s="4">
        <v>0</v>
      </c>
      <c r="G2244" s="4">
        <v>0</v>
      </c>
      <c r="H2244" s="5">
        <f t="shared" si="34"/>
        <v>0</v>
      </c>
    </row>
    <row r="2245" spans="1:8" ht="13.5" x14ac:dyDescent="0.25">
      <c r="A2245" s="1"/>
      <c r="B2245" s="3">
        <v>45568</v>
      </c>
      <c r="C2245" s="4">
        <v>16.809999999999999</v>
      </c>
      <c r="D2245" s="4">
        <v>16.809999999999999</v>
      </c>
      <c r="E2245" s="4">
        <v>119</v>
      </c>
      <c r="F2245" s="4">
        <v>16.809999999999999</v>
      </c>
      <c r="G2245" s="4">
        <v>2000.39</v>
      </c>
      <c r="H2245" s="5">
        <f t="shared" si="34"/>
        <v>-4.4886363636363787E-2</v>
      </c>
    </row>
    <row r="2246" spans="1:8" ht="13.5" x14ac:dyDescent="0.25">
      <c r="A2246" s="1"/>
      <c r="B2246" s="3">
        <v>45569</v>
      </c>
      <c r="C2246" s="4">
        <v>16.809999999999999</v>
      </c>
      <c r="D2246" s="4">
        <v>16.809999999999999</v>
      </c>
      <c r="E2246" s="4">
        <v>0</v>
      </c>
      <c r="F2246" s="4">
        <v>0</v>
      </c>
      <c r="G2246" s="4">
        <v>0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16.809999999999999</v>
      </c>
      <c r="D2247" s="4">
        <v>16.809999999999999</v>
      </c>
      <c r="E2247" s="4">
        <v>0</v>
      </c>
      <c r="F2247" s="4">
        <v>0</v>
      </c>
      <c r="G2247" s="4">
        <v>0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17.2</v>
      </c>
      <c r="D2248" s="4">
        <v>17.2</v>
      </c>
      <c r="E2248" s="4">
        <v>100</v>
      </c>
      <c r="F2248" s="4">
        <v>17.2</v>
      </c>
      <c r="G2248" s="4">
        <v>1720</v>
      </c>
      <c r="H2248" s="5">
        <f t="shared" si="35"/>
        <v>2.3200475907198131E-2</v>
      </c>
    </row>
    <row r="2249" spans="1:8" ht="13.5" x14ac:dyDescent="0.25">
      <c r="A2249" s="1"/>
      <c r="B2249" s="3">
        <v>45574</v>
      </c>
      <c r="C2249" s="4">
        <v>17.2</v>
      </c>
      <c r="D2249" s="4">
        <v>17.2</v>
      </c>
      <c r="E2249" s="4">
        <v>100</v>
      </c>
      <c r="F2249" s="4">
        <v>17.2</v>
      </c>
      <c r="G2249" s="4">
        <v>1720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17.2</v>
      </c>
      <c r="D2250" s="4">
        <v>17.2</v>
      </c>
      <c r="E2250" s="4">
        <v>0</v>
      </c>
      <c r="F2250" s="4">
        <v>0</v>
      </c>
      <c r="G2250" s="4">
        <v>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16.43</v>
      </c>
      <c r="D2251" s="4">
        <v>16.43</v>
      </c>
      <c r="E2251" s="4">
        <v>0</v>
      </c>
      <c r="F2251" s="4">
        <v>0</v>
      </c>
      <c r="G2251" s="4">
        <v>0</v>
      </c>
      <c r="H2251" s="5">
        <f t="shared" si="35"/>
        <v>-4.4767441860465093E-2</v>
      </c>
    </row>
    <row r="2252" spans="1:8" ht="13.5" x14ac:dyDescent="0.25">
      <c r="A2252" s="1"/>
      <c r="B2252" s="3">
        <v>45579</v>
      </c>
      <c r="C2252" s="4">
        <v>15.71</v>
      </c>
      <c r="D2252" s="4">
        <v>15.71</v>
      </c>
      <c r="E2252" s="4">
        <v>300</v>
      </c>
      <c r="F2252" s="4">
        <v>15.71</v>
      </c>
      <c r="G2252" s="4">
        <v>4713</v>
      </c>
      <c r="H2252" s="5">
        <f t="shared" si="35"/>
        <v>-4.3822276323797864E-2</v>
      </c>
    </row>
    <row r="2253" spans="1:8" ht="13.5" x14ac:dyDescent="0.25">
      <c r="A2253" s="1"/>
      <c r="B2253" s="3">
        <v>45581</v>
      </c>
      <c r="C2253" s="4">
        <v>16.41</v>
      </c>
      <c r="D2253" s="4">
        <v>16.41</v>
      </c>
      <c r="E2253" s="4">
        <v>0</v>
      </c>
      <c r="F2253" s="4">
        <v>0</v>
      </c>
      <c r="G2253" s="4">
        <v>0</v>
      </c>
      <c r="H2253" s="5">
        <f t="shared" si="35"/>
        <v>4.4557606619987221E-2</v>
      </c>
    </row>
    <row r="2254" spans="1:8" ht="13.5" x14ac:dyDescent="0.25">
      <c r="A2254" s="1"/>
      <c r="B2254" s="3">
        <v>45582</v>
      </c>
      <c r="C2254" s="4">
        <v>17.14</v>
      </c>
      <c r="D2254" s="4">
        <v>17.14</v>
      </c>
      <c r="E2254" s="4">
        <v>0</v>
      </c>
      <c r="F2254" s="4">
        <v>0</v>
      </c>
      <c r="G2254" s="4">
        <v>0</v>
      </c>
      <c r="H2254" s="5">
        <f t="shared" si="35"/>
        <v>4.4485070079220014E-2</v>
      </c>
    </row>
    <row r="2255" spans="1:8" ht="13.5" x14ac:dyDescent="0.25">
      <c r="A2255" s="1"/>
      <c r="B2255" s="3">
        <v>45583</v>
      </c>
      <c r="C2255" s="4">
        <v>17.91</v>
      </c>
      <c r="D2255" s="4">
        <v>17.91</v>
      </c>
      <c r="E2255" s="4">
        <v>0</v>
      </c>
      <c r="F2255" s="4">
        <v>0</v>
      </c>
      <c r="G2255" s="4">
        <v>0</v>
      </c>
      <c r="H2255" s="5">
        <f t="shared" si="35"/>
        <v>4.4924154025670918E-2</v>
      </c>
    </row>
    <row r="2256" spans="1:8" ht="13.5" x14ac:dyDescent="0.25">
      <c r="A2256" s="1"/>
      <c r="B2256" s="3">
        <v>45586</v>
      </c>
      <c r="C2256" s="4">
        <v>17.91</v>
      </c>
      <c r="D2256" s="4">
        <v>17.91</v>
      </c>
      <c r="E2256" s="4">
        <v>0</v>
      </c>
      <c r="F2256" s="4">
        <v>0</v>
      </c>
      <c r="G2256" s="4">
        <v>0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17.91</v>
      </c>
      <c r="D2257" s="4">
        <v>17.91</v>
      </c>
      <c r="E2257" s="4">
        <v>0</v>
      </c>
      <c r="F2257" s="4">
        <v>0</v>
      </c>
      <c r="G2257" s="4">
        <v>0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18</v>
      </c>
      <c r="D2258" s="4">
        <v>18</v>
      </c>
      <c r="E2258" s="4">
        <v>5</v>
      </c>
      <c r="F2258" s="4">
        <v>18</v>
      </c>
      <c r="G2258" s="4">
        <v>90</v>
      </c>
      <c r="H2258" s="5">
        <f t="shared" si="35"/>
        <v>5.0251256281406958E-3</v>
      </c>
    </row>
    <row r="2259" spans="1:8" ht="13.5" x14ac:dyDescent="0.25">
      <c r="A2259" s="1"/>
      <c r="B2259" s="3">
        <v>45589</v>
      </c>
      <c r="C2259" s="4">
        <v>18</v>
      </c>
      <c r="D2259" s="4">
        <v>18</v>
      </c>
      <c r="E2259" s="4">
        <v>0</v>
      </c>
      <c r="F2259" s="4">
        <v>0</v>
      </c>
      <c r="G2259" s="4">
        <v>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18</v>
      </c>
      <c r="D2260" s="4">
        <v>18</v>
      </c>
      <c r="E2260" s="4">
        <v>0</v>
      </c>
      <c r="F2260" s="4">
        <v>0</v>
      </c>
      <c r="G2260" s="4">
        <v>0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18.5</v>
      </c>
      <c r="D2261" s="4">
        <v>18.5</v>
      </c>
      <c r="E2261" s="4">
        <v>18</v>
      </c>
      <c r="F2261" s="4">
        <v>18.5</v>
      </c>
      <c r="G2261" s="4">
        <v>333</v>
      </c>
      <c r="H2261" s="5">
        <f t="shared" si="35"/>
        <v>2.7777777777777776E-2</v>
      </c>
    </row>
    <row r="2262" spans="1:8" ht="13.5" x14ac:dyDescent="0.25">
      <c r="A2262" s="1"/>
      <c r="B2262" s="3">
        <v>45594</v>
      </c>
      <c r="C2262" s="4">
        <v>18.5</v>
      </c>
      <c r="D2262" s="4">
        <v>18.5</v>
      </c>
      <c r="E2262" s="4">
        <v>0</v>
      </c>
      <c r="F2262" s="4">
        <v>0</v>
      </c>
      <c r="G2262" s="4">
        <v>0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18.5</v>
      </c>
      <c r="D2263" s="4">
        <v>18.5</v>
      </c>
      <c r="E2263" s="4">
        <v>0</v>
      </c>
      <c r="F2263" s="4">
        <v>0</v>
      </c>
      <c r="G2263" s="4">
        <v>0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18.600000000000001</v>
      </c>
      <c r="D2264" s="4">
        <v>18.600000000000001</v>
      </c>
      <c r="E2264" s="4">
        <v>17</v>
      </c>
      <c r="F2264" s="4">
        <v>18.600000000000001</v>
      </c>
      <c r="G2264" s="4">
        <v>316.2</v>
      </c>
      <c r="H2264" s="5">
        <f t="shared" si="35"/>
        <v>5.405405405405482E-3</v>
      </c>
    </row>
    <row r="2265" spans="1:8" ht="13.5" x14ac:dyDescent="0.25">
      <c r="A2265" s="1"/>
      <c r="B2265" s="3">
        <v>45597</v>
      </c>
      <c r="C2265" s="4">
        <v>18.600000000000001</v>
      </c>
      <c r="D2265" s="4">
        <v>18.600000000000001</v>
      </c>
      <c r="E2265" s="4">
        <v>0</v>
      </c>
      <c r="F2265" s="4">
        <v>0</v>
      </c>
      <c r="G2265" s="4">
        <v>0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18</v>
      </c>
      <c r="D2266" s="4">
        <v>18</v>
      </c>
      <c r="E2266" s="4">
        <v>15</v>
      </c>
      <c r="F2266" s="4">
        <v>18</v>
      </c>
      <c r="G2266" s="4">
        <v>270</v>
      </c>
      <c r="H2266" s="5">
        <f t="shared" si="35"/>
        <v>-3.2258064516129108E-2</v>
      </c>
    </row>
    <row r="2267" spans="1:8" ht="13.5" x14ac:dyDescent="0.25">
      <c r="A2267" s="1"/>
      <c r="B2267" s="3">
        <v>45601</v>
      </c>
      <c r="C2267" s="4">
        <v>18</v>
      </c>
      <c r="D2267" s="4">
        <v>18</v>
      </c>
      <c r="E2267" s="4">
        <v>0</v>
      </c>
      <c r="F2267" s="4">
        <v>0</v>
      </c>
      <c r="G2267" s="4">
        <v>0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18</v>
      </c>
      <c r="D2268" s="4">
        <v>18</v>
      </c>
      <c r="E2268" s="4">
        <v>0</v>
      </c>
      <c r="F2268" s="4">
        <v>0</v>
      </c>
      <c r="G2268" s="4">
        <v>0</v>
      </c>
      <c r="H2268" s="5">
        <f t="shared" si="35"/>
        <v>0</v>
      </c>
    </row>
    <row r="2269" spans="1:8" ht="13.5" x14ac:dyDescent="0.25">
      <c r="A2269" s="1"/>
      <c r="B2269" s="3">
        <v>45603</v>
      </c>
      <c r="C2269" s="4">
        <v>18</v>
      </c>
      <c r="D2269" s="4">
        <v>18</v>
      </c>
      <c r="E2269" s="4">
        <v>0</v>
      </c>
      <c r="F2269" s="4">
        <v>0</v>
      </c>
      <c r="G2269" s="4">
        <v>0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18</v>
      </c>
      <c r="D2270" s="4">
        <v>18</v>
      </c>
      <c r="E2270" s="4">
        <v>0</v>
      </c>
      <c r="F2270" s="4">
        <v>0</v>
      </c>
      <c r="G2270" s="4">
        <v>0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18</v>
      </c>
      <c r="D2271" s="4">
        <v>18</v>
      </c>
      <c r="E2271" s="4">
        <v>0</v>
      </c>
      <c r="F2271" s="4">
        <v>0</v>
      </c>
      <c r="G2271" s="4">
        <v>0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18</v>
      </c>
      <c r="D2272" s="4">
        <v>18</v>
      </c>
      <c r="E2272" s="4">
        <v>0</v>
      </c>
      <c r="F2272" s="4">
        <v>0</v>
      </c>
      <c r="G2272" s="4">
        <v>0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18</v>
      </c>
      <c r="D2273" s="4">
        <v>18</v>
      </c>
      <c r="E2273" s="4">
        <v>0</v>
      </c>
      <c r="F2273" s="4">
        <v>0</v>
      </c>
      <c r="G2273" s="4">
        <v>0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18</v>
      </c>
      <c r="D2274" s="4">
        <v>18</v>
      </c>
      <c r="E2274" s="4">
        <v>0</v>
      </c>
      <c r="F2274" s="4">
        <v>0</v>
      </c>
      <c r="G2274" s="4">
        <v>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18</v>
      </c>
      <c r="D2275" s="4">
        <v>18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17.600000000000001</v>
      </c>
      <c r="D2276" s="4">
        <v>17.600000000000001</v>
      </c>
      <c r="E2276" s="4">
        <v>6</v>
      </c>
      <c r="F2276" s="4">
        <v>17.600000000000001</v>
      </c>
      <c r="G2276" s="4">
        <v>105.6</v>
      </c>
      <c r="H2276" s="5">
        <f t="shared" si="35"/>
        <v>-2.2222222222222143E-2</v>
      </c>
    </row>
    <row r="2277" spans="1:8" ht="13.5" x14ac:dyDescent="0.25">
      <c r="A2277" s="1"/>
      <c r="B2277" s="3">
        <v>45615</v>
      </c>
      <c r="C2277" s="4">
        <v>17.600000000000001</v>
      </c>
      <c r="D2277" s="4">
        <v>17.600000000000001</v>
      </c>
      <c r="E2277" s="4">
        <v>13</v>
      </c>
      <c r="F2277" s="4">
        <v>17.600000000000001</v>
      </c>
      <c r="G2277" s="4">
        <v>228.8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17.600000000000001</v>
      </c>
      <c r="D2278" s="4">
        <v>17.600000000000001</v>
      </c>
      <c r="E2278" s="4">
        <v>50</v>
      </c>
      <c r="F2278" s="4">
        <v>17.600000000000001</v>
      </c>
      <c r="G2278" s="4">
        <v>880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17.600000000000001</v>
      </c>
      <c r="D2279" s="4">
        <v>17.600000000000001</v>
      </c>
      <c r="E2279" s="4">
        <v>0</v>
      </c>
      <c r="F2279" s="4">
        <v>0</v>
      </c>
      <c r="G2279" s="4">
        <v>0</v>
      </c>
      <c r="H2279" s="5">
        <f t="shared" si="35"/>
        <v>0</v>
      </c>
    </row>
    <row r="2280" spans="1:8" ht="13.5" x14ac:dyDescent="0.25">
      <c r="A2280" s="1"/>
      <c r="B2280" s="3">
        <v>45618</v>
      </c>
      <c r="C2280" s="4">
        <v>17.600000000000001</v>
      </c>
      <c r="D2280" s="4">
        <v>17.600000000000001</v>
      </c>
      <c r="E2280" s="4">
        <v>0</v>
      </c>
      <c r="F2280" s="4">
        <v>0</v>
      </c>
      <c r="G2280" s="4">
        <v>0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17.600000000000001</v>
      </c>
      <c r="D2281" s="4">
        <v>17.600000000000001</v>
      </c>
      <c r="E2281" s="4">
        <v>0</v>
      </c>
      <c r="F2281" s="4">
        <v>0</v>
      </c>
      <c r="G2281" s="4">
        <v>0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17.600000000000001</v>
      </c>
      <c r="D2282" s="4">
        <v>17.600000000000001</v>
      </c>
      <c r="E2282" s="4">
        <v>0</v>
      </c>
      <c r="F2282" s="4">
        <v>0</v>
      </c>
      <c r="G2282" s="4">
        <v>0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17.600000000000001</v>
      </c>
      <c r="D2283" s="4">
        <v>17.600000000000001</v>
      </c>
      <c r="E2283" s="4">
        <v>0</v>
      </c>
      <c r="F2283" s="4">
        <v>0</v>
      </c>
      <c r="G2283" s="4">
        <v>0</v>
      </c>
      <c r="H2283" s="5">
        <f t="shared" si="35"/>
        <v>0</v>
      </c>
    </row>
    <row r="2284" spans="1:8" ht="13.5" x14ac:dyDescent="0.25">
      <c r="A2284" s="1"/>
      <c r="B2284" s="3">
        <v>45624</v>
      </c>
      <c r="C2284" s="4">
        <v>17.600000000000001</v>
      </c>
      <c r="D2284" s="4">
        <v>17.600000000000001</v>
      </c>
      <c r="E2284" s="4">
        <v>0</v>
      </c>
      <c r="F2284" s="4">
        <v>0</v>
      </c>
      <c r="G2284" s="4">
        <v>0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17.600000000000001</v>
      </c>
      <c r="D2285" s="4">
        <v>17.600000000000001</v>
      </c>
      <c r="E2285" s="4">
        <v>0</v>
      </c>
      <c r="F2285" s="4">
        <v>0</v>
      </c>
      <c r="G2285" s="4">
        <v>0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17.600000000000001</v>
      </c>
      <c r="D2286" s="4">
        <v>17.600000000000001</v>
      </c>
      <c r="E2286" s="4">
        <v>0</v>
      </c>
      <c r="F2286" s="4">
        <v>0</v>
      </c>
      <c r="G2286" s="4">
        <v>0</v>
      </c>
      <c r="H2286" s="5">
        <f t="shared" si="35"/>
        <v>0</v>
      </c>
    </row>
    <row r="2287" spans="1:8" ht="13.5" x14ac:dyDescent="0.25">
      <c r="A2287" s="1"/>
      <c r="B2287" s="3">
        <v>45629</v>
      </c>
      <c r="C2287" s="4">
        <v>17.600000000000001</v>
      </c>
      <c r="D2287" s="4">
        <v>17.600000000000001</v>
      </c>
      <c r="E2287" s="4">
        <v>112</v>
      </c>
      <c r="F2287" s="4">
        <v>17.600000000000001</v>
      </c>
      <c r="G2287" s="4">
        <v>1971.2</v>
      </c>
      <c r="H2287" s="5">
        <f t="shared" si="35"/>
        <v>0</v>
      </c>
    </row>
    <row r="2288" spans="1:8" ht="13.5" x14ac:dyDescent="0.25">
      <c r="A2288" s="1"/>
      <c r="B2288" s="3">
        <v>45630</v>
      </c>
      <c r="C2288" s="4">
        <v>17.600000000000001</v>
      </c>
      <c r="D2288" s="4">
        <v>17.600000000000001</v>
      </c>
      <c r="E2288" s="4">
        <v>0</v>
      </c>
      <c r="F2288" s="4">
        <v>0</v>
      </c>
      <c r="G2288" s="4">
        <v>0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17.600000000000001</v>
      </c>
      <c r="D2289" s="4">
        <v>17.600000000000001</v>
      </c>
      <c r="E2289" s="4">
        <v>0</v>
      </c>
      <c r="F2289" s="4">
        <v>0</v>
      </c>
      <c r="G2289" s="4">
        <v>0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17.600000000000001</v>
      </c>
      <c r="D2290" s="4">
        <v>17.600000000000001</v>
      </c>
      <c r="E2290" s="4">
        <v>0</v>
      </c>
      <c r="F2290" s="4">
        <v>0</v>
      </c>
      <c r="G2290" s="4">
        <v>0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17.600000000000001</v>
      </c>
      <c r="D2291" s="4">
        <v>17.600000000000001</v>
      </c>
      <c r="E2291" s="4">
        <v>0</v>
      </c>
      <c r="F2291" s="4">
        <v>0</v>
      </c>
      <c r="G2291" s="4">
        <v>0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17.600000000000001</v>
      </c>
      <c r="D2292" s="4">
        <v>17.600000000000001</v>
      </c>
      <c r="E2292" s="4">
        <v>0</v>
      </c>
      <c r="F2292" s="4">
        <v>0</v>
      </c>
      <c r="G2292" s="4">
        <v>0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17.600000000000001</v>
      </c>
      <c r="D2293" s="4">
        <v>17.600000000000001</v>
      </c>
      <c r="E2293" s="4">
        <v>0</v>
      </c>
      <c r="F2293" s="4">
        <v>0</v>
      </c>
      <c r="G2293" s="4">
        <v>0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17.600000000000001</v>
      </c>
      <c r="D2294" s="4">
        <v>17.600000000000001</v>
      </c>
      <c r="E2294" s="4">
        <v>0</v>
      </c>
      <c r="F2294" s="4">
        <v>0</v>
      </c>
      <c r="G2294" s="4">
        <v>0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17.600000000000001</v>
      </c>
      <c r="D2295" s="4">
        <v>17.600000000000001</v>
      </c>
      <c r="E2295" s="4">
        <v>36</v>
      </c>
      <c r="F2295" s="4">
        <v>17.600000000000001</v>
      </c>
      <c r="G2295" s="4">
        <v>633.6</v>
      </c>
      <c r="H2295" s="5">
        <f t="shared" si="35"/>
        <v>0</v>
      </c>
    </row>
    <row r="2296" spans="1:8" ht="13.5" x14ac:dyDescent="0.25">
      <c r="A2296" s="1"/>
      <c r="B2296" s="3">
        <v>45642</v>
      </c>
      <c r="C2296" s="4">
        <v>17.600000000000001</v>
      </c>
      <c r="D2296" s="4">
        <v>17.600000000000001</v>
      </c>
      <c r="E2296" s="4">
        <v>0</v>
      </c>
      <c r="F2296" s="4">
        <v>0</v>
      </c>
      <c r="G2296" s="4">
        <v>0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17.600000000000001</v>
      </c>
      <c r="D2297" s="4">
        <v>17.600000000000001</v>
      </c>
      <c r="E2297" s="4">
        <v>0</v>
      </c>
      <c r="F2297" s="4">
        <v>0</v>
      </c>
      <c r="G2297" s="4">
        <v>0</v>
      </c>
      <c r="H2297" s="5">
        <f t="shared" si="35"/>
        <v>0</v>
      </c>
    </row>
    <row r="2298" spans="1:8" ht="13.5" x14ac:dyDescent="0.25">
      <c r="A2298" s="1"/>
      <c r="B2298" s="3">
        <v>45645</v>
      </c>
      <c r="C2298" s="4">
        <v>17.600000000000001</v>
      </c>
      <c r="D2298" s="4">
        <v>17.600000000000001</v>
      </c>
      <c r="E2298" s="4">
        <v>0</v>
      </c>
      <c r="F2298" s="4">
        <v>0</v>
      </c>
      <c r="G2298" s="4">
        <v>0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17.600000000000001</v>
      </c>
      <c r="D2299" s="4">
        <v>17.600000000000001</v>
      </c>
      <c r="E2299" s="4">
        <v>0</v>
      </c>
      <c r="F2299" s="4">
        <v>0</v>
      </c>
      <c r="G2299" s="4">
        <v>0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17.600000000000001</v>
      </c>
      <c r="D2300" s="4">
        <v>17.600000000000001</v>
      </c>
      <c r="E2300" s="4">
        <v>36</v>
      </c>
      <c r="F2300" s="4">
        <v>17.600000000000001</v>
      </c>
      <c r="G2300" s="4">
        <v>633.6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17.600000000000001</v>
      </c>
      <c r="D2301" s="4">
        <v>17.600000000000001</v>
      </c>
      <c r="E2301" s="4">
        <v>36</v>
      </c>
      <c r="F2301" s="4">
        <v>17.600000000000001</v>
      </c>
      <c r="G2301" s="4">
        <v>633.6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17.600000000000001</v>
      </c>
      <c r="D2302" s="4">
        <v>17.600000000000001</v>
      </c>
      <c r="E2302" s="4">
        <v>0</v>
      </c>
      <c r="F2302" s="4">
        <v>0</v>
      </c>
      <c r="G2302" s="4">
        <v>0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17.600000000000001</v>
      </c>
      <c r="D2303" s="4">
        <v>17.600000000000001</v>
      </c>
      <c r="E2303" s="4">
        <v>32</v>
      </c>
      <c r="F2303" s="4">
        <v>17.600000000000001</v>
      </c>
      <c r="G2303" s="4">
        <v>563.20000000000005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17.600000000000001</v>
      </c>
      <c r="D2304" s="4">
        <v>17.600000000000001</v>
      </c>
      <c r="E2304" s="4">
        <v>0</v>
      </c>
      <c r="F2304" s="4">
        <v>0</v>
      </c>
      <c r="G2304" s="4">
        <v>0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17.600000000000001</v>
      </c>
      <c r="D2305" s="4">
        <v>17.600000000000001</v>
      </c>
      <c r="E2305" s="4">
        <v>0</v>
      </c>
      <c r="F2305" s="4">
        <v>0</v>
      </c>
      <c r="G2305" s="4">
        <v>0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17.600000000000001</v>
      </c>
      <c r="D2306" s="4">
        <v>17.600000000000001</v>
      </c>
      <c r="E2306" s="4">
        <v>0</v>
      </c>
      <c r="F2306" s="4">
        <v>0</v>
      </c>
      <c r="G2306" s="4">
        <v>0</v>
      </c>
      <c r="H2306" s="5">
        <f t="shared" si="35"/>
        <v>0</v>
      </c>
    </row>
    <row r="2307" spans="1:8" ht="13.5" x14ac:dyDescent="0.25">
      <c r="A2307" s="1"/>
      <c r="B2307" s="3">
        <v>45659</v>
      </c>
      <c r="C2307" s="4">
        <v>17.600000000000001</v>
      </c>
      <c r="D2307" s="4">
        <v>17.600000000000001</v>
      </c>
      <c r="E2307" s="4">
        <v>0</v>
      </c>
      <c r="F2307" s="4">
        <v>0</v>
      </c>
      <c r="G2307" s="4">
        <v>0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17.600000000000001</v>
      </c>
      <c r="D2308" s="4">
        <v>17.600000000000001</v>
      </c>
      <c r="E2308" s="4">
        <v>0</v>
      </c>
      <c r="F2308" s="4">
        <v>0</v>
      </c>
      <c r="G2308" s="4">
        <v>0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17.600000000000001</v>
      </c>
      <c r="D2309" s="4">
        <v>17.600000000000001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18.3</v>
      </c>
      <c r="D2310" s="4">
        <v>18.3</v>
      </c>
      <c r="E2310" s="4">
        <v>294</v>
      </c>
      <c r="F2310" s="4">
        <v>18.3</v>
      </c>
      <c r="G2310" s="4">
        <v>5380.2</v>
      </c>
      <c r="H2310" s="5">
        <f t="shared" si="35"/>
        <v>3.977272727272723E-2</v>
      </c>
    </row>
    <row r="2311" spans="1:8" ht="13.5" x14ac:dyDescent="0.25">
      <c r="A2311" s="1"/>
      <c r="B2311" s="3">
        <v>45665</v>
      </c>
      <c r="C2311" s="4">
        <v>18.3</v>
      </c>
      <c r="D2311" s="4">
        <v>18.3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18.3</v>
      </c>
      <c r="D2312" s="4">
        <v>18.3</v>
      </c>
      <c r="E2312" s="4">
        <v>0</v>
      </c>
      <c r="F2312" s="4">
        <v>0</v>
      </c>
      <c r="G2312" s="4">
        <v>0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18.3</v>
      </c>
      <c r="D2313" s="4">
        <v>18.3</v>
      </c>
      <c r="E2313" s="4">
        <v>0</v>
      </c>
      <c r="F2313" s="4">
        <v>0</v>
      </c>
      <c r="G2313" s="4">
        <v>0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18.3</v>
      </c>
      <c r="D2314" s="4">
        <v>18.3</v>
      </c>
      <c r="E2314" s="4">
        <v>0</v>
      </c>
      <c r="F2314" s="4">
        <v>0</v>
      </c>
      <c r="G2314" s="4">
        <v>0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17.5</v>
      </c>
      <c r="D2315" s="4">
        <v>17.5</v>
      </c>
      <c r="E2315" s="4">
        <v>147</v>
      </c>
      <c r="F2315" s="4">
        <v>17.5</v>
      </c>
      <c r="G2315" s="4">
        <v>2572.5</v>
      </c>
      <c r="H2315" s="5">
        <f t="shared" si="36"/>
        <v>-4.3715846994535554E-2</v>
      </c>
    </row>
    <row r="2316" spans="1:8" ht="13.5" x14ac:dyDescent="0.25">
      <c r="A2316" s="1"/>
      <c r="B2316" s="3">
        <v>45672</v>
      </c>
      <c r="C2316" s="4">
        <v>17.5</v>
      </c>
      <c r="D2316" s="4">
        <v>17.5</v>
      </c>
      <c r="E2316" s="4">
        <v>0</v>
      </c>
      <c r="F2316" s="4">
        <v>0</v>
      </c>
      <c r="G2316" s="4">
        <v>0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17.5</v>
      </c>
      <c r="D2317" s="4">
        <v>17.5</v>
      </c>
      <c r="E2317" s="4">
        <v>0</v>
      </c>
      <c r="F2317" s="4">
        <v>0</v>
      </c>
      <c r="G2317" s="4">
        <v>0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17.5</v>
      </c>
      <c r="D2318" s="4">
        <v>17.5</v>
      </c>
      <c r="E2318" s="4">
        <v>0</v>
      </c>
      <c r="F2318" s="4">
        <v>0</v>
      </c>
      <c r="G2318" s="4">
        <v>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17.5</v>
      </c>
      <c r="D2319" s="4">
        <v>17.5</v>
      </c>
      <c r="E2319" s="4">
        <v>0</v>
      </c>
      <c r="F2319" s="4">
        <v>0</v>
      </c>
      <c r="G2319" s="4">
        <v>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17.5</v>
      </c>
      <c r="D2320" s="4">
        <v>17.5</v>
      </c>
      <c r="E2320" s="4">
        <v>0</v>
      </c>
      <c r="F2320" s="4">
        <v>0</v>
      </c>
      <c r="G2320" s="4">
        <v>0</v>
      </c>
      <c r="H2320" s="5">
        <f t="shared" si="36"/>
        <v>0</v>
      </c>
    </row>
    <row r="2321" spans="1:8" ht="13.5" x14ac:dyDescent="0.25">
      <c r="A2321" s="1"/>
      <c r="B2321" s="3">
        <v>45679</v>
      </c>
      <c r="C2321" s="4">
        <v>17.5</v>
      </c>
      <c r="D2321" s="4">
        <v>17.5</v>
      </c>
      <c r="E2321" s="4">
        <v>0</v>
      </c>
      <c r="F2321" s="4">
        <v>0</v>
      </c>
      <c r="G2321" s="4">
        <v>0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17.5</v>
      </c>
      <c r="D2322" s="4">
        <v>17.5</v>
      </c>
      <c r="E2322" s="4">
        <v>0</v>
      </c>
      <c r="F2322" s="4">
        <v>0</v>
      </c>
      <c r="G2322" s="4">
        <v>0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17.5</v>
      </c>
      <c r="D2323" s="4">
        <v>17.5</v>
      </c>
      <c r="E2323" s="4">
        <v>0</v>
      </c>
      <c r="F2323" s="4">
        <v>0</v>
      </c>
      <c r="G2323" s="4">
        <v>0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17.5</v>
      </c>
      <c r="D2324" s="4">
        <v>17.5</v>
      </c>
      <c r="E2324" s="4">
        <v>0</v>
      </c>
      <c r="F2324" s="4">
        <v>0</v>
      </c>
      <c r="G2324" s="4">
        <v>0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17.5</v>
      </c>
      <c r="D2325" s="4">
        <v>17.5</v>
      </c>
      <c r="E2325" s="4">
        <v>0</v>
      </c>
      <c r="F2325" s="4">
        <v>0</v>
      </c>
      <c r="G2325" s="4">
        <v>0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17.5</v>
      </c>
      <c r="D2326" s="4">
        <v>17.5</v>
      </c>
      <c r="E2326" s="4">
        <v>0</v>
      </c>
      <c r="F2326" s="4">
        <v>0</v>
      </c>
      <c r="G2326" s="4">
        <v>0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17.5</v>
      </c>
      <c r="D2327" s="4">
        <v>17.5</v>
      </c>
      <c r="E2327" s="4">
        <v>0</v>
      </c>
      <c r="F2327" s="4">
        <v>0</v>
      </c>
      <c r="G2327" s="4">
        <v>0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17.5</v>
      </c>
      <c r="D2328" s="4">
        <v>17.5</v>
      </c>
      <c r="E2328" s="4">
        <v>0</v>
      </c>
      <c r="F2328" s="4">
        <v>0</v>
      </c>
      <c r="G2328" s="4">
        <v>0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17.5</v>
      </c>
      <c r="D2329" s="4">
        <v>17.5</v>
      </c>
      <c r="E2329" s="4">
        <v>0</v>
      </c>
      <c r="F2329" s="4">
        <v>0</v>
      </c>
      <c r="G2329" s="4">
        <v>0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17.5</v>
      </c>
      <c r="D2330" s="4">
        <v>17.5</v>
      </c>
      <c r="E2330" s="4">
        <v>0</v>
      </c>
      <c r="F2330" s="4">
        <v>0</v>
      </c>
      <c r="G2330" s="4">
        <v>0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17.5</v>
      </c>
      <c r="D2331" s="4">
        <v>17.5</v>
      </c>
      <c r="E2331" s="4">
        <v>0</v>
      </c>
      <c r="F2331" s="4">
        <v>0</v>
      </c>
      <c r="G2331" s="4">
        <v>0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17.5</v>
      </c>
      <c r="D2332" s="4">
        <v>17.5</v>
      </c>
      <c r="E2332" s="4">
        <v>0</v>
      </c>
      <c r="F2332" s="4">
        <v>0</v>
      </c>
      <c r="G2332" s="4">
        <v>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17.5</v>
      </c>
      <c r="D2333" s="4">
        <v>17.5</v>
      </c>
      <c r="E2333" s="4">
        <v>0</v>
      </c>
      <c r="F2333" s="4">
        <v>0</v>
      </c>
      <c r="G2333" s="4">
        <v>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16.899999999999999</v>
      </c>
      <c r="D2334" s="4">
        <v>16.899999999999999</v>
      </c>
      <c r="E2334" s="4">
        <v>66</v>
      </c>
      <c r="F2334" s="4">
        <v>16.899999999999999</v>
      </c>
      <c r="G2334" s="4">
        <v>1115.4000000000001</v>
      </c>
      <c r="H2334" s="5">
        <f t="shared" si="36"/>
        <v>-3.4285714285714364E-2</v>
      </c>
    </row>
    <row r="2335" spans="1:8" ht="13.5" x14ac:dyDescent="0.25">
      <c r="A2335" s="1"/>
      <c r="B2335" s="3">
        <v>45699</v>
      </c>
      <c r="C2335" s="4">
        <v>16.899999999999999</v>
      </c>
      <c r="D2335" s="4">
        <v>16.899999999999999</v>
      </c>
      <c r="E2335" s="4">
        <v>0</v>
      </c>
      <c r="F2335" s="4">
        <v>0</v>
      </c>
      <c r="G2335" s="4">
        <v>0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16.899999999999999</v>
      </c>
      <c r="D2336" s="4">
        <v>16.899999999999999</v>
      </c>
      <c r="E2336" s="4">
        <v>0</v>
      </c>
      <c r="F2336" s="4">
        <v>0</v>
      </c>
      <c r="G2336" s="4">
        <v>0</v>
      </c>
      <c r="H2336" s="5">
        <f t="shared" si="36"/>
        <v>0</v>
      </c>
    </row>
    <row r="2337" spans="1:8" ht="13.5" x14ac:dyDescent="0.25">
      <c r="A2337" s="1"/>
      <c r="B2337" s="3">
        <v>45701</v>
      </c>
      <c r="C2337" s="4">
        <v>16.899999999999999</v>
      </c>
      <c r="D2337" s="4">
        <v>16.899999999999999</v>
      </c>
      <c r="E2337" s="4">
        <v>0</v>
      </c>
      <c r="F2337" s="4">
        <v>0</v>
      </c>
      <c r="G2337" s="4">
        <v>0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16.14</v>
      </c>
      <c r="D2338" s="4">
        <v>16.14</v>
      </c>
      <c r="E2338" s="4">
        <v>198</v>
      </c>
      <c r="F2338" s="4">
        <v>16.14</v>
      </c>
      <c r="G2338" s="4">
        <v>3195.72</v>
      </c>
      <c r="H2338" s="5">
        <f t="shared" si="36"/>
        <v>-4.497041420118332E-2</v>
      </c>
    </row>
    <row r="2339" spans="1:8" ht="13.5" x14ac:dyDescent="0.25">
      <c r="A2339" s="1"/>
      <c r="B2339" s="3">
        <v>45705</v>
      </c>
      <c r="C2339" s="4">
        <v>15.51</v>
      </c>
      <c r="D2339" s="4">
        <v>15.51</v>
      </c>
      <c r="E2339" s="4">
        <v>137</v>
      </c>
      <c r="F2339" s="4">
        <v>15.51</v>
      </c>
      <c r="G2339" s="4">
        <v>2124.87</v>
      </c>
      <c r="H2339" s="5">
        <f t="shared" si="36"/>
        <v>-3.9033457249070681E-2</v>
      </c>
    </row>
    <row r="2340" spans="1:8" ht="13.5" x14ac:dyDescent="0.25">
      <c r="A2340" s="1"/>
      <c r="B2340" s="3">
        <v>45706</v>
      </c>
      <c r="C2340" s="4">
        <v>16.2</v>
      </c>
      <c r="D2340" s="4">
        <v>16.2</v>
      </c>
      <c r="E2340" s="4">
        <v>0</v>
      </c>
      <c r="F2340" s="4">
        <v>0</v>
      </c>
      <c r="G2340" s="4">
        <v>0</v>
      </c>
      <c r="H2340" s="5">
        <f t="shared" si="36"/>
        <v>4.4487427466150836E-2</v>
      </c>
    </row>
    <row r="2341" spans="1:8" ht="13.5" x14ac:dyDescent="0.25">
      <c r="A2341" s="1"/>
      <c r="B2341" s="3">
        <v>45707</v>
      </c>
      <c r="C2341" s="4">
        <v>16.920000000000002</v>
      </c>
      <c r="D2341" s="4">
        <v>16.920000000000002</v>
      </c>
      <c r="E2341" s="4">
        <v>0</v>
      </c>
      <c r="F2341" s="4">
        <v>0</v>
      </c>
      <c r="G2341" s="4">
        <v>0</v>
      </c>
      <c r="H2341" s="5">
        <f t="shared" si="36"/>
        <v>4.4444444444444599E-2</v>
      </c>
    </row>
    <row r="2342" spans="1:8" ht="13.5" x14ac:dyDescent="0.25">
      <c r="A2342" s="1"/>
      <c r="B2342" s="3">
        <v>45708</v>
      </c>
      <c r="C2342" s="4">
        <v>16.920000000000002</v>
      </c>
      <c r="D2342" s="4">
        <v>16.920000000000002</v>
      </c>
      <c r="E2342" s="4">
        <v>0</v>
      </c>
      <c r="F2342" s="4">
        <v>0</v>
      </c>
      <c r="G2342" s="4">
        <v>0</v>
      </c>
      <c r="H2342" s="5">
        <f t="shared" si="36"/>
        <v>0</v>
      </c>
    </row>
    <row r="2343" spans="1:8" ht="13.5" x14ac:dyDescent="0.25">
      <c r="A2343" s="1"/>
      <c r="B2343" s="3">
        <v>45709</v>
      </c>
      <c r="C2343" s="4">
        <v>16.920000000000002</v>
      </c>
      <c r="D2343" s="4">
        <v>16.920000000000002</v>
      </c>
      <c r="E2343" s="4">
        <v>0</v>
      </c>
      <c r="F2343" s="4">
        <v>0</v>
      </c>
      <c r="G2343" s="4">
        <v>0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16.920000000000002</v>
      </c>
      <c r="D2344" s="4">
        <v>16.920000000000002</v>
      </c>
      <c r="E2344" s="4">
        <v>0</v>
      </c>
      <c r="F2344" s="4">
        <v>0</v>
      </c>
      <c r="G2344" s="4">
        <v>0</v>
      </c>
      <c r="H2344" s="5">
        <f t="shared" si="36"/>
        <v>0</v>
      </c>
    </row>
    <row r="2345" spans="1:8" ht="13.5" x14ac:dyDescent="0.25">
      <c r="A2345" s="1"/>
      <c r="B2345" s="3">
        <v>45713</v>
      </c>
      <c r="C2345" s="4">
        <v>16.920000000000002</v>
      </c>
      <c r="D2345" s="4">
        <v>16.920000000000002</v>
      </c>
      <c r="E2345" s="4">
        <v>0</v>
      </c>
      <c r="F2345" s="4">
        <v>0</v>
      </c>
      <c r="G2345" s="4">
        <v>0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16.920000000000002</v>
      </c>
      <c r="D2346" s="4">
        <v>16.920000000000002</v>
      </c>
      <c r="E2346" s="4">
        <v>0</v>
      </c>
      <c r="F2346" s="4">
        <v>0</v>
      </c>
      <c r="G2346" s="4">
        <v>0</v>
      </c>
      <c r="H2346" s="5">
        <f t="shared" si="36"/>
        <v>0</v>
      </c>
    </row>
    <row r="2347" spans="1:8" ht="13.5" x14ac:dyDescent="0.25">
      <c r="A2347" s="1"/>
      <c r="B2347" s="3">
        <v>45715</v>
      </c>
      <c r="C2347" s="4">
        <v>16.920000000000002</v>
      </c>
      <c r="D2347" s="4">
        <v>16.920000000000002</v>
      </c>
      <c r="E2347" s="4">
        <v>0</v>
      </c>
      <c r="F2347" s="4">
        <v>0</v>
      </c>
      <c r="G2347" s="4">
        <v>0</v>
      </c>
      <c r="H2347" s="5">
        <f t="shared" si="36"/>
        <v>0</v>
      </c>
    </row>
    <row r="2348" spans="1:8" ht="13.5" x14ac:dyDescent="0.25">
      <c r="A2348" s="1"/>
      <c r="B2348" s="3">
        <v>45716</v>
      </c>
      <c r="C2348" s="4">
        <v>16.920000000000002</v>
      </c>
      <c r="D2348" s="4">
        <v>16.920000000000002</v>
      </c>
      <c r="E2348" s="4">
        <v>0</v>
      </c>
      <c r="F2348" s="4">
        <v>0</v>
      </c>
      <c r="G2348" s="4">
        <v>0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16.920000000000002</v>
      </c>
      <c r="D2349" s="4">
        <v>16.920000000000002</v>
      </c>
      <c r="E2349" s="4">
        <v>0</v>
      </c>
      <c r="F2349" s="4">
        <v>0</v>
      </c>
      <c r="G2349" s="4">
        <v>0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16.16</v>
      </c>
      <c r="D2350" s="4">
        <v>16.16</v>
      </c>
      <c r="E2350" s="4">
        <v>90</v>
      </c>
      <c r="F2350" s="4">
        <v>16.16</v>
      </c>
      <c r="G2350" s="4">
        <v>1454.4</v>
      </c>
      <c r="H2350" s="5">
        <f t="shared" si="36"/>
        <v>-4.4917257683215216E-2</v>
      </c>
    </row>
    <row r="2351" spans="1:8" ht="13.5" x14ac:dyDescent="0.25">
      <c r="A2351" s="1"/>
      <c r="B2351" s="3">
        <v>45721</v>
      </c>
      <c r="C2351" s="4">
        <v>15.51</v>
      </c>
      <c r="D2351" s="4">
        <v>15.51</v>
      </c>
      <c r="E2351" s="4">
        <v>10</v>
      </c>
      <c r="F2351" s="4">
        <v>15.51</v>
      </c>
      <c r="G2351" s="4">
        <v>155.1</v>
      </c>
      <c r="H2351" s="5">
        <f t="shared" si="36"/>
        <v>-4.0222772277227745E-2</v>
      </c>
    </row>
    <row r="2352" spans="1:8" ht="13.5" x14ac:dyDescent="0.25">
      <c r="A2352" s="1"/>
      <c r="B2352" s="3">
        <v>45722</v>
      </c>
      <c r="C2352" s="4">
        <v>15.44</v>
      </c>
      <c r="D2352" s="4">
        <v>15.44</v>
      </c>
      <c r="E2352" s="4">
        <v>110</v>
      </c>
      <c r="F2352" s="4">
        <v>15.44</v>
      </c>
      <c r="G2352" s="4">
        <v>1698.4</v>
      </c>
      <c r="H2352" s="5">
        <f t="shared" si="36"/>
        <v>-4.513217279174744E-3</v>
      </c>
    </row>
    <row r="2353" spans="1:8" ht="13.5" x14ac:dyDescent="0.25">
      <c r="A2353" s="1"/>
      <c r="B2353" s="3">
        <v>45723</v>
      </c>
      <c r="C2353" s="4">
        <v>15.44</v>
      </c>
      <c r="D2353" s="4">
        <v>15.44</v>
      </c>
      <c r="E2353" s="4">
        <v>0</v>
      </c>
      <c r="F2353" s="4">
        <v>0</v>
      </c>
      <c r="G2353" s="4">
        <v>0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15.44</v>
      </c>
      <c r="D2354" s="4">
        <v>15.44</v>
      </c>
      <c r="E2354" s="4">
        <v>0</v>
      </c>
      <c r="F2354" s="4">
        <v>0</v>
      </c>
      <c r="G2354" s="4">
        <v>0</v>
      </c>
      <c r="H2354" s="5">
        <f t="shared" si="36"/>
        <v>0</v>
      </c>
    </row>
    <row r="2355" spans="1:8" ht="13.5" x14ac:dyDescent="0.25">
      <c r="A2355" s="1"/>
      <c r="B2355" s="3">
        <v>45727</v>
      </c>
      <c r="C2355" s="4">
        <v>14.75</v>
      </c>
      <c r="D2355" s="4">
        <v>14.75</v>
      </c>
      <c r="E2355" s="4">
        <v>127</v>
      </c>
      <c r="F2355" s="4">
        <v>14.75</v>
      </c>
      <c r="G2355" s="4">
        <v>1873.25</v>
      </c>
      <c r="H2355" s="5">
        <f t="shared" si="36"/>
        <v>-4.4689119170984427E-2</v>
      </c>
    </row>
    <row r="2356" spans="1:8" ht="13.5" x14ac:dyDescent="0.25">
      <c r="A2356" s="1"/>
      <c r="B2356" s="3">
        <v>45728</v>
      </c>
      <c r="C2356" s="4">
        <v>14.75</v>
      </c>
      <c r="D2356" s="4">
        <v>14.75</v>
      </c>
      <c r="E2356" s="4">
        <v>0</v>
      </c>
      <c r="F2356" s="4">
        <v>0</v>
      </c>
      <c r="G2356" s="4">
        <v>0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14.75</v>
      </c>
      <c r="D2357" s="4">
        <v>14.75</v>
      </c>
      <c r="E2357" s="4">
        <v>0</v>
      </c>
      <c r="F2357" s="4">
        <v>0</v>
      </c>
      <c r="G2357" s="4">
        <v>0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14.76</v>
      </c>
      <c r="D2358" s="4">
        <v>14.76</v>
      </c>
      <c r="E2358" s="4">
        <v>13</v>
      </c>
      <c r="F2358" s="4">
        <v>14.76</v>
      </c>
      <c r="G2358" s="4">
        <v>191.88</v>
      </c>
      <c r="H2358" s="5">
        <f t="shared" si="36"/>
        <v>6.7796610169490077E-4</v>
      </c>
    </row>
    <row r="2359" spans="1:8" ht="13.5" x14ac:dyDescent="0.25">
      <c r="A2359" s="1"/>
      <c r="B2359" s="3">
        <v>45733</v>
      </c>
      <c r="C2359" s="4">
        <v>14.76</v>
      </c>
      <c r="D2359" s="4">
        <v>14.76</v>
      </c>
      <c r="E2359" s="4">
        <v>37</v>
      </c>
      <c r="F2359" s="4">
        <v>14.76</v>
      </c>
      <c r="G2359" s="4">
        <v>546.12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14.76</v>
      </c>
      <c r="D2360" s="4">
        <v>14.76</v>
      </c>
      <c r="E2360" s="4">
        <v>0</v>
      </c>
      <c r="F2360" s="4">
        <v>0</v>
      </c>
      <c r="G2360" s="4">
        <v>0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14.76</v>
      </c>
      <c r="D2361" s="4">
        <v>14.76</v>
      </c>
      <c r="E2361" s="4">
        <v>0</v>
      </c>
      <c r="F2361" s="4">
        <v>0</v>
      </c>
      <c r="G2361" s="4">
        <v>0</v>
      </c>
      <c r="H2361" s="5">
        <f t="shared" si="36"/>
        <v>0</v>
      </c>
    </row>
    <row r="2362" spans="1:8" ht="13.5" x14ac:dyDescent="0.25">
      <c r="A2362" s="1"/>
      <c r="B2362" s="3">
        <v>45737</v>
      </c>
      <c r="C2362" s="4">
        <v>14.76</v>
      </c>
      <c r="D2362" s="4">
        <v>14.76</v>
      </c>
      <c r="E2362" s="4">
        <v>0</v>
      </c>
      <c r="F2362" s="4">
        <v>0</v>
      </c>
      <c r="G2362" s="4">
        <v>0</v>
      </c>
      <c r="H2362" s="5">
        <f t="shared" si="36"/>
        <v>0</v>
      </c>
    </row>
    <row r="2363" spans="1:8" ht="13.5" x14ac:dyDescent="0.25">
      <c r="A2363" s="1"/>
      <c r="B2363" s="3">
        <v>45740</v>
      </c>
      <c r="C2363" s="4">
        <v>14.76</v>
      </c>
      <c r="D2363" s="4">
        <v>14.76</v>
      </c>
      <c r="E2363" s="4">
        <v>0</v>
      </c>
      <c r="F2363" s="4">
        <v>0</v>
      </c>
      <c r="G2363" s="4">
        <v>0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14.12</v>
      </c>
      <c r="D2364" s="4">
        <v>14.12</v>
      </c>
      <c r="E2364" s="4">
        <v>62</v>
      </c>
      <c r="F2364" s="4">
        <v>14.12</v>
      </c>
      <c r="G2364" s="4">
        <v>875.44</v>
      </c>
      <c r="H2364" s="5">
        <f t="shared" si="36"/>
        <v>-4.3360433604336085E-2</v>
      </c>
    </row>
    <row r="2365" spans="1:8" ht="13.5" x14ac:dyDescent="0.25">
      <c r="A2365" s="1"/>
      <c r="B2365" s="3">
        <v>45742</v>
      </c>
      <c r="C2365" s="4">
        <v>14.12</v>
      </c>
      <c r="D2365" s="4">
        <v>14.12</v>
      </c>
      <c r="E2365" s="4">
        <v>26</v>
      </c>
      <c r="F2365" s="4">
        <v>14.12</v>
      </c>
      <c r="G2365" s="4">
        <v>367.12</v>
      </c>
      <c r="H2365" s="5">
        <f t="shared" si="36"/>
        <v>0</v>
      </c>
    </row>
    <row r="2366" spans="1:8" ht="13.5" x14ac:dyDescent="0.25">
      <c r="A2366" s="1"/>
      <c r="B2366" s="3">
        <v>45743</v>
      </c>
      <c r="C2366" s="4">
        <v>14.12</v>
      </c>
      <c r="D2366" s="4">
        <v>14.12</v>
      </c>
      <c r="E2366" s="4">
        <v>0</v>
      </c>
      <c r="F2366" s="4">
        <v>0</v>
      </c>
      <c r="G2366" s="4">
        <v>0</v>
      </c>
      <c r="H2366" s="5">
        <f t="shared" si="36"/>
        <v>0</v>
      </c>
    </row>
    <row r="2367" spans="1:8" ht="13.5" x14ac:dyDescent="0.25">
      <c r="A2367" s="1"/>
      <c r="B2367" s="3">
        <v>45744</v>
      </c>
      <c r="C2367" s="4">
        <v>14.12</v>
      </c>
      <c r="D2367" s="4">
        <v>14.12</v>
      </c>
      <c r="E2367" s="4">
        <v>0</v>
      </c>
      <c r="F2367" s="4">
        <v>0</v>
      </c>
      <c r="G2367" s="4">
        <v>0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14.12</v>
      </c>
      <c r="D2368" s="4">
        <v>14.12</v>
      </c>
      <c r="E2368" s="4">
        <v>0</v>
      </c>
      <c r="F2368" s="4">
        <v>0</v>
      </c>
      <c r="G2368" s="4">
        <v>0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14.12</v>
      </c>
      <c r="D2369" s="4">
        <v>14.12</v>
      </c>
      <c r="E2369" s="4">
        <v>0</v>
      </c>
      <c r="F2369" s="4">
        <v>0</v>
      </c>
      <c r="G2369" s="4">
        <v>0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14.12</v>
      </c>
      <c r="D2370" s="4">
        <v>14.12</v>
      </c>
      <c r="E2370" s="4">
        <v>0</v>
      </c>
      <c r="F2370" s="4">
        <v>0</v>
      </c>
      <c r="G2370" s="4">
        <v>0</v>
      </c>
      <c r="H2370" s="5">
        <f t="shared" si="36"/>
        <v>0</v>
      </c>
    </row>
    <row r="2371" spans="1:8" ht="13.5" x14ac:dyDescent="0.25">
      <c r="A2371" s="1"/>
      <c r="B2371" s="3">
        <v>45754</v>
      </c>
      <c r="C2371" s="4">
        <v>14.12</v>
      </c>
      <c r="D2371" s="4">
        <v>14.12</v>
      </c>
      <c r="E2371" s="4">
        <v>0</v>
      </c>
      <c r="F2371" s="4">
        <v>0</v>
      </c>
      <c r="G2371" s="4">
        <v>0</v>
      </c>
      <c r="H2371" s="5">
        <f t="shared" si="36"/>
        <v>0</v>
      </c>
    </row>
    <row r="2372" spans="1:8" ht="13.5" x14ac:dyDescent="0.25">
      <c r="A2372" s="1"/>
      <c r="B2372" s="3">
        <v>45755</v>
      </c>
      <c r="C2372" s="4">
        <v>13.5</v>
      </c>
      <c r="D2372" s="4">
        <v>13.5</v>
      </c>
      <c r="E2372" s="4">
        <v>70</v>
      </c>
      <c r="F2372" s="4">
        <v>13.5</v>
      </c>
      <c r="G2372" s="4">
        <v>945</v>
      </c>
      <c r="H2372" s="5">
        <f t="shared" si="36"/>
        <v>-4.3909348441926295E-2</v>
      </c>
    </row>
    <row r="2373" spans="1:8" ht="13.5" x14ac:dyDescent="0.25">
      <c r="A2373" s="1"/>
      <c r="B2373" s="3">
        <v>45757</v>
      </c>
      <c r="C2373" s="4">
        <v>13.5</v>
      </c>
      <c r="D2373" s="4">
        <v>13.5</v>
      </c>
      <c r="E2373" s="4">
        <v>0</v>
      </c>
      <c r="F2373" s="4">
        <v>0</v>
      </c>
      <c r="G2373" s="4">
        <v>0</v>
      </c>
      <c r="H2373" s="5">
        <f t="shared" si="36"/>
        <v>0</v>
      </c>
    </row>
    <row r="2374" spans="1:8" ht="13.5" x14ac:dyDescent="0.25">
      <c r="A2374" s="1"/>
      <c r="B2374" s="3">
        <v>45758</v>
      </c>
      <c r="C2374" s="4">
        <v>13.5</v>
      </c>
      <c r="D2374" s="4">
        <v>13.5</v>
      </c>
      <c r="E2374" s="4">
        <v>0</v>
      </c>
      <c r="F2374" s="4">
        <v>0</v>
      </c>
      <c r="G2374" s="4">
        <v>0</v>
      </c>
      <c r="H2374" s="5">
        <f t="shared" si="36"/>
        <v>0</v>
      </c>
    </row>
    <row r="2375" spans="1:8" ht="13.5" x14ac:dyDescent="0.25">
      <c r="A2375" s="1"/>
      <c r="B2375" s="3">
        <v>45761</v>
      </c>
      <c r="C2375" s="4">
        <v>13.5</v>
      </c>
      <c r="D2375" s="4">
        <v>13.5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13.5</v>
      </c>
      <c r="D2376" s="4">
        <v>13.5</v>
      </c>
      <c r="E2376" s="4">
        <v>0</v>
      </c>
      <c r="F2376" s="4">
        <v>0</v>
      </c>
      <c r="G2376" s="4">
        <v>0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13.5</v>
      </c>
      <c r="D2377" s="4">
        <v>13.5</v>
      </c>
      <c r="E2377" s="4">
        <v>0</v>
      </c>
      <c r="F2377" s="4">
        <v>0</v>
      </c>
      <c r="G2377" s="4">
        <v>0</v>
      </c>
      <c r="H2377" s="5">
        <f t="shared" si="37"/>
        <v>0</v>
      </c>
    </row>
    <row r="2378" spans="1:8" ht="13.5" x14ac:dyDescent="0.25">
      <c r="A2378" s="1"/>
      <c r="B2378" s="3">
        <v>45764</v>
      </c>
      <c r="C2378" s="4">
        <v>13.5</v>
      </c>
      <c r="D2378" s="4">
        <v>13.5</v>
      </c>
      <c r="E2378" s="4">
        <v>0</v>
      </c>
      <c r="F2378" s="4">
        <v>0</v>
      </c>
      <c r="G2378" s="4">
        <v>0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13.5</v>
      </c>
      <c r="D2379" s="4">
        <v>13.5</v>
      </c>
      <c r="E2379" s="4">
        <v>0</v>
      </c>
      <c r="F2379" s="4">
        <v>0</v>
      </c>
      <c r="G2379" s="4">
        <v>0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13.5</v>
      </c>
      <c r="D2380" s="4">
        <v>13.5</v>
      </c>
      <c r="E2380" s="4">
        <v>0</v>
      </c>
      <c r="F2380" s="4">
        <v>0</v>
      </c>
      <c r="G2380" s="4">
        <v>0</v>
      </c>
      <c r="H2380" s="5">
        <f t="shared" si="37"/>
        <v>0</v>
      </c>
    </row>
    <row r="2381" spans="1:8" ht="13.5" x14ac:dyDescent="0.25">
      <c r="A2381" s="1"/>
      <c r="B2381" s="3">
        <v>45769</v>
      </c>
      <c r="C2381" s="4">
        <v>13.5</v>
      </c>
      <c r="D2381" s="4">
        <v>13.5</v>
      </c>
      <c r="E2381" s="4">
        <v>0</v>
      </c>
      <c r="F2381" s="4">
        <v>0</v>
      </c>
      <c r="G2381" s="4">
        <v>0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13.5</v>
      </c>
      <c r="D2382" s="4">
        <v>13.5</v>
      </c>
      <c r="E2382" s="4">
        <v>0</v>
      </c>
      <c r="F2382" s="4">
        <v>0</v>
      </c>
      <c r="G2382" s="4">
        <v>0</v>
      </c>
      <c r="H2382" s="5">
        <f t="shared" si="37"/>
        <v>0</v>
      </c>
    </row>
    <row r="2383" spans="1:8" ht="13.5" x14ac:dyDescent="0.25">
      <c r="A2383" s="1"/>
      <c r="B2383" s="3">
        <v>45771</v>
      </c>
      <c r="C2383" s="4">
        <v>13.5</v>
      </c>
      <c r="D2383" s="4">
        <v>13.5</v>
      </c>
      <c r="E2383" s="4">
        <v>0</v>
      </c>
      <c r="F2383" s="4">
        <v>0</v>
      </c>
      <c r="G2383" s="4">
        <v>0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13.5</v>
      </c>
      <c r="D2384" s="4">
        <v>13.5</v>
      </c>
      <c r="E2384" s="4">
        <v>0</v>
      </c>
      <c r="F2384" s="4">
        <v>0</v>
      </c>
      <c r="G2384" s="4">
        <v>0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13.5</v>
      </c>
      <c r="D2385" s="4">
        <v>13.5</v>
      </c>
      <c r="E2385" s="4">
        <v>0</v>
      </c>
      <c r="F2385" s="4">
        <v>0</v>
      </c>
      <c r="G2385" s="4">
        <v>0</v>
      </c>
      <c r="H2385" s="5">
        <f t="shared" si="37"/>
        <v>0</v>
      </c>
    </row>
    <row r="2386" spans="1:8" ht="13.5" x14ac:dyDescent="0.25">
      <c r="A2386" s="1"/>
      <c r="B2386" s="3">
        <v>45776</v>
      </c>
      <c r="C2386" s="4">
        <v>13.5</v>
      </c>
      <c r="D2386" s="4">
        <v>13.5</v>
      </c>
      <c r="E2386" s="4">
        <v>0</v>
      </c>
      <c r="F2386" s="4">
        <v>0</v>
      </c>
      <c r="G2386" s="4">
        <v>0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13.5</v>
      </c>
      <c r="D2387" s="4">
        <v>13.5</v>
      </c>
      <c r="E2387" s="4">
        <v>0</v>
      </c>
      <c r="F2387" s="4">
        <v>0</v>
      </c>
      <c r="G2387" s="4">
        <v>0</v>
      </c>
      <c r="H2387" s="5">
        <f t="shared" si="37"/>
        <v>0</v>
      </c>
    </row>
    <row r="2388" spans="1:8" ht="13.5" x14ac:dyDescent="0.25">
      <c r="A2388" s="1"/>
      <c r="B2388" s="3">
        <v>45779</v>
      </c>
      <c r="C2388" s="4">
        <v>13.5</v>
      </c>
      <c r="D2388" s="4">
        <v>13.5</v>
      </c>
      <c r="E2388" s="4">
        <v>105</v>
      </c>
      <c r="F2388" s="4">
        <v>13.5</v>
      </c>
      <c r="G2388" s="4">
        <v>1417.5</v>
      </c>
      <c r="H2388" s="5">
        <f t="shared" si="37"/>
        <v>0</v>
      </c>
    </row>
    <row r="2389" spans="1:8" ht="13.5" x14ac:dyDescent="0.25">
      <c r="A2389" s="1"/>
      <c r="B2389" s="3">
        <v>45782</v>
      </c>
      <c r="C2389" s="4">
        <v>13.5</v>
      </c>
      <c r="D2389" s="4">
        <v>13.5</v>
      </c>
      <c r="E2389" s="4">
        <v>82</v>
      </c>
      <c r="F2389" s="4">
        <v>13.5</v>
      </c>
      <c r="G2389" s="4">
        <v>1107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13.5</v>
      </c>
      <c r="D2390" s="4">
        <v>13.5</v>
      </c>
      <c r="E2390" s="4">
        <v>0</v>
      </c>
      <c r="F2390" s="4">
        <v>0</v>
      </c>
      <c r="G2390" s="4">
        <v>0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13.5</v>
      </c>
      <c r="D2391" s="4">
        <v>13.5</v>
      </c>
      <c r="E2391" s="4">
        <v>0</v>
      </c>
      <c r="F2391" s="4">
        <v>0</v>
      </c>
      <c r="G2391" s="4">
        <v>0</v>
      </c>
      <c r="H2391" s="5">
        <f t="shared" si="37"/>
        <v>0</v>
      </c>
    </row>
    <row r="2392" spans="1:8" ht="13.5" x14ac:dyDescent="0.25">
      <c r="A2392" s="1"/>
      <c r="B2392" s="3">
        <v>45785</v>
      </c>
      <c r="C2392" s="4">
        <v>13.5</v>
      </c>
      <c r="D2392" s="4">
        <v>13.5</v>
      </c>
      <c r="E2392" s="4">
        <v>0</v>
      </c>
      <c r="F2392" s="4">
        <v>0</v>
      </c>
      <c r="G2392" s="4">
        <v>0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13.5</v>
      </c>
      <c r="D2393" s="4">
        <v>13.5</v>
      </c>
      <c r="E2393" s="4">
        <v>0</v>
      </c>
      <c r="F2393" s="4">
        <v>0</v>
      </c>
      <c r="G2393" s="4">
        <v>0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13.5</v>
      </c>
      <c r="D2394" s="4">
        <v>13.5</v>
      </c>
      <c r="E2394" s="4">
        <v>54</v>
      </c>
      <c r="F2394" s="4">
        <v>13.5</v>
      </c>
      <c r="G2394" s="4">
        <v>729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13.5</v>
      </c>
      <c r="D2395" s="4">
        <v>13.5</v>
      </c>
      <c r="E2395" s="4">
        <v>0</v>
      </c>
      <c r="F2395" s="4">
        <v>0</v>
      </c>
      <c r="G2395" s="4">
        <v>0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13.5</v>
      </c>
      <c r="D2396" s="4">
        <v>13.5</v>
      </c>
      <c r="E2396" s="4">
        <v>0</v>
      </c>
      <c r="F2396" s="4">
        <v>0</v>
      </c>
      <c r="G2396" s="4">
        <v>0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13.51</v>
      </c>
      <c r="D2397" s="4">
        <v>13.51</v>
      </c>
      <c r="E2397" s="4">
        <v>249</v>
      </c>
      <c r="F2397" s="4">
        <v>13.51</v>
      </c>
      <c r="G2397" s="4">
        <v>3363.99</v>
      </c>
      <c r="H2397" s="5">
        <f t="shared" si="37"/>
        <v>7.4074074074072498E-4</v>
      </c>
    </row>
    <row r="2398" spans="1:8" ht="13.5" x14ac:dyDescent="0.25">
      <c r="A2398" s="1"/>
      <c r="B2398" s="3">
        <v>45793</v>
      </c>
      <c r="C2398" s="4">
        <v>13.51</v>
      </c>
      <c r="D2398" s="4">
        <v>13.51</v>
      </c>
      <c r="E2398" s="4">
        <v>0</v>
      </c>
      <c r="F2398" s="4">
        <v>0</v>
      </c>
      <c r="G2398" s="4">
        <v>0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13.51</v>
      </c>
      <c r="D2399" s="4">
        <v>13.51</v>
      </c>
      <c r="E2399" s="4">
        <v>0</v>
      </c>
      <c r="F2399" s="4">
        <v>0</v>
      </c>
      <c r="G2399" s="4">
        <v>0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13.51</v>
      </c>
      <c r="D2400" s="4">
        <v>13.51</v>
      </c>
      <c r="E2400" s="4">
        <v>0</v>
      </c>
      <c r="F2400" s="4">
        <v>0</v>
      </c>
      <c r="G2400" s="4">
        <v>0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13.51</v>
      </c>
      <c r="D2401" s="4">
        <v>13.51</v>
      </c>
      <c r="E2401" s="4">
        <v>0</v>
      </c>
      <c r="F2401" s="4">
        <v>0</v>
      </c>
      <c r="G2401" s="4">
        <v>0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13.51</v>
      </c>
      <c r="D2402" s="4">
        <v>13.51</v>
      </c>
      <c r="E2402" s="4">
        <v>0</v>
      </c>
      <c r="F2402" s="4">
        <v>0</v>
      </c>
      <c r="G2402" s="4">
        <v>0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13.51</v>
      </c>
      <c r="D2403" s="4">
        <v>13.51</v>
      </c>
      <c r="E2403" s="4">
        <v>0</v>
      </c>
      <c r="F2403" s="4">
        <v>0</v>
      </c>
      <c r="G2403" s="4">
        <v>0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13.5</v>
      </c>
      <c r="D2404" s="4">
        <v>13.5</v>
      </c>
      <c r="E2404" s="4">
        <v>255</v>
      </c>
      <c r="F2404" s="4">
        <v>13.5</v>
      </c>
      <c r="G2404" s="4">
        <v>3442.5</v>
      </c>
      <c r="H2404" s="5">
        <f t="shared" si="37"/>
        <v>-7.4019245003699387E-4</v>
      </c>
    </row>
    <row r="2405" spans="1:8" ht="13.5" x14ac:dyDescent="0.25">
      <c r="A2405" s="1"/>
      <c r="B2405" s="3">
        <v>45804</v>
      </c>
      <c r="C2405" s="4">
        <v>13.5</v>
      </c>
      <c r="D2405" s="4">
        <v>13.5</v>
      </c>
      <c r="E2405" s="4">
        <v>27</v>
      </c>
      <c r="F2405" s="4">
        <v>13.5</v>
      </c>
      <c r="G2405" s="4">
        <v>364.5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13.5</v>
      </c>
      <c r="D2406" s="4">
        <v>13.5</v>
      </c>
      <c r="E2406" s="4">
        <v>0</v>
      </c>
      <c r="F2406" s="4">
        <v>0</v>
      </c>
      <c r="G2406" s="4">
        <v>0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13.5</v>
      </c>
      <c r="D2407" s="4">
        <v>13.5</v>
      </c>
      <c r="E2407" s="4">
        <v>200</v>
      </c>
      <c r="F2407" s="4">
        <v>13.5</v>
      </c>
      <c r="G2407" s="4">
        <v>2700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13.5</v>
      </c>
      <c r="D2408" s="4">
        <v>13.5</v>
      </c>
      <c r="E2408" s="4">
        <v>49</v>
      </c>
      <c r="F2408" s="4">
        <v>13.5</v>
      </c>
      <c r="G2408" s="4">
        <v>661.5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13.5</v>
      </c>
      <c r="D2409" s="4">
        <v>13.5</v>
      </c>
      <c r="E2409" s="4">
        <v>0</v>
      </c>
      <c r="F2409" s="4">
        <v>0</v>
      </c>
      <c r="G2409" s="4">
        <v>0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13.5</v>
      </c>
      <c r="D2410" s="4">
        <v>13.5</v>
      </c>
      <c r="E2410" s="4">
        <v>9</v>
      </c>
      <c r="F2410" s="4">
        <v>13.5</v>
      </c>
      <c r="G2410" s="4">
        <v>121.5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13.5</v>
      </c>
      <c r="D2411" s="4">
        <v>13.5</v>
      </c>
      <c r="E2411" s="4">
        <v>0</v>
      </c>
      <c r="F2411" s="4">
        <v>0</v>
      </c>
      <c r="G2411" s="4">
        <v>0</v>
      </c>
      <c r="H2411" s="5">
        <f t="shared" si="37"/>
        <v>0</v>
      </c>
    </row>
    <row r="2412" spans="1:8" ht="13.5" x14ac:dyDescent="0.25">
      <c r="A2412" s="1"/>
      <c r="B2412" s="3">
        <v>45813</v>
      </c>
      <c r="C2412" s="4">
        <v>13.5</v>
      </c>
      <c r="D2412" s="4">
        <v>13.5</v>
      </c>
      <c r="E2412" s="4">
        <v>100</v>
      </c>
      <c r="F2412" s="4">
        <v>13.5</v>
      </c>
      <c r="G2412" s="4">
        <v>1350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13.5</v>
      </c>
      <c r="D2413" s="4">
        <v>13.5</v>
      </c>
      <c r="E2413" s="4">
        <v>0</v>
      </c>
      <c r="F2413" s="4">
        <v>0</v>
      </c>
      <c r="G2413" s="4">
        <v>0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13.5</v>
      </c>
      <c r="D2414" s="4">
        <v>13.5</v>
      </c>
      <c r="E2414" s="4">
        <v>81</v>
      </c>
      <c r="F2414" s="4">
        <v>13.5</v>
      </c>
      <c r="G2414" s="4">
        <v>1093.5</v>
      </c>
      <c r="H2414" s="5">
        <f t="shared" si="37"/>
        <v>0</v>
      </c>
    </row>
    <row r="2415" spans="1:8" ht="13.5" x14ac:dyDescent="0.25">
      <c r="A2415" s="1"/>
      <c r="B2415" s="3">
        <v>45819</v>
      </c>
      <c r="C2415" s="4">
        <v>12.9</v>
      </c>
      <c r="D2415" s="4">
        <v>12.9</v>
      </c>
      <c r="E2415" s="4">
        <v>147</v>
      </c>
      <c r="F2415" s="4">
        <v>12.9</v>
      </c>
      <c r="G2415" s="4">
        <v>1896.3</v>
      </c>
      <c r="H2415" s="5">
        <f t="shared" si="37"/>
        <v>-4.4444444444444418E-2</v>
      </c>
    </row>
    <row r="2416" spans="1:8" ht="13.5" x14ac:dyDescent="0.25">
      <c r="A2416" s="1"/>
      <c r="B2416" s="3">
        <v>45820</v>
      </c>
      <c r="C2416" s="4">
        <v>12.9</v>
      </c>
      <c r="D2416" s="4">
        <v>12.9</v>
      </c>
      <c r="E2416" s="4">
        <v>0</v>
      </c>
      <c r="F2416" s="4">
        <v>0</v>
      </c>
      <c r="G2416" s="4">
        <v>0</v>
      </c>
      <c r="H2416" s="5">
        <f t="shared" si="37"/>
        <v>0</v>
      </c>
    </row>
    <row r="2417" spans="1:8" ht="13.5" x14ac:dyDescent="0.25">
      <c r="A2417" s="1"/>
      <c r="B2417" s="3">
        <v>45821</v>
      </c>
      <c r="C2417" s="4">
        <v>12.9</v>
      </c>
      <c r="D2417" s="4">
        <v>12.9</v>
      </c>
      <c r="E2417" s="4">
        <v>0</v>
      </c>
      <c r="F2417" s="4">
        <v>0</v>
      </c>
      <c r="G2417" s="4">
        <v>0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12.9</v>
      </c>
      <c r="D2418" s="4">
        <v>12.9</v>
      </c>
      <c r="E2418" s="4">
        <v>0</v>
      </c>
      <c r="F2418" s="4">
        <v>0</v>
      </c>
      <c r="G2418" s="4">
        <v>0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13.48</v>
      </c>
      <c r="D2419" s="4">
        <v>13.48</v>
      </c>
      <c r="E2419" s="4">
        <v>0</v>
      </c>
      <c r="F2419" s="4">
        <v>0</v>
      </c>
      <c r="G2419" s="4">
        <v>0</v>
      </c>
      <c r="H2419" s="5">
        <f t="shared" si="37"/>
        <v>4.4961240310077526E-2</v>
      </c>
    </row>
    <row r="2420" spans="1:8" ht="13.5" x14ac:dyDescent="0.25">
      <c r="A2420" s="1"/>
      <c r="B2420" s="3">
        <v>45826</v>
      </c>
      <c r="C2420" s="4">
        <v>13.5</v>
      </c>
      <c r="D2420" s="4">
        <v>13.5</v>
      </c>
      <c r="E2420" s="4">
        <v>3</v>
      </c>
      <c r="F2420" s="4">
        <v>13.5</v>
      </c>
      <c r="G2420" s="4">
        <v>40.5</v>
      </c>
      <c r="H2420" s="5">
        <f t="shared" si="37"/>
        <v>1.4836795252225203E-3</v>
      </c>
    </row>
    <row r="2421" spans="1:8" ht="13.5" x14ac:dyDescent="0.25">
      <c r="A2421" s="1"/>
      <c r="B2421" s="3">
        <v>45827</v>
      </c>
      <c r="C2421" s="4">
        <v>13.5</v>
      </c>
      <c r="D2421" s="4">
        <v>13.5</v>
      </c>
      <c r="E2421" s="4">
        <v>0</v>
      </c>
      <c r="F2421" s="4">
        <v>0</v>
      </c>
      <c r="G2421" s="4">
        <v>0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13.5</v>
      </c>
      <c r="D2422" s="4">
        <v>13.5</v>
      </c>
      <c r="E2422" s="4">
        <v>0</v>
      </c>
      <c r="F2422" s="4">
        <v>0</v>
      </c>
      <c r="G2422" s="4">
        <v>0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13.5</v>
      </c>
      <c r="D2423" s="4">
        <v>13.5</v>
      </c>
      <c r="E2423" s="4">
        <v>0</v>
      </c>
      <c r="F2423" s="4">
        <v>0</v>
      </c>
      <c r="G2423" s="4">
        <v>0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13.5</v>
      </c>
      <c r="D2424" s="4">
        <v>13.5</v>
      </c>
      <c r="E2424" s="4">
        <v>0</v>
      </c>
      <c r="F2424" s="4">
        <v>0</v>
      </c>
      <c r="G2424" s="4">
        <v>0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13.5</v>
      </c>
      <c r="D2425" s="4">
        <v>13.5</v>
      </c>
      <c r="E2425" s="4">
        <v>15</v>
      </c>
      <c r="F2425" s="4">
        <v>13.5</v>
      </c>
      <c r="G2425" s="4">
        <v>202.5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13.5</v>
      </c>
      <c r="D2426" s="4">
        <v>13.5</v>
      </c>
      <c r="E2426" s="4">
        <v>212</v>
      </c>
      <c r="F2426" s="4">
        <v>13.5</v>
      </c>
      <c r="G2426" s="4">
        <v>2862</v>
      </c>
      <c r="H2426" s="5">
        <f t="shared" si="37"/>
        <v>0</v>
      </c>
    </row>
    <row r="2427" spans="1:8" ht="13.5" x14ac:dyDescent="0.25">
      <c r="A2427" s="1"/>
      <c r="B2427" s="3">
        <v>45838</v>
      </c>
      <c r="C2427" s="4">
        <v>13.29</v>
      </c>
      <c r="D2427" s="4">
        <v>13.29</v>
      </c>
      <c r="E2427" s="4">
        <v>26</v>
      </c>
      <c r="F2427" s="4">
        <v>13.29</v>
      </c>
      <c r="G2427" s="4">
        <v>345.54</v>
      </c>
      <c r="H2427" s="5">
        <f t="shared" si="37"/>
        <v>-1.5555555555555619E-2</v>
      </c>
    </row>
    <row r="2428" spans="1:8" ht="13.5" x14ac:dyDescent="0.25">
      <c r="A2428" s="1"/>
      <c r="B2428" s="3">
        <v>45839</v>
      </c>
      <c r="C2428" s="4">
        <v>13.29</v>
      </c>
      <c r="D2428" s="4">
        <v>13.29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13.5</v>
      </c>
      <c r="D2429" s="4">
        <v>13.5</v>
      </c>
      <c r="E2429" s="4">
        <v>60</v>
      </c>
      <c r="F2429" s="4">
        <v>13.5</v>
      </c>
      <c r="G2429" s="4">
        <v>810</v>
      </c>
      <c r="H2429" s="5">
        <f t="shared" si="37"/>
        <v>1.5801354401805936E-2</v>
      </c>
    </row>
    <row r="2430" spans="1:8" ht="13.5" x14ac:dyDescent="0.25">
      <c r="A2430" s="1"/>
      <c r="B2430" s="3">
        <v>45841</v>
      </c>
      <c r="C2430" s="4">
        <v>13.5</v>
      </c>
      <c r="D2430" s="4">
        <v>13.5</v>
      </c>
      <c r="E2430" s="4">
        <v>0</v>
      </c>
      <c r="F2430" s="4">
        <v>0</v>
      </c>
      <c r="G2430" s="4">
        <v>0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13.5</v>
      </c>
      <c r="D2431" s="4">
        <v>13.5</v>
      </c>
      <c r="E2431" s="4">
        <v>0</v>
      </c>
      <c r="F2431" s="4">
        <v>0</v>
      </c>
      <c r="G2431" s="4">
        <v>0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13.5</v>
      </c>
      <c r="D2432" s="4">
        <v>13.5</v>
      </c>
      <c r="E2432" s="4">
        <v>0</v>
      </c>
      <c r="F2432" s="4">
        <v>0</v>
      </c>
      <c r="G2432" s="4">
        <v>0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13.29</v>
      </c>
      <c r="D2433" s="4">
        <v>13.29</v>
      </c>
      <c r="E2433" s="4">
        <v>127</v>
      </c>
      <c r="F2433" s="4">
        <v>13.29</v>
      </c>
      <c r="G2433" s="4">
        <v>1687.83</v>
      </c>
      <c r="H2433" s="5">
        <f t="shared" si="37"/>
        <v>-1.5555555555555619E-2</v>
      </c>
    </row>
    <row r="2434" spans="1:8" ht="13.5" x14ac:dyDescent="0.25">
      <c r="A2434" s="1"/>
      <c r="B2434" s="3">
        <v>45847</v>
      </c>
      <c r="C2434" s="4">
        <v>13.29</v>
      </c>
      <c r="D2434" s="4">
        <v>13.29</v>
      </c>
      <c r="E2434" s="4">
        <v>0</v>
      </c>
      <c r="F2434" s="4">
        <v>0</v>
      </c>
      <c r="G2434" s="4">
        <v>0</v>
      </c>
      <c r="H2434" s="5">
        <f t="shared" si="37"/>
        <v>0</v>
      </c>
    </row>
    <row r="2435" spans="1:8" ht="13.5" x14ac:dyDescent="0.25">
      <c r="A2435" s="1"/>
      <c r="B2435" s="3">
        <v>45848</v>
      </c>
      <c r="C2435" s="4">
        <v>13.29</v>
      </c>
      <c r="D2435" s="4">
        <v>13.29</v>
      </c>
      <c r="E2435" s="4">
        <v>0</v>
      </c>
      <c r="F2435" s="4">
        <v>0</v>
      </c>
      <c r="G2435" s="4">
        <v>0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13.29</v>
      </c>
      <c r="D2436" s="4">
        <v>13.29</v>
      </c>
      <c r="E2436" s="4">
        <v>0</v>
      </c>
      <c r="F2436" s="4">
        <v>0</v>
      </c>
      <c r="G2436" s="4">
        <v>0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13.29</v>
      </c>
      <c r="D2437" s="4">
        <v>13.29</v>
      </c>
      <c r="E2437" s="4">
        <v>0</v>
      </c>
      <c r="F2437" s="4">
        <v>0</v>
      </c>
      <c r="G2437" s="4">
        <v>0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13.29</v>
      </c>
      <c r="D2438" s="4">
        <v>13.29</v>
      </c>
      <c r="E2438" s="4">
        <v>0</v>
      </c>
      <c r="F2438" s="4">
        <v>0</v>
      </c>
      <c r="G2438" s="4">
        <v>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13.29</v>
      </c>
      <c r="D2439" s="4">
        <v>13.29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0</v>
      </c>
    </row>
    <row r="2440" spans="1:8" ht="13.5" x14ac:dyDescent="0.25">
      <c r="A2440" s="1"/>
      <c r="B2440" s="3">
        <v>45855</v>
      </c>
      <c r="C2440" s="4">
        <v>13.29</v>
      </c>
      <c r="D2440" s="4">
        <v>13.29</v>
      </c>
      <c r="E2440" s="4">
        <v>627</v>
      </c>
      <c r="F2440" s="4">
        <v>13.29</v>
      </c>
      <c r="G2440" s="4">
        <v>8332.83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13.29</v>
      </c>
      <c r="D2441" s="4">
        <v>13.29</v>
      </c>
      <c r="E2441" s="4">
        <v>0</v>
      </c>
      <c r="F2441" s="4">
        <v>0</v>
      </c>
      <c r="G2441" s="4">
        <v>0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13.29</v>
      </c>
      <c r="D2442" s="4">
        <v>13.29</v>
      </c>
      <c r="E2442" s="4">
        <v>0</v>
      </c>
      <c r="F2442" s="4">
        <v>0</v>
      </c>
      <c r="G2442" s="4">
        <v>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13.29</v>
      </c>
      <c r="D2443" s="4">
        <v>13.29</v>
      </c>
      <c r="E2443" s="4">
        <v>0</v>
      </c>
      <c r="F2443" s="4">
        <v>0</v>
      </c>
      <c r="G2443" s="4">
        <v>0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13.29</v>
      </c>
      <c r="D2444" s="4">
        <v>13.29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13.29</v>
      </c>
      <c r="D2445" s="4">
        <v>13.29</v>
      </c>
      <c r="E2445" s="4">
        <v>0</v>
      </c>
      <c r="F2445" s="4">
        <v>0</v>
      </c>
      <c r="G2445" s="4">
        <v>0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13.29</v>
      </c>
      <c r="D2446" s="4">
        <v>13.29</v>
      </c>
      <c r="E2446" s="4">
        <v>0</v>
      </c>
      <c r="F2446" s="4">
        <v>0</v>
      </c>
      <c r="G2446" s="4">
        <v>0</v>
      </c>
      <c r="H2446" s="5">
        <f t="shared" si="38"/>
        <v>0</v>
      </c>
    </row>
    <row r="2447" spans="1:8" ht="13.5" x14ac:dyDescent="0.25">
      <c r="A2447" s="1"/>
      <c r="B2447" s="3">
        <v>45867</v>
      </c>
      <c r="C2447" s="4">
        <v>13.29</v>
      </c>
      <c r="D2447" s="4">
        <v>13.29</v>
      </c>
      <c r="E2447" s="4">
        <v>0</v>
      </c>
      <c r="F2447" s="4">
        <v>0</v>
      </c>
      <c r="G2447" s="4">
        <v>0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13.29</v>
      </c>
      <c r="D2448" s="4">
        <v>13.29</v>
      </c>
      <c r="E2448" s="4">
        <v>0</v>
      </c>
      <c r="F2448" s="4">
        <v>0</v>
      </c>
      <c r="G2448" s="4">
        <v>0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13.29</v>
      </c>
      <c r="D2449" s="4">
        <v>13.29</v>
      </c>
      <c r="E2449" s="4">
        <v>0</v>
      </c>
      <c r="F2449" s="4">
        <v>0</v>
      </c>
      <c r="G2449" s="4">
        <v>0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13.29</v>
      </c>
      <c r="D2450" s="4">
        <v>13.29</v>
      </c>
      <c r="E2450" s="4">
        <v>0</v>
      </c>
      <c r="F2450" s="4">
        <v>0</v>
      </c>
      <c r="G2450" s="4">
        <v>0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13.29</v>
      </c>
      <c r="D2451" s="4">
        <v>13.29</v>
      </c>
      <c r="E2451" s="4">
        <v>0</v>
      </c>
      <c r="F2451" s="4">
        <v>0</v>
      </c>
      <c r="G2451" s="4">
        <v>0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13.29</v>
      </c>
      <c r="D2452" s="4">
        <v>13.29</v>
      </c>
      <c r="E2452" s="4">
        <v>0</v>
      </c>
      <c r="F2452" s="4">
        <v>0</v>
      </c>
      <c r="G2452" s="4">
        <v>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13.29</v>
      </c>
      <c r="D2453" s="4">
        <v>13.29</v>
      </c>
      <c r="E2453" s="4">
        <v>0</v>
      </c>
      <c r="F2453" s="4">
        <v>0</v>
      </c>
      <c r="G2453" s="4">
        <v>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13.29</v>
      </c>
      <c r="D2454" s="4">
        <v>13.29</v>
      </c>
      <c r="E2454" s="4">
        <v>0</v>
      </c>
      <c r="F2454" s="4">
        <v>0</v>
      </c>
      <c r="G2454" s="4">
        <v>0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13.29</v>
      </c>
      <c r="D2455" s="4">
        <v>13.29</v>
      </c>
      <c r="E2455" s="4">
        <v>0</v>
      </c>
      <c r="F2455" s="4">
        <v>0</v>
      </c>
      <c r="G2455" s="4">
        <v>0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13.29</v>
      </c>
      <c r="D2456" s="4">
        <v>13.29</v>
      </c>
      <c r="E2456" s="4">
        <v>0</v>
      </c>
      <c r="F2456" s="4">
        <v>0</v>
      </c>
      <c r="G2456" s="4">
        <v>0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13.29</v>
      </c>
      <c r="D2457" s="4">
        <v>13.29</v>
      </c>
      <c r="E2457" s="4">
        <v>0</v>
      </c>
      <c r="F2457" s="4">
        <v>0</v>
      </c>
      <c r="G2457" s="4">
        <v>0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13.29</v>
      </c>
      <c r="D2458" s="4">
        <v>13.29</v>
      </c>
      <c r="E2458" s="4">
        <v>0</v>
      </c>
      <c r="F2458" s="4">
        <v>0</v>
      </c>
      <c r="G2458" s="4">
        <v>0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13.29</v>
      </c>
      <c r="D2459" s="4">
        <v>13.29</v>
      </c>
      <c r="E2459" s="4">
        <v>0</v>
      </c>
      <c r="F2459" s="4">
        <v>0</v>
      </c>
      <c r="G2459" s="4">
        <v>0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13.29</v>
      </c>
      <c r="D2460" s="4">
        <v>13.29</v>
      </c>
      <c r="E2460" s="4">
        <v>0</v>
      </c>
      <c r="F2460" s="4">
        <v>0</v>
      </c>
      <c r="G2460" s="4">
        <v>0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13.29</v>
      </c>
      <c r="D2461" s="4">
        <v>13.29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13.29</v>
      </c>
      <c r="D2462" s="4">
        <v>13.29</v>
      </c>
      <c r="E2462" s="4">
        <v>0</v>
      </c>
      <c r="F2462" s="4">
        <v>0</v>
      </c>
      <c r="G2462" s="4">
        <v>0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13.29</v>
      </c>
      <c r="D2463" s="4">
        <v>13.29</v>
      </c>
      <c r="E2463" s="4">
        <v>0</v>
      </c>
      <c r="F2463" s="4">
        <v>0</v>
      </c>
      <c r="G2463" s="4">
        <v>0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13.29</v>
      </c>
      <c r="D2464" s="4">
        <v>13.29</v>
      </c>
      <c r="E2464" s="4">
        <v>0</v>
      </c>
      <c r="F2464" s="4">
        <v>0</v>
      </c>
      <c r="G2464" s="4">
        <v>0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13.29</v>
      </c>
      <c r="D2465" s="4">
        <v>13.29</v>
      </c>
      <c r="E2465" s="4">
        <v>0</v>
      </c>
      <c r="F2465" s="4">
        <v>0</v>
      </c>
      <c r="G2465" s="4">
        <v>0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13.29</v>
      </c>
      <c r="D2466" s="4">
        <v>13.29</v>
      </c>
      <c r="E2466" s="4">
        <v>0</v>
      </c>
      <c r="F2466" s="4">
        <v>0</v>
      </c>
      <c r="G2466" s="4">
        <v>0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13.29</v>
      </c>
      <c r="D2467" s="4">
        <v>13.29</v>
      </c>
      <c r="E2467" s="4">
        <v>0</v>
      </c>
      <c r="F2467" s="4">
        <v>0</v>
      </c>
      <c r="G2467" s="4">
        <v>0</v>
      </c>
      <c r="H2467" s="5">
        <f t="shared" si="38"/>
        <v>0</v>
      </c>
    </row>
    <row r="2468" spans="1:8" ht="13.5" x14ac:dyDescent="0.25">
      <c r="A2468" s="1"/>
      <c r="B2468" s="3">
        <v>45897</v>
      </c>
      <c r="C2468" s="4">
        <v>13.29</v>
      </c>
      <c r="D2468" s="4">
        <v>13.29</v>
      </c>
      <c r="E2468" s="4">
        <v>0</v>
      </c>
      <c r="F2468" s="4">
        <v>0</v>
      </c>
      <c r="G2468" s="4">
        <v>0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13.29</v>
      </c>
      <c r="D2469" s="4">
        <v>13.29</v>
      </c>
      <c r="E2469" s="4">
        <v>0</v>
      </c>
      <c r="F2469" s="4">
        <v>0</v>
      </c>
      <c r="G2469" s="4">
        <v>0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13.29</v>
      </c>
      <c r="D2470" s="4">
        <v>13.29</v>
      </c>
      <c r="E2470" s="4">
        <v>318</v>
      </c>
      <c r="F2470" s="4">
        <v>13.29</v>
      </c>
      <c r="G2470" s="4">
        <v>4226.22</v>
      </c>
      <c r="H2470" s="5">
        <f t="shared" si="38"/>
        <v>0</v>
      </c>
    </row>
    <row r="2471" spans="1:8" ht="13.5" x14ac:dyDescent="0.25">
      <c r="A2471" s="1"/>
      <c r="B2471" s="3">
        <v>45902</v>
      </c>
      <c r="C2471" s="4">
        <v>13.29</v>
      </c>
      <c r="D2471" s="4">
        <v>13.29</v>
      </c>
      <c r="E2471" s="4">
        <v>0</v>
      </c>
      <c r="F2471" s="4">
        <v>0</v>
      </c>
      <c r="G2471" s="4">
        <v>0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13.29</v>
      </c>
      <c r="D2472" s="4">
        <v>13.29</v>
      </c>
      <c r="E2472" s="4">
        <v>0</v>
      </c>
      <c r="F2472" s="4">
        <v>0</v>
      </c>
      <c r="G2472" s="4">
        <v>0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13.29</v>
      </c>
      <c r="D2473" s="4">
        <v>13.29</v>
      </c>
      <c r="E2473" s="4">
        <v>0</v>
      </c>
      <c r="F2473" s="4">
        <v>0</v>
      </c>
      <c r="G2473" s="4">
        <v>0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13.29</v>
      </c>
      <c r="D2474" s="4">
        <v>13.29</v>
      </c>
      <c r="E2474" s="4">
        <v>15</v>
      </c>
      <c r="F2474" s="4">
        <v>13.29</v>
      </c>
      <c r="G2474" s="4">
        <v>199.35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13.5</v>
      </c>
      <c r="D2475" s="4">
        <v>13.5</v>
      </c>
      <c r="E2475" s="4">
        <v>20</v>
      </c>
      <c r="F2475" s="4">
        <v>13.5</v>
      </c>
      <c r="G2475" s="4">
        <v>270</v>
      </c>
      <c r="H2475" s="5">
        <f t="shared" si="38"/>
        <v>1.5801354401805936E-2</v>
      </c>
    </row>
    <row r="2476" spans="1:8" ht="13.5" x14ac:dyDescent="0.25">
      <c r="A2476" s="1"/>
      <c r="B2476" s="3">
        <v>45910</v>
      </c>
      <c r="C2476" s="4">
        <v>13.5</v>
      </c>
      <c r="D2476" s="4">
        <v>13.5</v>
      </c>
      <c r="E2476" s="4">
        <v>0</v>
      </c>
      <c r="F2476" s="4">
        <v>0</v>
      </c>
      <c r="G2476" s="4">
        <v>0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13.5</v>
      </c>
      <c r="D2477" s="4">
        <v>13.5</v>
      </c>
      <c r="E2477" s="4">
        <v>68</v>
      </c>
      <c r="F2477" s="4">
        <v>13.5</v>
      </c>
      <c r="G2477" s="4">
        <v>918</v>
      </c>
      <c r="H2477" s="5">
        <f t="shared" si="38"/>
        <v>0</v>
      </c>
    </row>
    <row r="2478" spans="1:8" ht="13.5" x14ac:dyDescent="0.25">
      <c r="A2478" s="1"/>
      <c r="B2478" s="3">
        <v>45912</v>
      </c>
      <c r="C2478" s="4">
        <v>13.5</v>
      </c>
      <c r="D2478" s="4">
        <v>13.5</v>
      </c>
      <c r="E2478" s="4">
        <v>68</v>
      </c>
      <c r="F2478" s="4">
        <v>13.5</v>
      </c>
      <c r="G2478" s="4">
        <v>918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13.5</v>
      </c>
      <c r="D2479" s="4">
        <v>13.5</v>
      </c>
      <c r="E2479" s="4">
        <v>0</v>
      </c>
      <c r="F2479" s="4">
        <v>0</v>
      </c>
      <c r="G2479" s="4">
        <v>0</v>
      </c>
      <c r="H2479" s="5">
        <f t="shared" si="38"/>
        <v>0</v>
      </c>
    </row>
    <row r="2480" spans="1:8" ht="13.5" x14ac:dyDescent="0.25">
      <c r="A2480" s="1"/>
      <c r="B2480" s="3">
        <v>45916</v>
      </c>
      <c r="C2480" s="4">
        <v>13.5</v>
      </c>
      <c r="D2480" s="4">
        <v>13.5</v>
      </c>
      <c r="E2480" s="4">
        <v>0</v>
      </c>
      <c r="F2480" s="4">
        <v>0</v>
      </c>
      <c r="G2480" s="4">
        <v>0</v>
      </c>
      <c r="H2480" s="5">
        <f t="shared" si="38"/>
        <v>0</v>
      </c>
    </row>
    <row r="2481" spans="1:8" ht="13.5" x14ac:dyDescent="0.25">
      <c r="A2481" s="1"/>
      <c r="B2481" s="3">
        <v>45917</v>
      </c>
      <c r="C2481" s="4">
        <v>13.5</v>
      </c>
      <c r="D2481" s="4">
        <v>13.5</v>
      </c>
      <c r="E2481" s="4">
        <v>0</v>
      </c>
      <c r="F2481" s="4">
        <v>0</v>
      </c>
      <c r="G2481" s="4">
        <v>0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13.5</v>
      </c>
      <c r="D2482" s="4">
        <v>13.5</v>
      </c>
      <c r="E2482" s="4">
        <v>0</v>
      </c>
      <c r="F2482" s="4">
        <v>0</v>
      </c>
      <c r="G2482" s="4">
        <v>0</v>
      </c>
      <c r="H2482" s="5">
        <f t="shared" si="38"/>
        <v>0</v>
      </c>
    </row>
    <row r="2483" spans="1:8" ht="13.5" x14ac:dyDescent="0.25">
      <c r="A2483" s="1"/>
      <c r="B2483" s="3">
        <v>45919</v>
      </c>
      <c r="C2483" s="4">
        <v>13.5</v>
      </c>
      <c r="D2483" s="4">
        <v>13.5</v>
      </c>
      <c r="E2483" s="4">
        <v>0</v>
      </c>
      <c r="F2483" s="4">
        <v>0</v>
      </c>
      <c r="G2483" s="4">
        <v>0</v>
      </c>
      <c r="H2483" s="5">
        <f t="shared" si="38"/>
        <v>0</v>
      </c>
    </row>
    <row r="2484" spans="1:8" ht="13.5" x14ac:dyDescent="0.25">
      <c r="A2484" s="1"/>
      <c r="B2484" s="3">
        <v>45922</v>
      </c>
      <c r="C2484" s="4">
        <v>13.5</v>
      </c>
      <c r="D2484" s="4">
        <v>13.5</v>
      </c>
      <c r="E2484" s="4">
        <v>0</v>
      </c>
      <c r="F2484" s="4">
        <v>0</v>
      </c>
      <c r="G2484" s="4">
        <v>0</v>
      </c>
      <c r="H2484" s="5">
        <f t="shared" si="38"/>
        <v>0</v>
      </c>
    </row>
    <row r="2485" spans="1:8" ht="13.5" x14ac:dyDescent="0.25">
      <c r="A2485" s="1"/>
      <c r="B2485" s="3">
        <v>45923</v>
      </c>
      <c r="C2485" s="4">
        <v>13.5</v>
      </c>
      <c r="D2485" s="4">
        <v>13.5</v>
      </c>
      <c r="E2485" s="4">
        <v>0</v>
      </c>
      <c r="F2485" s="4">
        <v>0</v>
      </c>
      <c r="G2485" s="4">
        <v>0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13.5</v>
      </c>
      <c r="D2486" s="4">
        <v>13.5</v>
      </c>
      <c r="E2486" s="4">
        <v>0</v>
      </c>
      <c r="F2486" s="4">
        <v>0</v>
      </c>
      <c r="G2486" s="4">
        <v>0</v>
      </c>
      <c r="H2486" s="5">
        <f t="shared" si="38"/>
        <v>0</v>
      </c>
    </row>
    <row r="2487" spans="1:8" ht="13.5" x14ac:dyDescent="0.25">
      <c r="A2487" s="1"/>
      <c r="B2487" s="3">
        <v>45925</v>
      </c>
      <c r="C2487" s="4">
        <v>13.5</v>
      </c>
      <c r="D2487" s="4">
        <v>13.5</v>
      </c>
      <c r="E2487" s="4">
        <v>0</v>
      </c>
      <c r="F2487" s="4">
        <v>0</v>
      </c>
      <c r="G2487" s="4">
        <v>0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13.5</v>
      </c>
      <c r="D2488" s="4">
        <v>13.5</v>
      </c>
      <c r="E2488" s="4">
        <v>0</v>
      </c>
      <c r="F2488" s="4">
        <v>0</v>
      </c>
      <c r="G2488" s="4">
        <v>0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13.5</v>
      </c>
      <c r="D2489" s="4">
        <v>13.5</v>
      </c>
      <c r="E2489" s="4">
        <v>0</v>
      </c>
      <c r="F2489" s="4">
        <v>0</v>
      </c>
      <c r="G2489" s="4">
        <v>0</v>
      </c>
      <c r="H2489" s="5">
        <f t="shared" si="38"/>
        <v>0</v>
      </c>
    </row>
    <row r="2490" spans="1:8" ht="13.5" x14ac:dyDescent="0.25">
      <c r="A2490" s="1"/>
      <c r="B2490" s="3">
        <v>45930</v>
      </c>
      <c r="C2490" s="4">
        <v>13.5</v>
      </c>
      <c r="D2490" s="4">
        <v>13.5</v>
      </c>
      <c r="E2490" s="4">
        <v>0</v>
      </c>
      <c r="F2490" s="4">
        <v>0</v>
      </c>
      <c r="G2490" s="4">
        <v>0</v>
      </c>
      <c r="H2490" s="5">
        <f t="shared" si="38"/>
        <v>0</v>
      </c>
    </row>
    <row r="2491" spans="1:8" ht="13.5" x14ac:dyDescent="0.25">
      <c r="A2491" s="1"/>
      <c r="B2491" s="3">
        <v>45931</v>
      </c>
      <c r="C2491" s="4">
        <v>13.5</v>
      </c>
      <c r="D2491" s="4">
        <v>13.5</v>
      </c>
      <c r="E2491" s="4">
        <v>0</v>
      </c>
      <c r="F2491" s="4">
        <v>0</v>
      </c>
      <c r="G2491" s="4">
        <v>0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13.5</v>
      </c>
      <c r="D2492" s="4">
        <v>13.5</v>
      </c>
      <c r="E2492" s="4">
        <v>0</v>
      </c>
      <c r="F2492" s="4">
        <v>0</v>
      </c>
      <c r="G2492" s="4">
        <v>0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13.5</v>
      </c>
      <c r="D2493" s="4">
        <v>13.5</v>
      </c>
      <c r="E2493" s="4">
        <v>0</v>
      </c>
      <c r="F2493" s="4">
        <v>0</v>
      </c>
      <c r="G2493" s="4">
        <v>0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13.5</v>
      </c>
      <c r="D2494" s="4">
        <v>13.5</v>
      </c>
      <c r="E2494" s="4">
        <v>0</v>
      </c>
      <c r="F2494" s="4">
        <v>0</v>
      </c>
      <c r="G2494" s="4">
        <v>0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13.5</v>
      </c>
      <c r="D2495" s="4">
        <v>13.5</v>
      </c>
      <c r="E2495" s="4">
        <v>0</v>
      </c>
      <c r="F2495" s="4">
        <v>0</v>
      </c>
      <c r="G2495" s="4">
        <v>0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13.5</v>
      </c>
      <c r="D2496" s="4">
        <v>13.5</v>
      </c>
      <c r="E2496" s="4">
        <v>0</v>
      </c>
      <c r="F2496" s="4">
        <v>0</v>
      </c>
      <c r="G2496" s="4">
        <v>0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13.5</v>
      </c>
      <c r="D2497" s="4">
        <v>13.5</v>
      </c>
      <c r="E2497" s="4">
        <v>0</v>
      </c>
      <c r="F2497" s="4">
        <v>0</v>
      </c>
      <c r="G2497" s="4">
        <v>0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13.5</v>
      </c>
      <c r="D2498" s="4">
        <v>13.5</v>
      </c>
      <c r="E2498" s="4">
        <v>0</v>
      </c>
      <c r="F2498" s="4">
        <v>0</v>
      </c>
      <c r="G2498" s="4">
        <v>0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12.9</v>
      </c>
      <c r="D2499" s="4">
        <v>12.9</v>
      </c>
      <c r="E2499" s="4">
        <v>10</v>
      </c>
      <c r="F2499" s="4">
        <v>12.9</v>
      </c>
      <c r="G2499" s="4">
        <v>129</v>
      </c>
      <c r="H2499" s="5">
        <f t="shared" si="38"/>
        <v>-4.4444444444444418E-2</v>
      </c>
    </row>
    <row r="2500" spans="1:11" ht="13.5" x14ac:dyDescent="0.25">
      <c r="A2500" s="1"/>
      <c r="B2500" s="3">
        <v>45944</v>
      </c>
      <c r="C2500" s="4">
        <v>12.9</v>
      </c>
      <c r="D2500" s="4">
        <v>12.9</v>
      </c>
      <c r="E2500" s="4">
        <v>0</v>
      </c>
      <c r="F2500" s="4">
        <v>0</v>
      </c>
      <c r="G2500" s="4">
        <v>0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12.9</v>
      </c>
      <c r="D2501" s="4">
        <v>12.9</v>
      </c>
      <c r="E2501" s="4">
        <v>0</v>
      </c>
      <c r="F2501" s="4">
        <v>0</v>
      </c>
      <c r="G2501" s="4">
        <v>0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12.9</v>
      </c>
      <c r="D2502" s="4">
        <v>12.9</v>
      </c>
      <c r="E2502" s="4">
        <v>0</v>
      </c>
      <c r="F2502" s="4">
        <v>0</v>
      </c>
      <c r="G2502" s="4">
        <v>0</v>
      </c>
      <c r="H2502" s="5">
        <f t="shared" si="38"/>
        <v>0</v>
      </c>
    </row>
    <row r="2503" spans="1:11" ht="13.5" x14ac:dyDescent="0.25">
      <c r="A2503" s="1"/>
      <c r="B2503" s="3">
        <v>45950</v>
      </c>
      <c r="C2503" s="4">
        <v>13</v>
      </c>
      <c r="D2503" s="4">
        <v>13</v>
      </c>
      <c r="E2503" s="4">
        <v>24</v>
      </c>
      <c r="F2503" s="4">
        <v>13</v>
      </c>
      <c r="G2503" s="4">
        <v>312</v>
      </c>
      <c r="H2503" s="5">
        <f t="shared" ref="H2503:H2511" si="39">(D2503-D2502)/D2502</f>
        <v>7.7519379844960962E-3</v>
      </c>
    </row>
    <row r="2504" spans="1:11" ht="13.5" x14ac:dyDescent="0.25">
      <c r="A2504" s="1"/>
      <c r="B2504" s="3">
        <v>45951</v>
      </c>
      <c r="C2504" s="4">
        <v>13</v>
      </c>
      <c r="D2504" s="4">
        <v>13</v>
      </c>
      <c r="E2504" s="4">
        <v>0</v>
      </c>
      <c r="F2504" s="4">
        <v>0</v>
      </c>
      <c r="G2504" s="4">
        <v>0</v>
      </c>
      <c r="H2504" s="5">
        <f t="shared" si="39"/>
        <v>0</v>
      </c>
    </row>
    <row r="2505" spans="1:11" ht="13.5" x14ac:dyDescent="0.25">
      <c r="A2505" s="1"/>
      <c r="B2505" s="3">
        <v>45952</v>
      </c>
      <c r="C2505" s="4">
        <v>13</v>
      </c>
      <c r="D2505" s="4">
        <v>13</v>
      </c>
      <c r="E2505" s="4">
        <v>0</v>
      </c>
      <c r="F2505" s="4">
        <v>0</v>
      </c>
      <c r="G2505" s="4">
        <v>0</v>
      </c>
      <c r="H2505" s="5">
        <f t="shared" si="39"/>
        <v>0</v>
      </c>
    </row>
    <row r="2506" spans="1:11" ht="13.5" x14ac:dyDescent="0.25">
      <c r="A2506" s="1"/>
      <c r="B2506" s="3">
        <v>45953</v>
      </c>
      <c r="C2506" s="4">
        <v>13</v>
      </c>
      <c r="D2506" s="4">
        <v>13</v>
      </c>
      <c r="E2506" s="4">
        <v>29</v>
      </c>
      <c r="F2506" s="4">
        <v>13</v>
      </c>
      <c r="G2506" s="4">
        <v>377</v>
      </c>
      <c r="H2506" s="5">
        <f t="shared" si="39"/>
        <v>0</v>
      </c>
    </row>
    <row r="2507" spans="1:11" ht="13.5" x14ac:dyDescent="0.25">
      <c r="A2507" s="1"/>
      <c r="B2507" s="3">
        <v>45954</v>
      </c>
      <c r="C2507" s="4">
        <v>12.9</v>
      </c>
      <c r="D2507" s="4">
        <v>12.9</v>
      </c>
      <c r="E2507" s="4">
        <v>17</v>
      </c>
      <c r="F2507" s="4">
        <v>12.9</v>
      </c>
      <c r="G2507" s="4">
        <v>219.3</v>
      </c>
      <c r="H2507" s="5">
        <f t="shared" si="39"/>
        <v>-7.692307692307665E-3</v>
      </c>
    </row>
    <row r="2508" spans="1:11" ht="13.5" x14ac:dyDescent="0.25">
      <c r="A2508" s="1"/>
      <c r="B2508" s="3">
        <v>45957</v>
      </c>
      <c r="C2508" s="4">
        <v>12.9</v>
      </c>
      <c r="D2508" s="4">
        <v>12.9</v>
      </c>
      <c r="E2508" s="4">
        <v>140</v>
      </c>
      <c r="F2508" s="4">
        <v>12.9</v>
      </c>
      <c r="G2508" s="4">
        <v>1806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12.9</v>
      </c>
      <c r="D2509" s="4">
        <v>12.9</v>
      </c>
      <c r="E2509" s="4">
        <v>0</v>
      </c>
      <c r="F2509" s="4">
        <v>0</v>
      </c>
      <c r="G2509" s="4">
        <v>0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12.9</v>
      </c>
      <c r="D2510" s="4">
        <v>12.9</v>
      </c>
      <c r="E2510" s="4">
        <v>0</v>
      </c>
      <c r="F2510" s="4">
        <v>0</v>
      </c>
      <c r="G2510" s="4">
        <v>0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12.9</v>
      </c>
      <c r="D2511" s="4">
        <v>12.9</v>
      </c>
      <c r="E2511" s="4">
        <v>0</v>
      </c>
      <c r="F2511" s="4">
        <v>0</v>
      </c>
      <c r="G2511" s="4">
        <v>0</v>
      </c>
      <c r="H2511" s="5">
        <f t="shared" si="39"/>
        <v>0</v>
      </c>
      <c r="I2511" s="12">
        <v>1947253</v>
      </c>
      <c r="J2511" s="8">
        <f>I2511*D2511</f>
        <v>25119563.699999999</v>
      </c>
      <c r="K2511" s="9">
        <f>SUM(E2307:E2511)/205</f>
        <v>22.068292682926828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41AC53-7E1E-4EF7-B8DA-32D071DE34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F1AEA3-F1AC-4432-9E22-E2B5FCD3E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2D09CB-D2AC-4DD5-8C70-EBC00BF494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2025-11-04T19:27:55Z</dcterms:created>
  <dcterms:modified xsi:type="dcterms:W3CDTF">2025-11-05T05:32:16Z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