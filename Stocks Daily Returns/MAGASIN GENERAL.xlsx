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F350B384-3A09-47D4-9A8E-3D1090A53111}" xr6:coauthVersionLast="47" xr6:coauthVersionMax="47" xr10:uidLastSave="{00000000-0000-0000-0000-000000000000}"/>
  <bookViews>
    <workbookView xWindow="28680" yWindow="-120" windowWidth="24240" windowHeight="13020" xr2:uid="{ECA32DEA-B12E-4F98-B2A1-82F0B7A38DD1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<sst xmlns="http://schemas.openxmlformats.org/spreadsheetml/2006/main" count="16" uniqueCount="16">
  <si>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MAGASIN GENERAL,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</si>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</sst>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08B2-7D0B-41EE-859D-115F313EEBAB}">
  <dimension ref="A1:K2511"/>
  <sheetViews>
    <sheetView showGridLines="0" tabSelected="1" topLeftCell="A2491" workbookViewId="0">
      <selection activeCell="I2510" sqref="I2510:K25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23.53</v>
      </c>
      <c r="D5" s="4">
        <v>21.914400000000001</v>
      </c>
      <c r="E5" s="4">
        <v>30</v>
      </c>
      <c r="F5" s="4"/>
      <c r="G5" s="4"/>
      <c r="H5" s="1"/>
    </row>
    <row r="6" spans="1:11" ht="13.5" x14ac:dyDescent="0.25">
      <c r="A6" s="1"/>
      <c r="B6" s="3">
        <v>42311</v>
      </c>
      <c r="C6" s="4">
        <v>23.5</v>
      </c>
      <c r="D6" s="4">
        <v>21.886399999999998</v>
      </c>
      <c r="E6" s="4">
        <v>21</v>
      </c>
      <c r="F6" s="4"/>
      <c r="G6" s="4"/>
      <c r="H6" s="5">
        <f>(D6-D5)/D5</f>
        <v>-1.2776986821451759E-3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24.5</v>
      </c>
      <c r="D7" s="4">
        <v>22.817799999999998</v>
      </c>
      <c r="E7" s="4">
        <v>100</v>
      </c>
      <c r="F7" s="4"/>
      <c r="G7" s="4"/>
      <c r="H7" s="5">
        <f t="shared" ref="H7:H70" si="0">(D7-D6)/D6</f>
        <v>4.2556107902624464E-2</v>
      </c>
    </row>
    <row r="8" spans="1:11" ht="13.5" x14ac:dyDescent="0.25">
      <c r="A8" s="1"/>
      <c r="B8" s="3">
        <v>42313</v>
      </c>
      <c r="C8" s="4">
        <v>24.5</v>
      </c>
      <c r="D8" s="4">
        <v>22.817799999999998</v>
      </c>
      <c r="E8" s="4">
        <v>0</v>
      </c>
      <c r="F8" s="4"/>
      <c r="G8" s="4"/>
      <c r="H8" s="5">
        <f t="shared" si="0"/>
        <v>0</v>
      </c>
      <c r="J8" t="s">
        <v>9</v>
      </c>
      <c r="K8" s="6">
        <f>AVERAGE(H6:H2511)</f>
        <v>-2.492170853517802E-4</v>
      </c>
    </row>
    <row r="9" spans="1:11" ht="13.5" x14ac:dyDescent="0.25">
      <c r="A9" s="1"/>
      <c r="B9" s="3">
        <v>42314</v>
      </c>
      <c r="C9" s="4">
        <v>23.77</v>
      </c>
      <c r="D9" s="4">
        <v>22.137899999999998</v>
      </c>
      <c r="E9" s="4">
        <v>0</v>
      </c>
      <c r="F9" s="4"/>
      <c r="G9" s="4"/>
      <c r="H9" s="5">
        <f t="shared" si="0"/>
        <v>-2.9796912936391765E-2</v>
      </c>
      <c r="J9" t="s">
        <v>10</v>
      </c>
      <c r="K9" s="6">
        <f>K8*K6</f>
        <v>-6.280270550864861E-2</v>
      </c>
    </row>
    <row r="10" spans="1:11" ht="13.5" x14ac:dyDescent="0.25">
      <c r="A10" s="1"/>
      <c r="B10" s="3">
        <v>42317</v>
      </c>
      <c r="C10" s="4">
        <v>23.06</v>
      </c>
      <c r="D10" s="4">
        <v>21.476700000000001</v>
      </c>
      <c r="E10" s="4">
        <v>30</v>
      </c>
      <c r="F10" s="4"/>
      <c r="G10" s="4"/>
      <c r="H10" s="5">
        <f t="shared" si="0"/>
        <v>-2.9867331589717064E-2</v>
      </c>
      <c r="J10" t="s">
        <v>11</v>
      </c>
      <c r="K10" s="6">
        <f>STDEV(H6:H2511)</f>
        <v>1.6618886252452853E-2</v>
      </c>
    </row>
    <row r="11" spans="1:11" ht="13.5" x14ac:dyDescent="0.25">
      <c r="A11" s="1"/>
      <c r="B11" s="3">
        <v>42318</v>
      </c>
      <c r="C11" s="4">
        <v>23.68</v>
      </c>
      <c r="D11" s="4">
        <v>22.054099999999998</v>
      </c>
      <c r="E11" s="4">
        <v>100</v>
      </c>
      <c r="F11" s="4"/>
      <c r="G11" s="4"/>
      <c r="H11" s="5">
        <f t="shared" si="0"/>
        <v>2.6884949736225641E-2</v>
      </c>
      <c r="J11" t="s">
        <v>12</v>
      </c>
      <c r="K11" s="6">
        <f>K10*SQRT(K6)</f>
        <v>0.26381664054516263</v>
      </c>
    </row>
    <row r="12" spans="1:11" ht="13.5" x14ac:dyDescent="0.25">
      <c r="A12" s="1"/>
      <c r="B12" s="3">
        <v>42319</v>
      </c>
      <c r="C12" s="4">
        <v>23.68</v>
      </c>
      <c r="D12" s="4">
        <v>22.054099999999998</v>
      </c>
      <c r="E12" s="4">
        <v>0</v>
      </c>
      <c r="F12" s="4"/>
      <c r="G12" s="4"/>
      <c r="H12" s="5">
        <f t="shared" si="0"/>
        <v>0</v>
      </c>
    </row>
    <row r="13" spans="1:11" ht="13.5" x14ac:dyDescent="0.25">
      <c r="A13" s="1"/>
      <c r="B13" s="3">
        <v>42320</v>
      </c>
      <c r="C13" s="4">
        <v>23.68</v>
      </c>
      <c r="D13" s="4">
        <v>22.054099999999998</v>
      </c>
      <c r="E13" s="4">
        <v>0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23.49</v>
      </c>
      <c r="D14" s="4">
        <v>21.877099999999999</v>
      </c>
      <c r="E14" s="4">
        <v>50</v>
      </c>
      <c r="F14" s="4"/>
      <c r="G14" s="4"/>
      <c r="H14" s="5">
        <f t="shared" si="0"/>
        <v>-8.0257185738706015E-3</v>
      </c>
    </row>
    <row r="15" spans="1:11" ht="13.5" x14ac:dyDescent="0.25">
      <c r="A15" s="1"/>
      <c r="B15" s="3">
        <v>42324</v>
      </c>
      <c r="C15" s="4">
        <v>23.49</v>
      </c>
      <c r="D15" s="4">
        <v>21.877099999999999</v>
      </c>
      <c r="E15" s="4">
        <v>0</v>
      </c>
      <c r="F15" s="4"/>
      <c r="G15" s="4"/>
      <c r="H15" s="5">
        <f t="shared" si="0"/>
        <v>0</v>
      </c>
    </row>
    <row r="16" spans="1:11" ht="13.5" x14ac:dyDescent="0.25">
      <c r="A16" s="1"/>
      <c r="B16" s="3">
        <v>42325</v>
      </c>
      <c r="C16" s="4">
        <v>23.49</v>
      </c>
      <c r="D16" s="4">
        <v>21.877099999999999</v>
      </c>
      <c r="E16" s="4">
        <v>0</v>
      </c>
      <c r="F16" s="4"/>
      <c r="G16" s="4"/>
      <c r="H16" s="5">
        <f t="shared" si="0"/>
        <v>0</v>
      </c>
    </row>
    <row r="17" spans="1:8" ht="13.5" x14ac:dyDescent="0.25">
      <c r="A17" s="1"/>
      <c r="B17" s="3">
        <v>42326</v>
      </c>
      <c r="C17" s="4">
        <v>23.49</v>
      </c>
      <c r="D17" s="4">
        <v>21.877099999999999</v>
      </c>
      <c r="E17" s="4">
        <v>0</v>
      </c>
      <c r="F17" s="4"/>
      <c r="G17" s="4"/>
      <c r="H17" s="5">
        <f t="shared" si="0"/>
        <v>0</v>
      </c>
    </row>
    <row r="18" spans="1:8" ht="13.5" x14ac:dyDescent="0.25">
      <c r="A18" s="1"/>
      <c r="B18" s="3">
        <v>42327</v>
      </c>
      <c r="C18" s="4">
        <v>23.49</v>
      </c>
      <c r="D18" s="4">
        <v>21.877099999999999</v>
      </c>
      <c r="E18" s="4">
        <v>0</v>
      </c>
      <c r="F18" s="4"/>
      <c r="G18" s="4"/>
      <c r="H18" s="5">
        <f t="shared" si="0"/>
        <v>0</v>
      </c>
    </row>
    <row r="19" spans="1:8" ht="13.5" x14ac:dyDescent="0.25">
      <c r="A19" s="1"/>
      <c r="B19" s="3">
        <v>42328</v>
      </c>
      <c r="C19" s="4">
        <v>23.1</v>
      </c>
      <c r="D19" s="4">
        <v>21.5139</v>
      </c>
      <c r="E19" s="4">
        <v>120</v>
      </c>
      <c r="F19" s="4"/>
      <c r="G19" s="4"/>
      <c r="H19" s="5">
        <f t="shared" si="0"/>
        <v>-1.6601834795288182E-2</v>
      </c>
    </row>
    <row r="20" spans="1:8" ht="13.5" x14ac:dyDescent="0.25">
      <c r="A20" s="1"/>
      <c r="B20" s="3">
        <v>42331</v>
      </c>
      <c r="C20" s="4">
        <v>23.1</v>
      </c>
      <c r="D20" s="4">
        <v>21.5139</v>
      </c>
      <c r="E20" s="4">
        <v>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23.1</v>
      </c>
      <c r="D21" s="4">
        <v>21.5139</v>
      </c>
      <c r="E21" s="4">
        <v>0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23.1</v>
      </c>
      <c r="D22" s="4">
        <v>21.5139</v>
      </c>
      <c r="E22" s="4">
        <v>0</v>
      </c>
      <c r="F22" s="4"/>
      <c r="G22" s="4"/>
      <c r="H22" s="5">
        <f t="shared" si="0"/>
        <v>0</v>
      </c>
    </row>
    <row r="23" spans="1:8" ht="13.5" x14ac:dyDescent="0.25">
      <c r="A23" s="1"/>
      <c r="B23" s="3">
        <v>42334</v>
      </c>
      <c r="C23" s="4">
        <v>23.1</v>
      </c>
      <c r="D23" s="4">
        <v>21.5139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23.09</v>
      </c>
      <c r="D24" s="4">
        <v>21.5046</v>
      </c>
      <c r="E24" s="4">
        <v>850</v>
      </c>
      <c r="F24" s="4"/>
      <c r="G24" s="4"/>
      <c r="H24" s="5">
        <f t="shared" si="0"/>
        <v>-4.3227866635057533E-4</v>
      </c>
    </row>
    <row r="25" spans="1:8" ht="13.5" x14ac:dyDescent="0.25">
      <c r="A25" s="1"/>
      <c r="B25" s="3">
        <v>42338</v>
      </c>
      <c r="C25" s="4">
        <v>23.1</v>
      </c>
      <c r="D25" s="4">
        <v>21.5139</v>
      </c>
      <c r="E25" s="4">
        <v>200</v>
      </c>
      <c r="F25" s="4"/>
      <c r="G25" s="4"/>
      <c r="H25" s="5">
        <f t="shared" si="0"/>
        <v>4.3246561200857683E-4</v>
      </c>
    </row>
    <row r="26" spans="1:8" ht="13.5" x14ac:dyDescent="0.25">
      <c r="A26" s="1"/>
      <c r="B26" s="3">
        <v>42339</v>
      </c>
      <c r="C26" s="4">
        <v>23</v>
      </c>
      <c r="D26" s="4">
        <v>21.4208</v>
      </c>
      <c r="E26" s="4">
        <v>300</v>
      </c>
      <c r="F26" s="4"/>
      <c r="G26" s="4"/>
      <c r="H26" s="5">
        <f t="shared" si="0"/>
        <v>-4.3274348212086018E-3</v>
      </c>
    </row>
    <row r="27" spans="1:8" ht="13.5" x14ac:dyDescent="0.25">
      <c r="A27" s="1"/>
      <c r="B27" s="3">
        <v>42340</v>
      </c>
      <c r="C27" s="4">
        <v>22.99</v>
      </c>
      <c r="D27" s="4">
        <v>21.4115</v>
      </c>
      <c r="E27" s="4">
        <v>700</v>
      </c>
      <c r="F27" s="4"/>
      <c r="G27" s="4"/>
      <c r="H27" s="5">
        <f t="shared" si="0"/>
        <v>-4.3415745443679235E-4</v>
      </c>
    </row>
    <row r="28" spans="1:8" ht="13.5" x14ac:dyDescent="0.25">
      <c r="A28" s="1"/>
      <c r="B28" s="3">
        <v>42341</v>
      </c>
      <c r="C28" s="4">
        <v>22.99</v>
      </c>
      <c r="D28" s="4">
        <v>21.4115</v>
      </c>
      <c r="E28" s="4">
        <v>0</v>
      </c>
      <c r="F28" s="4"/>
      <c r="G28" s="4"/>
      <c r="H28" s="5">
        <f t="shared" si="0"/>
        <v>0</v>
      </c>
    </row>
    <row r="29" spans="1:8" ht="13.5" x14ac:dyDescent="0.25">
      <c r="A29" s="1"/>
      <c r="B29" s="3">
        <v>42342</v>
      </c>
      <c r="C29" s="4">
        <v>22.99</v>
      </c>
      <c r="D29" s="4">
        <v>21.4115</v>
      </c>
      <c r="E29" s="4">
        <v>0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22.99</v>
      </c>
      <c r="D30" s="4">
        <v>21.4115</v>
      </c>
      <c r="E30" s="4">
        <v>0</v>
      </c>
      <c r="F30" s="4"/>
      <c r="G30" s="4"/>
      <c r="H30" s="5">
        <f t="shared" si="0"/>
        <v>0</v>
      </c>
    </row>
    <row r="31" spans="1:8" ht="13.5" x14ac:dyDescent="0.25">
      <c r="A31" s="1"/>
      <c r="B31" s="3">
        <v>42346</v>
      </c>
      <c r="C31" s="4">
        <v>22.99</v>
      </c>
      <c r="D31" s="4">
        <v>21.4115</v>
      </c>
      <c r="E31" s="4">
        <v>0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22.99</v>
      </c>
      <c r="D32" s="4">
        <v>21.4115</v>
      </c>
      <c r="E32" s="4">
        <v>1130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22.99</v>
      </c>
      <c r="D33" s="4">
        <v>21.4115</v>
      </c>
      <c r="E33" s="4">
        <v>0</v>
      </c>
      <c r="F33" s="4"/>
      <c r="G33" s="4"/>
      <c r="H33" s="5">
        <f t="shared" si="0"/>
        <v>0</v>
      </c>
    </row>
    <row r="34" spans="1:8" ht="13.5" x14ac:dyDescent="0.25">
      <c r="A34" s="1"/>
      <c r="B34" s="3">
        <v>42349</v>
      </c>
      <c r="C34" s="4">
        <v>22.99</v>
      </c>
      <c r="D34" s="4">
        <v>21.4115</v>
      </c>
      <c r="E34" s="4">
        <v>0</v>
      </c>
      <c r="F34" s="4"/>
      <c r="G34" s="4"/>
      <c r="H34" s="5">
        <f t="shared" si="0"/>
        <v>0</v>
      </c>
    </row>
    <row r="35" spans="1:8" ht="13.5" x14ac:dyDescent="0.25">
      <c r="A35" s="1"/>
      <c r="B35" s="3">
        <v>42352</v>
      </c>
      <c r="C35" s="4">
        <v>22.99</v>
      </c>
      <c r="D35" s="4">
        <v>21.4115</v>
      </c>
      <c r="E35" s="4">
        <v>0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22.98</v>
      </c>
      <c r="D36" s="4">
        <v>21.402200000000001</v>
      </c>
      <c r="E36" s="4">
        <v>10</v>
      </c>
      <c r="F36" s="4"/>
      <c r="G36" s="4"/>
      <c r="H36" s="5">
        <f t="shared" si="0"/>
        <v>-4.3434602900308905E-4</v>
      </c>
    </row>
    <row r="37" spans="1:8" ht="13.5" x14ac:dyDescent="0.25">
      <c r="A37" s="1"/>
      <c r="B37" s="3">
        <v>42354</v>
      </c>
      <c r="C37" s="4">
        <v>22</v>
      </c>
      <c r="D37" s="4">
        <v>20.4894</v>
      </c>
      <c r="E37" s="4">
        <v>100</v>
      </c>
      <c r="F37" s="4"/>
      <c r="G37" s="4"/>
      <c r="H37" s="5">
        <f t="shared" si="0"/>
        <v>-4.2649821046434513E-2</v>
      </c>
    </row>
    <row r="38" spans="1:8" ht="13.5" x14ac:dyDescent="0.25">
      <c r="A38" s="1"/>
      <c r="B38" s="3">
        <v>42355</v>
      </c>
      <c r="C38" s="4">
        <v>22.98</v>
      </c>
      <c r="D38" s="4">
        <v>21.402200000000001</v>
      </c>
      <c r="E38" s="4">
        <v>15</v>
      </c>
      <c r="F38" s="4"/>
      <c r="G38" s="4"/>
      <c r="H38" s="5">
        <f t="shared" si="0"/>
        <v>4.4549864808144733E-2</v>
      </c>
    </row>
    <row r="39" spans="1:8" ht="13.5" x14ac:dyDescent="0.25">
      <c r="A39" s="1"/>
      <c r="B39" s="3">
        <v>42356</v>
      </c>
      <c r="C39" s="4">
        <v>22.98</v>
      </c>
      <c r="D39" s="4">
        <v>21.402200000000001</v>
      </c>
      <c r="E39" s="4">
        <v>0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22.95</v>
      </c>
      <c r="D40" s="4">
        <v>21.374199999999998</v>
      </c>
      <c r="E40" s="4">
        <v>140</v>
      </c>
      <c r="F40" s="4"/>
      <c r="G40" s="4"/>
      <c r="H40" s="5">
        <f t="shared" si="0"/>
        <v>-1.3082767192158864E-3</v>
      </c>
    </row>
    <row r="41" spans="1:8" ht="13.5" x14ac:dyDescent="0.25">
      <c r="A41" s="1"/>
      <c r="B41" s="3">
        <v>42360</v>
      </c>
      <c r="C41" s="4">
        <v>22.95</v>
      </c>
      <c r="D41" s="4">
        <v>21.374199999999998</v>
      </c>
      <c r="E41" s="4">
        <v>580</v>
      </c>
      <c r="F41" s="4"/>
      <c r="G41" s="4"/>
      <c r="H41" s="5">
        <f t="shared" si="0"/>
        <v>0</v>
      </c>
    </row>
    <row r="42" spans="1:8" ht="13.5" x14ac:dyDescent="0.25">
      <c r="A42" s="1"/>
      <c r="B42" s="3">
        <v>42361</v>
      </c>
      <c r="C42" s="4">
        <v>22.95</v>
      </c>
      <c r="D42" s="4">
        <v>21.374199999999998</v>
      </c>
      <c r="E42" s="4">
        <v>0</v>
      </c>
      <c r="F42" s="4"/>
      <c r="G42" s="4"/>
      <c r="H42" s="5">
        <f t="shared" si="0"/>
        <v>0</v>
      </c>
    </row>
    <row r="43" spans="1:8" ht="13.5" x14ac:dyDescent="0.25">
      <c r="A43" s="1"/>
      <c r="B43" s="3">
        <v>42363</v>
      </c>
      <c r="C43" s="4">
        <v>22.9</v>
      </c>
      <c r="D43" s="4">
        <v>21.3276</v>
      </c>
      <c r="E43" s="4">
        <v>780</v>
      </c>
      <c r="F43" s="4"/>
      <c r="G43" s="4"/>
      <c r="H43" s="5">
        <f t="shared" si="0"/>
        <v>-2.1801985571388862E-3</v>
      </c>
    </row>
    <row r="44" spans="1:8" ht="13.5" x14ac:dyDescent="0.25">
      <c r="A44" s="1"/>
      <c r="B44" s="3">
        <v>42366</v>
      </c>
      <c r="C44" s="4">
        <v>22.9</v>
      </c>
      <c r="D44" s="4">
        <v>21.3276</v>
      </c>
      <c r="E44" s="4">
        <v>0</v>
      </c>
      <c r="F44" s="4"/>
      <c r="G44" s="4"/>
      <c r="H44" s="5">
        <f t="shared" si="0"/>
        <v>0</v>
      </c>
    </row>
    <row r="45" spans="1:8" ht="13.5" x14ac:dyDescent="0.25">
      <c r="A45" s="1"/>
      <c r="B45" s="3">
        <v>42367</v>
      </c>
      <c r="C45" s="4">
        <v>21.9</v>
      </c>
      <c r="D45" s="4">
        <v>20.3963</v>
      </c>
      <c r="E45" s="4">
        <v>175</v>
      </c>
      <c r="F45" s="4"/>
      <c r="G45" s="4"/>
      <c r="H45" s="5">
        <f t="shared" si="0"/>
        <v>-4.3666422851141258E-2</v>
      </c>
    </row>
    <row r="46" spans="1:8" ht="13.5" x14ac:dyDescent="0.25">
      <c r="A46" s="1"/>
      <c r="B46" s="3">
        <v>42368</v>
      </c>
      <c r="C46" s="4">
        <v>21.9</v>
      </c>
      <c r="D46" s="4">
        <v>20.3963</v>
      </c>
      <c r="E46" s="4">
        <v>0</v>
      </c>
      <c r="F46" s="4"/>
      <c r="G46" s="4"/>
      <c r="H46" s="5">
        <f t="shared" si="0"/>
        <v>0</v>
      </c>
    </row>
    <row r="47" spans="1:8" ht="13.5" x14ac:dyDescent="0.25">
      <c r="A47" s="1"/>
      <c r="B47" s="3">
        <v>42369</v>
      </c>
      <c r="C47" s="4">
        <v>22.88</v>
      </c>
      <c r="D47" s="4">
        <v>21.309000000000001</v>
      </c>
      <c r="E47" s="4">
        <v>460</v>
      </c>
      <c r="F47" s="4"/>
      <c r="G47" s="4"/>
      <c r="H47" s="5">
        <f t="shared" si="0"/>
        <v>4.4748312193878349E-2</v>
      </c>
    </row>
    <row r="48" spans="1:8" ht="13.5" x14ac:dyDescent="0.25">
      <c r="A48" s="1"/>
      <c r="B48" s="3">
        <v>42373</v>
      </c>
      <c r="C48" s="4">
        <v>22.2</v>
      </c>
      <c r="D48" s="4">
        <v>20.675699999999999</v>
      </c>
      <c r="E48" s="4">
        <v>75</v>
      </c>
      <c r="F48" s="4"/>
      <c r="G48" s="4"/>
      <c r="H48" s="5">
        <f t="shared" si="0"/>
        <v>-2.9719836688723165E-2</v>
      </c>
    </row>
    <row r="49" spans="1:8" ht="13.5" x14ac:dyDescent="0.25">
      <c r="A49" s="1"/>
      <c r="B49" s="3">
        <v>42374</v>
      </c>
      <c r="C49" s="4">
        <v>22.15</v>
      </c>
      <c r="D49" s="4">
        <v>20.629100000000001</v>
      </c>
      <c r="E49" s="4">
        <v>590</v>
      </c>
      <c r="F49" s="4"/>
      <c r="G49" s="4"/>
      <c r="H49" s="5">
        <f t="shared" si="0"/>
        <v>-2.2538535575578082E-3</v>
      </c>
    </row>
    <row r="50" spans="1:8" ht="13.5" x14ac:dyDescent="0.25">
      <c r="A50" s="1"/>
      <c r="B50" s="3">
        <v>42375</v>
      </c>
      <c r="C50" s="4">
        <v>21.8</v>
      </c>
      <c r="D50" s="4">
        <v>20.3032</v>
      </c>
      <c r="E50" s="4">
        <v>756</v>
      </c>
      <c r="F50" s="4"/>
      <c r="G50" s="4"/>
      <c r="H50" s="5">
        <f t="shared" si="0"/>
        <v>-1.5798071656058711E-2</v>
      </c>
    </row>
    <row r="51" spans="1:8" ht="13.5" x14ac:dyDescent="0.25">
      <c r="A51" s="1"/>
      <c r="B51" s="3">
        <v>42376</v>
      </c>
      <c r="C51" s="4">
        <v>22</v>
      </c>
      <c r="D51" s="4">
        <v>20.4894</v>
      </c>
      <c r="E51" s="4">
        <v>200</v>
      </c>
      <c r="F51" s="4"/>
      <c r="G51" s="4"/>
      <c r="H51" s="5">
        <f t="shared" si="0"/>
        <v>9.1709681232514818E-3</v>
      </c>
    </row>
    <row r="52" spans="1:8" ht="13.5" x14ac:dyDescent="0.25">
      <c r="A52" s="1"/>
      <c r="B52" s="3">
        <v>42377</v>
      </c>
      <c r="C52" s="4">
        <v>21.89</v>
      </c>
      <c r="D52" s="4">
        <v>20.387</v>
      </c>
      <c r="E52" s="4">
        <v>238</v>
      </c>
      <c r="F52" s="4"/>
      <c r="G52" s="4"/>
      <c r="H52" s="5">
        <f t="shared" si="0"/>
        <v>-4.9977061309750105E-3</v>
      </c>
    </row>
    <row r="53" spans="1:8" ht="13.5" x14ac:dyDescent="0.25">
      <c r="A53" s="1"/>
      <c r="B53" s="3">
        <v>42380</v>
      </c>
      <c r="C53" s="4">
        <v>21.25</v>
      </c>
      <c r="D53" s="4">
        <v>19.790900000000001</v>
      </c>
      <c r="E53" s="4">
        <v>214</v>
      </c>
      <c r="F53" s="4"/>
      <c r="G53" s="4"/>
      <c r="H53" s="5">
        <f t="shared" si="0"/>
        <v>-2.9239221072251919E-2</v>
      </c>
    </row>
    <row r="54" spans="1:8" ht="13.5" x14ac:dyDescent="0.25">
      <c r="A54" s="1"/>
      <c r="B54" s="3">
        <v>42381</v>
      </c>
      <c r="C54" s="4">
        <v>21.29</v>
      </c>
      <c r="D54" s="4">
        <v>19.828199999999999</v>
      </c>
      <c r="E54" s="4">
        <v>321</v>
      </c>
      <c r="F54" s="4"/>
      <c r="G54" s="4"/>
      <c r="H54" s="5">
        <f t="shared" si="0"/>
        <v>1.8847045864512646E-3</v>
      </c>
    </row>
    <row r="55" spans="1:8" ht="13.5" x14ac:dyDescent="0.25">
      <c r="A55" s="1"/>
      <c r="B55" s="3">
        <v>42382</v>
      </c>
      <c r="C55" s="4">
        <v>21.29</v>
      </c>
      <c r="D55" s="4">
        <v>19.828199999999999</v>
      </c>
      <c r="E55" s="4">
        <v>650</v>
      </c>
      <c r="F55" s="4"/>
      <c r="G55" s="4"/>
      <c r="H55" s="5">
        <f t="shared" si="0"/>
        <v>0</v>
      </c>
    </row>
    <row r="56" spans="1:8" ht="13.5" x14ac:dyDescent="0.25">
      <c r="A56" s="1"/>
      <c r="B56" s="3">
        <v>42384</v>
      </c>
      <c r="C56" s="4">
        <v>21.32</v>
      </c>
      <c r="D56" s="4">
        <v>19.856100000000001</v>
      </c>
      <c r="E56" s="4">
        <v>210</v>
      </c>
      <c r="F56" s="4"/>
      <c r="G56" s="4"/>
      <c r="H56" s="5">
        <f t="shared" si="0"/>
        <v>1.4070868762672598E-3</v>
      </c>
    </row>
    <row r="57" spans="1:8" ht="13.5" x14ac:dyDescent="0.25">
      <c r="A57" s="1"/>
      <c r="B57" s="3">
        <v>42387</v>
      </c>
      <c r="C57" s="4">
        <v>21.6</v>
      </c>
      <c r="D57" s="4">
        <v>20.116900000000001</v>
      </c>
      <c r="E57" s="4">
        <v>3558</v>
      </c>
      <c r="F57" s="4"/>
      <c r="G57" s="4"/>
      <c r="H57" s="5">
        <f t="shared" si="0"/>
        <v>1.3134502747266567E-2</v>
      </c>
    </row>
    <row r="58" spans="1:8" ht="13.5" x14ac:dyDescent="0.25">
      <c r="A58" s="1"/>
      <c r="B58" s="3">
        <v>42388</v>
      </c>
      <c r="C58" s="4">
        <v>21.62</v>
      </c>
      <c r="D58" s="4">
        <v>20.1355</v>
      </c>
      <c r="E58" s="4">
        <v>9304</v>
      </c>
      <c r="F58" s="4"/>
      <c r="G58" s="4"/>
      <c r="H58" s="5">
        <f t="shared" si="0"/>
        <v>9.2459573791186926E-4</v>
      </c>
    </row>
    <row r="59" spans="1:8" ht="13.5" x14ac:dyDescent="0.25">
      <c r="A59" s="1"/>
      <c r="B59" s="3">
        <v>42389</v>
      </c>
      <c r="C59" s="4">
        <v>22.59</v>
      </c>
      <c r="D59" s="4">
        <v>21.038900000000002</v>
      </c>
      <c r="E59" s="4">
        <v>4530</v>
      </c>
      <c r="F59" s="4"/>
      <c r="G59" s="4"/>
      <c r="H59" s="5">
        <f t="shared" si="0"/>
        <v>4.4866032628939005E-2</v>
      </c>
    </row>
    <row r="60" spans="1:8" ht="13.5" x14ac:dyDescent="0.25">
      <c r="A60" s="1"/>
      <c r="B60" s="3">
        <v>42390</v>
      </c>
      <c r="C60" s="4">
        <v>23.26</v>
      </c>
      <c r="D60" s="4">
        <v>21.6629</v>
      </c>
      <c r="E60" s="4">
        <v>16252</v>
      </c>
      <c r="F60" s="4"/>
      <c r="G60" s="4"/>
      <c r="H60" s="5">
        <f t="shared" si="0"/>
        <v>2.9659345307977068E-2</v>
      </c>
    </row>
    <row r="61" spans="1:8" ht="13.5" x14ac:dyDescent="0.25">
      <c r="A61" s="1"/>
      <c r="B61" s="3">
        <v>42391</v>
      </c>
      <c r="C61" s="4">
        <v>22.49</v>
      </c>
      <c r="D61" s="4">
        <v>20.945799999999998</v>
      </c>
      <c r="E61" s="4">
        <v>8100</v>
      </c>
      <c r="F61" s="4"/>
      <c r="G61" s="4"/>
      <c r="H61" s="5">
        <f t="shared" si="0"/>
        <v>-3.3102677850149427E-2</v>
      </c>
    </row>
    <row r="62" spans="1:8" ht="13.5" x14ac:dyDescent="0.25">
      <c r="A62" s="1"/>
      <c r="B62" s="3">
        <v>42394</v>
      </c>
      <c r="C62" s="4">
        <v>22.8</v>
      </c>
      <c r="D62" s="4">
        <v>21.234500000000001</v>
      </c>
      <c r="E62" s="4">
        <v>13427</v>
      </c>
      <c r="F62" s="4"/>
      <c r="G62" s="4"/>
      <c r="H62" s="5">
        <f t="shared" si="0"/>
        <v>1.3783192811924213E-2</v>
      </c>
    </row>
    <row r="63" spans="1:8" ht="13.5" x14ac:dyDescent="0.25">
      <c r="A63" s="1"/>
      <c r="B63" s="3">
        <v>42395</v>
      </c>
      <c r="C63" s="4">
        <v>22.9</v>
      </c>
      <c r="D63" s="4">
        <v>21.3276</v>
      </c>
      <c r="E63" s="4">
        <v>7520</v>
      </c>
      <c r="F63" s="4"/>
      <c r="G63" s="4"/>
      <c r="H63" s="5">
        <f t="shared" si="0"/>
        <v>4.3843744849183987E-3</v>
      </c>
    </row>
    <row r="64" spans="1:8" ht="13.5" x14ac:dyDescent="0.25">
      <c r="A64" s="1"/>
      <c r="B64" s="3">
        <v>42396</v>
      </c>
      <c r="C64" s="4">
        <v>23.72</v>
      </c>
      <c r="D64" s="4">
        <v>22.0913</v>
      </c>
      <c r="E64" s="4">
        <v>3416</v>
      </c>
      <c r="F64" s="4"/>
      <c r="G64" s="4"/>
      <c r="H64" s="5">
        <f t="shared" si="0"/>
        <v>3.5808060916371273E-2</v>
      </c>
    </row>
    <row r="65" spans="1:8" ht="13.5" x14ac:dyDescent="0.25">
      <c r="A65" s="1"/>
      <c r="B65" s="3">
        <v>42397</v>
      </c>
      <c r="C65" s="4">
        <v>23.73</v>
      </c>
      <c r="D65" s="4">
        <v>22.1007</v>
      </c>
      <c r="E65" s="4">
        <v>5330</v>
      </c>
      <c r="F65" s="4"/>
      <c r="G65" s="4"/>
      <c r="H65" s="5">
        <f t="shared" si="0"/>
        <v>4.2550687374665177E-4</v>
      </c>
    </row>
    <row r="66" spans="1:8" ht="13.5" x14ac:dyDescent="0.25">
      <c r="A66" s="1"/>
      <c r="B66" s="3">
        <v>42398</v>
      </c>
      <c r="C66" s="4">
        <v>24.79</v>
      </c>
      <c r="D66" s="4">
        <v>23.087900000000001</v>
      </c>
      <c r="E66" s="4">
        <v>1100</v>
      </c>
      <c r="F66" s="4"/>
      <c r="G66" s="4"/>
      <c r="H66" s="5">
        <f t="shared" si="0"/>
        <v>4.4668268425887024E-2</v>
      </c>
    </row>
    <row r="67" spans="1:8" ht="13.5" x14ac:dyDescent="0.25">
      <c r="A67" s="1"/>
      <c r="B67" s="3">
        <v>42401</v>
      </c>
      <c r="C67" s="4">
        <v>25.98</v>
      </c>
      <c r="D67" s="4">
        <v>24.196200000000001</v>
      </c>
      <c r="E67" s="4">
        <v>12270</v>
      </c>
      <c r="F67" s="4"/>
      <c r="G67" s="4"/>
      <c r="H67" s="5">
        <f t="shared" si="0"/>
        <v>4.80034996686576E-2</v>
      </c>
    </row>
    <row r="68" spans="1:8" ht="13.5" x14ac:dyDescent="0.25">
      <c r="A68" s="1"/>
      <c r="B68" s="3">
        <v>42402</v>
      </c>
      <c r="C68" s="4">
        <v>25.5</v>
      </c>
      <c r="D68" s="4">
        <v>23.749099999999999</v>
      </c>
      <c r="E68" s="4">
        <v>3026</v>
      </c>
      <c r="F68" s="4"/>
      <c r="G68" s="4"/>
      <c r="H68" s="5">
        <f t="shared" si="0"/>
        <v>-1.8478108132682095E-2</v>
      </c>
    </row>
    <row r="69" spans="1:8" ht="13.5" x14ac:dyDescent="0.25">
      <c r="A69" s="1"/>
      <c r="B69" s="3">
        <v>42403</v>
      </c>
      <c r="C69" s="4">
        <v>25.5</v>
      </c>
      <c r="D69" s="4">
        <v>23.749099999999999</v>
      </c>
      <c r="E69" s="4">
        <v>626</v>
      </c>
      <c r="F69" s="4"/>
      <c r="G69" s="4"/>
      <c r="H69" s="5">
        <f t="shared" si="0"/>
        <v>0</v>
      </c>
    </row>
    <row r="70" spans="1:8" ht="13.5" x14ac:dyDescent="0.25">
      <c r="A70" s="1"/>
      <c r="B70" s="3">
        <v>42404</v>
      </c>
      <c r="C70" s="4">
        <v>25.5</v>
      </c>
      <c r="D70" s="4">
        <v>23.749099999999999</v>
      </c>
      <c r="E70" s="4">
        <v>1590</v>
      </c>
      <c r="F70" s="4"/>
      <c r="G70" s="4"/>
      <c r="H70" s="5">
        <f t="shared" si="0"/>
        <v>0</v>
      </c>
    </row>
    <row r="71" spans="1:8" ht="13.5" x14ac:dyDescent="0.25">
      <c r="A71" s="1"/>
      <c r="B71" s="3">
        <v>42405</v>
      </c>
      <c r="C71" s="4">
        <v>25.5</v>
      </c>
      <c r="D71" s="4">
        <v>23.749099999999999</v>
      </c>
      <c r="E71" s="4">
        <v>0</v>
      </c>
      <c r="F71" s="4"/>
      <c r="G71" s="4"/>
      <c r="H71" s="5">
        <f t="shared" ref="H71:H134" si="1">(D71-D70)/D70</f>
        <v>0</v>
      </c>
    </row>
    <row r="72" spans="1:8" ht="13.5" x14ac:dyDescent="0.25">
      <c r="A72" s="1"/>
      <c r="B72" s="3">
        <v>42408</v>
      </c>
      <c r="C72" s="4">
        <v>24.74</v>
      </c>
      <c r="D72" s="4">
        <v>23.0413</v>
      </c>
      <c r="E72" s="4">
        <v>125</v>
      </c>
      <c r="F72" s="4"/>
      <c r="G72" s="4"/>
      <c r="H72" s="5">
        <f t="shared" si="1"/>
        <v>-2.9803234648891914E-2</v>
      </c>
    </row>
    <row r="73" spans="1:8" ht="13.5" x14ac:dyDescent="0.25">
      <c r="A73" s="1"/>
      <c r="B73" s="3">
        <v>42409</v>
      </c>
      <c r="C73" s="4">
        <v>25</v>
      </c>
      <c r="D73" s="4">
        <v>23.2835</v>
      </c>
      <c r="E73" s="4">
        <v>151</v>
      </c>
      <c r="F73" s="4"/>
      <c r="G73" s="4"/>
      <c r="H73" s="5">
        <f t="shared" si="1"/>
        <v>1.0511559677622375E-2</v>
      </c>
    </row>
    <row r="74" spans="1:8" ht="13.5" x14ac:dyDescent="0.25">
      <c r="A74" s="1"/>
      <c r="B74" s="3">
        <v>42410</v>
      </c>
      <c r="C74" s="4">
        <v>25.5</v>
      </c>
      <c r="D74" s="4">
        <v>23.749099999999999</v>
      </c>
      <c r="E74" s="4">
        <v>8996</v>
      </c>
      <c r="F74" s="4"/>
      <c r="G74" s="4"/>
      <c r="H74" s="5">
        <f t="shared" si="1"/>
        <v>1.9996993579143963E-2</v>
      </c>
    </row>
    <row r="75" spans="1:8" ht="13.5" x14ac:dyDescent="0.25">
      <c r="A75" s="1"/>
      <c r="B75" s="3">
        <v>42411</v>
      </c>
      <c r="C75" s="4">
        <v>25.5</v>
      </c>
      <c r="D75" s="4">
        <v>23.749099999999999</v>
      </c>
      <c r="E75" s="4">
        <v>1070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25.01</v>
      </c>
      <c r="D76" s="4">
        <v>23.2928</v>
      </c>
      <c r="E76" s="4">
        <v>328</v>
      </c>
      <c r="F76" s="4"/>
      <c r="G76" s="4"/>
      <c r="H76" s="5">
        <f t="shared" si="1"/>
        <v>-1.9213359664155646E-2</v>
      </c>
    </row>
    <row r="77" spans="1:8" ht="13.5" x14ac:dyDescent="0.25">
      <c r="A77" s="1"/>
      <c r="B77" s="3">
        <v>42415</v>
      </c>
      <c r="C77" s="4">
        <v>25.75</v>
      </c>
      <c r="D77" s="4">
        <v>23.981999999999999</v>
      </c>
      <c r="E77" s="4">
        <v>941</v>
      </c>
      <c r="F77" s="4"/>
      <c r="G77" s="4"/>
      <c r="H77" s="5">
        <f t="shared" si="1"/>
        <v>2.958854238219534E-2</v>
      </c>
    </row>
    <row r="78" spans="1:8" ht="13.5" x14ac:dyDescent="0.25">
      <c r="A78" s="1"/>
      <c r="B78" s="3">
        <v>42416</v>
      </c>
      <c r="C78" s="4">
        <v>26</v>
      </c>
      <c r="D78" s="4">
        <v>24.2148</v>
      </c>
      <c r="E78" s="4">
        <v>889</v>
      </c>
      <c r="F78" s="4"/>
      <c r="G78" s="4"/>
      <c r="H78" s="5">
        <f t="shared" si="1"/>
        <v>9.7072804603453005E-3</v>
      </c>
    </row>
    <row r="79" spans="1:8" ht="13.5" x14ac:dyDescent="0.25">
      <c r="A79" s="1"/>
      <c r="B79" s="3">
        <v>42417</v>
      </c>
      <c r="C79" s="4">
        <v>26.89</v>
      </c>
      <c r="D79" s="4">
        <v>25.043700000000001</v>
      </c>
      <c r="E79" s="4">
        <v>2222</v>
      </c>
      <c r="F79" s="4"/>
      <c r="G79" s="4"/>
      <c r="H79" s="5">
        <f t="shared" si="1"/>
        <v>3.4231131374200939E-2</v>
      </c>
    </row>
    <row r="80" spans="1:8" ht="13.5" x14ac:dyDescent="0.25">
      <c r="A80" s="1"/>
      <c r="B80" s="3">
        <v>42418</v>
      </c>
      <c r="C80" s="4">
        <v>26.1</v>
      </c>
      <c r="D80" s="4">
        <v>24.3079</v>
      </c>
      <c r="E80" s="4">
        <v>260</v>
      </c>
      <c r="F80" s="4"/>
      <c r="G80" s="4"/>
      <c r="H80" s="5">
        <f t="shared" si="1"/>
        <v>-2.9380642636671141E-2</v>
      </c>
    </row>
    <row r="81" spans="1:8" ht="13.5" x14ac:dyDescent="0.25">
      <c r="A81" s="1"/>
      <c r="B81" s="3">
        <v>42419</v>
      </c>
      <c r="C81" s="4">
        <v>26.1</v>
      </c>
      <c r="D81" s="4">
        <v>24.3079</v>
      </c>
      <c r="E81" s="4">
        <v>1257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42422</v>
      </c>
      <c r="C82" s="4">
        <v>26</v>
      </c>
      <c r="D82" s="4">
        <v>24.2148</v>
      </c>
      <c r="E82" s="4">
        <v>193</v>
      </c>
      <c r="F82" s="4"/>
      <c r="G82" s="4"/>
      <c r="H82" s="5">
        <f t="shared" si="1"/>
        <v>-3.8300305661945187E-3</v>
      </c>
    </row>
    <row r="83" spans="1:8" ht="13.5" x14ac:dyDescent="0.25">
      <c r="A83" s="1"/>
      <c r="B83" s="3">
        <v>42423</v>
      </c>
      <c r="C83" s="4">
        <v>26</v>
      </c>
      <c r="D83" s="4">
        <v>24.2148</v>
      </c>
      <c r="E83" s="4">
        <v>617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26</v>
      </c>
      <c r="D84" s="4">
        <v>24.2148</v>
      </c>
      <c r="E84" s="4">
        <v>1173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42425</v>
      </c>
      <c r="C85" s="4">
        <v>26</v>
      </c>
      <c r="D85" s="4">
        <v>24.2148</v>
      </c>
      <c r="E85" s="4">
        <v>1174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27</v>
      </c>
      <c r="D86" s="4">
        <v>25.146100000000001</v>
      </c>
      <c r="E86" s="4">
        <v>5741</v>
      </c>
      <c r="F86" s="4"/>
      <c r="G86" s="4"/>
      <c r="H86" s="5">
        <f t="shared" si="1"/>
        <v>3.8459950113153951E-2</v>
      </c>
    </row>
    <row r="87" spans="1:8" ht="13.5" x14ac:dyDescent="0.25">
      <c r="A87" s="1"/>
      <c r="B87" s="3">
        <v>42429</v>
      </c>
      <c r="C87" s="4">
        <v>28.1</v>
      </c>
      <c r="D87" s="4">
        <v>26.1706</v>
      </c>
      <c r="E87" s="4">
        <v>5204</v>
      </c>
      <c r="F87" s="4"/>
      <c r="G87" s="4"/>
      <c r="H87" s="5">
        <f t="shared" si="1"/>
        <v>4.0741904311205307E-2</v>
      </c>
    </row>
    <row r="88" spans="1:8" ht="13.5" x14ac:dyDescent="0.25">
      <c r="A88" s="1"/>
      <c r="B88" s="3">
        <v>42430</v>
      </c>
      <c r="C88" s="4">
        <v>29.35</v>
      </c>
      <c r="D88" s="4">
        <v>27.334800000000001</v>
      </c>
      <c r="E88" s="4">
        <v>11647</v>
      </c>
      <c r="F88" s="4"/>
      <c r="G88" s="4"/>
      <c r="H88" s="5">
        <f t="shared" si="1"/>
        <v>4.4485032823091596E-2</v>
      </c>
    </row>
    <row r="89" spans="1:8" ht="13.5" x14ac:dyDescent="0.25">
      <c r="A89" s="1"/>
      <c r="B89" s="3">
        <v>42431</v>
      </c>
      <c r="C89" s="4">
        <v>29.35</v>
      </c>
      <c r="D89" s="4">
        <v>27.334800000000001</v>
      </c>
      <c r="E89" s="4">
        <v>4166</v>
      </c>
      <c r="F89" s="4"/>
      <c r="G89" s="4"/>
      <c r="H89" s="5">
        <f t="shared" si="1"/>
        <v>0</v>
      </c>
    </row>
    <row r="90" spans="1:8" ht="13.5" x14ac:dyDescent="0.25">
      <c r="A90" s="1"/>
      <c r="B90" s="3">
        <v>42432</v>
      </c>
      <c r="C90" s="4">
        <v>29.5</v>
      </c>
      <c r="D90" s="4">
        <v>27.474499999999999</v>
      </c>
      <c r="E90" s="4">
        <v>1160</v>
      </c>
      <c r="F90" s="4"/>
      <c r="G90" s="4"/>
      <c r="H90" s="5">
        <f t="shared" si="1"/>
        <v>5.1107013769991988E-3</v>
      </c>
    </row>
    <row r="91" spans="1:8" ht="13.5" x14ac:dyDescent="0.25">
      <c r="A91" s="1"/>
      <c r="B91" s="3">
        <v>42433</v>
      </c>
      <c r="C91" s="4">
        <v>29.5</v>
      </c>
      <c r="D91" s="4">
        <v>27.474499999999999</v>
      </c>
      <c r="E91" s="4">
        <v>1316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42436</v>
      </c>
      <c r="C92" s="4">
        <v>29.96</v>
      </c>
      <c r="D92" s="4">
        <v>27.902899999999999</v>
      </c>
      <c r="E92" s="4">
        <v>220</v>
      </c>
      <c r="F92" s="4"/>
      <c r="G92" s="4"/>
      <c r="H92" s="5">
        <f t="shared" si="1"/>
        <v>1.5592640448415801E-2</v>
      </c>
    </row>
    <row r="93" spans="1:8" ht="13.5" x14ac:dyDescent="0.25">
      <c r="A93" s="1"/>
      <c r="B93" s="3">
        <v>42437</v>
      </c>
      <c r="C93" s="4">
        <v>29.07</v>
      </c>
      <c r="D93" s="4">
        <v>27.074000000000002</v>
      </c>
      <c r="E93" s="4">
        <v>222</v>
      </c>
      <c r="F93" s="4"/>
      <c r="G93" s="4"/>
      <c r="H93" s="5">
        <f t="shared" si="1"/>
        <v>-2.9706589637636137E-2</v>
      </c>
    </row>
    <row r="94" spans="1:8" ht="13.5" x14ac:dyDescent="0.25">
      <c r="A94" s="1"/>
      <c r="B94" s="3">
        <v>42438</v>
      </c>
      <c r="C94" s="4">
        <v>28.32</v>
      </c>
      <c r="D94" s="4">
        <v>26.375499999999999</v>
      </c>
      <c r="E94" s="4">
        <v>482</v>
      </c>
      <c r="F94" s="4"/>
      <c r="G94" s="4"/>
      <c r="H94" s="5">
        <f t="shared" si="1"/>
        <v>-2.5799660190588859E-2</v>
      </c>
    </row>
    <row r="95" spans="1:8" ht="13.5" x14ac:dyDescent="0.25">
      <c r="A95" s="1"/>
      <c r="B95" s="3">
        <v>42439</v>
      </c>
      <c r="C95" s="4">
        <v>28.99</v>
      </c>
      <c r="D95" s="4">
        <v>26.999500000000001</v>
      </c>
      <c r="E95" s="4">
        <v>2838</v>
      </c>
      <c r="F95" s="4"/>
      <c r="G95" s="4"/>
      <c r="H95" s="5">
        <f t="shared" si="1"/>
        <v>2.3658319273568363E-2</v>
      </c>
    </row>
    <row r="96" spans="1:8" ht="13.5" x14ac:dyDescent="0.25">
      <c r="A96" s="1"/>
      <c r="B96" s="3">
        <v>42440</v>
      </c>
      <c r="C96" s="4">
        <v>29</v>
      </c>
      <c r="D96" s="4">
        <v>27.008800000000001</v>
      </c>
      <c r="E96" s="4">
        <v>1863</v>
      </c>
      <c r="F96" s="4"/>
      <c r="G96" s="4"/>
      <c r="H96" s="5">
        <f t="shared" si="1"/>
        <v>3.4445082316337866E-4</v>
      </c>
    </row>
    <row r="97" spans="1:8" ht="13.5" x14ac:dyDescent="0.25">
      <c r="A97" s="1"/>
      <c r="B97" s="3">
        <v>42443</v>
      </c>
      <c r="C97" s="4">
        <v>29</v>
      </c>
      <c r="D97" s="4">
        <v>27.008800000000001</v>
      </c>
      <c r="E97" s="4">
        <v>5895</v>
      </c>
      <c r="F97" s="4"/>
      <c r="G97" s="4"/>
      <c r="H97" s="5">
        <f t="shared" si="1"/>
        <v>0</v>
      </c>
    </row>
    <row r="98" spans="1:8" ht="13.5" x14ac:dyDescent="0.25">
      <c r="A98" s="1"/>
      <c r="B98" s="3">
        <v>42444</v>
      </c>
      <c r="C98" s="4">
        <v>28.41</v>
      </c>
      <c r="D98" s="4">
        <v>26.459299999999999</v>
      </c>
      <c r="E98" s="4">
        <v>665</v>
      </c>
      <c r="F98" s="4"/>
      <c r="G98" s="4"/>
      <c r="H98" s="5">
        <f t="shared" si="1"/>
        <v>-2.0345220816918998E-2</v>
      </c>
    </row>
    <row r="99" spans="1:8" ht="13.5" x14ac:dyDescent="0.25">
      <c r="A99" s="1"/>
      <c r="B99" s="3">
        <v>42445</v>
      </c>
      <c r="C99" s="4">
        <v>28.98</v>
      </c>
      <c r="D99" s="4">
        <v>26.990200000000002</v>
      </c>
      <c r="E99" s="4">
        <v>550</v>
      </c>
      <c r="F99" s="4"/>
      <c r="G99" s="4"/>
      <c r="H99" s="5">
        <f t="shared" si="1"/>
        <v>2.0064778735643142E-2</v>
      </c>
    </row>
    <row r="100" spans="1:8" ht="13.5" x14ac:dyDescent="0.25">
      <c r="A100" s="1"/>
      <c r="B100" s="3">
        <v>42446</v>
      </c>
      <c r="C100" s="4">
        <v>28.55</v>
      </c>
      <c r="D100" s="4">
        <v>26.589700000000001</v>
      </c>
      <c r="E100" s="4">
        <v>250</v>
      </c>
      <c r="F100" s="4"/>
      <c r="G100" s="4"/>
      <c r="H100" s="5">
        <f t="shared" si="1"/>
        <v>-1.483871923883487E-2</v>
      </c>
    </row>
    <row r="101" spans="1:8" ht="13.5" x14ac:dyDescent="0.25">
      <c r="A101" s="1"/>
      <c r="B101" s="3">
        <v>42447</v>
      </c>
      <c r="C101" s="4">
        <v>28.55</v>
      </c>
      <c r="D101" s="4">
        <v>26.589700000000001</v>
      </c>
      <c r="E101" s="4">
        <v>310</v>
      </c>
      <c r="F101" s="4"/>
      <c r="G101" s="4"/>
      <c r="H101" s="5">
        <f t="shared" si="1"/>
        <v>0</v>
      </c>
    </row>
    <row r="102" spans="1:8" ht="13.5" x14ac:dyDescent="0.25">
      <c r="A102" s="1"/>
      <c r="B102" s="3">
        <v>42450</v>
      </c>
      <c r="C102" s="4">
        <v>28.55</v>
      </c>
      <c r="D102" s="4">
        <v>26.589700000000001</v>
      </c>
      <c r="E102" s="4">
        <v>0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42451</v>
      </c>
      <c r="C103" s="4">
        <v>28.5</v>
      </c>
      <c r="D103" s="4">
        <v>26.543099999999999</v>
      </c>
      <c r="E103" s="4">
        <v>695</v>
      </c>
      <c r="F103" s="4"/>
      <c r="G103" s="4"/>
      <c r="H103" s="5">
        <f t="shared" si="1"/>
        <v>-1.7525583214553578E-3</v>
      </c>
    </row>
    <row r="104" spans="1:8" ht="13.5" x14ac:dyDescent="0.25">
      <c r="A104" s="1"/>
      <c r="B104" s="3">
        <v>42452</v>
      </c>
      <c r="C104" s="4">
        <v>28.5</v>
      </c>
      <c r="D104" s="4">
        <v>26.543099999999999</v>
      </c>
      <c r="E104" s="4">
        <v>2195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28.82</v>
      </c>
      <c r="D105" s="4">
        <v>26.841200000000001</v>
      </c>
      <c r="E105" s="4">
        <v>441</v>
      </c>
      <c r="F105" s="4"/>
      <c r="G105" s="4"/>
      <c r="H105" s="5">
        <f t="shared" si="1"/>
        <v>1.1230790676296348E-2</v>
      </c>
    </row>
    <row r="106" spans="1:8" ht="13.5" x14ac:dyDescent="0.25">
      <c r="A106" s="1"/>
      <c r="B106" s="3">
        <v>42454</v>
      </c>
      <c r="C106" s="4">
        <v>29</v>
      </c>
      <c r="D106" s="4">
        <v>27.008800000000001</v>
      </c>
      <c r="E106" s="4">
        <v>75</v>
      </c>
      <c r="F106" s="4"/>
      <c r="G106" s="4"/>
      <c r="H106" s="5">
        <f t="shared" si="1"/>
        <v>6.2441321550452357E-3</v>
      </c>
    </row>
    <row r="107" spans="1:8" ht="13.5" x14ac:dyDescent="0.25">
      <c r="A107" s="1"/>
      <c r="B107" s="3">
        <v>42457</v>
      </c>
      <c r="C107" s="4">
        <v>29</v>
      </c>
      <c r="D107" s="4">
        <v>27.008800000000001</v>
      </c>
      <c r="E107" s="4">
        <v>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28.7</v>
      </c>
      <c r="D108" s="4">
        <v>26.729399999999998</v>
      </c>
      <c r="E108" s="4">
        <v>30</v>
      </c>
      <c r="F108" s="4"/>
      <c r="G108" s="4"/>
      <c r="H108" s="5">
        <f t="shared" si="1"/>
        <v>-1.034477651728335E-2</v>
      </c>
    </row>
    <row r="109" spans="1:8" ht="13.5" x14ac:dyDescent="0.25">
      <c r="A109" s="1"/>
      <c r="B109" s="3">
        <v>42459</v>
      </c>
      <c r="C109" s="4">
        <v>28.69</v>
      </c>
      <c r="D109" s="4">
        <v>26.720099999999999</v>
      </c>
      <c r="E109" s="4">
        <v>405</v>
      </c>
      <c r="F109" s="4"/>
      <c r="G109" s="4"/>
      <c r="H109" s="5">
        <f t="shared" si="1"/>
        <v>-3.4793149116701618E-4</v>
      </c>
    </row>
    <row r="110" spans="1:8" ht="13.5" x14ac:dyDescent="0.25">
      <c r="A110" s="1"/>
      <c r="B110" s="3">
        <v>42460</v>
      </c>
      <c r="C110" s="4">
        <v>28.33</v>
      </c>
      <c r="D110" s="4">
        <v>26.384799999999998</v>
      </c>
      <c r="E110" s="4">
        <v>285</v>
      </c>
      <c r="F110" s="4"/>
      <c r="G110" s="4"/>
      <c r="H110" s="5">
        <f t="shared" si="1"/>
        <v>-1.2548605731265983E-2</v>
      </c>
    </row>
    <row r="111" spans="1:8" ht="13.5" x14ac:dyDescent="0.25">
      <c r="A111" s="1"/>
      <c r="B111" s="3">
        <v>42461</v>
      </c>
      <c r="C111" s="4">
        <v>28.33</v>
      </c>
      <c r="D111" s="4">
        <v>26.384799999999998</v>
      </c>
      <c r="E111" s="4">
        <v>0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27.49</v>
      </c>
      <c r="D112" s="4">
        <v>25.602499999999999</v>
      </c>
      <c r="E112" s="4">
        <v>200</v>
      </c>
      <c r="F112" s="4"/>
      <c r="G112" s="4"/>
      <c r="H112" s="5">
        <f t="shared" si="1"/>
        <v>-2.9649646766319978E-2</v>
      </c>
    </row>
    <row r="113" spans="1:8" ht="13.5" x14ac:dyDescent="0.25">
      <c r="A113" s="1"/>
      <c r="B113" s="3">
        <v>42465</v>
      </c>
      <c r="C113" s="4">
        <v>28.33</v>
      </c>
      <c r="D113" s="4">
        <v>26.384799999999998</v>
      </c>
      <c r="E113" s="4">
        <v>236</v>
      </c>
      <c r="F113" s="4"/>
      <c r="G113" s="4"/>
      <c r="H113" s="5">
        <f t="shared" si="1"/>
        <v>3.055560980373008E-2</v>
      </c>
    </row>
    <row r="114" spans="1:8" ht="13.5" x14ac:dyDescent="0.25">
      <c r="A114" s="1"/>
      <c r="B114" s="3">
        <v>42466</v>
      </c>
      <c r="C114" s="4">
        <v>27.83</v>
      </c>
      <c r="D114" s="4">
        <v>25.9191</v>
      </c>
      <c r="E114" s="4">
        <v>510</v>
      </c>
      <c r="F114" s="4"/>
      <c r="G114" s="4"/>
      <c r="H114" s="5">
        <f t="shared" si="1"/>
        <v>-1.7650313817046112E-2</v>
      </c>
    </row>
    <row r="115" spans="1:8" ht="13.5" x14ac:dyDescent="0.25">
      <c r="A115" s="1"/>
      <c r="B115" s="3">
        <v>42467</v>
      </c>
      <c r="C115" s="4">
        <v>28</v>
      </c>
      <c r="D115" s="4">
        <v>26.077500000000001</v>
      </c>
      <c r="E115" s="4">
        <v>90</v>
      </c>
      <c r="F115" s="4"/>
      <c r="G115" s="4"/>
      <c r="H115" s="5">
        <f t="shared" si="1"/>
        <v>6.1113233098371595E-3</v>
      </c>
    </row>
    <row r="116" spans="1:8" ht="13.5" x14ac:dyDescent="0.25">
      <c r="A116" s="1"/>
      <c r="B116" s="3">
        <v>42468</v>
      </c>
      <c r="C116" s="4">
        <v>28.01</v>
      </c>
      <c r="D116" s="4">
        <v>26.0868</v>
      </c>
      <c r="E116" s="4">
        <v>180</v>
      </c>
      <c r="F116" s="4"/>
      <c r="G116" s="4"/>
      <c r="H116" s="5">
        <f t="shared" si="1"/>
        <v>3.5662927811330232E-4</v>
      </c>
    </row>
    <row r="117" spans="1:8" ht="13.5" x14ac:dyDescent="0.25">
      <c r="A117" s="1"/>
      <c r="B117" s="3">
        <v>42471</v>
      </c>
      <c r="C117" s="4">
        <v>28.01</v>
      </c>
      <c r="D117" s="4">
        <v>26.0868</v>
      </c>
      <c r="E117" s="4">
        <v>2420</v>
      </c>
      <c r="F117" s="4"/>
      <c r="G117" s="4"/>
      <c r="H117" s="5">
        <f t="shared" si="1"/>
        <v>0</v>
      </c>
    </row>
    <row r="118" spans="1:8" ht="13.5" x14ac:dyDescent="0.25">
      <c r="A118" s="1"/>
      <c r="B118" s="3">
        <v>42472</v>
      </c>
      <c r="C118" s="4">
        <v>28.7</v>
      </c>
      <c r="D118" s="4">
        <v>26.729399999999998</v>
      </c>
      <c r="E118" s="4">
        <v>10</v>
      </c>
      <c r="F118" s="4"/>
      <c r="G118" s="4"/>
      <c r="H118" s="5">
        <f t="shared" si="1"/>
        <v>2.4633147798886718E-2</v>
      </c>
    </row>
    <row r="119" spans="1:8" ht="13.5" x14ac:dyDescent="0.25">
      <c r="A119" s="1"/>
      <c r="B119" s="3">
        <v>42473</v>
      </c>
      <c r="C119" s="4">
        <v>28.21</v>
      </c>
      <c r="D119" s="4">
        <v>26.273099999999999</v>
      </c>
      <c r="E119" s="4">
        <v>725</v>
      </c>
      <c r="F119" s="4"/>
      <c r="G119" s="4"/>
      <c r="H119" s="5">
        <f t="shared" si="1"/>
        <v>-1.7071090260162923E-2</v>
      </c>
    </row>
    <row r="120" spans="1:8" ht="13.5" x14ac:dyDescent="0.25">
      <c r="A120" s="1"/>
      <c r="B120" s="3">
        <v>42474</v>
      </c>
      <c r="C120" s="4">
        <v>28.5</v>
      </c>
      <c r="D120" s="4">
        <v>26.543099999999999</v>
      </c>
      <c r="E120" s="4">
        <v>10</v>
      </c>
      <c r="F120" s="4"/>
      <c r="G120" s="4"/>
      <c r="H120" s="5">
        <f t="shared" si="1"/>
        <v>1.0276670815396721E-2</v>
      </c>
    </row>
    <row r="121" spans="1:8" ht="13.5" x14ac:dyDescent="0.25">
      <c r="A121" s="1"/>
      <c r="B121" s="3">
        <v>42475</v>
      </c>
      <c r="C121" s="4">
        <v>28</v>
      </c>
      <c r="D121" s="4">
        <v>26.077500000000001</v>
      </c>
      <c r="E121" s="4">
        <v>200</v>
      </c>
      <c r="F121" s="4"/>
      <c r="G121" s="4"/>
      <c r="H121" s="5">
        <f t="shared" si="1"/>
        <v>-1.7541281915073918E-2</v>
      </c>
    </row>
    <row r="122" spans="1:8" ht="13.5" x14ac:dyDescent="0.25">
      <c r="A122" s="1"/>
      <c r="B122" s="3">
        <v>42478</v>
      </c>
      <c r="C122" s="4">
        <v>27.5</v>
      </c>
      <c r="D122" s="4">
        <v>25.611799999999999</v>
      </c>
      <c r="E122" s="4">
        <v>125</v>
      </c>
      <c r="F122" s="4"/>
      <c r="G122" s="4"/>
      <c r="H122" s="5">
        <f t="shared" si="1"/>
        <v>-1.7858306969609886E-2</v>
      </c>
    </row>
    <row r="123" spans="1:8" ht="13.5" x14ac:dyDescent="0.25">
      <c r="A123" s="1"/>
      <c r="B123" s="3">
        <v>42479</v>
      </c>
      <c r="C123" s="4">
        <v>28.29</v>
      </c>
      <c r="D123" s="4">
        <v>26.3476</v>
      </c>
      <c r="E123" s="4">
        <v>50</v>
      </c>
      <c r="F123" s="4"/>
      <c r="G123" s="4"/>
      <c r="H123" s="5">
        <f t="shared" si="1"/>
        <v>2.8728945251798043E-2</v>
      </c>
    </row>
    <row r="124" spans="1:8" ht="13.5" x14ac:dyDescent="0.25">
      <c r="A124" s="1"/>
      <c r="B124" s="3">
        <v>42480</v>
      </c>
      <c r="C124" s="4">
        <v>27.2</v>
      </c>
      <c r="D124" s="4">
        <v>25.3324</v>
      </c>
      <c r="E124" s="4">
        <v>420</v>
      </c>
      <c r="F124" s="4"/>
      <c r="G124" s="4"/>
      <c r="H124" s="5">
        <f t="shared" si="1"/>
        <v>-3.8531023698553192E-2</v>
      </c>
    </row>
    <row r="125" spans="1:8" ht="13.5" x14ac:dyDescent="0.25">
      <c r="A125" s="1"/>
      <c r="B125" s="3">
        <v>42481</v>
      </c>
      <c r="C125" s="4">
        <v>28.01</v>
      </c>
      <c r="D125" s="4">
        <v>26.0868</v>
      </c>
      <c r="E125" s="4">
        <v>56</v>
      </c>
      <c r="F125" s="4"/>
      <c r="G125" s="4"/>
      <c r="H125" s="5">
        <f t="shared" si="1"/>
        <v>2.9780044527956309E-2</v>
      </c>
    </row>
    <row r="126" spans="1:8" ht="13.5" x14ac:dyDescent="0.25">
      <c r="A126" s="1"/>
      <c r="B126" s="3">
        <v>42482</v>
      </c>
      <c r="C126" s="4">
        <v>28.01</v>
      </c>
      <c r="D126" s="4">
        <v>26.0868</v>
      </c>
      <c r="E126" s="4">
        <v>0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42485</v>
      </c>
      <c r="C127" s="4">
        <v>27.25</v>
      </c>
      <c r="D127" s="4">
        <v>25.379000000000001</v>
      </c>
      <c r="E127" s="4">
        <v>350</v>
      </c>
      <c r="F127" s="4"/>
      <c r="G127" s="4"/>
      <c r="H127" s="5">
        <f t="shared" si="1"/>
        <v>-2.7132496128310059E-2</v>
      </c>
    </row>
    <row r="128" spans="1:8" ht="13.5" x14ac:dyDescent="0.25">
      <c r="A128" s="1"/>
      <c r="B128" s="3">
        <v>42486</v>
      </c>
      <c r="C128" s="4">
        <v>27.25</v>
      </c>
      <c r="D128" s="4">
        <v>25.379000000000001</v>
      </c>
      <c r="E128" s="4">
        <v>0</v>
      </c>
      <c r="F128" s="4"/>
      <c r="G128" s="4"/>
      <c r="H128" s="5">
        <f t="shared" si="1"/>
        <v>0</v>
      </c>
    </row>
    <row r="129" spans="1:8" ht="13.5" x14ac:dyDescent="0.25">
      <c r="A129" s="1"/>
      <c r="B129" s="3">
        <v>42487</v>
      </c>
      <c r="C129" s="4">
        <v>27.25</v>
      </c>
      <c r="D129" s="4">
        <v>25.379000000000001</v>
      </c>
      <c r="E129" s="4">
        <v>0</v>
      </c>
      <c r="F129" s="4"/>
      <c r="G129" s="4"/>
      <c r="H129" s="5">
        <f t="shared" si="1"/>
        <v>0</v>
      </c>
    </row>
    <row r="130" spans="1:8" ht="13.5" x14ac:dyDescent="0.25">
      <c r="A130" s="1"/>
      <c r="B130" s="3">
        <v>42488</v>
      </c>
      <c r="C130" s="4">
        <v>27.8</v>
      </c>
      <c r="D130" s="4">
        <v>25.891200000000001</v>
      </c>
      <c r="E130" s="4">
        <v>817</v>
      </c>
      <c r="F130" s="4"/>
      <c r="G130" s="4"/>
      <c r="H130" s="5">
        <f t="shared" si="1"/>
        <v>2.0182040269514163E-2</v>
      </c>
    </row>
    <row r="131" spans="1:8" ht="13.5" x14ac:dyDescent="0.25">
      <c r="A131" s="1"/>
      <c r="B131" s="3">
        <v>42489</v>
      </c>
      <c r="C131" s="4">
        <v>27.8</v>
      </c>
      <c r="D131" s="4">
        <v>25.891200000000001</v>
      </c>
      <c r="E131" s="4">
        <v>0</v>
      </c>
      <c r="F131" s="4"/>
      <c r="G131" s="4"/>
      <c r="H131" s="5">
        <f t="shared" si="1"/>
        <v>0</v>
      </c>
    </row>
    <row r="132" spans="1:8" ht="13.5" x14ac:dyDescent="0.25">
      <c r="A132" s="1"/>
      <c r="B132" s="3">
        <v>42492</v>
      </c>
      <c r="C132" s="4">
        <v>27.63</v>
      </c>
      <c r="D132" s="4">
        <v>25.732900000000001</v>
      </c>
      <c r="E132" s="4">
        <v>64</v>
      </c>
      <c r="F132" s="4"/>
      <c r="G132" s="4"/>
      <c r="H132" s="5">
        <f t="shared" si="1"/>
        <v>-6.1140464713879831E-3</v>
      </c>
    </row>
    <row r="133" spans="1:8" ht="13.5" x14ac:dyDescent="0.25">
      <c r="A133" s="1"/>
      <c r="B133" s="3">
        <v>42493</v>
      </c>
      <c r="C133" s="4">
        <v>27.63</v>
      </c>
      <c r="D133" s="4">
        <v>25.732900000000001</v>
      </c>
      <c r="E133" s="4">
        <v>100</v>
      </c>
      <c r="F133" s="4"/>
      <c r="G133" s="4"/>
      <c r="H133" s="5">
        <f t="shared" si="1"/>
        <v>0</v>
      </c>
    </row>
    <row r="134" spans="1:8" ht="13.5" x14ac:dyDescent="0.25">
      <c r="A134" s="1"/>
      <c r="B134" s="3">
        <v>42494</v>
      </c>
      <c r="C134" s="4">
        <v>27.63</v>
      </c>
      <c r="D134" s="4">
        <v>25.732900000000001</v>
      </c>
      <c r="E134" s="4">
        <v>0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27</v>
      </c>
      <c r="D135" s="4">
        <v>25.146100000000001</v>
      </c>
      <c r="E135" s="4">
        <v>195</v>
      </c>
      <c r="F135" s="4"/>
      <c r="G135" s="4"/>
      <c r="H135" s="5">
        <f t="shared" ref="H135:H198" si="2">(D135-D134)/D134</f>
        <v>-2.2803492804930662E-2</v>
      </c>
    </row>
    <row r="136" spans="1:8" ht="13.5" x14ac:dyDescent="0.25">
      <c r="A136" s="1"/>
      <c r="B136" s="3">
        <v>42496</v>
      </c>
      <c r="C136" s="4">
        <v>27</v>
      </c>
      <c r="D136" s="4">
        <v>25.146100000000001</v>
      </c>
      <c r="E136" s="4">
        <v>200</v>
      </c>
      <c r="F136" s="4"/>
      <c r="G136" s="4"/>
      <c r="H136" s="5">
        <f t="shared" si="2"/>
        <v>0</v>
      </c>
    </row>
    <row r="137" spans="1:8" ht="13.5" x14ac:dyDescent="0.25">
      <c r="A137" s="1"/>
      <c r="B137" s="3">
        <v>42499</v>
      </c>
      <c r="C137" s="4">
        <v>27</v>
      </c>
      <c r="D137" s="4">
        <v>25.146100000000001</v>
      </c>
      <c r="E137" s="4">
        <v>0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27</v>
      </c>
      <c r="D138" s="4">
        <v>25.146100000000001</v>
      </c>
      <c r="E138" s="4">
        <v>272</v>
      </c>
      <c r="F138" s="4"/>
      <c r="G138" s="4"/>
      <c r="H138" s="5">
        <f t="shared" si="2"/>
        <v>0</v>
      </c>
    </row>
    <row r="139" spans="1:8" ht="13.5" x14ac:dyDescent="0.25">
      <c r="A139" s="1"/>
      <c r="B139" s="3">
        <v>42501</v>
      </c>
      <c r="C139" s="4">
        <v>27</v>
      </c>
      <c r="D139" s="4">
        <v>25.146100000000001</v>
      </c>
      <c r="E139" s="4">
        <v>508</v>
      </c>
      <c r="F139" s="4"/>
      <c r="G139" s="4"/>
      <c r="H139" s="5">
        <f t="shared" si="2"/>
        <v>0</v>
      </c>
    </row>
    <row r="140" spans="1:8" ht="13.5" x14ac:dyDescent="0.25">
      <c r="A140" s="1"/>
      <c r="B140" s="3">
        <v>42502</v>
      </c>
      <c r="C140" s="4">
        <v>26.6</v>
      </c>
      <c r="D140" s="4">
        <v>24.773599999999998</v>
      </c>
      <c r="E140" s="4">
        <v>255</v>
      </c>
      <c r="F140" s="4"/>
      <c r="G140" s="4"/>
      <c r="H140" s="5">
        <f t="shared" si="2"/>
        <v>-1.481343031324946E-2</v>
      </c>
    </row>
    <row r="141" spans="1:8" ht="13.5" x14ac:dyDescent="0.25">
      <c r="A141" s="1"/>
      <c r="B141" s="3">
        <v>42503</v>
      </c>
      <c r="C141" s="4">
        <v>26.6</v>
      </c>
      <c r="D141" s="4">
        <v>24.773599999999998</v>
      </c>
      <c r="E141" s="4">
        <v>523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42506</v>
      </c>
      <c r="C142" s="4">
        <v>26.59</v>
      </c>
      <c r="D142" s="4">
        <v>24.764299999999999</v>
      </c>
      <c r="E142" s="4">
        <v>50</v>
      </c>
      <c r="F142" s="4"/>
      <c r="G142" s="4"/>
      <c r="H142" s="5">
        <f t="shared" si="2"/>
        <v>-3.7539961894918954E-4</v>
      </c>
    </row>
    <row r="143" spans="1:8" ht="13.5" x14ac:dyDescent="0.25">
      <c r="A143" s="1"/>
      <c r="B143" s="3">
        <v>42507</v>
      </c>
      <c r="C143" s="4">
        <v>25.8</v>
      </c>
      <c r="D143" s="4">
        <v>24.028500000000001</v>
      </c>
      <c r="E143" s="4">
        <v>50</v>
      </c>
      <c r="F143" s="4"/>
      <c r="G143" s="4"/>
      <c r="H143" s="5">
        <f t="shared" si="2"/>
        <v>-2.971212592320387E-2</v>
      </c>
    </row>
    <row r="144" spans="1:8" ht="13.5" x14ac:dyDescent="0.25">
      <c r="A144" s="1"/>
      <c r="B144" s="3">
        <v>42508</v>
      </c>
      <c r="C144" s="4">
        <v>25.8</v>
      </c>
      <c r="D144" s="4">
        <v>24.028500000000001</v>
      </c>
      <c r="E144" s="4">
        <v>695</v>
      </c>
      <c r="F144" s="4"/>
      <c r="G144" s="4"/>
      <c r="H144" s="5">
        <f t="shared" si="2"/>
        <v>0</v>
      </c>
    </row>
    <row r="145" spans="1:8" ht="13.5" x14ac:dyDescent="0.25">
      <c r="A145" s="1"/>
      <c r="B145" s="3">
        <v>42509</v>
      </c>
      <c r="C145" s="4">
        <v>25.2</v>
      </c>
      <c r="D145" s="4">
        <v>23.4697</v>
      </c>
      <c r="E145" s="4">
        <v>4002</v>
      </c>
      <c r="F145" s="4"/>
      <c r="G145" s="4"/>
      <c r="H145" s="5">
        <f t="shared" si="2"/>
        <v>-2.3255717169194976E-2</v>
      </c>
    </row>
    <row r="146" spans="1:8" ht="13.5" x14ac:dyDescent="0.25">
      <c r="A146" s="1"/>
      <c r="B146" s="3">
        <v>42510</v>
      </c>
      <c r="C146" s="4">
        <v>25.3</v>
      </c>
      <c r="D146" s="4">
        <v>23.562899999999999</v>
      </c>
      <c r="E146" s="4">
        <v>540</v>
      </c>
      <c r="F146" s="4"/>
      <c r="G146" s="4"/>
      <c r="H146" s="5">
        <f t="shared" si="2"/>
        <v>3.9710776021849243E-3</v>
      </c>
    </row>
    <row r="147" spans="1:8" ht="13.5" x14ac:dyDescent="0.25">
      <c r="A147" s="1"/>
      <c r="B147" s="3">
        <v>42513</v>
      </c>
      <c r="C147" s="4">
        <v>25.8</v>
      </c>
      <c r="D147" s="4">
        <v>24.028500000000001</v>
      </c>
      <c r="E147" s="4">
        <v>230</v>
      </c>
      <c r="F147" s="4"/>
      <c r="G147" s="4"/>
      <c r="H147" s="5">
        <f t="shared" si="2"/>
        <v>1.9759876755407951E-2</v>
      </c>
    </row>
    <row r="148" spans="1:8" ht="13.5" x14ac:dyDescent="0.25">
      <c r="A148" s="1"/>
      <c r="B148" s="3">
        <v>42514</v>
      </c>
      <c r="C148" s="4">
        <v>25.1</v>
      </c>
      <c r="D148" s="4">
        <v>23.3766</v>
      </c>
      <c r="E148" s="4">
        <v>1350</v>
      </c>
      <c r="F148" s="4"/>
      <c r="G148" s="4"/>
      <c r="H148" s="5">
        <f t="shared" si="2"/>
        <v>-2.7130282789187891E-2</v>
      </c>
    </row>
    <row r="149" spans="1:8" ht="13.5" x14ac:dyDescent="0.25">
      <c r="A149" s="1"/>
      <c r="B149" s="3">
        <v>42515</v>
      </c>
      <c r="C149" s="4">
        <v>25.8</v>
      </c>
      <c r="D149" s="4">
        <v>24.028500000000001</v>
      </c>
      <c r="E149" s="4">
        <v>26</v>
      </c>
      <c r="F149" s="4"/>
      <c r="G149" s="4"/>
      <c r="H149" s="5">
        <f t="shared" si="2"/>
        <v>2.7886861220194608E-2</v>
      </c>
    </row>
    <row r="150" spans="1:8" ht="13.5" x14ac:dyDescent="0.25">
      <c r="A150" s="1"/>
      <c r="B150" s="3">
        <v>42516</v>
      </c>
      <c r="C150" s="4">
        <v>25.8</v>
      </c>
      <c r="D150" s="4">
        <v>24.028500000000001</v>
      </c>
      <c r="E150" s="4">
        <v>0</v>
      </c>
      <c r="F150" s="4"/>
      <c r="G150" s="4"/>
      <c r="H150" s="5">
        <f t="shared" si="2"/>
        <v>0</v>
      </c>
    </row>
    <row r="151" spans="1:8" ht="13.5" x14ac:dyDescent="0.25">
      <c r="A151" s="1"/>
      <c r="B151" s="3">
        <v>42517</v>
      </c>
      <c r="C151" s="4">
        <v>25.03</v>
      </c>
      <c r="D151" s="4">
        <v>23.311399999999999</v>
      </c>
      <c r="E151" s="4">
        <v>1478</v>
      </c>
      <c r="F151" s="4"/>
      <c r="G151" s="4"/>
      <c r="H151" s="5">
        <f t="shared" si="2"/>
        <v>-2.9843727240568576E-2</v>
      </c>
    </row>
    <row r="152" spans="1:8" ht="13.5" x14ac:dyDescent="0.25">
      <c r="A152" s="1"/>
      <c r="B152" s="3">
        <v>42520</v>
      </c>
      <c r="C152" s="4">
        <v>25</v>
      </c>
      <c r="D152" s="4">
        <v>23.2835</v>
      </c>
      <c r="E152" s="4">
        <v>315</v>
      </c>
      <c r="F152" s="4"/>
      <c r="G152" s="4"/>
      <c r="H152" s="5">
        <f t="shared" si="2"/>
        <v>-1.1968393146700295E-3</v>
      </c>
    </row>
    <row r="153" spans="1:8" ht="13.5" x14ac:dyDescent="0.25">
      <c r="A153" s="1"/>
      <c r="B153" s="3">
        <v>42521</v>
      </c>
      <c r="C153" s="4">
        <v>25</v>
      </c>
      <c r="D153" s="4">
        <v>23.2835</v>
      </c>
      <c r="E153" s="4">
        <v>0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25.75</v>
      </c>
      <c r="D154" s="4">
        <v>23.981999999999999</v>
      </c>
      <c r="E154" s="4">
        <v>4</v>
      </c>
      <c r="F154" s="4"/>
      <c r="G154" s="4"/>
      <c r="H154" s="5">
        <f t="shared" si="2"/>
        <v>2.9999785255653111E-2</v>
      </c>
    </row>
    <row r="155" spans="1:8" ht="13.5" x14ac:dyDescent="0.25">
      <c r="A155" s="1"/>
      <c r="B155" s="3">
        <v>42523</v>
      </c>
      <c r="C155" s="4">
        <v>25.79</v>
      </c>
      <c r="D155" s="4">
        <v>24.019200000000001</v>
      </c>
      <c r="E155" s="4">
        <v>215</v>
      </c>
      <c r="F155" s="4"/>
      <c r="G155" s="4"/>
      <c r="H155" s="5">
        <f t="shared" si="2"/>
        <v>1.5511633725294855E-3</v>
      </c>
    </row>
    <row r="156" spans="1:8" ht="13.5" x14ac:dyDescent="0.25">
      <c r="A156" s="1"/>
      <c r="B156" s="3">
        <v>42524</v>
      </c>
      <c r="C156" s="4">
        <v>25.79</v>
      </c>
      <c r="D156" s="4">
        <v>24.019200000000001</v>
      </c>
      <c r="E156" s="4">
        <v>0</v>
      </c>
      <c r="F156" s="4"/>
      <c r="G156" s="4"/>
      <c r="H156" s="5">
        <f t="shared" si="2"/>
        <v>0</v>
      </c>
    </row>
    <row r="157" spans="1:8" ht="13.5" x14ac:dyDescent="0.25">
      <c r="A157" s="1"/>
      <c r="B157" s="3">
        <v>42527</v>
      </c>
      <c r="C157" s="4">
        <v>25.79</v>
      </c>
      <c r="D157" s="4">
        <v>24.019200000000001</v>
      </c>
      <c r="E157" s="4">
        <v>0</v>
      </c>
      <c r="F157" s="4"/>
      <c r="G157" s="4"/>
      <c r="H157" s="5">
        <f t="shared" si="2"/>
        <v>0</v>
      </c>
    </row>
    <row r="158" spans="1:8" ht="13.5" x14ac:dyDescent="0.25">
      <c r="A158" s="1"/>
      <c r="B158" s="3">
        <v>42528</v>
      </c>
      <c r="C158" s="4">
        <v>24.63</v>
      </c>
      <c r="D158" s="4">
        <v>22.9389</v>
      </c>
      <c r="E158" s="4">
        <v>780</v>
      </c>
      <c r="F158" s="4"/>
      <c r="G158" s="4"/>
      <c r="H158" s="5">
        <f t="shared" si="2"/>
        <v>-4.4976518784972067E-2</v>
      </c>
    </row>
    <row r="159" spans="1:8" ht="13.5" x14ac:dyDescent="0.25">
      <c r="A159" s="1"/>
      <c r="B159" s="3">
        <v>42529</v>
      </c>
      <c r="C159" s="4">
        <v>24.2</v>
      </c>
      <c r="D159" s="4">
        <v>22.538399999999999</v>
      </c>
      <c r="E159" s="4">
        <v>204</v>
      </c>
      <c r="F159" s="4"/>
      <c r="G159" s="4"/>
      <c r="H159" s="5">
        <f t="shared" si="2"/>
        <v>-1.7459424819847549E-2</v>
      </c>
    </row>
    <row r="160" spans="1:8" ht="13.5" x14ac:dyDescent="0.25">
      <c r="A160" s="1"/>
      <c r="B160" s="3">
        <v>42530</v>
      </c>
      <c r="C160" s="4">
        <v>24.2</v>
      </c>
      <c r="D160" s="4">
        <v>22.538399999999999</v>
      </c>
      <c r="E160" s="4">
        <v>350</v>
      </c>
      <c r="F160" s="4"/>
      <c r="G160" s="4"/>
      <c r="H160" s="5">
        <f t="shared" si="2"/>
        <v>0</v>
      </c>
    </row>
    <row r="161" spans="1:8" ht="13.5" x14ac:dyDescent="0.25">
      <c r="A161" s="1"/>
      <c r="B161" s="3">
        <v>42531</v>
      </c>
      <c r="C161" s="4">
        <v>24.6</v>
      </c>
      <c r="D161" s="4">
        <v>22.910900000000002</v>
      </c>
      <c r="E161" s="4">
        <v>100</v>
      </c>
      <c r="F161" s="4"/>
      <c r="G161" s="4"/>
      <c r="H161" s="5">
        <f t="shared" si="2"/>
        <v>1.6527348880133564E-2</v>
      </c>
    </row>
    <row r="162" spans="1:8" ht="13.5" x14ac:dyDescent="0.25">
      <c r="A162" s="1"/>
      <c r="B162" s="3">
        <v>42534</v>
      </c>
      <c r="C162" s="4">
        <v>24.1</v>
      </c>
      <c r="D162" s="4">
        <v>22.4453</v>
      </c>
      <c r="E162" s="4">
        <v>245</v>
      </c>
      <c r="F162" s="4"/>
      <c r="G162" s="4"/>
      <c r="H162" s="5">
        <f t="shared" si="2"/>
        <v>-2.0322204714786497E-2</v>
      </c>
    </row>
    <row r="163" spans="1:8" ht="13.5" x14ac:dyDescent="0.25">
      <c r="A163" s="1"/>
      <c r="B163" s="3">
        <v>42535</v>
      </c>
      <c r="C163" s="4">
        <v>23.95</v>
      </c>
      <c r="D163" s="4">
        <v>22.305599999999998</v>
      </c>
      <c r="E163" s="4">
        <v>125</v>
      </c>
      <c r="F163" s="4"/>
      <c r="G163" s="4"/>
      <c r="H163" s="5">
        <f t="shared" si="2"/>
        <v>-6.2240201734884929E-3</v>
      </c>
    </row>
    <row r="164" spans="1:8" ht="13.5" x14ac:dyDescent="0.25">
      <c r="A164" s="1"/>
      <c r="B164" s="3">
        <v>42536</v>
      </c>
      <c r="C164" s="4">
        <v>23.6</v>
      </c>
      <c r="D164" s="4">
        <v>21.979600000000001</v>
      </c>
      <c r="E164" s="4">
        <v>80</v>
      </c>
      <c r="F164" s="4"/>
      <c r="G164" s="4"/>
      <c r="H164" s="5">
        <f t="shared" si="2"/>
        <v>-1.4615163905028199E-2</v>
      </c>
    </row>
    <row r="165" spans="1:8" ht="13.5" x14ac:dyDescent="0.25">
      <c r="A165" s="1"/>
      <c r="B165" s="3">
        <v>42537</v>
      </c>
      <c r="C165" s="4">
        <v>23.6</v>
      </c>
      <c r="D165" s="4">
        <v>21.979600000000001</v>
      </c>
      <c r="E165" s="4">
        <v>20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42538</v>
      </c>
      <c r="C166" s="4">
        <v>23.55</v>
      </c>
      <c r="D166" s="4">
        <v>21.933</v>
      </c>
      <c r="E166" s="4">
        <v>6</v>
      </c>
      <c r="F166" s="4"/>
      <c r="G166" s="4"/>
      <c r="H166" s="5">
        <f t="shared" si="2"/>
        <v>-2.1201477733899399E-3</v>
      </c>
    </row>
    <row r="167" spans="1:8" ht="13.5" x14ac:dyDescent="0.25">
      <c r="A167" s="1"/>
      <c r="B167" s="3">
        <v>42541</v>
      </c>
      <c r="C167" s="4">
        <v>23.6</v>
      </c>
      <c r="D167" s="4">
        <v>21.979600000000001</v>
      </c>
      <c r="E167" s="4">
        <v>410</v>
      </c>
      <c r="F167" s="4"/>
      <c r="G167" s="4"/>
      <c r="H167" s="5">
        <f t="shared" si="2"/>
        <v>2.1246523503397406E-3</v>
      </c>
    </row>
    <row r="168" spans="1:8" ht="13.5" x14ac:dyDescent="0.25">
      <c r="A168" s="1"/>
      <c r="B168" s="3">
        <v>42542</v>
      </c>
      <c r="C168" s="4">
        <v>23.5</v>
      </c>
      <c r="D168" s="4">
        <v>21.886399999999998</v>
      </c>
      <c r="E168" s="4">
        <v>260</v>
      </c>
      <c r="F168" s="4"/>
      <c r="G168" s="4"/>
      <c r="H168" s="5">
        <f t="shared" si="2"/>
        <v>-4.2402955467798799E-3</v>
      </c>
    </row>
    <row r="169" spans="1:8" ht="13.5" x14ac:dyDescent="0.25">
      <c r="A169" s="1"/>
      <c r="B169" s="3">
        <v>42543</v>
      </c>
      <c r="C169" s="4">
        <v>23.3</v>
      </c>
      <c r="D169" s="4">
        <v>21.700199999999999</v>
      </c>
      <c r="E169" s="4">
        <v>204</v>
      </c>
      <c r="F169" s="4"/>
      <c r="G169" s="4"/>
      <c r="H169" s="5">
        <f t="shared" si="2"/>
        <v>-8.5075663425688772E-3</v>
      </c>
    </row>
    <row r="170" spans="1:8" ht="13.5" x14ac:dyDescent="0.25">
      <c r="A170" s="1"/>
      <c r="B170" s="3">
        <v>42544</v>
      </c>
      <c r="C170" s="4">
        <v>23</v>
      </c>
      <c r="D170" s="4">
        <v>21.4208</v>
      </c>
      <c r="E170" s="4">
        <v>1263</v>
      </c>
      <c r="F170" s="4"/>
      <c r="G170" s="4"/>
      <c r="H170" s="5">
        <f t="shared" si="2"/>
        <v>-1.2875457369056461E-2</v>
      </c>
    </row>
    <row r="171" spans="1:8" ht="13.5" x14ac:dyDescent="0.25">
      <c r="A171" s="1"/>
      <c r="B171" s="3">
        <v>42545</v>
      </c>
      <c r="C171" s="4">
        <v>22.99</v>
      </c>
      <c r="D171" s="4">
        <v>21.4115</v>
      </c>
      <c r="E171" s="4">
        <v>10</v>
      </c>
      <c r="F171" s="4"/>
      <c r="G171" s="4"/>
      <c r="H171" s="5">
        <f t="shared" si="2"/>
        <v>-4.3415745443679235E-4</v>
      </c>
    </row>
    <row r="172" spans="1:8" ht="13.5" x14ac:dyDescent="0.25">
      <c r="A172" s="1"/>
      <c r="B172" s="3">
        <v>42548</v>
      </c>
      <c r="C172" s="4">
        <v>22.97</v>
      </c>
      <c r="D172" s="4">
        <v>21.392800000000001</v>
      </c>
      <c r="E172" s="4">
        <v>805</v>
      </c>
      <c r="F172" s="4"/>
      <c r="G172" s="4"/>
      <c r="H172" s="5">
        <f t="shared" si="2"/>
        <v>-8.7336244541480284E-4</v>
      </c>
    </row>
    <row r="173" spans="1:8" ht="13.5" x14ac:dyDescent="0.25">
      <c r="A173" s="1"/>
      <c r="B173" s="3">
        <v>42549</v>
      </c>
      <c r="C173" s="4">
        <v>23.69</v>
      </c>
      <c r="D173" s="4">
        <v>22.063400000000001</v>
      </c>
      <c r="E173" s="4">
        <v>2296</v>
      </c>
      <c r="F173" s="4"/>
      <c r="G173" s="4"/>
      <c r="H173" s="5">
        <f t="shared" si="2"/>
        <v>3.1346995250738578E-2</v>
      </c>
    </row>
    <row r="174" spans="1:8" ht="13.5" x14ac:dyDescent="0.25">
      <c r="A174" s="1"/>
      <c r="B174" s="3">
        <v>42550</v>
      </c>
      <c r="C174" s="4">
        <v>24.4</v>
      </c>
      <c r="D174" s="4">
        <v>22.724699999999999</v>
      </c>
      <c r="E174" s="4">
        <v>2895</v>
      </c>
      <c r="F174" s="4"/>
      <c r="G174" s="4"/>
      <c r="H174" s="5">
        <f t="shared" si="2"/>
        <v>2.9972714994062431E-2</v>
      </c>
    </row>
    <row r="175" spans="1:8" ht="13.5" x14ac:dyDescent="0.25">
      <c r="A175" s="1"/>
      <c r="B175" s="3">
        <v>42551</v>
      </c>
      <c r="C175" s="4">
        <v>25.49</v>
      </c>
      <c r="D175" s="4">
        <v>23.739799999999999</v>
      </c>
      <c r="E175" s="4">
        <v>1717</v>
      </c>
      <c r="F175" s="4"/>
      <c r="G175" s="4"/>
      <c r="H175" s="5">
        <f t="shared" si="2"/>
        <v>4.4669456582485154E-2</v>
      </c>
    </row>
    <row r="176" spans="1:8" ht="13.5" x14ac:dyDescent="0.25">
      <c r="A176" s="1"/>
      <c r="B176" s="3">
        <v>42552</v>
      </c>
      <c r="C176" s="4">
        <v>26.2</v>
      </c>
      <c r="D176" s="4">
        <v>24.4011</v>
      </c>
      <c r="E176" s="4">
        <v>375</v>
      </c>
      <c r="F176" s="4"/>
      <c r="G176" s="4"/>
      <c r="H176" s="5">
        <f t="shared" si="2"/>
        <v>2.7856174020000197E-2</v>
      </c>
    </row>
    <row r="177" spans="1:8" ht="13.5" x14ac:dyDescent="0.25">
      <c r="A177" s="1"/>
      <c r="B177" s="3">
        <v>42555</v>
      </c>
      <c r="C177" s="4">
        <v>26.5</v>
      </c>
      <c r="D177" s="4">
        <v>24.680499999999999</v>
      </c>
      <c r="E177" s="4">
        <v>105</v>
      </c>
      <c r="F177" s="4"/>
      <c r="G177" s="4"/>
      <c r="H177" s="5">
        <f t="shared" si="2"/>
        <v>1.1450303469925495E-2</v>
      </c>
    </row>
    <row r="178" spans="1:8" ht="13.5" x14ac:dyDescent="0.25">
      <c r="A178" s="1"/>
      <c r="B178" s="3">
        <v>42559</v>
      </c>
      <c r="C178" s="4">
        <v>26.09</v>
      </c>
      <c r="D178" s="4">
        <v>24.2986</v>
      </c>
      <c r="E178" s="4">
        <v>5</v>
      </c>
      <c r="F178" s="4"/>
      <c r="G178" s="4"/>
      <c r="H178" s="5">
        <f t="shared" si="2"/>
        <v>-1.5473754583578053E-2</v>
      </c>
    </row>
    <row r="179" spans="1:8" ht="13.5" x14ac:dyDescent="0.25">
      <c r="A179" s="1"/>
      <c r="B179" s="3">
        <v>42562</v>
      </c>
      <c r="C179" s="4">
        <v>25.31</v>
      </c>
      <c r="D179" s="4">
        <v>23.572199999999999</v>
      </c>
      <c r="E179" s="4">
        <v>10</v>
      </c>
      <c r="F179" s="4"/>
      <c r="G179" s="4"/>
      <c r="H179" s="5">
        <f t="shared" si="2"/>
        <v>-2.9894726445145056E-2</v>
      </c>
    </row>
    <row r="180" spans="1:8" ht="13.5" x14ac:dyDescent="0.25">
      <c r="A180" s="1"/>
      <c r="B180" s="3">
        <v>42563</v>
      </c>
      <c r="C180" s="4">
        <v>25.22</v>
      </c>
      <c r="D180" s="4">
        <v>23.488399999999999</v>
      </c>
      <c r="E180" s="4">
        <v>1</v>
      </c>
      <c r="F180" s="4"/>
      <c r="G180" s="4"/>
      <c r="H180" s="5">
        <f t="shared" si="2"/>
        <v>-3.5550351685460033E-3</v>
      </c>
    </row>
    <row r="181" spans="1:8" ht="13.5" x14ac:dyDescent="0.25">
      <c r="A181" s="1"/>
      <c r="B181" s="3">
        <v>42564</v>
      </c>
      <c r="C181" s="4">
        <v>25.75</v>
      </c>
      <c r="D181" s="4">
        <v>23.981999999999999</v>
      </c>
      <c r="E181" s="4">
        <v>75</v>
      </c>
      <c r="F181" s="4"/>
      <c r="G181" s="4"/>
      <c r="H181" s="5">
        <f t="shared" si="2"/>
        <v>2.1014628497471124E-2</v>
      </c>
    </row>
    <row r="182" spans="1:8" ht="13.5" x14ac:dyDescent="0.25">
      <c r="A182" s="1"/>
      <c r="B182" s="3">
        <v>42565</v>
      </c>
      <c r="C182" s="4">
        <v>25.99</v>
      </c>
      <c r="D182" s="4">
        <v>24.205500000000001</v>
      </c>
      <c r="E182" s="4">
        <v>50</v>
      </c>
      <c r="F182" s="4"/>
      <c r="G182" s="4"/>
      <c r="H182" s="5">
        <f t="shared" si="2"/>
        <v>9.3194896172129667E-3</v>
      </c>
    </row>
    <row r="183" spans="1:8" ht="13.5" x14ac:dyDescent="0.25">
      <c r="A183" s="1"/>
      <c r="B183" s="3">
        <v>42566</v>
      </c>
      <c r="C183" s="4">
        <v>25.22</v>
      </c>
      <c r="D183" s="4">
        <v>23.488399999999999</v>
      </c>
      <c r="E183" s="4">
        <v>0</v>
      </c>
      <c r="F183" s="4"/>
      <c r="G183" s="4"/>
      <c r="H183" s="5">
        <f t="shared" si="2"/>
        <v>-2.9625498337154863E-2</v>
      </c>
    </row>
    <row r="184" spans="1:8" ht="13.5" x14ac:dyDescent="0.25">
      <c r="A184" s="1"/>
      <c r="B184" s="3">
        <v>42569</v>
      </c>
      <c r="C184" s="4">
        <v>24.77</v>
      </c>
      <c r="D184" s="4">
        <v>23.477799999999998</v>
      </c>
      <c r="E184" s="4">
        <v>0</v>
      </c>
      <c r="F184" s="4"/>
      <c r="G184" s="4"/>
      <c r="H184" s="5">
        <f t="shared" si="2"/>
        <v>-4.5128659253078818E-4</v>
      </c>
    </row>
    <row r="185" spans="1:8" ht="13.5" x14ac:dyDescent="0.25">
      <c r="A185" s="1"/>
      <c r="B185" s="3">
        <v>42570</v>
      </c>
      <c r="C185" s="4">
        <v>24.5</v>
      </c>
      <c r="D185" s="4">
        <v>23.221800000000002</v>
      </c>
      <c r="E185" s="4">
        <v>10</v>
      </c>
      <c r="F185" s="4"/>
      <c r="G185" s="4"/>
      <c r="H185" s="5">
        <f t="shared" si="2"/>
        <v>-1.0903917743570381E-2</v>
      </c>
    </row>
    <row r="186" spans="1:8" ht="13.5" x14ac:dyDescent="0.25">
      <c r="A186" s="1"/>
      <c r="B186" s="3">
        <v>42571</v>
      </c>
      <c r="C186" s="4">
        <v>23.7</v>
      </c>
      <c r="D186" s="4">
        <v>22.4636</v>
      </c>
      <c r="E186" s="4">
        <v>860</v>
      </c>
      <c r="F186" s="4"/>
      <c r="G186" s="4"/>
      <c r="H186" s="5">
        <f t="shared" si="2"/>
        <v>-3.2650354408357757E-2</v>
      </c>
    </row>
    <row r="187" spans="1:8" ht="13.5" x14ac:dyDescent="0.25">
      <c r="A187" s="1"/>
      <c r="B187" s="3">
        <v>42572</v>
      </c>
      <c r="C187" s="4">
        <v>22.99</v>
      </c>
      <c r="D187" s="4">
        <v>21.790600000000001</v>
      </c>
      <c r="E187" s="4">
        <v>240</v>
      </c>
      <c r="F187" s="4"/>
      <c r="G187" s="4"/>
      <c r="H187" s="5">
        <f t="shared" si="2"/>
        <v>-2.9959579052333478E-2</v>
      </c>
    </row>
    <row r="188" spans="1:8" ht="13.5" x14ac:dyDescent="0.25">
      <c r="A188" s="1"/>
      <c r="B188" s="3">
        <v>42573</v>
      </c>
      <c r="C188" s="4">
        <v>23.67</v>
      </c>
      <c r="D188" s="4">
        <v>22.435099999999998</v>
      </c>
      <c r="E188" s="4">
        <v>9</v>
      </c>
      <c r="F188" s="4"/>
      <c r="G188" s="4"/>
      <c r="H188" s="5">
        <f t="shared" si="2"/>
        <v>2.9576973557405357E-2</v>
      </c>
    </row>
    <row r="189" spans="1:8" ht="13.5" x14ac:dyDescent="0.25">
      <c r="A189" s="1"/>
      <c r="B189" s="3">
        <v>42577</v>
      </c>
      <c r="C189" s="4">
        <v>23.5</v>
      </c>
      <c r="D189" s="4">
        <v>22.274000000000001</v>
      </c>
      <c r="E189" s="4">
        <v>402</v>
      </c>
      <c r="F189" s="4"/>
      <c r="G189" s="4"/>
      <c r="H189" s="5">
        <f t="shared" si="2"/>
        <v>-7.1807123658908399E-3</v>
      </c>
    </row>
    <row r="190" spans="1:8" ht="13.5" x14ac:dyDescent="0.25">
      <c r="A190" s="1"/>
      <c r="B190" s="3">
        <v>42578</v>
      </c>
      <c r="C190" s="4">
        <v>23.5</v>
      </c>
      <c r="D190" s="4">
        <v>22.274000000000001</v>
      </c>
      <c r="E190" s="4">
        <v>350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23.6</v>
      </c>
      <c r="D191" s="4">
        <v>22.3688</v>
      </c>
      <c r="E191" s="4">
        <v>5</v>
      </c>
      <c r="F191" s="4"/>
      <c r="G191" s="4"/>
      <c r="H191" s="5">
        <f t="shared" si="2"/>
        <v>4.2560833258507378E-3</v>
      </c>
    </row>
    <row r="192" spans="1:8" ht="13.5" x14ac:dyDescent="0.25">
      <c r="A192" s="1"/>
      <c r="B192" s="3">
        <v>42580</v>
      </c>
      <c r="C192" s="4">
        <v>23.6</v>
      </c>
      <c r="D192" s="4">
        <v>22.3688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24</v>
      </c>
      <c r="D193" s="4">
        <v>22.747900000000001</v>
      </c>
      <c r="E193" s="4">
        <v>5</v>
      </c>
      <c r="F193" s="4"/>
      <c r="G193" s="4"/>
      <c r="H193" s="5">
        <f t="shared" si="2"/>
        <v>1.6947712885805277E-2</v>
      </c>
    </row>
    <row r="194" spans="1:8" ht="13.5" x14ac:dyDescent="0.25">
      <c r="A194" s="1"/>
      <c r="B194" s="3">
        <v>42584</v>
      </c>
      <c r="C194" s="4">
        <v>24.72</v>
      </c>
      <c r="D194" s="4">
        <v>23.430399999999999</v>
      </c>
      <c r="E194" s="4">
        <v>5</v>
      </c>
      <c r="F194" s="4"/>
      <c r="G194" s="4"/>
      <c r="H194" s="5">
        <f t="shared" si="2"/>
        <v>3.0002769486414015E-2</v>
      </c>
    </row>
    <row r="195" spans="1:8" ht="13.5" x14ac:dyDescent="0.25">
      <c r="A195" s="1"/>
      <c r="B195" s="3">
        <v>42585</v>
      </c>
      <c r="C195" s="4">
        <v>24.72</v>
      </c>
      <c r="D195" s="4">
        <v>23.430399999999999</v>
      </c>
      <c r="E195" s="4">
        <v>0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24.72</v>
      </c>
      <c r="D196" s="4">
        <v>23.430399999999999</v>
      </c>
      <c r="E196" s="4">
        <v>0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42587</v>
      </c>
      <c r="C197" s="4">
        <v>24.72</v>
      </c>
      <c r="D197" s="4">
        <v>23.430399999999999</v>
      </c>
      <c r="E197" s="4">
        <v>0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24.72</v>
      </c>
      <c r="D198" s="4">
        <v>23.430399999999999</v>
      </c>
      <c r="E198" s="4">
        <v>0</v>
      </c>
      <c r="F198" s="4"/>
      <c r="G198" s="4"/>
      <c r="H198" s="5">
        <f t="shared" si="2"/>
        <v>0</v>
      </c>
    </row>
    <row r="199" spans="1:8" ht="13.5" x14ac:dyDescent="0.25">
      <c r="A199" s="1"/>
      <c r="B199" s="3">
        <v>42591</v>
      </c>
      <c r="C199" s="4">
        <v>24.72</v>
      </c>
      <c r="D199" s="4">
        <v>23.430399999999999</v>
      </c>
      <c r="E199" s="4">
        <v>0</v>
      </c>
      <c r="F199" s="4"/>
      <c r="G199" s="4"/>
      <c r="H199" s="5">
        <f t="shared" ref="H199:H262" si="3">(D199-D198)/D198</f>
        <v>0</v>
      </c>
    </row>
    <row r="200" spans="1:8" ht="13.5" x14ac:dyDescent="0.25">
      <c r="A200" s="1"/>
      <c r="B200" s="3">
        <v>42592</v>
      </c>
      <c r="C200" s="4">
        <v>24.72</v>
      </c>
      <c r="D200" s="4">
        <v>23.430399999999999</v>
      </c>
      <c r="E200" s="4">
        <v>0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24.72</v>
      </c>
      <c r="D201" s="4">
        <v>23.430399999999999</v>
      </c>
      <c r="E201" s="4">
        <v>0</v>
      </c>
      <c r="F201" s="4"/>
      <c r="G201" s="4"/>
      <c r="H201" s="5">
        <f t="shared" si="3"/>
        <v>0</v>
      </c>
    </row>
    <row r="202" spans="1:8" ht="13.5" x14ac:dyDescent="0.25">
      <c r="A202" s="1"/>
      <c r="B202" s="3">
        <v>42594</v>
      </c>
      <c r="C202" s="4">
        <v>24.72</v>
      </c>
      <c r="D202" s="4">
        <v>23.430399999999999</v>
      </c>
      <c r="E202" s="4">
        <v>0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24.72</v>
      </c>
      <c r="D203" s="4">
        <v>23.430399999999999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24.72</v>
      </c>
      <c r="D204" s="4">
        <v>23.430399999999999</v>
      </c>
      <c r="E204" s="4">
        <v>0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24.72</v>
      </c>
      <c r="D205" s="4">
        <v>23.430399999999999</v>
      </c>
      <c r="E205" s="4">
        <v>0</v>
      </c>
      <c r="F205" s="4"/>
      <c r="G205" s="4"/>
      <c r="H205" s="5">
        <f t="shared" si="3"/>
        <v>0</v>
      </c>
    </row>
    <row r="206" spans="1:8" ht="13.5" x14ac:dyDescent="0.25">
      <c r="A206" s="1"/>
      <c r="B206" s="3">
        <v>42600</v>
      </c>
      <c r="C206" s="4">
        <v>23.98</v>
      </c>
      <c r="D206" s="4">
        <v>22.728999999999999</v>
      </c>
      <c r="E206" s="4">
        <v>0</v>
      </c>
      <c r="F206" s="4"/>
      <c r="G206" s="4"/>
      <c r="H206" s="5">
        <f t="shared" si="3"/>
        <v>-2.9935468451242814E-2</v>
      </c>
    </row>
    <row r="207" spans="1:8" ht="13.5" x14ac:dyDescent="0.25">
      <c r="A207" s="1"/>
      <c r="B207" s="3">
        <v>42601</v>
      </c>
      <c r="C207" s="4">
        <v>23.9</v>
      </c>
      <c r="D207" s="4">
        <v>22.653099999999998</v>
      </c>
      <c r="E207" s="4">
        <v>360</v>
      </c>
      <c r="F207" s="4"/>
      <c r="G207" s="4"/>
      <c r="H207" s="5">
        <f t="shared" si="3"/>
        <v>-3.3393462096880967E-3</v>
      </c>
    </row>
    <row r="208" spans="1:8" ht="13.5" x14ac:dyDescent="0.25">
      <c r="A208" s="1"/>
      <c r="B208" s="3">
        <v>42604</v>
      </c>
      <c r="C208" s="4">
        <v>23.9</v>
      </c>
      <c r="D208" s="4">
        <v>22.653099999999998</v>
      </c>
      <c r="E208" s="4">
        <v>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23.9</v>
      </c>
      <c r="D209" s="4">
        <v>22.653099999999998</v>
      </c>
      <c r="E209" s="4">
        <v>0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23.9</v>
      </c>
      <c r="D210" s="4">
        <v>22.653099999999998</v>
      </c>
      <c r="E210" s="4">
        <v>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23.89</v>
      </c>
      <c r="D211" s="4">
        <v>22.643699999999999</v>
      </c>
      <c r="E211" s="4">
        <v>45</v>
      </c>
      <c r="F211" s="4"/>
      <c r="G211" s="4"/>
      <c r="H211" s="5">
        <f t="shared" si="3"/>
        <v>-4.1495424467288843E-4</v>
      </c>
    </row>
    <row r="212" spans="1:8" ht="13.5" x14ac:dyDescent="0.25">
      <c r="A212" s="1"/>
      <c r="B212" s="3">
        <v>42608</v>
      </c>
      <c r="C212" s="4">
        <v>23.89</v>
      </c>
      <c r="D212" s="4">
        <v>22.643699999999999</v>
      </c>
      <c r="E212" s="4">
        <v>170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23.89</v>
      </c>
      <c r="D213" s="4">
        <v>22.643699999999999</v>
      </c>
      <c r="E213" s="4">
        <v>0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23.89</v>
      </c>
      <c r="D214" s="4">
        <v>22.643699999999999</v>
      </c>
      <c r="E214" s="4">
        <v>374</v>
      </c>
      <c r="F214" s="4"/>
      <c r="G214" s="4"/>
      <c r="H214" s="5">
        <f t="shared" si="3"/>
        <v>0</v>
      </c>
    </row>
    <row r="215" spans="1:8" ht="13.5" x14ac:dyDescent="0.25">
      <c r="A215" s="1"/>
      <c r="B215" s="3">
        <v>42613</v>
      </c>
      <c r="C215" s="4">
        <v>23.89</v>
      </c>
      <c r="D215" s="4">
        <v>22.643699999999999</v>
      </c>
      <c r="E215" s="4">
        <v>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24.6</v>
      </c>
      <c r="D216" s="4">
        <v>23.316600000000001</v>
      </c>
      <c r="E216" s="4">
        <v>238</v>
      </c>
      <c r="F216" s="4"/>
      <c r="G216" s="4"/>
      <c r="H216" s="5">
        <f t="shared" si="3"/>
        <v>2.9716874892354257E-2</v>
      </c>
    </row>
    <row r="217" spans="1:8" ht="13.5" x14ac:dyDescent="0.25">
      <c r="A217" s="1"/>
      <c r="B217" s="3">
        <v>42615</v>
      </c>
      <c r="C217" s="4">
        <v>24.6</v>
      </c>
      <c r="D217" s="4">
        <v>23.316600000000001</v>
      </c>
      <c r="E217" s="4">
        <v>2920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24.59</v>
      </c>
      <c r="D218" s="4">
        <v>23.307200000000002</v>
      </c>
      <c r="E218" s="4">
        <v>410</v>
      </c>
      <c r="F218" s="4"/>
      <c r="G218" s="4"/>
      <c r="H218" s="5">
        <f t="shared" si="3"/>
        <v>-4.0314625631521786E-4</v>
      </c>
    </row>
    <row r="219" spans="1:8" ht="13.5" x14ac:dyDescent="0.25">
      <c r="A219" s="1"/>
      <c r="B219" s="3">
        <v>42619</v>
      </c>
      <c r="C219" s="4">
        <v>23.9</v>
      </c>
      <c r="D219" s="4">
        <v>22.653099999999998</v>
      </c>
      <c r="E219" s="4">
        <v>500</v>
      </c>
      <c r="F219" s="4"/>
      <c r="G219" s="4"/>
      <c r="H219" s="5">
        <f t="shared" si="3"/>
        <v>-2.8064289146701584E-2</v>
      </c>
    </row>
    <row r="220" spans="1:8" ht="13.5" x14ac:dyDescent="0.25">
      <c r="A220" s="1"/>
      <c r="B220" s="3">
        <v>42620</v>
      </c>
      <c r="C220" s="4">
        <v>23.9</v>
      </c>
      <c r="D220" s="4">
        <v>22.653099999999998</v>
      </c>
      <c r="E220" s="4">
        <v>0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23.79</v>
      </c>
      <c r="D221" s="4">
        <v>22.5489</v>
      </c>
      <c r="E221" s="4">
        <v>45</v>
      </c>
      <c r="F221" s="4"/>
      <c r="G221" s="4"/>
      <c r="H221" s="5">
        <f t="shared" si="3"/>
        <v>-4.5998119462677843E-3</v>
      </c>
    </row>
    <row r="222" spans="1:8" ht="13.5" x14ac:dyDescent="0.25">
      <c r="A222" s="1"/>
      <c r="B222" s="3">
        <v>42622</v>
      </c>
      <c r="C222" s="4">
        <v>23.79</v>
      </c>
      <c r="D222" s="4">
        <v>22.5489</v>
      </c>
      <c r="E222" s="4">
        <v>0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42627</v>
      </c>
      <c r="C223" s="4">
        <v>23.79</v>
      </c>
      <c r="D223" s="4">
        <v>22.5489</v>
      </c>
      <c r="E223" s="4">
        <v>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23.75</v>
      </c>
      <c r="D224" s="4">
        <v>22.510999999999999</v>
      </c>
      <c r="E224" s="4">
        <v>100</v>
      </c>
      <c r="F224" s="4"/>
      <c r="G224" s="4"/>
      <c r="H224" s="5">
        <f t="shared" si="3"/>
        <v>-1.6807915241985414E-3</v>
      </c>
    </row>
    <row r="225" spans="1:8" ht="13.5" x14ac:dyDescent="0.25">
      <c r="A225" s="1"/>
      <c r="B225" s="3">
        <v>42629</v>
      </c>
      <c r="C225" s="4">
        <v>23.75</v>
      </c>
      <c r="D225" s="4">
        <v>22.510999999999999</v>
      </c>
      <c r="E225" s="4">
        <v>2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23.75</v>
      </c>
      <c r="D226" s="4">
        <v>22.510999999999999</v>
      </c>
      <c r="E226" s="4">
        <v>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23.75</v>
      </c>
      <c r="D227" s="4">
        <v>22.510999999999999</v>
      </c>
      <c r="E227" s="4">
        <v>0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23.04</v>
      </c>
      <c r="D228" s="4">
        <v>21.838000000000001</v>
      </c>
      <c r="E228" s="4">
        <v>20</v>
      </c>
      <c r="F228" s="4"/>
      <c r="G228" s="4"/>
      <c r="H228" s="5">
        <f t="shared" si="3"/>
        <v>-2.9896495046865902E-2</v>
      </c>
    </row>
    <row r="229" spans="1:8" ht="13.5" x14ac:dyDescent="0.25">
      <c r="A229" s="1"/>
      <c r="B229" s="3">
        <v>42635</v>
      </c>
      <c r="C229" s="4">
        <v>23.04</v>
      </c>
      <c r="D229" s="4">
        <v>21.838000000000001</v>
      </c>
      <c r="E229" s="4">
        <v>0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23.01</v>
      </c>
      <c r="D230" s="4">
        <v>21.8096</v>
      </c>
      <c r="E230" s="4">
        <v>43</v>
      </c>
      <c r="F230" s="4"/>
      <c r="G230" s="4"/>
      <c r="H230" s="5">
        <f t="shared" si="3"/>
        <v>-1.3004853924352647E-3</v>
      </c>
    </row>
    <row r="231" spans="1:8" ht="13.5" x14ac:dyDescent="0.25">
      <c r="A231" s="1"/>
      <c r="B231" s="3">
        <v>42639</v>
      </c>
      <c r="C231" s="4">
        <v>23.3</v>
      </c>
      <c r="D231" s="4">
        <v>22.084499999999998</v>
      </c>
      <c r="E231" s="4">
        <v>175</v>
      </c>
      <c r="F231" s="4"/>
      <c r="G231" s="4"/>
      <c r="H231" s="5">
        <f t="shared" si="3"/>
        <v>1.2604541119506952E-2</v>
      </c>
    </row>
    <row r="232" spans="1:8" ht="13.5" x14ac:dyDescent="0.25">
      <c r="A232" s="1"/>
      <c r="B232" s="3">
        <v>42640</v>
      </c>
      <c r="C232" s="4">
        <v>23.3</v>
      </c>
      <c r="D232" s="4">
        <v>22.084499999999998</v>
      </c>
      <c r="E232" s="4">
        <v>65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23.3</v>
      </c>
      <c r="D233" s="4">
        <v>22.084499999999998</v>
      </c>
      <c r="E233" s="4">
        <v>835</v>
      </c>
      <c r="F233" s="4"/>
      <c r="G233" s="4"/>
      <c r="H233" s="5">
        <f t="shared" si="3"/>
        <v>0</v>
      </c>
    </row>
    <row r="234" spans="1:8" ht="13.5" x14ac:dyDescent="0.25">
      <c r="A234" s="1"/>
      <c r="B234" s="3">
        <v>42642</v>
      </c>
      <c r="C234" s="4">
        <v>23.3</v>
      </c>
      <c r="D234" s="4">
        <v>22.084499999999998</v>
      </c>
      <c r="E234" s="4">
        <v>6</v>
      </c>
      <c r="F234" s="4"/>
      <c r="G234" s="4"/>
      <c r="H234" s="5">
        <f t="shared" si="3"/>
        <v>0</v>
      </c>
    </row>
    <row r="235" spans="1:8" ht="13.5" x14ac:dyDescent="0.25">
      <c r="A235" s="1"/>
      <c r="B235" s="3">
        <v>42643</v>
      </c>
      <c r="C235" s="4">
        <v>23.79</v>
      </c>
      <c r="D235" s="4">
        <v>22.5489</v>
      </c>
      <c r="E235" s="4">
        <v>10</v>
      </c>
      <c r="F235" s="4"/>
      <c r="G235" s="4"/>
      <c r="H235" s="5">
        <f t="shared" si="3"/>
        <v>2.1028323031990821E-2</v>
      </c>
    </row>
    <row r="236" spans="1:8" ht="13.5" x14ac:dyDescent="0.25">
      <c r="A236" s="1"/>
      <c r="B236" s="3">
        <v>42647</v>
      </c>
      <c r="C236" s="4">
        <v>23.79</v>
      </c>
      <c r="D236" s="4">
        <v>22.5489</v>
      </c>
      <c r="E236" s="4">
        <v>0</v>
      </c>
      <c r="F236" s="4"/>
      <c r="G236" s="4"/>
      <c r="H236" s="5">
        <f t="shared" si="3"/>
        <v>0</v>
      </c>
    </row>
    <row r="237" spans="1:8" ht="13.5" x14ac:dyDescent="0.25">
      <c r="A237" s="1"/>
      <c r="B237" s="3">
        <v>42648</v>
      </c>
      <c r="C237" s="4">
        <v>23.8</v>
      </c>
      <c r="D237" s="4">
        <v>22.558399999999999</v>
      </c>
      <c r="E237" s="4">
        <v>1241</v>
      </c>
      <c r="F237" s="4"/>
      <c r="G237" s="4"/>
      <c r="H237" s="5">
        <f t="shared" si="3"/>
        <v>4.2130658258270585E-4</v>
      </c>
    </row>
    <row r="238" spans="1:8" ht="13.5" x14ac:dyDescent="0.25">
      <c r="A238" s="1"/>
      <c r="B238" s="3">
        <v>42649</v>
      </c>
      <c r="C238" s="4">
        <v>23.5</v>
      </c>
      <c r="D238" s="4">
        <v>22.274000000000001</v>
      </c>
      <c r="E238" s="4">
        <v>420</v>
      </c>
      <c r="F238" s="4"/>
      <c r="G238" s="4"/>
      <c r="H238" s="5">
        <f t="shared" si="3"/>
        <v>-1.2607277111851816E-2</v>
      </c>
    </row>
    <row r="239" spans="1:8" ht="13.5" x14ac:dyDescent="0.25">
      <c r="A239" s="1"/>
      <c r="B239" s="3">
        <v>42650</v>
      </c>
      <c r="C239" s="4">
        <v>23.5</v>
      </c>
      <c r="D239" s="4">
        <v>22.274000000000001</v>
      </c>
      <c r="E239" s="4">
        <v>589</v>
      </c>
      <c r="F239" s="4"/>
      <c r="G239" s="4"/>
      <c r="H239" s="5">
        <f t="shared" si="3"/>
        <v>0</v>
      </c>
    </row>
    <row r="240" spans="1:8" ht="13.5" x14ac:dyDescent="0.25">
      <c r="A240" s="1"/>
      <c r="B240" s="3">
        <v>42653</v>
      </c>
      <c r="C240" s="4">
        <v>23.5</v>
      </c>
      <c r="D240" s="4">
        <v>22.274000000000001</v>
      </c>
      <c r="E240" s="4">
        <v>0</v>
      </c>
      <c r="F240" s="4"/>
      <c r="G240" s="4"/>
      <c r="H240" s="5">
        <f t="shared" si="3"/>
        <v>0</v>
      </c>
    </row>
    <row r="241" spans="1:8" ht="13.5" x14ac:dyDescent="0.25">
      <c r="A241" s="1"/>
      <c r="B241" s="3">
        <v>42654</v>
      </c>
      <c r="C241" s="4">
        <v>23.8</v>
      </c>
      <c r="D241" s="4">
        <v>22.558399999999999</v>
      </c>
      <c r="E241" s="4">
        <v>1590</v>
      </c>
      <c r="F241" s="4"/>
      <c r="G241" s="4"/>
      <c r="H241" s="5">
        <f t="shared" si="3"/>
        <v>1.2768249977552212E-2</v>
      </c>
    </row>
    <row r="242" spans="1:8" ht="13.5" x14ac:dyDescent="0.25">
      <c r="A242" s="1"/>
      <c r="B242" s="3">
        <v>42655</v>
      </c>
      <c r="C242" s="4">
        <v>23.8</v>
      </c>
      <c r="D242" s="4">
        <v>22.558399999999999</v>
      </c>
      <c r="E242" s="4">
        <v>3269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42656</v>
      </c>
      <c r="C243" s="4">
        <v>23.8</v>
      </c>
      <c r="D243" s="4">
        <v>22.558399999999999</v>
      </c>
      <c r="E243" s="4">
        <v>3034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24.3</v>
      </c>
      <c r="D244" s="4">
        <v>23.032299999999999</v>
      </c>
      <c r="E244" s="4">
        <v>1392</v>
      </c>
      <c r="F244" s="4"/>
      <c r="G244" s="4"/>
      <c r="H244" s="5">
        <f t="shared" si="3"/>
        <v>2.1007695581246918E-2</v>
      </c>
    </row>
    <row r="245" spans="1:8" ht="13.5" x14ac:dyDescent="0.25">
      <c r="A245" s="1"/>
      <c r="B245" s="3">
        <v>42660</v>
      </c>
      <c r="C245" s="4">
        <v>24.5</v>
      </c>
      <c r="D245" s="4">
        <v>23.221800000000002</v>
      </c>
      <c r="E245" s="4">
        <v>136</v>
      </c>
      <c r="F245" s="4"/>
      <c r="G245" s="4"/>
      <c r="H245" s="5">
        <f t="shared" si="3"/>
        <v>8.2275760562341774E-3</v>
      </c>
    </row>
    <row r="246" spans="1:8" ht="13.5" x14ac:dyDescent="0.25">
      <c r="A246" s="1"/>
      <c r="B246" s="3">
        <v>42661</v>
      </c>
      <c r="C246" s="4">
        <v>24.4</v>
      </c>
      <c r="D246" s="4">
        <v>23.127099999999999</v>
      </c>
      <c r="E246" s="4">
        <v>15</v>
      </c>
      <c r="F246" s="4"/>
      <c r="G246" s="4"/>
      <c r="H246" s="5">
        <f t="shared" si="3"/>
        <v>-4.0780645772508211E-3</v>
      </c>
    </row>
    <row r="247" spans="1:8" ht="13.5" x14ac:dyDescent="0.25">
      <c r="A247" s="1"/>
      <c r="B247" s="3">
        <v>42662</v>
      </c>
      <c r="C247" s="4">
        <v>24.4</v>
      </c>
      <c r="D247" s="4">
        <v>23.127099999999999</v>
      </c>
      <c r="E247" s="4">
        <v>6685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24.5</v>
      </c>
      <c r="D248" s="4">
        <v>23.221800000000002</v>
      </c>
      <c r="E248" s="4">
        <v>784</v>
      </c>
      <c r="F248" s="4"/>
      <c r="G248" s="4"/>
      <c r="H248" s="5">
        <f t="shared" si="3"/>
        <v>4.0947632863611574E-3</v>
      </c>
    </row>
    <row r="249" spans="1:8" ht="13.5" x14ac:dyDescent="0.25">
      <c r="A249" s="1"/>
      <c r="B249" s="3">
        <v>42664</v>
      </c>
      <c r="C249" s="4">
        <v>25.3</v>
      </c>
      <c r="D249" s="4">
        <v>23.9801</v>
      </c>
      <c r="E249" s="4">
        <v>1905</v>
      </c>
      <c r="F249" s="4"/>
      <c r="G249" s="4"/>
      <c r="H249" s="5">
        <f t="shared" si="3"/>
        <v>3.2654660706749619E-2</v>
      </c>
    </row>
    <row r="250" spans="1:8" ht="13.5" x14ac:dyDescent="0.25">
      <c r="A250" s="1"/>
      <c r="B250" s="3">
        <v>42667</v>
      </c>
      <c r="C250" s="4">
        <v>25.3</v>
      </c>
      <c r="D250" s="4">
        <v>23.9801</v>
      </c>
      <c r="E250" s="4">
        <v>40</v>
      </c>
      <c r="F250" s="4"/>
      <c r="G250" s="4"/>
      <c r="H250" s="5">
        <f t="shared" si="3"/>
        <v>0</v>
      </c>
    </row>
    <row r="251" spans="1:8" ht="13.5" x14ac:dyDescent="0.25">
      <c r="A251" s="1"/>
      <c r="B251" s="3">
        <v>42668</v>
      </c>
      <c r="C251" s="4">
        <v>25.3</v>
      </c>
      <c r="D251" s="4">
        <v>23.9801</v>
      </c>
      <c r="E251" s="4">
        <v>1362</v>
      </c>
      <c r="F251" s="4"/>
      <c r="G251" s="4"/>
      <c r="H251" s="5">
        <f t="shared" si="3"/>
        <v>0</v>
      </c>
    </row>
    <row r="252" spans="1:8" ht="13.5" x14ac:dyDescent="0.25">
      <c r="A252" s="1"/>
      <c r="B252" s="3">
        <v>42669</v>
      </c>
      <c r="C252" s="4">
        <v>25.3</v>
      </c>
      <c r="D252" s="4">
        <v>23.9801</v>
      </c>
      <c r="E252" s="4">
        <v>1230</v>
      </c>
      <c r="F252" s="4"/>
      <c r="G252" s="4"/>
      <c r="H252" s="5">
        <f t="shared" si="3"/>
        <v>0</v>
      </c>
    </row>
    <row r="253" spans="1:8" ht="13.5" x14ac:dyDescent="0.25">
      <c r="A253" s="1"/>
      <c r="B253" s="3">
        <v>42670</v>
      </c>
      <c r="C253" s="4">
        <v>25.29</v>
      </c>
      <c r="D253" s="4">
        <v>23.970600000000001</v>
      </c>
      <c r="E253" s="4">
        <v>361</v>
      </c>
      <c r="F253" s="4"/>
      <c r="G253" s="4"/>
      <c r="H253" s="5">
        <f t="shared" si="3"/>
        <v>-3.9616181750698189E-4</v>
      </c>
    </row>
    <row r="254" spans="1:8" ht="13.5" x14ac:dyDescent="0.25">
      <c r="A254" s="1"/>
      <c r="B254" s="3">
        <v>42671</v>
      </c>
      <c r="C254" s="4">
        <v>25.69</v>
      </c>
      <c r="D254" s="4">
        <v>24.349799999999998</v>
      </c>
      <c r="E254" s="4">
        <v>1123</v>
      </c>
      <c r="F254" s="4"/>
      <c r="G254" s="4"/>
      <c r="H254" s="5">
        <f t="shared" si="3"/>
        <v>1.5819378738955107E-2</v>
      </c>
    </row>
    <row r="255" spans="1:8" ht="13.5" x14ac:dyDescent="0.25">
      <c r="A255" s="1"/>
      <c r="B255" s="3">
        <v>42674</v>
      </c>
      <c r="C255" s="4">
        <v>25.69</v>
      </c>
      <c r="D255" s="4">
        <v>24.349799999999998</v>
      </c>
      <c r="E255" s="4">
        <v>797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26</v>
      </c>
      <c r="D256" s="4">
        <v>24.643599999999999</v>
      </c>
      <c r="E256" s="4">
        <v>1460</v>
      </c>
      <c r="F256" s="4"/>
      <c r="G256" s="4"/>
      <c r="H256" s="5">
        <f t="shared" si="3"/>
        <v>1.2065807522033074E-2</v>
      </c>
    </row>
    <row r="257" spans="1:8" ht="13.5" x14ac:dyDescent="0.25">
      <c r="A257" s="1"/>
      <c r="B257" s="3">
        <v>42676</v>
      </c>
      <c r="C257" s="4">
        <v>26</v>
      </c>
      <c r="D257" s="4">
        <v>24.643599999999999</v>
      </c>
      <c r="E257" s="4">
        <v>2132</v>
      </c>
      <c r="F257" s="4"/>
      <c r="G257" s="4"/>
      <c r="H257" s="5">
        <f t="shared" si="3"/>
        <v>0</v>
      </c>
    </row>
    <row r="258" spans="1:8" ht="13.5" x14ac:dyDescent="0.25">
      <c r="A258" s="1"/>
      <c r="B258" s="3">
        <v>42677</v>
      </c>
      <c r="C258" s="4">
        <v>26</v>
      </c>
      <c r="D258" s="4">
        <v>24.643599999999999</v>
      </c>
      <c r="E258" s="4">
        <v>301</v>
      </c>
      <c r="F258" s="4"/>
      <c r="G258" s="4"/>
      <c r="H258" s="5">
        <f t="shared" si="3"/>
        <v>0</v>
      </c>
    </row>
    <row r="259" spans="1:8" ht="13.5" x14ac:dyDescent="0.25">
      <c r="A259" s="1"/>
      <c r="B259" s="3">
        <v>42678</v>
      </c>
      <c r="C259" s="4">
        <v>26.2</v>
      </c>
      <c r="D259" s="4">
        <v>24.833200000000001</v>
      </c>
      <c r="E259" s="4">
        <v>780</v>
      </c>
      <c r="F259" s="4"/>
      <c r="G259" s="4"/>
      <c r="H259" s="5">
        <f t="shared" si="3"/>
        <v>7.693681118018561E-3</v>
      </c>
    </row>
    <row r="260" spans="1:8" ht="13.5" x14ac:dyDescent="0.25">
      <c r="A260" s="1"/>
      <c r="B260" s="3">
        <v>42681</v>
      </c>
      <c r="C260" s="4">
        <v>26</v>
      </c>
      <c r="D260" s="4">
        <v>24.643599999999999</v>
      </c>
      <c r="E260" s="4">
        <v>1030</v>
      </c>
      <c r="F260" s="4"/>
      <c r="G260" s="4"/>
      <c r="H260" s="5">
        <f t="shared" si="3"/>
        <v>-7.6349403218273198E-3</v>
      </c>
    </row>
    <row r="261" spans="1:8" ht="13.5" x14ac:dyDescent="0.25">
      <c r="A261" s="1"/>
      <c r="B261" s="3">
        <v>42682</v>
      </c>
      <c r="C261" s="4">
        <v>26</v>
      </c>
      <c r="D261" s="4">
        <v>24.643599999999999</v>
      </c>
      <c r="E261" s="4">
        <v>855</v>
      </c>
      <c r="F261" s="4"/>
      <c r="G261" s="4"/>
      <c r="H261" s="5">
        <f t="shared" si="3"/>
        <v>0</v>
      </c>
    </row>
    <row r="262" spans="1:8" ht="13.5" x14ac:dyDescent="0.25">
      <c r="A262" s="1"/>
      <c r="B262" s="3">
        <v>42683</v>
      </c>
      <c r="C262" s="4">
        <v>26</v>
      </c>
      <c r="D262" s="4">
        <v>24.643599999999999</v>
      </c>
      <c r="E262" s="4">
        <v>1368</v>
      </c>
      <c r="F262" s="4"/>
      <c r="G262" s="4"/>
      <c r="H262" s="5">
        <f t="shared" si="3"/>
        <v>0</v>
      </c>
    </row>
    <row r="263" spans="1:8" ht="13.5" x14ac:dyDescent="0.25">
      <c r="A263" s="1"/>
      <c r="B263" s="3">
        <v>42684</v>
      </c>
      <c r="C263" s="4">
        <v>25.99</v>
      </c>
      <c r="D263" s="4">
        <v>24.6341</v>
      </c>
      <c r="E263" s="4">
        <v>500</v>
      </c>
      <c r="F263" s="4"/>
      <c r="G263" s="4"/>
      <c r="H263" s="5">
        <f t="shared" ref="H263:H326" si="4">(D263-D262)/D262</f>
        <v>-3.8549562563907773E-4</v>
      </c>
    </row>
    <row r="264" spans="1:8" ht="13.5" x14ac:dyDescent="0.25">
      <c r="A264" s="1"/>
      <c r="B264" s="3">
        <v>42685</v>
      </c>
      <c r="C264" s="4">
        <v>26</v>
      </c>
      <c r="D264" s="4">
        <v>24.643599999999999</v>
      </c>
      <c r="E264" s="4">
        <v>1223</v>
      </c>
      <c r="F264" s="4"/>
      <c r="G264" s="4"/>
      <c r="H264" s="5">
        <f t="shared" si="4"/>
        <v>3.8564428982585828E-4</v>
      </c>
    </row>
    <row r="265" spans="1:8" ht="13.5" x14ac:dyDescent="0.25">
      <c r="A265" s="1"/>
      <c r="B265" s="3">
        <v>42688</v>
      </c>
      <c r="C265" s="4">
        <v>26</v>
      </c>
      <c r="D265" s="4">
        <v>24.643599999999999</v>
      </c>
      <c r="E265" s="4">
        <v>1823</v>
      </c>
      <c r="F265" s="4"/>
      <c r="G265" s="4"/>
      <c r="H265" s="5">
        <f t="shared" si="4"/>
        <v>0</v>
      </c>
    </row>
    <row r="266" spans="1:8" ht="13.5" x14ac:dyDescent="0.25">
      <c r="A266" s="1"/>
      <c r="B266" s="3">
        <v>42689</v>
      </c>
      <c r="C266" s="4">
        <v>26</v>
      </c>
      <c r="D266" s="4">
        <v>24.643599999999999</v>
      </c>
      <c r="E266" s="4">
        <v>975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25.99</v>
      </c>
      <c r="D267" s="4">
        <v>24.6341</v>
      </c>
      <c r="E267" s="4">
        <v>73</v>
      </c>
      <c r="F267" s="4"/>
      <c r="G267" s="4"/>
      <c r="H267" s="5">
        <f t="shared" si="4"/>
        <v>-3.8549562563907773E-4</v>
      </c>
    </row>
    <row r="268" spans="1:8" ht="13.5" x14ac:dyDescent="0.25">
      <c r="A268" s="1"/>
      <c r="B268" s="3">
        <v>42691</v>
      </c>
      <c r="C268" s="4">
        <v>26</v>
      </c>
      <c r="D268" s="4">
        <v>24.643599999999999</v>
      </c>
      <c r="E268" s="4">
        <v>418</v>
      </c>
      <c r="F268" s="4"/>
      <c r="G268" s="4"/>
      <c r="H268" s="5">
        <f t="shared" si="4"/>
        <v>3.8564428982585828E-4</v>
      </c>
    </row>
    <row r="269" spans="1:8" ht="13.5" x14ac:dyDescent="0.25">
      <c r="A269" s="1"/>
      <c r="B269" s="3">
        <v>42692</v>
      </c>
      <c r="C269" s="4">
        <v>26.5</v>
      </c>
      <c r="D269" s="4">
        <v>25.1175</v>
      </c>
      <c r="E269" s="4">
        <v>1125</v>
      </c>
      <c r="F269" s="4"/>
      <c r="G269" s="4"/>
      <c r="H269" s="5">
        <f t="shared" si="4"/>
        <v>1.9230144946355259E-2</v>
      </c>
    </row>
    <row r="270" spans="1:8" ht="13.5" x14ac:dyDescent="0.25">
      <c r="A270" s="1"/>
      <c r="B270" s="3">
        <v>42695</v>
      </c>
      <c r="C270" s="4">
        <v>26.75</v>
      </c>
      <c r="D270" s="4">
        <v>25.354500000000002</v>
      </c>
      <c r="E270" s="4">
        <v>5</v>
      </c>
      <c r="F270" s="4"/>
      <c r="G270" s="4"/>
      <c r="H270" s="5">
        <f t="shared" si="4"/>
        <v>9.4356524335623328E-3</v>
      </c>
    </row>
    <row r="271" spans="1:8" ht="13.5" x14ac:dyDescent="0.25">
      <c r="A271" s="1"/>
      <c r="B271" s="3">
        <v>42696</v>
      </c>
      <c r="C271" s="4">
        <v>26.5</v>
      </c>
      <c r="D271" s="4">
        <v>25.1175</v>
      </c>
      <c r="E271" s="4">
        <v>962</v>
      </c>
      <c r="F271" s="4"/>
      <c r="G271" s="4"/>
      <c r="H271" s="5">
        <f t="shared" si="4"/>
        <v>-9.3474531148317608E-3</v>
      </c>
    </row>
    <row r="272" spans="1:8" ht="13.5" x14ac:dyDescent="0.25">
      <c r="A272" s="1"/>
      <c r="B272" s="3">
        <v>42697</v>
      </c>
      <c r="C272" s="4">
        <v>26</v>
      </c>
      <c r="D272" s="4">
        <v>24.643599999999999</v>
      </c>
      <c r="E272" s="4">
        <v>399</v>
      </c>
      <c r="F272" s="4"/>
      <c r="G272" s="4"/>
      <c r="H272" s="5">
        <f t="shared" si="4"/>
        <v>-1.8867323579177881E-2</v>
      </c>
    </row>
    <row r="273" spans="1:8" ht="13.5" x14ac:dyDescent="0.25">
      <c r="A273" s="1"/>
      <c r="B273" s="3">
        <v>42698</v>
      </c>
      <c r="C273" s="4">
        <v>26</v>
      </c>
      <c r="D273" s="4">
        <v>24.643599999999999</v>
      </c>
      <c r="E273" s="4">
        <v>0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26.4</v>
      </c>
      <c r="D274" s="4">
        <v>25.0227</v>
      </c>
      <c r="E274" s="4">
        <v>1</v>
      </c>
      <c r="F274" s="4"/>
      <c r="G274" s="4"/>
      <c r="H274" s="5">
        <f t="shared" si="4"/>
        <v>1.538330438734605E-2</v>
      </c>
    </row>
    <row r="275" spans="1:8" ht="13.5" x14ac:dyDescent="0.25">
      <c r="A275" s="1"/>
      <c r="B275" s="3">
        <v>42702</v>
      </c>
      <c r="C275" s="4">
        <v>26</v>
      </c>
      <c r="D275" s="4">
        <v>24.643599999999999</v>
      </c>
      <c r="E275" s="4">
        <v>100</v>
      </c>
      <c r="F275" s="4"/>
      <c r="G275" s="4"/>
      <c r="H275" s="5">
        <f t="shared" si="4"/>
        <v>-1.5150243578830465E-2</v>
      </c>
    </row>
    <row r="276" spans="1:8" ht="13.5" x14ac:dyDescent="0.25">
      <c r="A276" s="1"/>
      <c r="B276" s="3">
        <v>42703</v>
      </c>
      <c r="C276" s="4">
        <v>26</v>
      </c>
      <c r="D276" s="4">
        <v>24.643599999999999</v>
      </c>
      <c r="E276" s="4">
        <v>732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42704</v>
      </c>
      <c r="C277" s="4">
        <v>26</v>
      </c>
      <c r="D277" s="4">
        <v>24.643599999999999</v>
      </c>
      <c r="E277" s="4">
        <v>150</v>
      </c>
      <c r="F277" s="4"/>
      <c r="G277" s="4"/>
      <c r="H277" s="5">
        <f t="shared" si="4"/>
        <v>0</v>
      </c>
    </row>
    <row r="278" spans="1:8" ht="13.5" x14ac:dyDescent="0.25">
      <c r="A278" s="1"/>
      <c r="B278" s="3">
        <v>42705</v>
      </c>
      <c r="C278" s="4">
        <v>26</v>
      </c>
      <c r="D278" s="4">
        <v>24.643599999999999</v>
      </c>
      <c r="E278" s="4">
        <v>0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26</v>
      </c>
      <c r="D279" s="4">
        <v>24.643599999999999</v>
      </c>
      <c r="E279" s="4">
        <v>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26</v>
      </c>
      <c r="D280" s="4">
        <v>24.643599999999999</v>
      </c>
      <c r="E280" s="4">
        <v>0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42710</v>
      </c>
      <c r="C281" s="4">
        <v>26</v>
      </c>
      <c r="D281" s="4">
        <v>24.643599999999999</v>
      </c>
      <c r="E281" s="4">
        <v>0</v>
      </c>
      <c r="F281" s="4"/>
      <c r="G281" s="4"/>
      <c r="H281" s="5">
        <f t="shared" si="4"/>
        <v>0</v>
      </c>
    </row>
    <row r="282" spans="1:8" ht="13.5" x14ac:dyDescent="0.25">
      <c r="A282" s="1"/>
      <c r="B282" s="3">
        <v>42711</v>
      </c>
      <c r="C282" s="4">
        <v>26</v>
      </c>
      <c r="D282" s="4">
        <v>24.643599999999999</v>
      </c>
      <c r="E282" s="4">
        <v>0</v>
      </c>
      <c r="F282" s="4"/>
      <c r="G282" s="4"/>
      <c r="H282" s="5">
        <f t="shared" si="4"/>
        <v>0</v>
      </c>
    </row>
    <row r="283" spans="1:8" ht="13.5" x14ac:dyDescent="0.25">
      <c r="A283" s="1"/>
      <c r="B283" s="3">
        <v>42712</v>
      </c>
      <c r="C283" s="4">
        <v>25.9</v>
      </c>
      <c r="D283" s="4">
        <v>24.5488</v>
      </c>
      <c r="E283" s="4">
        <v>230</v>
      </c>
      <c r="F283" s="4"/>
      <c r="G283" s="4"/>
      <c r="H283" s="5">
        <f t="shared" si="4"/>
        <v>-3.8468405590092085E-3</v>
      </c>
    </row>
    <row r="284" spans="1:8" ht="13.5" x14ac:dyDescent="0.25">
      <c r="A284" s="1"/>
      <c r="B284" s="3">
        <v>42713</v>
      </c>
      <c r="C284" s="4">
        <v>25.3</v>
      </c>
      <c r="D284" s="4">
        <v>23.9801</v>
      </c>
      <c r="E284" s="4">
        <v>580</v>
      </c>
      <c r="F284" s="4"/>
      <c r="G284" s="4"/>
      <c r="H284" s="5">
        <f t="shared" si="4"/>
        <v>-2.3166101805383553E-2</v>
      </c>
    </row>
    <row r="285" spans="1:8" ht="13.5" x14ac:dyDescent="0.25">
      <c r="A285" s="1"/>
      <c r="B285" s="3">
        <v>42717</v>
      </c>
      <c r="C285" s="4">
        <v>25.3</v>
      </c>
      <c r="D285" s="4">
        <v>23.9801</v>
      </c>
      <c r="E285" s="4">
        <v>80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25.3</v>
      </c>
      <c r="D286" s="4">
        <v>23.9801</v>
      </c>
      <c r="E286" s="4">
        <v>80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25.3</v>
      </c>
      <c r="D287" s="4">
        <v>23.9801</v>
      </c>
      <c r="E287" s="4">
        <v>30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25.3</v>
      </c>
      <c r="D288" s="4">
        <v>23.9801</v>
      </c>
      <c r="E288" s="4">
        <v>50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24.6</v>
      </c>
      <c r="D289" s="4">
        <v>23.316600000000001</v>
      </c>
      <c r="E289" s="4">
        <v>25</v>
      </c>
      <c r="F289" s="4"/>
      <c r="G289" s="4"/>
      <c r="H289" s="5">
        <f t="shared" si="4"/>
        <v>-2.7668775359568937E-2</v>
      </c>
    </row>
    <row r="290" spans="1:8" ht="13.5" x14ac:dyDescent="0.25">
      <c r="A290" s="1"/>
      <c r="B290" s="3">
        <v>42724</v>
      </c>
      <c r="C290" s="4">
        <v>25.2</v>
      </c>
      <c r="D290" s="4">
        <v>23.885300000000001</v>
      </c>
      <c r="E290" s="4">
        <v>1</v>
      </c>
      <c r="F290" s="4"/>
      <c r="G290" s="4"/>
      <c r="H290" s="5">
        <f t="shared" si="4"/>
        <v>2.4390348507072203E-2</v>
      </c>
    </row>
    <row r="291" spans="1:8" ht="13.5" x14ac:dyDescent="0.25">
      <c r="A291" s="1"/>
      <c r="B291" s="3">
        <v>42725</v>
      </c>
      <c r="C291" s="4">
        <v>25.2</v>
      </c>
      <c r="D291" s="4">
        <v>23.885300000000001</v>
      </c>
      <c r="E291" s="4">
        <v>0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42726</v>
      </c>
      <c r="C292" s="4">
        <v>25.2</v>
      </c>
      <c r="D292" s="4">
        <v>23.885300000000001</v>
      </c>
      <c r="E292" s="4">
        <v>0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42727</v>
      </c>
      <c r="C293" s="4">
        <v>25</v>
      </c>
      <c r="D293" s="4">
        <v>23.695799999999998</v>
      </c>
      <c r="E293" s="4">
        <v>770</v>
      </c>
      <c r="F293" s="4"/>
      <c r="G293" s="4"/>
      <c r="H293" s="5">
        <f t="shared" si="4"/>
        <v>-7.933750047100202E-3</v>
      </c>
    </row>
    <row r="294" spans="1:8" ht="13.5" x14ac:dyDescent="0.25">
      <c r="A294" s="1"/>
      <c r="B294" s="3">
        <v>42730</v>
      </c>
      <c r="C294" s="4">
        <v>25</v>
      </c>
      <c r="D294" s="4">
        <v>23.695799999999998</v>
      </c>
      <c r="E294" s="4">
        <v>615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25</v>
      </c>
      <c r="D295" s="4">
        <v>23.695799999999998</v>
      </c>
      <c r="E295" s="4">
        <v>1261</v>
      </c>
      <c r="F295" s="4"/>
      <c r="G295" s="4"/>
      <c r="H295" s="5">
        <f t="shared" si="4"/>
        <v>0</v>
      </c>
    </row>
    <row r="296" spans="1:8" ht="13.5" x14ac:dyDescent="0.25">
      <c r="A296" s="1"/>
      <c r="B296" s="3">
        <v>42732</v>
      </c>
      <c r="C296" s="4">
        <v>24.99</v>
      </c>
      <c r="D296" s="4">
        <v>23.686299999999999</v>
      </c>
      <c r="E296" s="4">
        <v>26</v>
      </c>
      <c r="F296" s="4"/>
      <c r="G296" s="4"/>
      <c r="H296" s="5">
        <f t="shared" si="4"/>
        <v>-4.0091493007196112E-4</v>
      </c>
    </row>
    <row r="297" spans="1:8" ht="13.5" x14ac:dyDescent="0.25">
      <c r="A297" s="1"/>
      <c r="B297" s="3">
        <v>42733</v>
      </c>
      <c r="C297" s="4">
        <v>24.4</v>
      </c>
      <c r="D297" s="4">
        <v>23.127099999999999</v>
      </c>
      <c r="E297" s="4">
        <v>240</v>
      </c>
      <c r="F297" s="4"/>
      <c r="G297" s="4"/>
      <c r="H297" s="5">
        <f t="shared" si="4"/>
        <v>-2.3608583864934609E-2</v>
      </c>
    </row>
    <row r="298" spans="1:8" ht="13.5" x14ac:dyDescent="0.25">
      <c r="A298" s="1"/>
      <c r="B298" s="3">
        <v>42734</v>
      </c>
      <c r="C298" s="4">
        <v>24.94</v>
      </c>
      <c r="D298" s="4">
        <v>23.6389</v>
      </c>
      <c r="E298" s="4">
        <v>8</v>
      </c>
      <c r="F298" s="4"/>
      <c r="G298" s="4"/>
      <c r="H298" s="5">
        <f t="shared" si="4"/>
        <v>2.2129882259340816E-2</v>
      </c>
    </row>
    <row r="299" spans="1:8" ht="13.5" x14ac:dyDescent="0.25">
      <c r="A299" s="1"/>
      <c r="B299" s="3">
        <v>42737</v>
      </c>
      <c r="C299" s="4">
        <v>25.68</v>
      </c>
      <c r="D299" s="4">
        <v>24.340299999999999</v>
      </c>
      <c r="E299" s="4">
        <v>1</v>
      </c>
      <c r="F299" s="4"/>
      <c r="G299" s="4"/>
      <c r="H299" s="5">
        <f t="shared" si="4"/>
        <v>2.9671431411783102E-2</v>
      </c>
    </row>
    <row r="300" spans="1:8" ht="13.5" x14ac:dyDescent="0.25">
      <c r="A300" s="1"/>
      <c r="B300" s="3">
        <v>42738</v>
      </c>
      <c r="C300" s="4">
        <v>24.91</v>
      </c>
      <c r="D300" s="4">
        <v>23.610499999999998</v>
      </c>
      <c r="E300" s="4">
        <v>270</v>
      </c>
      <c r="F300" s="4"/>
      <c r="G300" s="4"/>
      <c r="H300" s="5">
        <f t="shared" si="4"/>
        <v>-2.9983196591660783E-2</v>
      </c>
    </row>
    <row r="301" spans="1:8" ht="13.5" x14ac:dyDescent="0.25">
      <c r="A301" s="1"/>
      <c r="B301" s="3">
        <v>42739</v>
      </c>
      <c r="C301" s="4">
        <v>24.3</v>
      </c>
      <c r="D301" s="4">
        <v>23.032299999999999</v>
      </c>
      <c r="E301" s="4">
        <v>700</v>
      </c>
      <c r="F301" s="4"/>
      <c r="G301" s="4"/>
      <c r="H301" s="5">
        <f t="shared" si="4"/>
        <v>-2.4489104423879162E-2</v>
      </c>
    </row>
    <row r="302" spans="1:8" ht="13.5" x14ac:dyDescent="0.25">
      <c r="A302" s="1"/>
      <c r="B302" s="3">
        <v>42740</v>
      </c>
      <c r="C302" s="4">
        <v>24</v>
      </c>
      <c r="D302" s="4">
        <v>22.747900000000001</v>
      </c>
      <c r="E302" s="4">
        <v>340</v>
      </c>
      <c r="F302" s="4"/>
      <c r="G302" s="4"/>
      <c r="H302" s="5">
        <f t="shared" si="4"/>
        <v>-1.2347876677535374E-2</v>
      </c>
    </row>
    <row r="303" spans="1:8" ht="13.5" x14ac:dyDescent="0.25">
      <c r="A303" s="1"/>
      <c r="B303" s="3">
        <v>42741</v>
      </c>
      <c r="C303" s="4">
        <v>24</v>
      </c>
      <c r="D303" s="4">
        <v>22.747900000000001</v>
      </c>
      <c r="E303" s="4">
        <v>51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24.28</v>
      </c>
      <c r="D304" s="4">
        <v>23.013300000000001</v>
      </c>
      <c r="E304" s="4">
        <v>2000</v>
      </c>
      <c r="F304" s="4"/>
      <c r="G304" s="4"/>
      <c r="H304" s="5">
        <f t="shared" si="4"/>
        <v>1.1667011020797508E-2</v>
      </c>
    </row>
    <row r="305" spans="1:8" ht="13.5" x14ac:dyDescent="0.25">
      <c r="A305" s="1"/>
      <c r="B305" s="3">
        <v>42745</v>
      </c>
      <c r="C305" s="4">
        <v>24.2</v>
      </c>
      <c r="D305" s="4">
        <v>22.9375</v>
      </c>
      <c r="E305" s="4">
        <v>815</v>
      </c>
      <c r="F305" s="4"/>
      <c r="G305" s="4"/>
      <c r="H305" s="5">
        <f t="shared" si="4"/>
        <v>-3.2937475286030676E-3</v>
      </c>
    </row>
    <row r="306" spans="1:8" ht="13.5" x14ac:dyDescent="0.25">
      <c r="A306" s="1"/>
      <c r="B306" s="3">
        <v>42746</v>
      </c>
      <c r="C306" s="4">
        <v>24.2</v>
      </c>
      <c r="D306" s="4">
        <v>22.9375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23.75</v>
      </c>
      <c r="D307" s="4">
        <v>22.510999999999999</v>
      </c>
      <c r="E307" s="4">
        <v>105</v>
      </c>
      <c r="F307" s="4"/>
      <c r="G307" s="4"/>
      <c r="H307" s="5">
        <f t="shared" si="4"/>
        <v>-1.8594005449591316E-2</v>
      </c>
    </row>
    <row r="308" spans="1:8" ht="13.5" x14ac:dyDescent="0.25">
      <c r="A308" s="1"/>
      <c r="B308" s="3">
        <v>42748</v>
      </c>
      <c r="C308" s="4">
        <v>24</v>
      </c>
      <c r="D308" s="4">
        <v>22.747900000000001</v>
      </c>
      <c r="E308" s="4">
        <v>820</v>
      </c>
      <c r="F308" s="4"/>
      <c r="G308" s="4"/>
      <c r="H308" s="5">
        <f t="shared" si="4"/>
        <v>1.0523743947403586E-2</v>
      </c>
    </row>
    <row r="309" spans="1:8" ht="13.5" x14ac:dyDescent="0.25">
      <c r="A309" s="1"/>
      <c r="B309" s="3">
        <v>42751</v>
      </c>
      <c r="C309" s="4">
        <v>24.2</v>
      </c>
      <c r="D309" s="4">
        <v>22.9375</v>
      </c>
      <c r="E309" s="4">
        <v>1721</v>
      </c>
      <c r="F309" s="4"/>
      <c r="G309" s="4"/>
      <c r="H309" s="5">
        <f t="shared" si="4"/>
        <v>8.3348353034785033E-3</v>
      </c>
    </row>
    <row r="310" spans="1:8" ht="13.5" x14ac:dyDescent="0.25">
      <c r="A310" s="1"/>
      <c r="B310" s="3">
        <v>42752</v>
      </c>
      <c r="C310" s="4">
        <v>24.28</v>
      </c>
      <c r="D310" s="4">
        <v>23.013300000000001</v>
      </c>
      <c r="E310" s="4">
        <v>449</v>
      </c>
      <c r="F310" s="4"/>
      <c r="G310" s="4"/>
      <c r="H310" s="5">
        <f t="shared" si="4"/>
        <v>3.3046321525885985E-3</v>
      </c>
    </row>
    <row r="311" spans="1:8" ht="13.5" x14ac:dyDescent="0.25">
      <c r="A311" s="1"/>
      <c r="B311" s="3">
        <v>42753</v>
      </c>
      <c r="C311" s="4">
        <v>24.25</v>
      </c>
      <c r="D311" s="4">
        <v>22.9849</v>
      </c>
      <c r="E311" s="4">
        <v>567</v>
      </c>
      <c r="F311" s="4"/>
      <c r="G311" s="4"/>
      <c r="H311" s="5">
        <f t="shared" si="4"/>
        <v>-1.2340689948856232E-3</v>
      </c>
    </row>
    <row r="312" spans="1:8" ht="13.5" x14ac:dyDescent="0.25">
      <c r="A312" s="1"/>
      <c r="B312" s="3">
        <v>42754</v>
      </c>
      <c r="C312" s="4">
        <v>24.3</v>
      </c>
      <c r="D312" s="4">
        <v>23.032299999999999</v>
      </c>
      <c r="E312" s="4">
        <v>21</v>
      </c>
      <c r="F312" s="4"/>
      <c r="G312" s="4"/>
      <c r="H312" s="5">
        <f t="shared" si="4"/>
        <v>2.0622234597496474E-3</v>
      </c>
    </row>
    <row r="313" spans="1:8" ht="13.5" x14ac:dyDescent="0.25">
      <c r="A313" s="1"/>
      <c r="B313" s="3">
        <v>42755</v>
      </c>
      <c r="C313" s="4">
        <v>24.3</v>
      </c>
      <c r="D313" s="4">
        <v>23.032299999999999</v>
      </c>
      <c r="E313" s="4">
        <v>25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24.3</v>
      </c>
      <c r="D314" s="4">
        <v>23.032299999999999</v>
      </c>
      <c r="E314" s="4">
        <v>44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24.3</v>
      </c>
      <c r="D315" s="4">
        <v>23.032299999999999</v>
      </c>
      <c r="E315" s="4">
        <v>0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42760</v>
      </c>
      <c r="C316" s="4">
        <v>24.3</v>
      </c>
      <c r="D316" s="4">
        <v>23.032299999999999</v>
      </c>
      <c r="E316" s="4">
        <v>0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24</v>
      </c>
      <c r="D317" s="4">
        <v>22.747900000000001</v>
      </c>
      <c r="E317" s="4">
        <v>15</v>
      </c>
      <c r="F317" s="4"/>
      <c r="G317" s="4"/>
      <c r="H317" s="5">
        <f t="shared" si="4"/>
        <v>-1.2347876677535374E-2</v>
      </c>
    </row>
    <row r="318" spans="1:8" ht="13.5" x14ac:dyDescent="0.25">
      <c r="A318" s="1"/>
      <c r="B318" s="3">
        <v>42762</v>
      </c>
      <c r="C318" s="4">
        <v>24</v>
      </c>
      <c r="D318" s="4">
        <v>22.747900000000001</v>
      </c>
      <c r="E318" s="4">
        <v>15</v>
      </c>
      <c r="F318" s="4"/>
      <c r="G318" s="4"/>
      <c r="H318" s="5">
        <f t="shared" si="4"/>
        <v>0</v>
      </c>
    </row>
    <row r="319" spans="1:8" ht="13.5" x14ac:dyDescent="0.25">
      <c r="A319" s="1"/>
      <c r="B319" s="3">
        <v>42765</v>
      </c>
      <c r="C319" s="4">
        <v>24</v>
      </c>
      <c r="D319" s="4">
        <v>22.747900000000001</v>
      </c>
      <c r="E319" s="4">
        <v>0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24</v>
      </c>
      <c r="D320" s="4">
        <v>22.747900000000001</v>
      </c>
      <c r="E320" s="4">
        <v>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24</v>
      </c>
      <c r="D321" s="4">
        <v>22.747900000000001</v>
      </c>
      <c r="E321" s="4">
        <v>0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42768</v>
      </c>
      <c r="C322" s="4">
        <v>24</v>
      </c>
      <c r="D322" s="4">
        <v>22.747900000000001</v>
      </c>
      <c r="E322" s="4">
        <v>0</v>
      </c>
      <c r="F322" s="4"/>
      <c r="G322" s="4"/>
      <c r="H322" s="5">
        <f t="shared" si="4"/>
        <v>0</v>
      </c>
    </row>
    <row r="323" spans="1:8" ht="13.5" x14ac:dyDescent="0.25">
      <c r="A323" s="1"/>
      <c r="B323" s="3">
        <v>42769</v>
      </c>
      <c r="C323" s="4">
        <v>24</v>
      </c>
      <c r="D323" s="4">
        <v>22.747900000000001</v>
      </c>
      <c r="E323" s="4">
        <v>88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23.98</v>
      </c>
      <c r="D324" s="4">
        <v>22.728999999999999</v>
      </c>
      <c r="E324" s="4">
        <v>121</v>
      </c>
      <c r="F324" s="4"/>
      <c r="G324" s="4"/>
      <c r="H324" s="5">
        <f t="shared" si="4"/>
        <v>-8.3084592423925444E-4</v>
      </c>
    </row>
    <row r="325" spans="1:8" ht="13.5" x14ac:dyDescent="0.25">
      <c r="A325" s="1"/>
      <c r="B325" s="3">
        <v>42773</v>
      </c>
      <c r="C325" s="4">
        <v>23.5</v>
      </c>
      <c r="D325" s="4">
        <v>22.274000000000001</v>
      </c>
      <c r="E325" s="4">
        <v>560</v>
      </c>
      <c r="F325" s="4"/>
      <c r="G325" s="4"/>
      <c r="H325" s="5">
        <f t="shared" si="4"/>
        <v>-2.0018478595626658E-2</v>
      </c>
    </row>
    <row r="326" spans="1:8" ht="13.5" x14ac:dyDescent="0.25">
      <c r="A326" s="1"/>
      <c r="B326" s="3">
        <v>42774</v>
      </c>
      <c r="C326" s="4">
        <v>23.5</v>
      </c>
      <c r="D326" s="4">
        <v>22.274000000000001</v>
      </c>
      <c r="E326" s="4">
        <v>0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23.5</v>
      </c>
      <c r="D327" s="4">
        <v>22.274000000000001</v>
      </c>
      <c r="E327" s="4">
        <v>0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42776</v>
      </c>
      <c r="C328" s="4">
        <v>23.5</v>
      </c>
      <c r="D328" s="4">
        <v>22.274000000000001</v>
      </c>
      <c r="E328" s="4">
        <v>0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23.5</v>
      </c>
      <c r="D329" s="4">
        <v>22.274000000000001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23.5</v>
      </c>
      <c r="D330" s="4">
        <v>22.274000000000001</v>
      </c>
      <c r="E330" s="4">
        <v>0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23.5</v>
      </c>
      <c r="D331" s="4">
        <v>22.274000000000001</v>
      </c>
      <c r="E331" s="4">
        <v>0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23.5</v>
      </c>
      <c r="D332" s="4">
        <v>22.274000000000001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23.39</v>
      </c>
      <c r="D333" s="4">
        <v>22.169799999999999</v>
      </c>
      <c r="E333" s="4">
        <v>2</v>
      </c>
      <c r="F333" s="4"/>
      <c r="G333" s="4"/>
      <c r="H333" s="5">
        <f t="shared" si="5"/>
        <v>-4.6781000269373388E-3</v>
      </c>
    </row>
    <row r="334" spans="1:8" ht="13.5" x14ac:dyDescent="0.25">
      <c r="A334" s="1"/>
      <c r="B334" s="3">
        <v>42786</v>
      </c>
      <c r="C334" s="4">
        <v>23.39</v>
      </c>
      <c r="D334" s="4">
        <v>22.169799999999999</v>
      </c>
      <c r="E334" s="4">
        <v>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23.39</v>
      </c>
      <c r="D335" s="4">
        <v>22.169799999999999</v>
      </c>
      <c r="E335" s="4">
        <v>0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23.39</v>
      </c>
      <c r="D336" s="4">
        <v>22.169799999999999</v>
      </c>
      <c r="E336" s="4">
        <v>0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23.39</v>
      </c>
      <c r="D337" s="4">
        <v>22.169799999999999</v>
      </c>
      <c r="E337" s="4">
        <v>0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22.8</v>
      </c>
      <c r="D338" s="4">
        <v>21.610499999999998</v>
      </c>
      <c r="E338" s="4">
        <v>150</v>
      </c>
      <c r="F338" s="4"/>
      <c r="G338" s="4"/>
      <c r="H338" s="5">
        <f t="shared" si="5"/>
        <v>-2.5228012882389576E-2</v>
      </c>
    </row>
    <row r="339" spans="1:8" ht="13.5" x14ac:dyDescent="0.25">
      <c r="A339" s="1"/>
      <c r="B339" s="3">
        <v>42793</v>
      </c>
      <c r="C339" s="4">
        <v>23.29</v>
      </c>
      <c r="D339" s="4">
        <v>22.074999999999999</v>
      </c>
      <c r="E339" s="4">
        <v>707</v>
      </c>
      <c r="F339" s="4"/>
      <c r="G339" s="4"/>
      <c r="H339" s="5">
        <f t="shared" si="5"/>
        <v>2.1494181069387615E-2</v>
      </c>
    </row>
    <row r="340" spans="1:8" ht="13.5" x14ac:dyDescent="0.25">
      <c r="A340" s="1"/>
      <c r="B340" s="3">
        <v>42794</v>
      </c>
      <c r="C340" s="4">
        <v>23.39</v>
      </c>
      <c r="D340" s="4">
        <v>22.169799999999999</v>
      </c>
      <c r="E340" s="4">
        <v>4250</v>
      </c>
      <c r="F340" s="4"/>
      <c r="G340" s="4"/>
      <c r="H340" s="5">
        <f t="shared" si="5"/>
        <v>4.2944507361268097E-3</v>
      </c>
    </row>
    <row r="341" spans="1:8" ht="13.5" x14ac:dyDescent="0.25">
      <c r="A341" s="1"/>
      <c r="B341" s="3">
        <v>42795</v>
      </c>
      <c r="C341" s="4">
        <v>23.5</v>
      </c>
      <c r="D341" s="4">
        <v>22.274000000000001</v>
      </c>
      <c r="E341" s="4">
        <v>745</v>
      </c>
      <c r="F341" s="4"/>
      <c r="G341" s="4"/>
      <c r="H341" s="5">
        <f t="shared" si="5"/>
        <v>4.7000875064277664E-3</v>
      </c>
    </row>
    <row r="342" spans="1:8" ht="13.5" x14ac:dyDescent="0.25">
      <c r="A342" s="1"/>
      <c r="B342" s="3">
        <v>42796</v>
      </c>
      <c r="C342" s="4">
        <v>23.5</v>
      </c>
      <c r="D342" s="4">
        <v>22.274000000000001</v>
      </c>
      <c r="E342" s="4">
        <v>0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23.05</v>
      </c>
      <c r="D343" s="4">
        <v>21.8475</v>
      </c>
      <c r="E343" s="4">
        <v>300</v>
      </c>
      <c r="F343" s="4"/>
      <c r="G343" s="4"/>
      <c r="H343" s="5">
        <f t="shared" si="5"/>
        <v>-1.9147885426955228E-2</v>
      </c>
    </row>
    <row r="344" spans="1:8" ht="13.5" x14ac:dyDescent="0.25">
      <c r="A344" s="1"/>
      <c r="B344" s="3">
        <v>42800</v>
      </c>
      <c r="C344" s="4">
        <v>23</v>
      </c>
      <c r="D344" s="4">
        <v>21.8001</v>
      </c>
      <c r="E344" s="4">
        <v>1270</v>
      </c>
      <c r="F344" s="4"/>
      <c r="G344" s="4"/>
      <c r="H344" s="5">
        <f t="shared" si="5"/>
        <v>-2.1695846206659648E-3</v>
      </c>
    </row>
    <row r="345" spans="1:8" ht="13.5" x14ac:dyDescent="0.25">
      <c r="A345" s="1"/>
      <c r="B345" s="3">
        <v>42801</v>
      </c>
      <c r="C345" s="4">
        <v>23</v>
      </c>
      <c r="D345" s="4">
        <v>21.8001</v>
      </c>
      <c r="E345" s="4">
        <v>100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23</v>
      </c>
      <c r="D346" s="4">
        <v>21.8001</v>
      </c>
      <c r="E346" s="4">
        <v>775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23.49</v>
      </c>
      <c r="D347" s="4">
        <v>22.264500000000002</v>
      </c>
      <c r="E347" s="4">
        <v>363</v>
      </c>
      <c r="F347" s="4"/>
      <c r="G347" s="4"/>
      <c r="H347" s="5">
        <f t="shared" si="5"/>
        <v>2.1302654574979072E-2</v>
      </c>
    </row>
    <row r="348" spans="1:8" ht="13.5" x14ac:dyDescent="0.25">
      <c r="A348" s="1"/>
      <c r="B348" s="3">
        <v>42804</v>
      </c>
      <c r="C348" s="4">
        <v>23.49</v>
      </c>
      <c r="D348" s="4">
        <v>22.264500000000002</v>
      </c>
      <c r="E348" s="4">
        <v>238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23</v>
      </c>
      <c r="D349" s="4">
        <v>21.8001</v>
      </c>
      <c r="E349" s="4">
        <v>15</v>
      </c>
      <c r="F349" s="4"/>
      <c r="G349" s="4"/>
      <c r="H349" s="5">
        <f t="shared" si="5"/>
        <v>-2.0858317051808989E-2</v>
      </c>
    </row>
    <row r="350" spans="1:8" ht="13.5" x14ac:dyDescent="0.25">
      <c r="A350" s="1"/>
      <c r="B350" s="3">
        <v>42808</v>
      </c>
      <c r="C350" s="4">
        <v>23.48</v>
      </c>
      <c r="D350" s="4">
        <v>22.255099999999999</v>
      </c>
      <c r="E350" s="4">
        <v>912</v>
      </c>
      <c r="F350" s="4"/>
      <c r="G350" s="4"/>
      <c r="H350" s="5">
        <f t="shared" si="5"/>
        <v>2.0871463892367388E-2</v>
      </c>
    </row>
    <row r="351" spans="1:8" ht="13.5" x14ac:dyDescent="0.25">
      <c r="A351" s="1"/>
      <c r="B351" s="3">
        <v>42809</v>
      </c>
      <c r="C351" s="4">
        <v>23.48</v>
      </c>
      <c r="D351" s="4">
        <v>22.255099999999999</v>
      </c>
      <c r="E351" s="4">
        <v>6170</v>
      </c>
      <c r="F351" s="4"/>
      <c r="G351" s="4"/>
      <c r="H351" s="5">
        <f t="shared" si="5"/>
        <v>0</v>
      </c>
    </row>
    <row r="352" spans="1:8" ht="13.5" x14ac:dyDescent="0.25">
      <c r="A352" s="1"/>
      <c r="B352" s="3">
        <v>42810</v>
      </c>
      <c r="C352" s="4">
        <v>23.48</v>
      </c>
      <c r="D352" s="4">
        <v>22.255099999999999</v>
      </c>
      <c r="E352" s="4">
        <v>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23.48</v>
      </c>
      <c r="D353" s="4">
        <v>22.255099999999999</v>
      </c>
      <c r="E353" s="4">
        <v>527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42815</v>
      </c>
      <c r="C354" s="4">
        <v>23.47</v>
      </c>
      <c r="D354" s="4">
        <v>22.2456</v>
      </c>
      <c r="E354" s="4">
        <v>767</v>
      </c>
      <c r="F354" s="4"/>
      <c r="G354" s="4"/>
      <c r="H354" s="5">
        <f t="shared" si="5"/>
        <v>-4.268684481309532E-4</v>
      </c>
    </row>
    <row r="355" spans="1:8" ht="13.5" x14ac:dyDescent="0.25">
      <c r="A355" s="1"/>
      <c r="B355" s="3">
        <v>42816</v>
      </c>
      <c r="C355" s="4">
        <v>23.45</v>
      </c>
      <c r="D355" s="4">
        <v>22.226600000000001</v>
      </c>
      <c r="E355" s="4">
        <v>385</v>
      </c>
      <c r="F355" s="4"/>
      <c r="G355" s="4"/>
      <c r="H355" s="5">
        <f t="shared" si="5"/>
        <v>-8.5410148523745602E-4</v>
      </c>
    </row>
    <row r="356" spans="1:8" ht="13.5" x14ac:dyDescent="0.25">
      <c r="A356" s="1"/>
      <c r="B356" s="3">
        <v>42817</v>
      </c>
      <c r="C356" s="4">
        <v>22.85</v>
      </c>
      <c r="D356" s="4">
        <v>21.657900000000001</v>
      </c>
      <c r="E356" s="4">
        <v>25</v>
      </c>
      <c r="F356" s="4"/>
      <c r="G356" s="4"/>
      <c r="H356" s="5">
        <f t="shared" si="5"/>
        <v>-2.5586459467484893E-2</v>
      </c>
    </row>
    <row r="357" spans="1:8" ht="13.5" x14ac:dyDescent="0.25">
      <c r="A357" s="1"/>
      <c r="B357" s="3">
        <v>42818</v>
      </c>
      <c r="C357" s="4">
        <v>22.85</v>
      </c>
      <c r="D357" s="4">
        <v>21.657900000000001</v>
      </c>
      <c r="E357" s="4">
        <v>601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23.2</v>
      </c>
      <c r="D358" s="4">
        <v>21.989699999999999</v>
      </c>
      <c r="E358" s="4">
        <v>3378</v>
      </c>
      <c r="F358" s="4"/>
      <c r="G358" s="4"/>
      <c r="H358" s="5">
        <f t="shared" si="5"/>
        <v>1.5320044879697368E-2</v>
      </c>
    </row>
    <row r="359" spans="1:8" ht="13.5" x14ac:dyDescent="0.25">
      <c r="A359" s="1"/>
      <c r="B359" s="3">
        <v>42822</v>
      </c>
      <c r="C359" s="4">
        <v>22.8</v>
      </c>
      <c r="D359" s="4">
        <v>21.610499999999998</v>
      </c>
      <c r="E359" s="4">
        <v>3480</v>
      </c>
      <c r="F359" s="4"/>
      <c r="G359" s="4"/>
      <c r="H359" s="5">
        <f t="shared" si="5"/>
        <v>-1.7244437168310658E-2</v>
      </c>
    </row>
    <row r="360" spans="1:8" ht="13.5" x14ac:dyDescent="0.25">
      <c r="A360" s="1"/>
      <c r="B360" s="3">
        <v>42823</v>
      </c>
      <c r="C360" s="4">
        <v>23.2</v>
      </c>
      <c r="D360" s="4">
        <v>21.989699999999999</v>
      </c>
      <c r="E360" s="4">
        <v>1</v>
      </c>
      <c r="F360" s="4"/>
      <c r="G360" s="4"/>
      <c r="H360" s="5">
        <f t="shared" si="5"/>
        <v>1.7547025751370904E-2</v>
      </c>
    </row>
    <row r="361" spans="1:8" ht="13.5" x14ac:dyDescent="0.25">
      <c r="A361" s="1"/>
      <c r="B361" s="3">
        <v>42824</v>
      </c>
      <c r="C361" s="4">
        <v>23</v>
      </c>
      <c r="D361" s="4">
        <v>21.8001</v>
      </c>
      <c r="E361" s="4">
        <v>321</v>
      </c>
      <c r="F361" s="4"/>
      <c r="G361" s="4"/>
      <c r="H361" s="5">
        <f t="shared" si="5"/>
        <v>-8.6222185841552477E-3</v>
      </c>
    </row>
    <row r="362" spans="1:8" ht="13.5" x14ac:dyDescent="0.25">
      <c r="A362" s="1"/>
      <c r="B362" s="3">
        <v>42825</v>
      </c>
      <c r="C362" s="4">
        <v>23.19</v>
      </c>
      <c r="D362" s="4">
        <v>21.9802</v>
      </c>
      <c r="E362" s="4">
        <v>499</v>
      </c>
      <c r="F362" s="4"/>
      <c r="G362" s="4"/>
      <c r="H362" s="5">
        <f t="shared" si="5"/>
        <v>8.2614299934403723E-3</v>
      </c>
    </row>
    <row r="363" spans="1:8" ht="13.5" x14ac:dyDescent="0.25">
      <c r="A363" s="1"/>
      <c r="B363" s="3">
        <v>42828</v>
      </c>
      <c r="C363" s="4">
        <v>23.8</v>
      </c>
      <c r="D363" s="4">
        <v>22.558399999999999</v>
      </c>
      <c r="E363" s="4">
        <v>1438</v>
      </c>
      <c r="F363" s="4"/>
      <c r="G363" s="4"/>
      <c r="H363" s="5">
        <f t="shared" si="5"/>
        <v>2.6305493125631203E-2</v>
      </c>
    </row>
    <row r="364" spans="1:8" ht="13.5" x14ac:dyDescent="0.25">
      <c r="A364" s="1"/>
      <c r="B364" s="3">
        <v>42829</v>
      </c>
      <c r="C364" s="4">
        <v>24.5</v>
      </c>
      <c r="D364" s="4">
        <v>23.221800000000002</v>
      </c>
      <c r="E364" s="4">
        <v>3996</v>
      </c>
      <c r="F364" s="4"/>
      <c r="G364" s="4"/>
      <c r="H364" s="5">
        <f t="shared" si="5"/>
        <v>2.9408114050642017E-2</v>
      </c>
    </row>
    <row r="365" spans="1:8" ht="13.5" x14ac:dyDescent="0.25">
      <c r="A365" s="1"/>
      <c r="B365" s="3">
        <v>42830</v>
      </c>
      <c r="C365" s="4">
        <v>25.54</v>
      </c>
      <c r="D365" s="4">
        <v>24.207599999999999</v>
      </c>
      <c r="E365" s="4">
        <v>2636</v>
      </c>
      <c r="F365" s="4"/>
      <c r="G365" s="4"/>
      <c r="H365" s="5">
        <f t="shared" si="5"/>
        <v>4.2451489548613691E-2</v>
      </c>
    </row>
    <row r="366" spans="1:8" ht="13.5" x14ac:dyDescent="0.25">
      <c r="A366" s="1"/>
      <c r="B366" s="3">
        <v>42831</v>
      </c>
      <c r="C366" s="4">
        <v>26.68</v>
      </c>
      <c r="D366" s="4">
        <v>25.2881</v>
      </c>
      <c r="E366" s="4">
        <v>3383</v>
      </c>
      <c r="F366" s="4"/>
      <c r="G366" s="4"/>
      <c r="H366" s="5">
        <f t="shared" si="5"/>
        <v>4.4634742808043783E-2</v>
      </c>
    </row>
    <row r="367" spans="1:8" ht="13.5" x14ac:dyDescent="0.25">
      <c r="A367" s="1"/>
      <c r="B367" s="3">
        <v>42832</v>
      </c>
      <c r="C367" s="4">
        <v>26.3</v>
      </c>
      <c r="D367" s="4">
        <v>24.927900000000001</v>
      </c>
      <c r="E367" s="4">
        <v>636</v>
      </c>
      <c r="F367" s="4"/>
      <c r="G367" s="4"/>
      <c r="H367" s="5">
        <f t="shared" si="5"/>
        <v>-1.4243853828480549E-2</v>
      </c>
    </row>
    <row r="368" spans="1:8" ht="13.5" x14ac:dyDescent="0.25">
      <c r="A368" s="1"/>
      <c r="B368" s="3">
        <v>42835</v>
      </c>
      <c r="C368" s="4">
        <v>25.81</v>
      </c>
      <c r="D368" s="4">
        <v>24.4635</v>
      </c>
      <c r="E368" s="4">
        <v>10239</v>
      </c>
      <c r="F368" s="4"/>
      <c r="G368" s="4"/>
      <c r="H368" s="5">
        <f t="shared" si="5"/>
        <v>-1.8629728135944112E-2</v>
      </c>
    </row>
    <row r="369" spans="1:8" ht="13.5" x14ac:dyDescent="0.25">
      <c r="A369" s="1"/>
      <c r="B369" s="3">
        <v>42836</v>
      </c>
      <c r="C369" s="4">
        <v>25.81</v>
      </c>
      <c r="D369" s="4">
        <v>24.4635</v>
      </c>
      <c r="E369" s="4">
        <v>1235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26.39</v>
      </c>
      <c r="D370" s="4">
        <v>25.013200000000001</v>
      </c>
      <c r="E370" s="4">
        <v>10</v>
      </c>
      <c r="F370" s="4"/>
      <c r="G370" s="4"/>
      <c r="H370" s="5">
        <f t="shared" si="5"/>
        <v>2.2470210722096241E-2</v>
      </c>
    </row>
    <row r="371" spans="1:8" ht="13.5" x14ac:dyDescent="0.25">
      <c r="A371" s="1"/>
      <c r="B371" s="3">
        <v>42838</v>
      </c>
      <c r="C371" s="4">
        <v>26.39</v>
      </c>
      <c r="D371" s="4">
        <v>25.013200000000001</v>
      </c>
      <c r="E371" s="4">
        <v>0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26.56</v>
      </c>
      <c r="D372" s="4">
        <v>25.174399999999999</v>
      </c>
      <c r="E372" s="4">
        <v>1</v>
      </c>
      <c r="F372" s="4"/>
      <c r="G372" s="4"/>
      <c r="H372" s="5">
        <f t="shared" si="5"/>
        <v>6.4445972526504941E-3</v>
      </c>
    </row>
    <row r="373" spans="1:8" ht="13.5" x14ac:dyDescent="0.25">
      <c r="A373" s="1"/>
      <c r="B373" s="3">
        <v>42842</v>
      </c>
      <c r="C373" s="4">
        <v>26.49</v>
      </c>
      <c r="D373" s="4">
        <v>25.108000000000001</v>
      </c>
      <c r="E373" s="4">
        <v>242</v>
      </c>
      <c r="F373" s="4"/>
      <c r="G373" s="4"/>
      <c r="H373" s="5">
        <f t="shared" si="5"/>
        <v>-2.6376001016905279E-3</v>
      </c>
    </row>
    <row r="374" spans="1:8" ht="13.5" x14ac:dyDescent="0.25">
      <c r="A374" s="1"/>
      <c r="B374" s="3">
        <v>42843</v>
      </c>
      <c r="C374" s="4">
        <v>25.7</v>
      </c>
      <c r="D374" s="4">
        <v>24.359200000000001</v>
      </c>
      <c r="E374" s="4">
        <v>1685</v>
      </c>
      <c r="F374" s="4"/>
      <c r="G374" s="4"/>
      <c r="H374" s="5">
        <f t="shared" si="5"/>
        <v>-2.9823163931814532E-2</v>
      </c>
    </row>
    <row r="375" spans="1:8" ht="13.5" x14ac:dyDescent="0.25">
      <c r="A375" s="1"/>
      <c r="B375" s="3">
        <v>42844</v>
      </c>
      <c r="C375" s="4">
        <v>26.46</v>
      </c>
      <c r="D375" s="4">
        <v>25.079599999999999</v>
      </c>
      <c r="E375" s="4">
        <v>307</v>
      </c>
      <c r="F375" s="4"/>
      <c r="G375" s="4"/>
      <c r="H375" s="5">
        <f t="shared" si="5"/>
        <v>2.9574041840454444E-2</v>
      </c>
    </row>
    <row r="376" spans="1:8" ht="13.5" x14ac:dyDescent="0.25">
      <c r="A376" s="1"/>
      <c r="B376" s="3">
        <v>42845</v>
      </c>
      <c r="C376" s="4">
        <v>25.85</v>
      </c>
      <c r="D376" s="4">
        <v>24.5014</v>
      </c>
      <c r="E376" s="4">
        <v>115</v>
      </c>
      <c r="F376" s="4"/>
      <c r="G376" s="4"/>
      <c r="H376" s="5">
        <f t="shared" si="5"/>
        <v>-2.3054594172155815E-2</v>
      </c>
    </row>
    <row r="377" spans="1:8" ht="13.5" x14ac:dyDescent="0.25">
      <c r="A377" s="1"/>
      <c r="B377" s="3">
        <v>42846</v>
      </c>
      <c r="C377" s="4">
        <v>26.4</v>
      </c>
      <c r="D377" s="4">
        <v>25.0227</v>
      </c>
      <c r="E377" s="4">
        <v>54</v>
      </c>
      <c r="F377" s="4"/>
      <c r="G377" s="4"/>
      <c r="H377" s="5">
        <f t="shared" si="5"/>
        <v>2.1276335229823605E-2</v>
      </c>
    </row>
    <row r="378" spans="1:8" ht="13.5" x14ac:dyDescent="0.25">
      <c r="A378" s="1"/>
      <c r="B378" s="3">
        <v>42849</v>
      </c>
      <c r="C378" s="4">
        <v>26.4</v>
      </c>
      <c r="D378" s="4">
        <v>25.0227</v>
      </c>
      <c r="E378" s="4">
        <v>0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26.4</v>
      </c>
      <c r="D379" s="4">
        <v>25.0227</v>
      </c>
      <c r="E379" s="4">
        <v>0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42851</v>
      </c>
      <c r="C380" s="4">
        <v>25.89</v>
      </c>
      <c r="D380" s="4">
        <v>24.539300000000001</v>
      </c>
      <c r="E380" s="4">
        <v>584</v>
      </c>
      <c r="F380" s="4"/>
      <c r="G380" s="4"/>
      <c r="H380" s="5">
        <f t="shared" si="5"/>
        <v>-1.9318458839373831E-2</v>
      </c>
    </row>
    <row r="381" spans="1:8" ht="13.5" x14ac:dyDescent="0.25">
      <c r="A381" s="1"/>
      <c r="B381" s="3">
        <v>42852</v>
      </c>
      <c r="C381" s="4">
        <v>26.29</v>
      </c>
      <c r="D381" s="4">
        <v>24.918500000000002</v>
      </c>
      <c r="E381" s="4">
        <v>68</v>
      </c>
      <c r="F381" s="4"/>
      <c r="G381" s="4"/>
      <c r="H381" s="5">
        <f t="shared" si="5"/>
        <v>1.545276352626199E-2</v>
      </c>
    </row>
    <row r="382" spans="1:8" ht="13.5" x14ac:dyDescent="0.25">
      <c r="A382" s="1"/>
      <c r="B382" s="3">
        <v>42853</v>
      </c>
      <c r="C382" s="4">
        <v>26</v>
      </c>
      <c r="D382" s="4">
        <v>24.643599999999999</v>
      </c>
      <c r="E382" s="4">
        <v>7364</v>
      </c>
      <c r="F382" s="4"/>
      <c r="G382" s="4"/>
      <c r="H382" s="5">
        <f t="shared" si="5"/>
        <v>-1.1031964203302861E-2</v>
      </c>
    </row>
    <row r="383" spans="1:8" ht="13.5" x14ac:dyDescent="0.25">
      <c r="A383" s="1"/>
      <c r="B383" s="3">
        <v>42857</v>
      </c>
      <c r="C383" s="4">
        <v>26</v>
      </c>
      <c r="D383" s="4">
        <v>24.643599999999999</v>
      </c>
      <c r="E383" s="4">
        <v>1625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26.29</v>
      </c>
      <c r="D384" s="4">
        <v>24.918500000000002</v>
      </c>
      <c r="E384" s="4">
        <v>6425</v>
      </c>
      <c r="F384" s="4"/>
      <c r="G384" s="4"/>
      <c r="H384" s="5">
        <f t="shared" si="5"/>
        <v>1.1155026051388692E-2</v>
      </c>
    </row>
    <row r="385" spans="1:8" ht="13.5" x14ac:dyDescent="0.25">
      <c r="A385" s="1"/>
      <c r="B385" s="3">
        <v>42859</v>
      </c>
      <c r="C385" s="4">
        <v>26.4</v>
      </c>
      <c r="D385" s="4">
        <v>25.0227</v>
      </c>
      <c r="E385" s="4">
        <v>15</v>
      </c>
      <c r="F385" s="4"/>
      <c r="G385" s="4"/>
      <c r="H385" s="5">
        <f t="shared" si="5"/>
        <v>4.181632120713475E-3</v>
      </c>
    </row>
    <row r="386" spans="1:8" ht="13.5" x14ac:dyDescent="0.25">
      <c r="A386" s="1"/>
      <c r="B386" s="3">
        <v>42860</v>
      </c>
      <c r="C386" s="4">
        <v>26.4</v>
      </c>
      <c r="D386" s="4">
        <v>25.0227</v>
      </c>
      <c r="E386" s="4">
        <v>1129</v>
      </c>
      <c r="F386" s="4"/>
      <c r="G386" s="4"/>
      <c r="H386" s="5">
        <f t="shared" si="5"/>
        <v>0</v>
      </c>
    </row>
    <row r="387" spans="1:8" ht="13.5" x14ac:dyDescent="0.25">
      <c r="A387" s="1"/>
      <c r="B387" s="3">
        <v>42863</v>
      </c>
      <c r="C387" s="4">
        <v>26.4</v>
      </c>
      <c r="D387" s="4">
        <v>25.0227</v>
      </c>
      <c r="E387" s="4">
        <v>0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26.59</v>
      </c>
      <c r="D388" s="4">
        <v>25.2028</v>
      </c>
      <c r="E388" s="4">
        <v>1112</v>
      </c>
      <c r="F388" s="4"/>
      <c r="G388" s="4"/>
      <c r="H388" s="5">
        <f t="shared" si="5"/>
        <v>7.1974647020505173E-3</v>
      </c>
    </row>
    <row r="389" spans="1:8" ht="13.5" x14ac:dyDescent="0.25">
      <c r="A389" s="1"/>
      <c r="B389" s="3">
        <v>42865</v>
      </c>
      <c r="C389" s="4">
        <v>26.59</v>
      </c>
      <c r="D389" s="4">
        <v>25.2028</v>
      </c>
      <c r="E389" s="4">
        <v>460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26.59</v>
      </c>
      <c r="D390" s="4">
        <v>25.2028</v>
      </c>
      <c r="E390" s="4">
        <v>0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26.5</v>
      </c>
      <c r="D391" s="4">
        <v>25.1175</v>
      </c>
      <c r="E391" s="4">
        <v>311</v>
      </c>
      <c r="F391" s="4"/>
      <c r="G391" s="4"/>
      <c r="H391" s="5">
        <f t="shared" ref="H391:H454" si="6">(D391-D390)/D390</f>
        <v>-3.3845445744123729E-3</v>
      </c>
    </row>
    <row r="392" spans="1:8" ht="13.5" x14ac:dyDescent="0.25">
      <c r="A392" s="1"/>
      <c r="B392" s="3">
        <v>42870</v>
      </c>
      <c r="C392" s="4">
        <v>26.5</v>
      </c>
      <c r="D392" s="4">
        <v>25.1175</v>
      </c>
      <c r="E392" s="4">
        <v>0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26.67</v>
      </c>
      <c r="D393" s="4">
        <v>25.278600000000001</v>
      </c>
      <c r="E393" s="4">
        <v>930</v>
      </c>
      <c r="F393" s="4"/>
      <c r="G393" s="4"/>
      <c r="H393" s="5">
        <f t="shared" si="6"/>
        <v>6.4138548820543897E-3</v>
      </c>
    </row>
    <row r="394" spans="1:8" ht="13.5" x14ac:dyDescent="0.25">
      <c r="A394" s="1"/>
      <c r="B394" s="3">
        <v>42872</v>
      </c>
      <c r="C394" s="4">
        <v>26.5</v>
      </c>
      <c r="D394" s="4">
        <v>25.1175</v>
      </c>
      <c r="E394" s="4">
        <v>1002</v>
      </c>
      <c r="F394" s="4"/>
      <c r="G394" s="4"/>
      <c r="H394" s="5">
        <f t="shared" si="6"/>
        <v>-6.3729795162707241E-3</v>
      </c>
    </row>
    <row r="395" spans="1:8" ht="13.5" x14ac:dyDescent="0.25">
      <c r="A395" s="1"/>
      <c r="B395" s="3">
        <v>42873</v>
      </c>
      <c r="C395" s="4">
        <v>26.5</v>
      </c>
      <c r="D395" s="4">
        <v>25.1175</v>
      </c>
      <c r="E395" s="4">
        <v>236</v>
      </c>
      <c r="F395" s="4"/>
      <c r="G395" s="4"/>
      <c r="H395" s="5">
        <f t="shared" si="6"/>
        <v>0</v>
      </c>
    </row>
    <row r="396" spans="1:8" ht="13.5" x14ac:dyDescent="0.25">
      <c r="A396" s="1"/>
      <c r="B396" s="3">
        <v>42874</v>
      </c>
      <c r="C396" s="4">
        <v>26.65</v>
      </c>
      <c r="D396" s="4">
        <v>25.259699999999999</v>
      </c>
      <c r="E396" s="4">
        <v>35</v>
      </c>
      <c r="F396" s="4"/>
      <c r="G396" s="4"/>
      <c r="H396" s="5">
        <f t="shared" si="6"/>
        <v>5.6613914601373145E-3</v>
      </c>
    </row>
    <row r="397" spans="1:8" ht="13.5" x14ac:dyDescent="0.25">
      <c r="A397" s="1"/>
      <c r="B397" s="3">
        <v>42877</v>
      </c>
      <c r="C397" s="4">
        <v>26.68</v>
      </c>
      <c r="D397" s="4">
        <v>25.2881</v>
      </c>
      <c r="E397" s="4">
        <v>527</v>
      </c>
      <c r="F397" s="4"/>
      <c r="G397" s="4"/>
      <c r="H397" s="5">
        <f t="shared" si="6"/>
        <v>1.1243205580431009E-3</v>
      </c>
    </row>
    <row r="398" spans="1:8" ht="13.5" x14ac:dyDescent="0.25">
      <c r="A398" s="1"/>
      <c r="B398" s="3">
        <v>42878</v>
      </c>
      <c r="C398" s="4">
        <v>26.68</v>
      </c>
      <c r="D398" s="4">
        <v>25.2881</v>
      </c>
      <c r="E398" s="4">
        <v>7945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26.68</v>
      </c>
      <c r="D399" s="4">
        <v>25.2881</v>
      </c>
      <c r="E399" s="4">
        <v>0</v>
      </c>
      <c r="F399" s="4"/>
      <c r="G399" s="4"/>
      <c r="H399" s="5">
        <f t="shared" si="6"/>
        <v>0</v>
      </c>
    </row>
    <row r="400" spans="1:8" ht="13.5" x14ac:dyDescent="0.25">
      <c r="A400" s="1"/>
      <c r="B400" s="3">
        <v>42880</v>
      </c>
      <c r="C400" s="4">
        <v>26.68</v>
      </c>
      <c r="D400" s="4">
        <v>25.2881</v>
      </c>
      <c r="E400" s="4">
        <v>100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26.5</v>
      </c>
      <c r="D401" s="4">
        <v>25.1175</v>
      </c>
      <c r="E401" s="4">
        <v>2455</v>
      </c>
      <c r="F401" s="4"/>
      <c r="G401" s="4"/>
      <c r="H401" s="5">
        <f t="shared" si="6"/>
        <v>-6.746256144194317E-3</v>
      </c>
    </row>
    <row r="402" spans="1:8" ht="13.5" x14ac:dyDescent="0.25">
      <c r="A402" s="1"/>
      <c r="B402" s="3">
        <v>42884</v>
      </c>
      <c r="C402" s="4">
        <v>27.2</v>
      </c>
      <c r="D402" s="4">
        <v>25.780999999999999</v>
      </c>
      <c r="E402" s="4">
        <v>347</v>
      </c>
      <c r="F402" s="4"/>
      <c r="G402" s="4"/>
      <c r="H402" s="5">
        <f t="shared" si="6"/>
        <v>2.6415845526027635E-2</v>
      </c>
    </row>
    <row r="403" spans="1:8" ht="13.5" x14ac:dyDescent="0.25">
      <c r="A403" s="1"/>
      <c r="B403" s="3">
        <v>42885</v>
      </c>
      <c r="C403" s="4">
        <v>27.2</v>
      </c>
      <c r="D403" s="4">
        <v>25.780999999999999</v>
      </c>
      <c r="E403" s="4">
        <v>0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27.2</v>
      </c>
      <c r="D404" s="4">
        <v>25.780999999999999</v>
      </c>
      <c r="E404" s="4">
        <v>0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27.2</v>
      </c>
      <c r="D405" s="4">
        <v>25.780999999999999</v>
      </c>
      <c r="E405" s="4">
        <v>1132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27.2</v>
      </c>
      <c r="D406" s="4">
        <v>25.780999999999999</v>
      </c>
      <c r="E406" s="4">
        <v>16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42891</v>
      </c>
      <c r="C407" s="4">
        <v>27</v>
      </c>
      <c r="D407" s="4">
        <v>25.5914</v>
      </c>
      <c r="E407" s="4">
        <v>100</v>
      </c>
      <c r="F407" s="4"/>
      <c r="G407" s="4"/>
      <c r="H407" s="5">
        <f t="shared" si="6"/>
        <v>-7.3542531321515326E-3</v>
      </c>
    </row>
    <row r="408" spans="1:8" ht="13.5" x14ac:dyDescent="0.25">
      <c r="A408" s="1"/>
      <c r="B408" s="3">
        <v>42892</v>
      </c>
      <c r="C408" s="4">
        <v>27.6</v>
      </c>
      <c r="D408" s="4">
        <v>26.1601</v>
      </c>
      <c r="E408" s="4">
        <v>1447</v>
      </c>
      <c r="F408" s="4"/>
      <c r="G408" s="4"/>
      <c r="H408" s="5">
        <f t="shared" si="6"/>
        <v>2.2222309056948809E-2</v>
      </c>
    </row>
    <row r="409" spans="1:8" ht="13.5" x14ac:dyDescent="0.25">
      <c r="A409" s="1"/>
      <c r="B409" s="3">
        <v>42893</v>
      </c>
      <c r="C409" s="4">
        <v>27.6</v>
      </c>
      <c r="D409" s="4">
        <v>26.1601</v>
      </c>
      <c r="E409" s="4">
        <v>380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27.6</v>
      </c>
      <c r="D410" s="4">
        <v>26.1601</v>
      </c>
      <c r="E410" s="4">
        <v>98</v>
      </c>
      <c r="F410" s="4"/>
      <c r="G410" s="4"/>
      <c r="H410" s="5">
        <f t="shared" si="6"/>
        <v>0</v>
      </c>
    </row>
    <row r="411" spans="1:8" ht="13.5" x14ac:dyDescent="0.25">
      <c r="A411" s="1"/>
      <c r="B411" s="3">
        <v>42895</v>
      </c>
      <c r="C411" s="4">
        <v>27</v>
      </c>
      <c r="D411" s="4">
        <v>25.5914</v>
      </c>
      <c r="E411" s="4">
        <v>270</v>
      </c>
      <c r="F411" s="4"/>
      <c r="G411" s="4"/>
      <c r="H411" s="5">
        <f t="shared" si="6"/>
        <v>-2.1739213535116448E-2</v>
      </c>
    </row>
    <row r="412" spans="1:8" ht="13.5" x14ac:dyDescent="0.25">
      <c r="A412" s="1"/>
      <c r="B412" s="3">
        <v>42898</v>
      </c>
      <c r="C412" s="4">
        <v>27.78</v>
      </c>
      <c r="D412" s="4">
        <v>26.3307</v>
      </c>
      <c r="E412" s="4">
        <v>252</v>
      </c>
      <c r="F412" s="4"/>
      <c r="G412" s="4"/>
      <c r="H412" s="5">
        <f t="shared" si="6"/>
        <v>2.8888611017763782E-2</v>
      </c>
    </row>
    <row r="413" spans="1:8" ht="13.5" x14ac:dyDescent="0.25">
      <c r="A413" s="1"/>
      <c r="B413" s="3">
        <v>42899</v>
      </c>
      <c r="C413" s="4">
        <v>27.77</v>
      </c>
      <c r="D413" s="4">
        <v>26.321300000000001</v>
      </c>
      <c r="E413" s="4">
        <v>598</v>
      </c>
      <c r="F413" s="4"/>
      <c r="G413" s="4"/>
      <c r="H413" s="5">
        <f t="shared" si="6"/>
        <v>-3.5699772508894213E-4</v>
      </c>
    </row>
    <row r="414" spans="1:8" ht="13.5" x14ac:dyDescent="0.25">
      <c r="A414" s="1"/>
      <c r="B414" s="3">
        <v>42900</v>
      </c>
      <c r="C414" s="4">
        <v>27.79</v>
      </c>
      <c r="D414" s="4">
        <v>26.340199999999999</v>
      </c>
      <c r="E414" s="4">
        <v>475</v>
      </c>
      <c r="F414" s="4"/>
      <c r="G414" s="4"/>
      <c r="H414" s="5">
        <f t="shared" si="6"/>
        <v>7.1804964040524534E-4</v>
      </c>
    </row>
    <row r="415" spans="1:8" ht="13.5" x14ac:dyDescent="0.25">
      <c r="A415" s="1"/>
      <c r="B415" s="3">
        <v>42901</v>
      </c>
      <c r="C415" s="4">
        <v>28.62</v>
      </c>
      <c r="D415" s="4">
        <v>27.126899999999999</v>
      </c>
      <c r="E415" s="4">
        <v>6912</v>
      </c>
      <c r="F415" s="4"/>
      <c r="G415" s="4"/>
      <c r="H415" s="5">
        <f t="shared" si="6"/>
        <v>2.9866895467764092E-2</v>
      </c>
    </row>
    <row r="416" spans="1:8" ht="13.5" x14ac:dyDescent="0.25">
      <c r="A416" s="1"/>
      <c r="B416" s="3">
        <v>42902</v>
      </c>
      <c r="C416" s="4">
        <v>28.62</v>
      </c>
      <c r="D416" s="4">
        <v>27.126899999999999</v>
      </c>
      <c r="E416" s="4">
        <v>0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29</v>
      </c>
      <c r="D417" s="4">
        <v>27.487100000000002</v>
      </c>
      <c r="E417" s="4">
        <v>3092</v>
      </c>
      <c r="F417" s="4"/>
      <c r="G417" s="4"/>
      <c r="H417" s="5">
        <f t="shared" si="6"/>
        <v>1.3278332577625993E-2</v>
      </c>
    </row>
    <row r="418" spans="1:8" ht="13.5" x14ac:dyDescent="0.25">
      <c r="A418" s="1"/>
      <c r="B418" s="3">
        <v>42906</v>
      </c>
      <c r="C418" s="4">
        <v>28.9</v>
      </c>
      <c r="D418" s="4">
        <v>27.392299999999999</v>
      </c>
      <c r="E418" s="4">
        <v>407</v>
      </c>
      <c r="F418" s="4"/>
      <c r="G418" s="4"/>
      <c r="H418" s="5">
        <f t="shared" si="6"/>
        <v>-3.448890570485896E-3</v>
      </c>
    </row>
    <row r="419" spans="1:8" ht="13.5" x14ac:dyDescent="0.25">
      <c r="A419" s="1"/>
      <c r="B419" s="3">
        <v>42907</v>
      </c>
      <c r="C419" s="4">
        <v>28.2</v>
      </c>
      <c r="D419" s="4">
        <v>26.7288</v>
      </c>
      <c r="E419" s="4">
        <v>10497</v>
      </c>
      <c r="F419" s="4"/>
      <c r="G419" s="4"/>
      <c r="H419" s="5">
        <f t="shared" si="6"/>
        <v>-2.4222135417617328E-2</v>
      </c>
    </row>
    <row r="420" spans="1:8" ht="13.5" x14ac:dyDescent="0.25">
      <c r="A420" s="1"/>
      <c r="B420" s="3">
        <v>42908</v>
      </c>
      <c r="C420" s="4">
        <v>28.55</v>
      </c>
      <c r="D420" s="4">
        <v>27.060600000000001</v>
      </c>
      <c r="E420" s="4">
        <v>77</v>
      </c>
      <c r="F420" s="4"/>
      <c r="G420" s="4"/>
      <c r="H420" s="5">
        <f t="shared" si="6"/>
        <v>1.2413576367064784E-2</v>
      </c>
    </row>
    <row r="421" spans="1:8" ht="13.5" x14ac:dyDescent="0.25">
      <c r="A421" s="1"/>
      <c r="B421" s="3">
        <v>42909</v>
      </c>
      <c r="C421" s="4">
        <v>29.38</v>
      </c>
      <c r="D421" s="4">
        <v>27.847300000000001</v>
      </c>
      <c r="E421" s="4">
        <v>951</v>
      </c>
      <c r="F421" s="4"/>
      <c r="G421" s="4"/>
      <c r="H421" s="5">
        <f t="shared" si="6"/>
        <v>2.9071787026156096E-2</v>
      </c>
    </row>
    <row r="422" spans="1:8" ht="13.5" x14ac:dyDescent="0.25">
      <c r="A422" s="1"/>
      <c r="B422" s="3">
        <v>42914</v>
      </c>
      <c r="C422" s="4">
        <v>29</v>
      </c>
      <c r="D422" s="4">
        <v>27.487100000000002</v>
      </c>
      <c r="E422" s="4">
        <v>25</v>
      </c>
      <c r="F422" s="4"/>
      <c r="G422" s="4"/>
      <c r="H422" s="5">
        <f t="shared" si="6"/>
        <v>-1.2934826715695919E-2</v>
      </c>
    </row>
    <row r="423" spans="1:8" ht="13.5" x14ac:dyDescent="0.25">
      <c r="A423" s="1"/>
      <c r="B423" s="3">
        <v>42915</v>
      </c>
      <c r="C423" s="4">
        <v>28.2</v>
      </c>
      <c r="D423" s="4">
        <v>26.7288</v>
      </c>
      <c r="E423" s="4">
        <v>5194</v>
      </c>
      <c r="F423" s="4"/>
      <c r="G423" s="4"/>
      <c r="H423" s="5">
        <f t="shared" si="6"/>
        <v>-2.7587486493664371E-2</v>
      </c>
    </row>
    <row r="424" spans="1:8" ht="13.5" x14ac:dyDescent="0.25">
      <c r="A424" s="1"/>
      <c r="B424" s="3">
        <v>42916</v>
      </c>
      <c r="C424" s="4">
        <v>28.2</v>
      </c>
      <c r="D424" s="4">
        <v>26.7288</v>
      </c>
      <c r="E424" s="4">
        <v>3355</v>
      </c>
      <c r="F424" s="4"/>
      <c r="G424" s="4"/>
      <c r="H424" s="5">
        <f t="shared" si="6"/>
        <v>0</v>
      </c>
    </row>
    <row r="425" spans="1:8" ht="13.5" x14ac:dyDescent="0.25">
      <c r="A425" s="1"/>
      <c r="B425" s="3">
        <v>42919</v>
      </c>
      <c r="C425" s="4">
        <v>28.5</v>
      </c>
      <c r="D425" s="4">
        <v>27.013200000000001</v>
      </c>
      <c r="E425" s="4">
        <v>26</v>
      </c>
      <c r="F425" s="4"/>
      <c r="G425" s="4"/>
      <c r="H425" s="5">
        <f t="shared" si="6"/>
        <v>1.0640208314626977E-2</v>
      </c>
    </row>
    <row r="426" spans="1:8" ht="13.5" x14ac:dyDescent="0.25">
      <c r="A426" s="1"/>
      <c r="B426" s="3">
        <v>42920</v>
      </c>
      <c r="C426" s="4">
        <v>28.5</v>
      </c>
      <c r="D426" s="4">
        <v>27.013200000000001</v>
      </c>
      <c r="E426" s="4">
        <v>0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28.5</v>
      </c>
      <c r="D427" s="4">
        <v>27.013200000000001</v>
      </c>
      <c r="E427" s="4">
        <v>0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28.5</v>
      </c>
      <c r="D428" s="4">
        <v>27.013200000000001</v>
      </c>
      <c r="E428" s="4">
        <v>0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28.5</v>
      </c>
      <c r="D429" s="4">
        <v>27.013200000000001</v>
      </c>
      <c r="E429" s="4">
        <v>0</v>
      </c>
      <c r="F429" s="4"/>
      <c r="G429" s="4"/>
      <c r="H429" s="5">
        <f t="shared" si="6"/>
        <v>0</v>
      </c>
    </row>
    <row r="430" spans="1:8" ht="13.5" x14ac:dyDescent="0.25">
      <c r="A430" s="1"/>
      <c r="B430" s="3">
        <v>42926</v>
      </c>
      <c r="C430" s="4">
        <v>28</v>
      </c>
      <c r="D430" s="4">
        <v>26.539300000000001</v>
      </c>
      <c r="E430" s="4">
        <v>150</v>
      </c>
      <c r="F430" s="4"/>
      <c r="G430" s="4"/>
      <c r="H430" s="5">
        <f t="shared" si="6"/>
        <v>-1.7543275139561415E-2</v>
      </c>
    </row>
    <row r="431" spans="1:8" ht="13.5" x14ac:dyDescent="0.25">
      <c r="A431" s="1"/>
      <c r="B431" s="3">
        <v>42927</v>
      </c>
      <c r="C431" s="4">
        <v>28.3</v>
      </c>
      <c r="D431" s="4">
        <v>26.823599999999999</v>
      </c>
      <c r="E431" s="4">
        <v>100</v>
      </c>
      <c r="F431" s="4"/>
      <c r="G431" s="4"/>
      <c r="H431" s="5">
        <f t="shared" si="6"/>
        <v>1.0712415172969831E-2</v>
      </c>
    </row>
    <row r="432" spans="1:8" ht="13.5" x14ac:dyDescent="0.25">
      <c r="A432" s="1"/>
      <c r="B432" s="3">
        <v>42928</v>
      </c>
      <c r="C432" s="4">
        <v>28.3</v>
      </c>
      <c r="D432" s="4">
        <v>26.823599999999999</v>
      </c>
      <c r="E432" s="4">
        <v>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28.3</v>
      </c>
      <c r="D433" s="4">
        <v>26.823599999999999</v>
      </c>
      <c r="E433" s="4">
        <v>0</v>
      </c>
      <c r="F433" s="4"/>
      <c r="G433" s="4"/>
      <c r="H433" s="5">
        <f t="shared" si="6"/>
        <v>0</v>
      </c>
    </row>
    <row r="434" spans="1:8" ht="13.5" x14ac:dyDescent="0.25">
      <c r="A434" s="1"/>
      <c r="B434" s="3">
        <v>42930</v>
      </c>
      <c r="C434" s="4">
        <v>28.3</v>
      </c>
      <c r="D434" s="4">
        <v>26.823599999999999</v>
      </c>
      <c r="E434" s="4">
        <v>0</v>
      </c>
      <c r="F434" s="4"/>
      <c r="G434" s="4"/>
      <c r="H434" s="5">
        <f t="shared" si="6"/>
        <v>0</v>
      </c>
    </row>
    <row r="435" spans="1:8" ht="13.5" x14ac:dyDescent="0.25">
      <c r="A435" s="1"/>
      <c r="B435" s="3">
        <v>42933</v>
      </c>
      <c r="C435" s="4">
        <v>28.3</v>
      </c>
      <c r="D435" s="4">
        <v>26.823599999999999</v>
      </c>
      <c r="E435" s="4">
        <v>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28.3</v>
      </c>
      <c r="D436" s="4">
        <v>26.823599999999999</v>
      </c>
      <c r="E436" s="4">
        <v>0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28.3</v>
      </c>
      <c r="D437" s="4">
        <v>26.823599999999999</v>
      </c>
      <c r="E437" s="4">
        <v>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28.3</v>
      </c>
      <c r="D438" s="4">
        <v>26.823599999999999</v>
      </c>
      <c r="E438" s="4">
        <v>0</v>
      </c>
      <c r="F438" s="4"/>
      <c r="G438" s="4"/>
      <c r="H438" s="5">
        <f t="shared" si="6"/>
        <v>0</v>
      </c>
    </row>
    <row r="439" spans="1:8" ht="13.5" x14ac:dyDescent="0.25">
      <c r="A439" s="1"/>
      <c r="B439" s="3">
        <v>42937</v>
      </c>
      <c r="C439" s="4">
        <v>27.47</v>
      </c>
      <c r="D439" s="4">
        <v>26.036899999999999</v>
      </c>
      <c r="E439" s="4">
        <v>275</v>
      </c>
      <c r="F439" s="4"/>
      <c r="G439" s="4"/>
      <c r="H439" s="5">
        <f t="shared" si="6"/>
        <v>-2.9328650889515195E-2</v>
      </c>
    </row>
    <row r="440" spans="1:8" ht="13.5" x14ac:dyDescent="0.25">
      <c r="A440" s="1"/>
      <c r="B440" s="3">
        <v>42940</v>
      </c>
      <c r="C440" s="4">
        <v>28</v>
      </c>
      <c r="D440" s="4">
        <v>26.539300000000001</v>
      </c>
      <c r="E440" s="4">
        <v>5</v>
      </c>
      <c r="F440" s="4"/>
      <c r="G440" s="4"/>
      <c r="H440" s="5">
        <f t="shared" si="6"/>
        <v>1.9295691883442403E-2</v>
      </c>
    </row>
    <row r="441" spans="1:8" ht="13.5" x14ac:dyDescent="0.25">
      <c r="A441" s="1"/>
      <c r="B441" s="3">
        <v>42942</v>
      </c>
      <c r="C441" s="4">
        <v>28</v>
      </c>
      <c r="D441" s="4">
        <v>26.539300000000001</v>
      </c>
      <c r="E441" s="4">
        <v>0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28</v>
      </c>
      <c r="D442" s="4">
        <v>26.539300000000001</v>
      </c>
      <c r="E442" s="4">
        <v>1690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28</v>
      </c>
      <c r="D443" s="4">
        <v>26.539300000000001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28.22</v>
      </c>
      <c r="D444" s="4">
        <v>27.3355</v>
      </c>
      <c r="E444" s="4">
        <v>100</v>
      </c>
      <c r="F444" s="4"/>
      <c r="G444" s="4"/>
      <c r="H444" s="5">
        <f t="shared" si="6"/>
        <v>3.0000791279347943E-2</v>
      </c>
    </row>
    <row r="445" spans="1:8" ht="13.5" x14ac:dyDescent="0.25">
      <c r="A445" s="1"/>
      <c r="B445" s="3">
        <v>42948</v>
      </c>
      <c r="C445" s="4">
        <v>27.89</v>
      </c>
      <c r="D445" s="4">
        <v>27.015799999999999</v>
      </c>
      <c r="E445" s="4">
        <v>210</v>
      </c>
      <c r="F445" s="4"/>
      <c r="G445" s="4"/>
      <c r="H445" s="5">
        <f t="shared" si="6"/>
        <v>-1.1695414387883924E-2</v>
      </c>
    </row>
    <row r="446" spans="1:8" ht="13.5" x14ac:dyDescent="0.25">
      <c r="A446" s="1"/>
      <c r="B446" s="3">
        <v>42949</v>
      </c>
      <c r="C446" s="4">
        <v>27.99</v>
      </c>
      <c r="D446" s="4">
        <v>27.1127</v>
      </c>
      <c r="E446" s="4">
        <v>469</v>
      </c>
      <c r="F446" s="4"/>
      <c r="G446" s="4"/>
      <c r="H446" s="5">
        <f t="shared" si="6"/>
        <v>3.5867899525463451E-3</v>
      </c>
    </row>
    <row r="447" spans="1:8" ht="13.5" x14ac:dyDescent="0.25">
      <c r="A447" s="1"/>
      <c r="B447" s="3">
        <v>42950</v>
      </c>
      <c r="C447" s="4">
        <v>28.82</v>
      </c>
      <c r="D447" s="4">
        <v>27.916699999999999</v>
      </c>
      <c r="E447" s="4">
        <v>1387</v>
      </c>
      <c r="F447" s="4"/>
      <c r="G447" s="4"/>
      <c r="H447" s="5">
        <f t="shared" si="6"/>
        <v>2.9653999786078054E-2</v>
      </c>
    </row>
    <row r="448" spans="1:8" ht="13.5" x14ac:dyDescent="0.25">
      <c r="A448" s="1"/>
      <c r="B448" s="3">
        <v>42951</v>
      </c>
      <c r="C448" s="4">
        <v>29.45</v>
      </c>
      <c r="D448" s="4">
        <v>28.526900000000001</v>
      </c>
      <c r="E448" s="4">
        <v>101</v>
      </c>
      <c r="F448" s="4"/>
      <c r="G448" s="4"/>
      <c r="H448" s="5">
        <f t="shared" si="6"/>
        <v>2.18578843487949E-2</v>
      </c>
    </row>
    <row r="449" spans="1:8" ht="13.5" x14ac:dyDescent="0.25">
      <c r="A449" s="1"/>
      <c r="B449" s="3">
        <v>42954</v>
      </c>
      <c r="C449" s="4">
        <v>29.45</v>
      </c>
      <c r="D449" s="4">
        <v>28.526900000000001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28.58</v>
      </c>
      <c r="D450" s="4">
        <v>27.684200000000001</v>
      </c>
      <c r="E450" s="4">
        <v>80</v>
      </c>
      <c r="F450" s="4"/>
      <c r="G450" s="4"/>
      <c r="H450" s="5">
        <f t="shared" si="6"/>
        <v>-2.9540538929922307E-2</v>
      </c>
    </row>
    <row r="451" spans="1:8" ht="13.5" x14ac:dyDescent="0.25">
      <c r="A451" s="1"/>
      <c r="B451" s="3">
        <v>42956</v>
      </c>
      <c r="C451" s="4">
        <v>29</v>
      </c>
      <c r="D451" s="4">
        <v>28.091000000000001</v>
      </c>
      <c r="E451" s="4">
        <v>150</v>
      </c>
      <c r="F451" s="4"/>
      <c r="G451" s="4"/>
      <c r="H451" s="5">
        <f t="shared" si="6"/>
        <v>1.469430216513392E-2</v>
      </c>
    </row>
    <row r="452" spans="1:8" ht="13.5" x14ac:dyDescent="0.25">
      <c r="A452" s="1"/>
      <c r="B452" s="3">
        <v>42957</v>
      </c>
      <c r="C452" s="4">
        <v>28.98</v>
      </c>
      <c r="D452" s="4">
        <v>28.0717</v>
      </c>
      <c r="E452" s="4">
        <v>215</v>
      </c>
      <c r="F452" s="4"/>
      <c r="G452" s="4"/>
      <c r="H452" s="5">
        <f t="shared" si="6"/>
        <v>-6.8705279270945153E-4</v>
      </c>
    </row>
    <row r="453" spans="1:8" ht="13.5" x14ac:dyDescent="0.25">
      <c r="A453" s="1"/>
      <c r="B453" s="3">
        <v>42958</v>
      </c>
      <c r="C453" s="4">
        <v>28.98</v>
      </c>
      <c r="D453" s="4">
        <v>28.0717</v>
      </c>
      <c r="E453" s="4">
        <v>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29.41</v>
      </c>
      <c r="D454" s="4">
        <v>28.488199999999999</v>
      </c>
      <c r="E454" s="4">
        <v>446</v>
      </c>
      <c r="F454" s="4"/>
      <c r="G454" s="4"/>
      <c r="H454" s="5">
        <f t="shared" si="6"/>
        <v>1.4837006665075475E-2</v>
      </c>
    </row>
    <row r="455" spans="1:8" ht="13.5" x14ac:dyDescent="0.25">
      <c r="A455" s="1"/>
      <c r="B455" s="3">
        <v>42962</v>
      </c>
      <c r="C455" s="4">
        <v>29.5</v>
      </c>
      <c r="D455" s="4">
        <v>28.575399999999998</v>
      </c>
      <c r="E455" s="4">
        <v>225</v>
      </c>
      <c r="F455" s="4"/>
      <c r="G455" s="4"/>
      <c r="H455" s="5">
        <f t="shared" ref="H455:H518" si="7">(D455-D454)/D454</f>
        <v>3.060916449617711E-3</v>
      </c>
    </row>
    <row r="456" spans="1:8" ht="13.5" x14ac:dyDescent="0.25">
      <c r="A456" s="1"/>
      <c r="B456" s="3">
        <v>42963</v>
      </c>
      <c r="C456" s="4">
        <v>29.49</v>
      </c>
      <c r="D456" s="4">
        <v>28.5657</v>
      </c>
      <c r="E456" s="4">
        <v>140</v>
      </c>
      <c r="F456" s="4"/>
      <c r="G456" s="4"/>
      <c r="H456" s="5">
        <f t="shared" si="7"/>
        <v>-3.3945281605852275E-4</v>
      </c>
    </row>
    <row r="457" spans="1:8" ht="13.5" x14ac:dyDescent="0.25">
      <c r="A457" s="1"/>
      <c r="B457" s="3">
        <v>42964</v>
      </c>
      <c r="C457" s="4">
        <v>29.49</v>
      </c>
      <c r="D457" s="4">
        <v>28.5657</v>
      </c>
      <c r="E457" s="4">
        <v>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29.49</v>
      </c>
      <c r="D458" s="4">
        <v>28.5657</v>
      </c>
      <c r="E458" s="4">
        <v>0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29.49</v>
      </c>
      <c r="D459" s="4">
        <v>28.5657</v>
      </c>
      <c r="E459" s="4">
        <v>1830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29.49</v>
      </c>
      <c r="D460" s="4">
        <v>28.5657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30</v>
      </c>
      <c r="D461" s="4">
        <v>29.059699999999999</v>
      </c>
      <c r="E461" s="4">
        <v>2015</v>
      </c>
      <c r="F461" s="4"/>
      <c r="G461" s="4"/>
      <c r="H461" s="5">
        <f t="shared" si="7"/>
        <v>1.7293467340201703E-2</v>
      </c>
    </row>
    <row r="462" spans="1:8" ht="13.5" x14ac:dyDescent="0.25">
      <c r="A462" s="1"/>
      <c r="B462" s="3">
        <v>42971</v>
      </c>
      <c r="C462" s="4">
        <v>29.98</v>
      </c>
      <c r="D462" s="4">
        <v>29.040299999999998</v>
      </c>
      <c r="E462" s="4">
        <v>50</v>
      </c>
      <c r="F462" s="4"/>
      <c r="G462" s="4"/>
      <c r="H462" s="5">
        <f t="shared" si="7"/>
        <v>-6.6759120018448134E-4</v>
      </c>
    </row>
    <row r="463" spans="1:8" ht="13.5" x14ac:dyDescent="0.25">
      <c r="A463" s="1"/>
      <c r="B463" s="3">
        <v>42972</v>
      </c>
      <c r="C463" s="4">
        <v>29.99</v>
      </c>
      <c r="D463" s="4">
        <v>29.05</v>
      </c>
      <c r="E463" s="4">
        <v>1203</v>
      </c>
      <c r="F463" s="4"/>
      <c r="G463" s="4"/>
      <c r="H463" s="5">
        <f t="shared" si="7"/>
        <v>3.3401858796232347E-4</v>
      </c>
    </row>
    <row r="464" spans="1:8" ht="13.5" x14ac:dyDescent="0.25">
      <c r="A464" s="1"/>
      <c r="B464" s="3">
        <v>42975</v>
      </c>
      <c r="C464" s="4">
        <v>29.99</v>
      </c>
      <c r="D464" s="4">
        <v>29.05</v>
      </c>
      <c r="E464" s="4">
        <v>239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30.7</v>
      </c>
      <c r="D465" s="4">
        <v>29.7378</v>
      </c>
      <c r="E465" s="4">
        <v>1252</v>
      </c>
      <c r="F465" s="4"/>
      <c r="G465" s="4"/>
      <c r="H465" s="5">
        <f t="shared" si="7"/>
        <v>2.3676419965576567E-2</v>
      </c>
    </row>
    <row r="466" spans="1:8" ht="13.5" x14ac:dyDescent="0.25">
      <c r="A466" s="1"/>
      <c r="B466" s="3">
        <v>42977</v>
      </c>
      <c r="C466" s="4">
        <v>30.7</v>
      </c>
      <c r="D466" s="4">
        <v>29.7378</v>
      </c>
      <c r="E466" s="4">
        <v>123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31</v>
      </c>
      <c r="D467" s="4">
        <v>30.028400000000001</v>
      </c>
      <c r="E467" s="4">
        <v>150</v>
      </c>
      <c r="F467" s="4"/>
      <c r="G467" s="4"/>
      <c r="H467" s="5">
        <f t="shared" si="7"/>
        <v>9.7720745986589891E-3</v>
      </c>
    </row>
    <row r="468" spans="1:8" ht="13.5" x14ac:dyDescent="0.25">
      <c r="A468" s="1"/>
      <c r="B468" s="3">
        <v>42982</v>
      </c>
      <c r="C468" s="4">
        <v>30.07</v>
      </c>
      <c r="D468" s="4">
        <v>29.127500000000001</v>
      </c>
      <c r="E468" s="4">
        <v>1082</v>
      </c>
      <c r="F468" s="4"/>
      <c r="G468" s="4"/>
      <c r="H468" s="5">
        <f t="shared" si="7"/>
        <v>-3.0001598486765861E-2</v>
      </c>
    </row>
    <row r="469" spans="1:8" ht="13.5" x14ac:dyDescent="0.25">
      <c r="A469" s="1"/>
      <c r="B469" s="3">
        <v>42983</v>
      </c>
      <c r="C469" s="4">
        <v>30.5</v>
      </c>
      <c r="D469" s="4">
        <v>29.544</v>
      </c>
      <c r="E469" s="4">
        <v>101</v>
      </c>
      <c r="F469" s="4"/>
      <c r="G469" s="4"/>
      <c r="H469" s="5">
        <f t="shared" si="7"/>
        <v>1.4299201785254456E-2</v>
      </c>
    </row>
    <row r="470" spans="1:8" ht="13.5" x14ac:dyDescent="0.25">
      <c r="A470" s="1"/>
      <c r="B470" s="3">
        <v>42984</v>
      </c>
      <c r="C470" s="4">
        <v>30.49</v>
      </c>
      <c r="D470" s="4">
        <v>29.534300000000002</v>
      </c>
      <c r="E470" s="4">
        <v>183</v>
      </c>
      <c r="F470" s="4"/>
      <c r="G470" s="4"/>
      <c r="H470" s="5">
        <f t="shared" si="7"/>
        <v>-3.2832385594363356E-4</v>
      </c>
    </row>
    <row r="471" spans="1:8" ht="13.5" x14ac:dyDescent="0.25">
      <c r="A471" s="1"/>
      <c r="B471" s="3">
        <v>42985</v>
      </c>
      <c r="C471" s="4">
        <v>30.48</v>
      </c>
      <c r="D471" s="4">
        <v>29.524699999999999</v>
      </c>
      <c r="E471" s="4">
        <v>50</v>
      </c>
      <c r="F471" s="4"/>
      <c r="G471" s="4"/>
      <c r="H471" s="5">
        <f t="shared" si="7"/>
        <v>-3.2504579421223779E-4</v>
      </c>
    </row>
    <row r="472" spans="1:8" ht="13.5" x14ac:dyDescent="0.25">
      <c r="A472" s="1"/>
      <c r="B472" s="3">
        <v>42986</v>
      </c>
      <c r="C472" s="4">
        <v>30.48</v>
      </c>
      <c r="D472" s="4">
        <v>29.524699999999999</v>
      </c>
      <c r="E472" s="4">
        <v>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30.48</v>
      </c>
      <c r="D473" s="4">
        <v>29.524699999999999</v>
      </c>
      <c r="E473" s="4">
        <v>0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30.48</v>
      </c>
      <c r="D474" s="4">
        <v>29.524699999999999</v>
      </c>
      <c r="E474" s="4">
        <v>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30.48</v>
      </c>
      <c r="D475" s="4">
        <v>29.524699999999999</v>
      </c>
      <c r="E475" s="4">
        <v>0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29.9</v>
      </c>
      <c r="D476" s="4">
        <v>28.962800000000001</v>
      </c>
      <c r="E476" s="4">
        <v>4404</v>
      </c>
      <c r="F476" s="4"/>
      <c r="G476" s="4"/>
      <c r="H476" s="5">
        <f t="shared" si="7"/>
        <v>-1.9031522758910263E-2</v>
      </c>
    </row>
    <row r="477" spans="1:8" ht="13.5" x14ac:dyDescent="0.25">
      <c r="A477" s="1"/>
      <c r="B477" s="3">
        <v>42993</v>
      </c>
      <c r="C477" s="4">
        <v>29.7</v>
      </c>
      <c r="D477" s="4">
        <v>28.769100000000002</v>
      </c>
      <c r="E477" s="4">
        <v>3112</v>
      </c>
      <c r="F477" s="4"/>
      <c r="G477" s="4"/>
      <c r="H477" s="5">
        <f t="shared" si="7"/>
        <v>-6.6878892924717142E-3</v>
      </c>
    </row>
    <row r="478" spans="1:8" ht="13.5" x14ac:dyDescent="0.25">
      <c r="A478" s="1"/>
      <c r="B478" s="3">
        <v>42996</v>
      </c>
      <c r="C478" s="4">
        <v>29.75</v>
      </c>
      <c r="D478" s="4">
        <v>28.817499999999999</v>
      </c>
      <c r="E478" s="4">
        <v>5254</v>
      </c>
      <c r="F478" s="4"/>
      <c r="G478" s="4"/>
      <c r="H478" s="5">
        <f t="shared" si="7"/>
        <v>1.6823605882699609E-3</v>
      </c>
    </row>
    <row r="479" spans="1:8" ht="13.5" x14ac:dyDescent="0.25">
      <c r="A479" s="1"/>
      <c r="B479" s="3">
        <v>42997</v>
      </c>
      <c r="C479" s="4">
        <v>29.75</v>
      </c>
      <c r="D479" s="4">
        <v>28.817499999999999</v>
      </c>
      <c r="E479" s="4">
        <v>232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30</v>
      </c>
      <c r="D480" s="4">
        <v>29.059699999999999</v>
      </c>
      <c r="E480" s="4">
        <v>584</v>
      </c>
      <c r="F480" s="4"/>
      <c r="G480" s="4"/>
      <c r="H480" s="5">
        <f t="shared" si="7"/>
        <v>8.4046152511494891E-3</v>
      </c>
    </row>
    <row r="481" spans="1:8" ht="13.5" x14ac:dyDescent="0.25">
      <c r="A481" s="1"/>
      <c r="B481" s="3">
        <v>43000</v>
      </c>
      <c r="C481" s="4">
        <v>30.45</v>
      </c>
      <c r="D481" s="4">
        <v>29.4956</v>
      </c>
      <c r="E481" s="4">
        <v>120</v>
      </c>
      <c r="F481" s="4"/>
      <c r="G481" s="4"/>
      <c r="H481" s="5">
        <f t="shared" si="7"/>
        <v>1.5000154853628916E-2</v>
      </c>
    </row>
    <row r="482" spans="1:8" ht="13.5" x14ac:dyDescent="0.25">
      <c r="A482" s="1"/>
      <c r="B482" s="3">
        <v>43003</v>
      </c>
      <c r="C482" s="4">
        <v>30</v>
      </c>
      <c r="D482" s="4">
        <v>29.059699999999999</v>
      </c>
      <c r="E482" s="4">
        <v>2698</v>
      </c>
      <c r="F482" s="4"/>
      <c r="G482" s="4"/>
      <c r="H482" s="5">
        <f t="shared" si="7"/>
        <v>-1.4778475433624004E-2</v>
      </c>
    </row>
    <row r="483" spans="1:8" ht="13.5" x14ac:dyDescent="0.25">
      <c r="A483" s="1"/>
      <c r="B483" s="3">
        <v>43004</v>
      </c>
      <c r="C483" s="4">
        <v>30</v>
      </c>
      <c r="D483" s="4">
        <v>29.059699999999999</v>
      </c>
      <c r="E483" s="4">
        <v>1109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30</v>
      </c>
      <c r="D484" s="4">
        <v>29.059699999999999</v>
      </c>
      <c r="E484" s="4">
        <v>2515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30</v>
      </c>
      <c r="D485" s="4">
        <v>29.059699999999999</v>
      </c>
      <c r="E485" s="4">
        <v>2617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30</v>
      </c>
      <c r="D486" s="4">
        <v>29.059699999999999</v>
      </c>
      <c r="E486" s="4">
        <v>2100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30.43</v>
      </c>
      <c r="D487" s="4">
        <v>29.476199999999999</v>
      </c>
      <c r="E487" s="4">
        <v>50</v>
      </c>
      <c r="F487" s="4"/>
      <c r="G487" s="4"/>
      <c r="H487" s="5">
        <f t="shared" si="7"/>
        <v>1.4332563653444434E-2</v>
      </c>
    </row>
    <row r="488" spans="1:8" ht="13.5" x14ac:dyDescent="0.25">
      <c r="A488" s="1"/>
      <c r="B488" s="3">
        <v>43011</v>
      </c>
      <c r="C488" s="4">
        <v>30.9</v>
      </c>
      <c r="D488" s="4">
        <v>29.9315</v>
      </c>
      <c r="E488" s="4">
        <v>100</v>
      </c>
      <c r="F488" s="4"/>
      <c r="G488" s="4"/>
      <c r="H488" s="5">
        <f t="shared" si="7"/>
        <v>1.5446360114261716E-2</v>
      </c>
    </row>
    <row r="489" spans="1:8" ht="13.5" x14ac:dyDescent="0.25">
      <c r="A489" s="1"/>
      <c r="B489" s="3">
        <v>43012</v>
      </c>
      <c r="C489" s="4">
        <v>30</v>
      </c>
      <c r="D489" s="4">
        <v>29.059699999999999</v>
      </c>
      <c r="E489" s="4">
        <v>2400</v>
      </c>
      <c r="F489" s="4"/>
      <c r="G489" s="4"/>
      <c r="H489" s="5">
        <f t="shared" si="7"/>
        <v>-2.912650552093949E-2</v>
      </c>
    </row>
    <row r="490" spans="1:8" ht="13.5" x14ac:dyDescent="0.25">
      <c r="A490" s="1"/>
      <c r="B490" s="3">
        <v>43013</v>
      </c>
      <c r="C490" s="4">
        <v>30</v>
      </c>
      <c r="D490" s="4">
        <v>29.059699999999999</v>
      </c>
      <c r="E490" s="4">
        <v>439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30.2</v>
      </c>
      <c r="D491" s="4">
        <v>29.253399999999999</v>
      </c>
      <c r="E491" s="4">
        <v>30</v>
      </c>
      <c r="F491" s="4"/>
      <c r="G491" s="4"/>
      <c r="H491" s="5">
        <f t="shared" si="7"/>
        <v>6.6655884265838863E-3</v>
      </c>
    </row>
    <row r="492" spans="1:8" ht="13.5" x14ac:dyDescent="0.25">
      <c r="A492" s="1"/>
      <c r="B492" s="3">
        <v>43017</v>
      </c>
      <c r="C492" s="4">
        <v>31</v>
      </c>
      <c r="D492" s="4">
        <v>30.028400000000001</v>
      </c>
      <c r="E492" s="4">
        <v>60</v>
      </c>
      <c r="F492" s="4"/>
      <c r="G492" s="4"/>
      <c r="H492" s="5">
        <f t="shared" si="7"/>
        <v>2.6492647008552927E-2</v>
      </c>
    </row>
    <row r="493" spans="1:8" ht="13.5" x14ac:dyDescent="0.25">
      <c r="A493" s="1"/>
      <c r="B493" s="3">
        <v>43018</v>
      </c>
      <c r="C493" s="4">
        <v>31</v>
      </c>
      <c r="D493" s="4">
        <v>30.028400000000001</v>
      </c>
      <c r="E493" s="4">
        <v>420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31</v>
      </c>
      <c r="D494" s="4">
        <v>30.028400000000001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31</v>
      </c>
      <c r="D495" s="4">
        <v>30.028400000000001</v>
      </c>
      <c r="E495" s="4">
        <v>0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31</v>
      </c>
      <c r="D496" s="4">
        <v>30.028400000000001</v>
      </c>
      <c r="E496" s="4">
        <v>0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31</v>
      </c>
      <c r="D497" s="4">
        <v>30.028400000000001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30.07</v>
      </c>
      <c r="D498" s="4">
        <v>29.127500000000001</v>
      </c>
      <c r="E498" s="4">
        <v>175</v>
      </c>
      <c r="F498" s="4"/>
      <c r="G498" s="4"/>
      <c r="H498" s="5">
        <f t="shared" si="7"/>
        <v>-3.0001598486765861E-2</v>
      </c>
    </row>
    <row r="499" spans="1:8" ht="13.5" x14ac:dyDescent="0.25">
      <c r="A499" s="1"/>
      <c r="B499" s="3">
        <v>43026</v>
      </c>
      <c r="C499" s="4">
        <v>30.7</v>
      </c>
      <c r="D499" s="4">
        <v>29.7378</v>
      </c>
      <c r="E499" s="4">
        <v>1101</v>
      </c>
      <c r="F499" s="4"/>
      <c r="G499" s="4"/>
      <c r="H499" s="5">
        <f t="shared" si="7"/>
        <v>2.0952707922066729E-2</v>
      </c>
    </row>
    <row r="500" spans="1:8" ht="13.5" x14ac:dyDescent="0.25">
      <c r="A500" s="1"/>
      <c r="B500" s="3">
        <v>43027</v>
      </c>
      <c r="C500" s="4">
        <v>30</v>
      </c>
      <c r="D500" s="4">
        <v>29.059699999999999</v>
      </c>
      <c r="E500" s="4">
        <v>85</v>
      </c>
      <c r="F500" s="4"/>
      <c r="G500" s="4"/>
      <c r="H500" s="5">
        <f t="shared" si="7"/>
        <v>-2.2802628304716577E-2</v>
      </c>
    </row>
    <row r="501" spans="1:8" ht="13.5" x14ac:dyDescent="0.25">
      <c r="A501" s="1"/>
      <c r="B501" s="3">
        <v>43028</v>
      </c>
      <c r="C501" s="4">
        <v>30</v>
      </c>
      <c r="D501" s="4">
        <v>29.059699999999999</v>
      </c>
      <c r="E501" s="4">
        <v>96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30</v>
      </c>
      <c r="D502" s="4">
        <v>29.059699999999999</v>
      </c>
      <c r="E502" s="4">
        <v>472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30</v>
      </c>
      <c r="D503" s="4">
        <v>29.059699999999999</v>
      </c>
      <c r="E503" s="4">
        <v>666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30</v>
      </c>
      <c r="D504" s="4">
        <v>29.059699999999999</v>
      </c>
      <c r="E504" s="4">
        <v>20060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30</v>
      </c>
      <c r="D505" s="4">
        <v>29.059699999999999</v>
      </c>
      <c r="E505" s="4">
        <v>482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30.7</v>
      </c>
      <c r="D506" s="4">
        <v>29.7378</v>
      </c>
      <c r="E506" s="4">
        <v>150</v>
      </c>
      <c r="F506" s="4"/>
      <c r="G506" s="4"/>
      <c r="H506" s="5">
        <f t="shared" si="7"/>
        <v>2.3334721280673945E-2</v>
      </c>
    </row>
    <row r="507" spans="1:8" ht="13.5" x14ac:dyDescent="0.25">
      <c r="A507" s="1"/>
      <c r="B507" s="3">
        <v>43038</v>
      </c>
      <c r="C507" s="4">
        <v>30.7</v>
      </c>
      <c r="D507" s="4">
        <v>29.7378</v>
      </c>
      <c r="E507" s="4">
        <v>10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30</v>
      </c>
      <c r="D508" s="4">
        <v>29.059699999999999</v>
      </c>
      <c r="E508" s="4">
        <v>281</v>
      </c>
      <c r="F508" s="4"/>
      <c r="G508" s="4"/>
      <c r="H508" s="5">
        <f t="shared" si="7"/>
        <v>-2.2802628304716577E-2</v>
      </c>
    </row>
    <row r="509" spans="1:8" ht="13.5" x14ac:dyDescent="0.25">
      <c r="A509" s="1"/>
      <c r="B509" s="3">
        <v>43040</v>
      </c>
      <c r="C509" s="4">
        <v>30.05</v>
      </c>
      <c r="D509" s="4">
        <v>29.1081</v>
      </c>
      <c r="E509" s="4">
        <v>61</v>
      </c>
      <c r="F509" s="4"/>
      <c r="G509" s="4"/>
      <c r="H509" s="5">
        <f t="shared" si="7"/>
        <v>1.6655368087076221E-3</v>
      </c>
    </row>
    <row r="510" spans="1:8" ht="13.5" x14ac:dyDescent="0.25">
      <c r="A510" s="1"/>
      <c r="B510" s="3">
        <v>43041</v>
      </c>
      <c r="C510" s="4">
        <v>30.95</v>
      </c>
      <c r="D510" s="4">
        <v>29.979900000000001</v>
      </c>
      <c r="E510" s="4">
        <v>620</v>
      </c>
      <c r="F510" s="4"/>
      <c r="G510" s="4"/>
      <c r="H510" s="5">
        <f t="shared" si="7"/>
        <v>2.9950426170035158E-2</v>
      </c>
    </row>
    <row r="511" spans="1:8" ht="13.5" x14ac:dyDescent="0.25">
      <c r="A511" s="1"/>
      <c r="B511" s="3">
        <v>43042</v>
      </c>
      <c r="C511" s="4">
        <v>32.340000000000003</v>
      </c>
      <c r="D511" s="4">
        <v>31.3264</v>
      </c>
      <c r="E511" s="4">
        <v>508</v>
      </c>
      <c r="F511" s="4"/>
      <c r="G511" s="4"/>
      <c r="H511" s="5">
        <f t="shared" si="7"/>
        <v>4.4913425328303259E-2</v>
      </c>
    </row>
    <row r="512" spans="1:8" ht="13.5" x14ac:dyDescent="0.25">
      <c r="A512" s="1"/>
      <c r="B512" s="3">
        <v>43045</v>
      </c>
      <c r="C512" s="4">
        <v>33.79</v>
      </c>
      <c r="D512" s="4">
        <v>32.730899999999998</v>
      </c>
      <c r="E512" s="4">
        <v>5790</v>
      </c>
      <c r="F512" s="4"/>
      <c r="G512" s="4"/>
      <c r="H512" s="5">
        <f t="shared" si="7"/>
        <v>4.4834388886051339E-2</v>
      </c>
    </row>
    <row r="513" spans="1:8" ht="13.5" x14ac:dyDescent="0.25">
      <c r="A513" s="1"/>
      <c r="B513" s="3">
        <v>43046</v>
      </c>
      <c r="C513" s="4">
        <v>34</v>
      </c>
      <c r="D513" s="4">
        <v>32.9343</v>
      </c>
      <c r="E513" s="4">
        <v>1697</v>
      </c>
      <c r="F513" s="4"/>
      <c r="G513" s="4"/>
      <c r="H513" s="5">
        <f t="shared" si="7"/>
        <v>6.2143112471701673E-3</v>
      </c>
    </row>
    <row r="514" spans="1:8" ht="13.5" x14ac:dyDescent="0.25">
      <c r="A514" s="1"/>
      <c r="B514" s="3">
        <v>43047</v>
      </c>
      <c r="C514" s="4">
        <v>35</v>
      </c>
      <c r="D514" s="4">
        <v>33.902999999999999</v>
      </c>
      <c r="E514" s="4">
        <v>1086</v>
      </c>
      <c r="F514" s="4"/>
      <c r="G514" s="4"/>
      <c r="H514" s="5">
        <f t="shared" si="7"/>
        <v>2.9413104271230856E-2</v>
      </c>
    </row>
    <row r="515" spans="1:8" ht="13.5" x14ac:dyDescent="0.25">
      <c r="A515" s="1"/>
      <c r="B515" s="3">
        <v>43048</v>
      </c>
      <c r="C515" s="4">
        <v>35</v>
      </c>
      <c r="D515" s="4">
        <v>33.902999999999999</v>
      </c>
      <c r="E515" s="4">
        <v>1102</v>
      </c>
      <c r="F515" s="4"/>
      <c r="G515" s="4"/>
      <c r="H515" s="5">
        <f t="shared" si="7"/>
        <v>0</v>
      </c>
    </row>
    <row r="516" spans="1:8" ht="13.5" x14ac:dyDescent="0.25">
      <c r="A516" s="1"/>
      <c r="B516" s="3">
        <v>43049</v>
      </c>
      <c r="C516" s="4">
        <v>35</v>
      </c>
      <c r="D516" s="4">
        <v>33.902999999999999</v>
      </c>
      <c r="E516" s="4">
        <v>1500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43052</v>
      </c>
      <c r="C517" s="4">
        <v>33.85</v>
      </c>
      <c r="D517" s="4">
        <v>32.789000000000001</v>
      </c>
      <c r="E517" s="4">
        <v>1793</v>
      </c>
      <c r="F517" s="4"/>
      <c r="G517" s="4"/>
      <c r="H517" s="5">
        <f t="shared" si="7"/>
        <v>-3.2858449104798904E-2</v>
      </c>
    </row>
    <row r="518" spans="1:8" ht="13.5" x14ac:dyDescent="0.25">
      <c r="A518" s="1"/>
      <c r="B518" s="3">
        <v>43053</v>
      </c>
      <c r="C518" s="4">
        <v>34.64</v>
      </c>
      <c r="D518" s="4">
        <v>33.554299999999998</v>
      </c>
      <c r="E518" s="4">
        <v>306</v>
      </c>
      <c r="F518" s="4"/>
      <c r="G518" s="4"/>
      <c r="H518" s="5">
        <f t="shared" si="7"/>
        <v>2.3340144560675721E-2</v>
      </c>
    </row>
    <row r="519" spans="1:8" ht="13.5" x14ac:dyDescent="0.25">
      <c r="A519" s="1"/>
      <c r="B519" s="3">
        <v>43054</v>
      </c>
      <c r="C519" s="4">
        <v>33.79</v>
      </c>
      <c r="D519" s="4">
        <v>32.730899999999998</v>
      </c>
      <c r="E519" s="4">
        <v>845</v>
      </c>
      <c r="F519" s="4"/>
      <c r="G519" s="4"/>
      <c r="H519" s="5">
        <f t="shared" ref="H519:H582" si="8">(D519-D518)/D518</f>
        <v>-2.4539328789454692E-2</v>
      </c>
    </row>
    <row r="520" spans="1:8" ht="13.5" x14ac:dyDescent="0.25">
      <c r="A520" s="1"/>
      <c r="B520" s="3">
        <v>43055</v>
      </c>
      <c r="C520" s="4">
        <v>33.79</v>
      </c>
      <c r="D520" s="4">
        <v>32.730899999999998</v>
      </c>
      <c r="E520" s="4">
        <v>260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33.79</v>
      </c>
      <c r="D521" s="4">
        <v>32.730899999999998</v>
      </c>
      <c r="E521" s="4">
        <v>10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33.85</v>
      </c>
      <c r="D522" s="4">
        <v>32.789000000000001</v>
      </c>
      <c r="E522" s="4">
        <v>368</v>
      </c>
      <c r="F522" s="4"/>
      <c r="G522" s="4"/>
      <c r="H522" s="5">
        <f t="shared" si="8"/>
        <v>1.7750810396293152E-3</v>
      </c>
    </row>
    <row r="523" spans="1:8" ht="13.5" x14ac:dyDescent="0.25">
      <c r="A523" s="1"/>
      <c r="B523" s="3">
        <v>43060</v>
      </c>
      <c r="C523" s="4">
        <v>34</v>
      </c>
      <c r="D523" s="4">
        <v>32.9343</v>
      </c>
      <c r="E523" s="4">
        <v>4050</v>
      </c>
      <c r="F523" s="4"/>
      <c r="G523" s="4"/>
      <c r="H523" s="5">
        <f t="shared" si="8"/>
        <v>4.4313641770105487E-3</v>
      </c>
    </row>
    <row r="524" spans="1:8" ht="13.5" x14ac:dyDescent="0.25">
      <c r="A524" s="1"/>
      <c r="B524" s="3">
        <v>43061</v>
      </c>
      <c r="C524" s="4">
        <v>34.5</v>
      </c>
      <c r="D524" s="4">
        <v>33.418700000000001</v>
      </c>
      <c r="E524" s="4">
        <v>20</v>
      </c>
      <c r="F524" s="4"/>
      <c r="G524" s="4"/>
      <c r="H524" s="5">
        <f t="shared" si="8"/>
        <v>1.4708070309677169E-2</v>
      </c>
    </row>
    <row r="525" spans="1:8" ht="13.5" x14ac:dyDescent="0.25">
      <c r="A525" s="1"/>
      <c r="B525" s="3">
        <v>43062</v>
      </c>
      <c r="C525" s="4">
        <v>35.17</v>
      </c>
      <c r="D525" s="4">
        <v>34.067700000000002</v>
      </c>
      <c r="E525" s="4">
        <v>2943</v>
      </c>
      <c r="F525" s="4"/>
      <c r="G525" s="4"/>
      <c r="H525" s="5">
        <f t="shared" si="8"/>
        <v>1.9420264702097952E-2</v>
      </c>
    </row>
    <row r="526" spans="1:8" ht="13.5" x14ac:dyDescent="0.25">
      <c r="A526" s="1"/>
      <c r="B526" s="3">
        <v>43063</v>
      </c>
      <c r="C526" s="4">
        <v>36.049999999999997</v>
      </c>
      <c r="D526" s="4">
        <v>34.920099999999998</v>
      </c>
      <c r="E526" s="4">
        <v>3121</v>
      </c>
      <c r="F526" s="4"/>
      <c r="G526" s="4"/>
      <c r="H526" s="5">
        <f t="shared" si="8"/>
        <v>2.5020767471828031E-2</v>
      </c>
    </row>
    <row r="527" spans="1:8" ht="13.5" x14ac:dyDescent="0.25">
      <c r="A527" s="1"/>
      <c r="B527" s="3">
        <v>43066</v>
      </c>
      <c r="C527" s="4">
        <v>36.049999999999997</v>
      </c>
      <c r="D527" s="4">
        <v>34.920099999999998</v>
      </c>
      <c r="E527" s="4">
        <v>148</v>
      </c>
      <c r="F527" s="4"/>
      <c r="G527" s="4"/>
      <c r="H527" s="5">
        <f t="shared" si="8"/>
        <v>0</v>
      </c>
    </row>
    <row r="528" spans="1:8" ht="13.5" x14ac:dyDescent="0.25">
      <c r="A528" s="1"/>
      <c r="B528" s="3">
        <v>43067</v>
      </c>
      <c r="C528" s="4">
        <v>37</v>
      </c>
      <c r="D528" s="4">
        <v>35.840299999999999</v>
      </c>
      <c r="E528" s="4">
        <v>200</v>
      </c>
      <c r="F528" s="4"/>
      <c r="G528" s="4"/>
      <c r="H528" s="5">
        <f t="shared" si="8"/>
        <v>2.6351585476559383E-2</v>
      </c>
    </row>
    <row r="529" spans="1:8" ht="13.5" x14ac:dyDescent="0.25">
      <c r="A529" s="1"/>
      <c r="B529" s="3">
        <v>43068</v>
      </c>
      <c r="C529" s="4">
        <v>36.9</v>
      </c>
      <c r="D529" s="4">
        <v>35.743400000000001</v>
      </c>
      <c r="E529" s="4">
        <v>15</v>
      </c>
      <c r="F529" s="4"/>
      <c r="G529" s="4"/>
      <c r="H529" s="5">
        <f t="shared" si="8"/>
        <v>-2.7036604046282533E-3</v>
      </c>
    </row>
    <row r="530" spans="1:8" ht="13.5" x14ac:dyDescent="0.25">
      <c r="A530" s="1"/>
      <c r="B530" s="3">
        <v>43069</v>
      </c>
      <c r="C530" s="4">
        <v>36.9</v>
      </c>
      <c r="D530" s="4">
        <v>35.743400000000001</v>
      </c>
      <c r="E530" s="4">
        <v>0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36.9</v>
      </c>
      <c r="D531" s="4">
        <v>35.743400000000001</v>
      </c>
      <c r="E531" s="4">
        <v>844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36.9</v>
      </c>
      <c r="D532" s="4">
        <v>35.743400000000001</v>
      </c>
      <c r="E532" s="4">
        <v>50</v>
      </c>
      <c r="F532" s="4"/>
      <c r="G532" s="4"/>
      <c r="H532" s="5">
        <f t="shared" si="8"/>
        <v>0</v>
      </c>
    </row>
    <row r="533" spans="1:8" ht="13.5" x14ac:dyDescent="0.25">
      <c r="A533" s="1"/>
      <c r="B533" s="3">
        <v>43075</v>
      </c>
      <c r="C533" s="4">
        <v>37.99</v>
      </c>
      <c r="D533" s="4">
        <v>36.799300000000002</v>
      </c>
      <c r="E533" s="4">
        <v>4056</v>
      </c>
      <c r="F533" s="4"/>
      <c r="G533" s="4"/>
      <c r="H533" s="5">
        <f t="shared" si="8"/>
        <v>2.9541118080540774E-2</v>
      </c>
    </row>
    <row r="534" spans="1:8" ht="13.5" x14ac:dyDescent="0.25">
      <c r="A534" s="1"/>
      <c r="B534" s="3">
        <v>43076</v>
      </c>
      <c r="C534" s="4">
        <v>38.99</v>
      </c>
      <c r="D534" s="4">
        <v>37.767899999999997</v>
      </c>
      <c r="E534" s="4">
        <v>65</v>
      </c>
      <c r="F534" s="4"/>
      <c r="G534" s="4"/>
      <c r="H534" s="5">
        <f t="shared" si="8"/>
        <v>2.6321152848015995E-2</v>
      </c>
    </row>
    <row r="535" spans="1:8" ht="13.5" x14ac:dyDescent="0.25">
      <c r="A535" s="1"/>
      <c r="B535" s="3">
        <v>43077</v>
      </c>
      <c r="C535" s="4">
        <v>38.99</v>
      </c>
      <c r="D535" s="4">
        <v>37.767899999999997</v>
      </c>
      <c r="E535" s="4">
        <v>20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43080</v>
      </c>
      <c r="C536" s="4">
        <v>38.97</v>
      </c>
      <c r="D536" s="4">
        <v>37.7485</v>
      </c>
      <c r="E536" s="4">
        <v>11</v>
      </c>
      <c r="F536" s="4"/>
      <c r="G536" s="4"/>
      <c r="H536" s="5">
        <f t="shared" si="8"/>
        <v>-5.1366371971958778E-4</v>
      </c>
    </row>
    <row r="537" spans="1:8" ht="13.5" x14ac:dyDescent="0.25">
      <c r="A537" s="1"/>
      <c r="B537" s="3">
        <v>43081</v>
      </c>
      <c r="C537" s="4">
        <v>38.97</v>
      </c>
      <c r="D537" s="4">
        <v>37.7485</v>
      </c>
      <c r="E537" s="4">
        <v>0</v>
      </c>
      <c r="F537" s="4"/>
      <c r="G537" s="4"/>
      <c r="H537" s="5">
        <f t="shared" si="8"/>
        <v>0</v>
      </c>
    </row>
    <row r="538" spans="1:8" ht="13.5" x14ac:dyDescent="0.25">
      <c r="A538" s="1"/>
      <c r="B538" s="3">
        <v>43082</v>
      </c>
      <c r="C538" s="4">
        <v>37</v>
      </c>
      <c r="D538" s="4">
        <v>35.840299999999999</v>
      </c>
      <c r="E538" s="4">
        <v>695</v>
      </c>
      <c r="F538" s="4"/>
      <c r="G538" s="4"/>
      <c r="H538" s="5">
        <f t="shared" si="8"/>
        <v>-5.0550352994158727E-2</v>
      </c>
    </row>
    <row r="539" spans="1:8" ht="13.5" x14ac:dyDescent="0.25">
      <c r="A539" s="1"/>
      <c r="B539" s="3">
        <v>43083</v>
      </c>
      <c r="C539" s="4">
        <v>37.1</v>
      </c>
      <c r="D539" s="4">
        <v>35.937199999999997</v>
      </c>
      <c r="E539" s="4">
        <v>8800</v>
      </c>
      <c r="F539" s="4"/>
      <c r="G539" s="4"/>
      <c r="H539" s="5">
        <f t="shared" si="8"/>
        <v>2.7036604046282533E-3</v>
      </c>
    </row>
    <row r="540" spans="1:8" ht="13.5" x14ac:dyDescent="0.25">
      <c r="A540" s="1"/>
      <c r="B540" s="3">
        <v>43084</v>
      </c>
      <c r="C540" s="4">
        <v>38.25</v>
      </c>
      <c r="D540" s="4">
        <v>37.051099999999998</v>
      </c>
      <c r="E540" s="4">
        <v>5515</v>
      </c>
      <c r="F540" s="4"/>
      <c r="G540" s="4"/>
      <c r="H540" s="5">
        <f t="shared" si="8"/>
        <v>3.0995737007891575E-2</v>
      </c>
    </row>
    <row r="541" spans="1:8" ht="13.5" x14ac:dyDescent="0.25">
      <c r="A541" s="1"/>
      <c r="B541" s="3">
        <v>43087</v>
      </c>
      <c r="C541" s="4">
        <v>38.770000000000003</v>
      </c>
      <c r="D541" s="4">
        <v>37.5548</v>
      </c>
      <c r="E541" s="4">
        <v>1797</v>
      </c>
      <c r="F541" s="4"/>
      <c r="G541" s="4"/>
      <c r="H541" s="5">
        <f t="shared" si="8"/>
        <v>1.3594738077951857E-2</v>
      </c>
    </row>
    <row r="542" spans="1:8" ht="13.5" x14ac:dyDescent="0.25">
      <c r="A542" s="1"/>
      <c r="B542" s="3">
        <v>43088</v>
      </c>
      <c r="C542" s="4">
        <v>38.51</v>
      </c>
      <c r="D542" s="4">
        <v>37.302999999999997</v>
      </c>
      <c r="E542" s="4">
        <v>1928</v>
      </c>
      <c r="F542" s="4"/>
      <c r="G542" s="4"/>
      <c r="H542" s="5">
        <f t="shared" si="8"/>
        <v>-6.7048686186586774E-3</v>
      </c>
    </row>
    <row r="543" spans="1:8" ht="13.5" x14ac:dyDescent="0.25">
      <c r="A543" s="1"/>
      <c r="B543" s="3">
        <v>43089</v>
      </c>
      <c r="C543" s="4">
        <v>38.5</v>
      </c>
      <c r="D543" s="4">
        <v>37.293300000000002</v>
      </c>
      <c r="E543" s="4">
        <v>382</v>
      </c>
      <c r="F543" s="4"/>
      <c r="G543" s="4"/>
      <c r="H543" s="5">
        <f t="shared" si="8"/>
        <v>-2.6003270514422854E-4</v>
      </c>
    </row>
    <row r="544" spans="1:8" ht="13.5" x14ac:dyDescent="0.25">
      <c r="A544" s="1"/>
      <c r="B544" s="3">
        <v>43090</v>
      </c>
      <c r="C544" s="4">
        <v>38.5</v>
      </c>
      <c r="D544" s="4">
        <v>37.293300000000002</v>
      </c>
      <c r="E544" s="4">
        <v>250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38.5</v>
      </c>
      <c r="D545" s="4">
        <v>37.293300000000002</v>
      </c>
      <c r="E545" s="4">
        <v>1064</v>
      </c>
      <c r="F545" s="4"/>
      <c r="G545" s="4"/>
      <c r="H545" s="5">
        <f t="shared" si="8"/>
        <v>0</v>
      </c>
    </row>
    <row r="546" spans="1:8" ht="13.5" x14ac:dyDescent="0.25">
      <c r="A546" s="1"/>
      <c r="B546" s="3">
        <v>43094</v>
      </c>
      <c r="C546" s="4">
        <v>38.950000000000003</v>
      </c>
      <c r="D546" s="4">
        <v>37.729199999999999</v>
      </c>
      <c r="E546" s="4">
        <v>100</v>
      </c>
      <c r="F546" s="4"/>
      <c r="G546" s="4"/>
      <c r="H546" s="5">
        <f t="shared" si="8"/>
        <v>1.168842660746023E-2</v>
      </c>
    </row>
    <row r="547" spans="1:8" ht="13.5" x14ac:dyDescent="0.25">
      <c r="A547" s="1"/>
      <c r="B547" s="3">
        <v>43095</v>
      </c>
      <c r="C547" s="4">
        <v>38.950000000000003</v>
      </c>
      <c r="D547" s="4">
        <v>37.729199999999999</v>
      </c>
      <c r="E547" s="4">
        <v>1500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38.950000000000003</v>
      </c>
      <c r="D548" s="4">
        <v>37.729199999999999</v>
      </c>
      <c r="E548" s="4">
        <v>22</v>
      </c>
      <c r="F548" s="4"/>
      <c r="G548" s="4"/>
      <c r="H548" s="5">
        <f t="shared" si="8"/>
        <v>0</v>
      </c>
    </row>
    <row r="549" spans="1:8" ht="13.5" x14ac:dyDescent="0.25">
      <c r="A549" s="1"/>
      <c r="B549" s="3">
        <v>43097</v>
      </c>
      <c r="C549" s="4">
        <v>39.25</v>
      </c>
      <c r="D549" s="4">
        <v>38.019799999999996</v>
      </c>
      <c r="E549" s="4">
        <v>398</v>
      </c>
      <c r="F549" s="4"/>
      <c r="G549" s="4"/>
      <c r="H549" s="5">
        <f t="shared" si="8"/>
        <v>7.7022571377076045E-3</v>
      </c>
    </row>
    <row r="550" spans="1:8" ht="13.5" x14ac:dyDescent="0.25">
      <c r="A550" s="1"/>
      <c r="B550" s="3">
        <v>43098</v>
      </c>
      <c r="C550" s="4">
        <v>39.5</v>
      </c>
      <c r="D550" s="4">
        <v>38.261899999999997</v>
      </c>
      <c r="E550" s="4">
        <v>25</v>
      </c>
      <c r="F550" s="4"/>
      <c r="G550" s="4"/>
      <c r="H550" s="5">
        <f t="shared" si="8"/>
        <v>6.3677347066528672E-3</v>
      </c>
    </row>
    <row r="551" spans="1:8" ht="13.5" x14ac:dyDescent="0.25">
      <c r="A551" s="1"/>
      <c r="B551" s="3">
        <v>43102</v>
      </c>
      <c r="C551" s="4">
        <v>38.6</v>
      </c>
      <c r="D551" s="4">
        <v>37.390099999999997</v>
      </c>
      <c r="E551" s="4">
        <v>50</v>
      </c>
      <c r="F551" s="4"/>
      <c r="G551" s="4"/>
      <c r="H551" s="5">
        <f t="shared" si="8"/>
        <v>-2.2785068174868483E-2</v>
      </c>
    </row>
    <row r="552" spans="1:8" ht="13.5" x14ac:dyDescent="0.25">
      <c r="A552" s="1"/>
      <c r="B552" s="3">
        <v>43103</v>
      </c>
      <c r="C552" s="4">
        <v>39</v>
      </c>
      <c r="D552" s="4">
        <v>37.7776</v>
      </c>
      <c r="E552" s="4">
        <v>100</v>
      </c>
      <c r="F552" s="4"/>
      <c r="G552" s="4"/>
      <c r="H552" s="5">
        <f t="shared" si="8"/>
        <v>1.0363705900759903E-2</v>
      </c>
    </row>
    <row r="553" spans="1:8" ht="13.5" x14ac:dyDescent="0.25">
      <c r="A553" s="1"/>
      <c r="B553" s="3">
        <v>43104</v>
      </c>
      <c r="C553" s="4">
        <v>39</v>
      </c>
      <c r="D553" s="4">
        <v>37.7776</v>
      </c>
      <c r="E553" s="4">
        <v>741</v>
      </c>
      <c r="F553" s="4"/>
      <c r="G553" s="4"/>
      <c r="H553" s="5">
        <f t="shared" si="8"/>
        <v>0</v>
      </c>
    </row>
    <row r="554" spans="1:8" ht="13.5" x14ac:dyDescent="0.25">
      <c r="A554" s="1"/>
      <c r="B554" s="3">
        <v>43105</v>
      </c>
      <c r="C554" s="4">
        <v>38.5</v>
      </c>
      <c r="D554" s="4">
        <v>37.293300000000002</v>
      </c>
      <c r="E554" s="4">
        <v>2424</v>
      </c>
      <c r="F554" s="4"/>
      <c r="G554" s="4"/>
      <c r="H554" s="5">
        <f t="shared" si="8"/>
        <v>-1.2819766210664454E-2</v>
      </c>
    </row>
    <row r="555" spans="1:8" ht="13.5" x14ac:dyDescent="0.25">
      <c r="A555" s="1"/>
      <c r="B555" s="3">
        <v>43108</v>
      </c>
      <c r="C555" s="4">
        <v>38.5</v>
      </c>
      <c r="D555" s="4">
        <v>37.293300000000002</v>
      </c>
      <c r="E555" s="4">
        <v>607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43109</v>
      </c>
      <c r="C556" s="4">
        <v>38.51</v>
      </c>
      <c r="D556" s="4">
        <v>37.302999999999997</v>
      </c>
      <c r="E556" s="4">
        <v>2542</v>
      </c>
      <c r="F556" s="4"/>
      <c r="G556" s="4"/>
      <c r="H556" s="5">
        <f t="shared" si="8"/>
        <v>2.6010033973917986E-4</v>
      </c>
    </row>
    <row r="557" spans="1:8" ht="13.5" x14ac:dyDescent="0.25">
      <c r="A557" s="1"/>
      <c r="B557" s="3">
        <v>43110</v>
      </c>
      <c r="C557" s="4">
        <v>38.51</v>
      </c>
      <c r="D557" s="4">
        <v>37.302999999999997</v>
      </c>
      <c r="E557" s="4">
        <v>4355</v>
      </c>
      <c r="F557" s="4"/>
      <c r="G557" s="4"/>
      <c r="H557" s="5">
        <f t="shared" si="8"/>
        <v>0</v>
      </c>
    </row>
    <row r="558" spans="1:8" ht="13.5" x14ac:dyDescent="0.25">
      <c r="A558" s="1"/>
      <c r="B558" s="3">
        <v>43111</v>
      </c>
      <c r="C558" s="4">
        <v>39.5</v>
      </c>
      <c r="D558" s="4">
        <v>38.261899999999997</v>
      </c>
      <c r="E558" s="4">
        <v>1073</v>
      </c>
      <c r="F558" s="4"/>
      <c r="G558" s="4"/>
      <c r="H558" s="5">
        <f t="shared" si="8"/>
        <v>2.5705707315765488E-2</v>
      </c>
    </row>
    <row r="559" spans="1:8" ht="13.5" x14ac:dyDescent="0.25">
      <c r="A559" s="1"/>
      <c r="B559" s="3">
        <v>43112</v>
      </c>
      <c r="C559" s="4">
        <v>39.5</v>
      </c>
      <c r="D559" s="4">
        <v>38.261899999999997</v>
      </c>
      <c r="E559" s="4">
        <v>460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39.549999999999997</v>
      </c>
      <c r="D560" s="4">
        <v>38.310400000000001</v>
      </c>
      <c r="E560" s="4">
        <v>58</v>
      </c>
      <c r="F560" s="4"/>
      <c r="G560" s="4"/>
      <c r="H560" s="5">
        <f t="shared" si="8"/>
        <v>1.2675794981431715E-3</v>
      </c>
    </row>
    <row r="561" spans="1:8" ht="13.5" x14ac:dyDescent="0.25">
      <c r="A561" s="1"/>
      <c r="B561" s="3">
        <v>43116</v>
      </c>
      <c r="C561" s="4">
        <v>39</v>
      </c>
      <c r="D561" s="4">
        <v>37.7776</v>
      </c>
      <c r="E561" s="4">
        <v>217</v>
      </c>
      <c r="F561" s="4"/>
      <c r="G561" s="4"/>
      <c r="H561" s="5">
        <f t="shared" si="8"/>
        <v>-1.3907450718342844E-2</v>
      </c>
    </row>
    <row r="562" spans="1:8" ht="13.5" x14ac:dyDescent="0.25">
      <c r="A562" s="1"/>
      <c r="B562" s="3">
        <v>43117</v>
      </c>
      <c r="C562" s="4">
        <v>39</v>
      </c>
      <c r="D562" s="4">
        <v>37.7776</v>
      </c>
      <c r="E562" s="4">
        <v>681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39</v>
      </c>
      <c r="D563" s="4">
        <v>37.7776</v>
      </c>
      <c r="E563" s="4">
        <v>550</v>
      </c>
      <c r="F563" s="4"/>
      <c r="G563" s="4"/>
      <c r="H563" s="5">
        <f t="shared" si="8"/>
        <v>0</v>
      </c>
    </row>
    <row r="564" spans="1:8" ht="13.5" x14ac:dyDescent="0.25">
      <c r="A564" s="1"/>
      <c r="B564" s="3">
        <v>43119</v>
      </c>
      <c r="C564" s="4">
        <v>39</v>
      </c>
      <c r="D564" s="4">
        <v>37.7776</v>
      </c>
      <c r="E564" s="4">
        <v>1319</v>
      </c>
      <c r="F564" s="4"/>
      <c r="G564" s="4"/>
      <c r="H564" s="5">
        <f t="shared" si="8"/>
        <v>0</v>
      </c>
    </row>
    <row r="565" spans="1:8" ht="13.5" x14ac:dyDescent="0.25">
      <c r="A565" s="1"/>
      <c r="B565" s="3">
        <v>43122</v>
      </c>
      <c r="C565" s="4">
        <v>38.5</v>
      </c>
      <c r="D565" s="4">
        <v>37.293300000000002</v>
      </c>
      <c r="E565" s="4">
        <v>850</v>
      </c>
      <c r="F565" s="4"/>
      <c r="G565" s="4"/>
      <c r="H565" s="5">
        <f t="shared" si="8"/>
        <v>-1.2819766210664454E-2</v>
      </c>
    </row>
    <row r="566" spans="1:8" ht="13.5" x14ac:dyDescent="0.25">
      <c r="A566" s="1"/>
      <c r="B566" s="3">
        <v>43123</v>
      </c>
      <c r="C566" s="4">
        <v>38.5</v>
      </c>
      <c r="D566" s="4">
        <v>37.293300000000002</v>
      </c>
      <c r="E566" s="4">
        <v>622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38.9</v>
      </c>
      <c r="D567" s="4">
        <v>37.680700000000002</v>
      </c>
      <c r="E567" s="4">
        <v>335</v>
      </c>
      <c r="F567" s="4"/>
      <c r="G567" s="4"/>
      <c r="H567" s="5">
        <f t="shared" si="8"/>
        <v>1.0387924908763758E-2</v>
      </c>
    </row>
    <row r="568" spans="1:8" ht="13.5" x14ac:dyDescent="0.25">
      <c r="A568" s="1"/>
      <c r="B568" s="3">
        <v>43125</v>
      </c>
      <c r="C568" s="4">
        <v>39</v>
      </c>
      <c r="D568" s="4">
        <v>37.7776</v>
      </c>
      <c r="E568" s="4">
        <v>1</v>
      </c>
      <c r="F568" s="4"/>
      <c r="G568" s="4"/>
      <c r="H568" s="5">
        <f t="shared" si="8"/>
        <v>2.571608276916246E-3</v>
      </c>
    </row>
    <row r="569" spans="1:8" ht="13.5" x14ac:dyDescent="0.25">
      <c r="A569" s="1"/>
      <c r="B569" s="3">
        <v>43126</v>
      </c>
      <c r="C569" s="4">
        <v>39</v>
      </c>
      <c r="D569" s="4">
        <v>37.7776</v>
      </c>
      <c r="E569" s="4">
        <v>0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38.44</v>
      </c>
      <c r="D570" s="4">
        <v>37.235199999999999</v>
      </c>
      <c r="E570" s="4">
        <v>625</v>
      </c>
      <c r="F570" s="4"/>
      <c r="G570" s="4"/>
      <c r="H570" s="5">
        <f t="shared" si="8"/>
        <v>-1.4357714624539428E-2</v>
      </c>
    </row>
    <row r="571" spans="1:8" ht="13.5" x14ac:dyDescent="0.25">
      <c r="A571" s="1"/>
      <c r="B571" s="3">
        <v>43130</v>
      </c>
      <c r="C571" s="4">
        <v>38.44</v>
      </c>
      <c r="D571" s="4">
        <v>37.235199999999999</v>
      </c>
      <c r="E571" s="4">
        <v>302</v>
      </c>
      <c r="F571" s="4"/>
      <c r="G571" s="4"/>
      <c r="H571" s="5">
        <f t="shared" si="8"/>
        <v>0</v>
      </c>
    </row>
    <row r="572" spans="1:8" ht="13.5" x14ac:dyDescent="0.25">
      <c r="A572" s="1"/>
      <c r="B572" s="3">
        <v>43131</v>
      </c>
      <c r="C572" s="4">
        <v>37.5</v>
      </c>
      <c r="D572" s="4">
        <v>36.324599999999997</v>
      </c>
      <c r="E572" s="4">
        <v>465</v>
      </c>
      <c r="F572" s="4"/>
      <c r="G572" s="4"/>
      <c r="H572" s="5">
        <f t="shared" si="8"/>
        <v>-2.4455354073564861E-2</v>
      </c>
    </row>
    <row r="573" spans="1:8" ht="13.5" x14ac:dyDescent="0.25">
      <c r="A573" s="1"/>
      <c r="B573" s="3">
        <v>43132</v>
      </c>
      <c r="C573" s="4">
        <v>38.25</v>
      </c>
      <c r="D573" s="4">
        <v>37.051099999999998</v>
      </c>
      <c r="E573" s="4">
        <v>281</v>
      </c>
      <c r="F573" s="4"/>
      <c r="G573" s="4"/>
      <c r="H573" s="5">
        <f t="shared" si="8"/>
        <v>2.0000220236423845E-2</v>
      </c>
    </row>
    <row r="574" spans="1:8" ht="13.5" x14ac:dyDescent="0.25">
      <c r="A574" s="1"/>
      <c r="B574" s="3">
        <v>43133</v>
      </c>
      <c r="C574" s="4">
        <v>38.25</v>
      </c>
      <c r="D574" s="4">
        <v>37.051099999999998</v>
      </c>
      <c r="E574" s="4">
        <v>200</v>
      </c>
      <c r="F574" s="4"/>
      <c r="G574" s="4"/>
      <c r="H574" s="5">
        <f t="shared" si="8"/>
        <v>0</v>
      </c>
    </row>
    <row r="575" spans="1:8" ht="13.5" x14ac:dyDescent="0.25">
      <c r="A575" s="1"/>
      <c r="B575" s="3">
        <v>43136</v>
      </c>
      <c r="C575" s="4">
        <v>37.200000000000003</v>
      </c>
      <c r="D575" s="4">
        <v>36.033999999999999</v>
      </c>
      <c r="E575" s="4">
        <v>147</v>
      </c>
      <c r="F575" s="4"/>
      <c r="G575" s="4"/>
      <c r="H575" s="5">
        <f t="shared" si="8"/>
        <v>-2.7451276750217923E-2</v>
      </c>
    </row>
    <row r="576" spans="1:8" ht="13.5" x14ac:dyDescent="0.25">
      <c r="A576" s="1"/>
      <c r="B576" s="3">
        <v>43137</v>
      </c>
      <c r="C576" s="4">
        <v>37.9</v>
      </c>
      <c r="D576" s="4">
        <v>36.7121</v>
      </c>
      <c r="E576" s="4">
        <v>220</v>
      </c>
      <c r="F576" s="4"/>
      <c r="G576" s="4"/>
      <c r="H576" s="5">
        <f t="shared" si="8"/>
        <v>1.8818338236110357E-2</v>
      </c>
    </row>
    <row r="577" spans="1:8" ht="13.5" x14ac:dyDescent="0.25">
      <c r="A577" s="1"/>
      <c r="B577" s="3">
        <v>43138</v>
      </c>
      <c r="C577" s="4">
        <v>37.21</v>
      </c>
      <c r="D577" s="4">
        <v>36.043700000000001</v>
      </c>
      <c r="E577" s="4">
        <v>4104</v>
      </c>
      <c r="F577" s="4"/>
      <c r="G577" s="4"/>
      <c r="H577" s="5">
        <f t="shared" si="8"/>
        <v>-1.8206531361594634E-2</v>
      </c>
    </row>
    <row r="578" spans="1:8" ht="13.5" x14ac:dyDescent="0.25">
      <c r="A578" s="1"/>
      <c r="B578" s="3">
        <v>43139</v>
      </c>
      <c r="C578" s="4">
        <v>35.71</v>
      </c>
      <c r="D578" s="4">
        <v>34.590699999999998</v>
      </c>
      <c r="E578" s="4">
        <v>6737</v>
      </c>
      <c r="F578" s="4"/>
      <c r="G578" s="4"/>
      <c r="H578" s="5">
        <f t="shared" si="8"/>
        <v>-4.0312176607840006E-2</v>
      </c>
    </row>
    <row r="579" spans="1:8" ht="13.5" x14ac:dyDescent="0.25">
      <c r="A579" s="1"/>
      <c r="B579" s="3">
        <v>43140</v>
      </c>
      <c r="C579" s="4">
        <v>35.75</v>
      </c>
      <c r="D579" s="4">
        <v>34.6295</v>
      </c>
      <c r="E579" s="4">
        <v>590</v>
      </c>
      <c r="F579" s="4"/>
      <c r="G579" s="4"/>
      <c r="H579" s="5">
        <f t="shared" si="8"/>
        <v>1.1216887776194743E-3</v>
      </c>
    </row>
    <row r="580" spans="1:8" ht="13.5" x14ac:dyDescent="0.25">
      <c r="A580" s="1"/>
      <c r="B580" s="3">
        <v>43143</v>
      </c>
      <c r="C580" s="4">
        <v>36.76</v>
      </c>
      <c r="D580" s="4">
        <v>35.607799999999997</v>
      </c>
      <c r="E580" s="4">
        <v>345</v>
      </c>
      <c r="F580" s="4"/>
      <c r="G580" s="4"/>
      <c r="H580" s="5">
        <f t="shared" si="8"/>
        <v>2.8250480082010924E-2</v>
      </c>
    </row>
    <row r="581" spans="1:8" ht="13.5" x14ac:dyDescent="0.25">
      <c r="A581" s="1"/>
      <c r="B581" s="3">
        <v>43144</v>
      </c>
      <c r="C581" s="4">
        <v>37.76</v>
      </c>
      <c r="D581" s="4">
        <v>36.576500000000003</v>
      </c>
      <c r="E581" s="4">
        <v>385</v>
      </c>
      <c r="F581" s="4"/>
      <c r="G581" s="4"/>
      <c r="H581" s="5">
        <f t="shared" si="8"/>
        <v>2.7204713573992369E-2</v>
      </c>
    </row>
    <row r="582" spans="1:8" ht="13.5" x14ac:dyDescent="0.25">
      <c r="A582" s="1"/>
      <c r="B582" s="3">
        <v>43145</v>
      </c>
      <c r="C582" s="4">
        <v>37.65</v>
      </c>
      <c r="D582" s="4">
        <v>36.469900000000003</v>
      </c>
      <c r="E582" s="4">
        <v>359</v>
      </c>
      <c r="F582" s="4"/>
      <c r="G582" s="4"/>
      <c r="H582" s="5">
        <f t="shared" si="8"/>
        <v>-2.9144395991962118E-3</v>
      </c>
    </row>
    <row r="583" spans="1:8" ht="13.5" x14ac:dyDescent="0.25">
      <c r="A583" s="1"/>
      <c r="B583" s="3">
        <v>43146</v>
      </c>
      <c r="C583" s="4">
        <v>37.64</v>
      </c>
      <c r="D583" s="4">
        <v>36.4602</v>
      </c>
      <c r="E583" s="4">
        <v>50</v>
      </c>
      <c r="F583" s="4"/>
      <c r="G583" s="4"/>
      <c r="H583" s="5">
        <f t="shared" ref="H583:H646" si="9">(D583-D582)/D582</f>
        <v>-2.6597276109894082E-4</v>
      </c>
    </row>
    <row r="584" spans="1:8" ht="13.5" x14ac:dyDescent="0.25">
      <c r="A584" s="1"/>
      <c r="B584" s="3">
        <v>43147</v>
      </c>
      <c r="C584" s="4">
        <v>38.5</v>
      </c>
      <c r="D584" s="4">
        <v>37.293300000000002</v>
      </c>
      <c r="E584" s="4">
        <v>233</v>
      </c>
      <c r="F584" s="4"/>
      <c r="G584" s="4"/>
      <c r="H584" s="5">
        <f t="shared" si="9"/>
        <v>2.2849572959007403E-2</v>
      </c>
    </row>
    <row r="585" spans="1:8" ht="13.5" x14ac:dyDescent="0.25">
      <c r="A585" s="1"/>
      <c r="B585" s="3">
        <v>43150</v>
      </c>
      <c r="C585" s="4">
        <v>38.47</v>
      </c>
      <c r="D585" s="4">
        <v>37.264200000000002</v>
      </c>
      <c r="E585" s="4">
        <v>17</v>
      </c>
      <c r="F585" s="4"/>
      <c r="G585" s="4"/>
      <c r="H585" s="5">
        <f t="shared" si="9"/>
        <v>-7.8030101921792061E-4</v>
      </c>
    </row>
    <row r="586" spans="1:8" ht="13.5" x14ac:dyDescent="0.25">
      <c r="A586" s="1"/>
      <c r="B586" s="3">
        <v>43151</v>
      </c>
      <c r="C586" s="4">
        <v>38.47</v>
      </c>
      <c r="D586" s="4">
        <v>37.264200000000002</v>
      </c>
      <c r="E586" s="4">
        <v>542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38.4</v>
      </c>
      <c r="D587" s="4">
        <v>37.196399999999997</v>
      </c>
      <c r="E587" s="4">
        <v>150</v>
      </c>
      <c r="F587" s="4"/>
      <c r="G587" s="4"/>
      <c r="H587" s="5">
        <f t="shared" si="9"/>
        <v>-1.8194406427618306E-3</v>
      </c>
    </row>
    <row r="588" spans="1:8" ht="13.5" x14ac:dyDescent="0.25">
      <c r="A588" s="1"/>
      <c r="B588" s="3">
        <v>43153</v>
      </c>
      <c r="C588" s="4">
        <v>38.4</v>
      </c>
      <c r="D588" s="4">
        <v>37.196399999999997</v>
      </c>
      <c r="E588" s="4">
        <v>0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38.5</v>
      </c>
      <c r="D589" s="4">
        <v>37.293300000000002</v>
      </c>
      <c r="E589" s="4">
        <v>1680</v>
      </c>
      <c r="F589" s="4"/>
      <c r="G589" s="4"/>
      <c r="H589" s="5">
        <f t="shared" si="9"/>
        <v>2.6050908152403219E-3</v>
      </c>
    </row>
    <row r="590" spans="1:8" ht="13.5" x14ac:dyDescent="0.25">
      <c r="A590" s="1"/>
      <c r="B590" s="3">
        <v>43157</v>
      </c>
      <c r="C590" s="4">
        <v>38.99</v>
      </c>
      <c r="D590" s="4">
        <v>37.767899999999997</v>
      </c>
      <c r="E590" s="4">
        <v>20</v>
      </c>
      <c r="F590" s="4"/>
      <c r="G590" s="4"/>
      <c r="H590" s="5">
        <f t="shared" si="9"/>
        <v>1.2726146519615997E-2</v>
      </c>
    </row>
    <row r="591" spans="1:8" ht="13.5" x14ac:dyDescent="0.25">
      <c r="A591" s="1"/>
      <c r="B591" s="3">
        <v>43158</v>
      </c>
      <c r="C591" s="4">
        <v>38.99</v>
      </c>
      <c r="D591" s="4">
        <v>37.767899999999997</v>
      </c>
      <c r="E591" s="4">
        <v>0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39.9</v>
      </c>
      <c r="D592" s="4">
        <v>38.6494</v>
      </c>
      <c r="E592" s="4">
        <v>4398</v>
      </c>
      <c r="F592" s="4"/>
      <c r="G592" s="4"/>
      <c r="H592" s="5">
        <f t="shared" si="9"/>
        <v>2.3339926233653517E-2</v>
      </c>
    </row>
    <row r="593" spans="1:8" ht="13.5" x14ac:dyDescent="0.25">
      <c r="A593" s="1"/>
      <c r="B593" s="3">
        <v>43160</v>
      </c>
      <c r="C593" s="4">
        <v>39.5</v>
      </c>
      <c r="D593" s="4">
        <v>38.261899999999997</v>
      </c>
      <c r="E593" s="4">
        <v>2177</v>
      </c>
      <c r="F593" s="4"/>
      <c r="G593" s="4"/>
      <c r="H593" s="5">
        <f t="shared" si="9"/>
        <v>-1.0026028864613755E-2</v>
      </c>
    </row>
    <row r="594" spans="1:8" ht="13.5" x14ac:dyDescent="0.25">
      <c r="A594" s="1"/>
      <c r="B594" s="3">
        <v>43161</v>
      </c>
      <c r="C594" s="4">
        <v>40</v>
      </c>
      <c r="D594" s="4">
        <v>38.746299999999998</v>
      </c>
      <c r="E594" s="4">
        <v>100</v>
      </c>
      <c r="F594" s="4"/>
      <c r="G594" s="4"/>
      <c r="H594" s="5">
        <f t="shared" si="9"/>
        <v>1.266011358557732E-2</v>
      </c>
    </row>
    <row r="595" spans="1:8" ht="13.5" x14ac:dyDescent="0.25">
      <c r="A595" s="1"/>
      <c r="B595" s="3">
        <v>43164</v>
      </c>
      <c r="C595" s="4">
        <v>39.9</v>
      </c>
      <c r="D595" s="4">
        <v>38.6494</v>
      </c>
      <c r="E595" s="4">
        <v>9456</v>
      </c>
      <c r="F595" s="4"/>
      <c r="G595" s="4"/>
      <c r="H595" s="5">
        <f t="shared" si="9"/>
        <v>-2.5008839553711708E-3</v>
      </c>
    </row>
    <row r="596" spans="1:8" ht="13.5" x14ac:dyDescent="0.25">
      <c r="A596" s="1"/>
      <c r="B596" s="3">
        <v>43165</v>
      </c>
      <c r="C596" s="4">
        <v>39.9</v>
      </c>
      <c r="D596" s="4">
        <v>38.6494</v>
      </c>
      <c r="E596" s="4">
        <v>199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39.9</v>
      </c>
      <c r="D597" s="4">
        <v>38.6494</v>
      </c>
      <c r="E597" s="4">
        <v>508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39.5</v>
      </c>
      <c r="D598" s="4">
        <v>38.261899999999997</v>
      </c>
      <c r="E598" s="4">
        <v>2516</v>
      </c>
      <c r="F598" s="4"/>
      <c r="G598" s="4"/>
      <c r="H598" s="5">
        <f t="shared" si="9"/>
        <v>-1.0026028864613755E-2</v>
      </c>
    </row>
    <row r="599" spans="1:8" ht="13.5" x14ac:dyDescent="0.25">
      <c r="A599" s="1"/>
      <c r="B599" s="3">
        <v>43168</v>
      </c>
      <c r="C599" s="4">
        <v>39.99</v>
      </c>
      <c r="D599" s="4">
        <v>38.736600000000003</v>
      </c>
      <c r="E599" s="4">
        <v>5807</v>
      </c>
      <c r="F599" s="4"/>
      <c r="G599" s="4"/>
      <c r="H599" s="5">
        <f t="shared" si="9"/>
        <v>1.2406597685948834E-2</v>
      </c>
    </row>
    <row r="600" spans="1:8" ht="13.5" x14ac:dyDescent="0.25">
      <c r="A600" s="1"/>
      <c r="B600" s="3">
        <v>43171</v>
      </c>
      <c r="C600" s="4">
        <v>39.99</v>
      </c>
      <c r="D600" s="4">
        <v>38.736600000000003</v>
      </c>
      <c r="E600" s="4">
        <v>0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39.5</v>
      </c>
      <c r="D601" s="4">
        <v>38.261899999999997</v>
      </c>
      <c r="E601" s="4">
        <v>70</v>
      </c>
      <c r="F601" s="4"/>
      <c r="G601" s="4"/>
      <c r="H601" s="5">
        <f t="shared" si="9"/>
        <v>-1.2254560286654111E-2</v>
      </c>
    </row>
    <row r="602" spans="1:8" ht="13.5" x14ac:dyDescent="0.25">
      <c r="A602" s="1"/>
      <c r="B602" s="3">
        <v>43173</v>
      </c>
      <c r="C602" s="4">
        <v>39.5</v>
      </c>
      <c r="D602" s="4">
        <v>38.261899999999997</v>
      </c>
      <c r="E602" s="4">
        <v>180</v>
      </c>
      <c r="F602" s="4"/>
      <c r="G602" s="4"/>
      <c r="H602" s="5">
        <f t="shared" si="9"/>
        <v>0</v>
      </c>
    </row>
    <row r="603" spans="1:8" ht="13.5" x14ac:dyDescent="0.25">
      <c r="A603" s="1"/>
      <c r="B603" s="3">
        <v>43174</v>
      </c>
      <c r="C603" s="4">
        <v>39.5</v>
      </c>
      <c r="D603" s="4">
        <v>38.261899999999997</v>
      </c>
      <c r="E603" s="4">
        <v>80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39.5</v>
      </c>
      <c r="D604" s="4">
        <v>38.261899999999997</v>
      </c>
      <c r="E604" s="4">
        <v>545</v>
      </c>
      <c r="F604" s="4"/>
      <c r="G604" s="4"/>
      <c r="H604" s="5">
        <f t="shared" si="9"/>
        <v>0</v>
      </c>
    </row>
    <row r="605" spans="1:8" ht="13.5" x14ac:dyDescent="0.25">
      <c r="A605" s="1"/>
      <c r="B605" s="3">
        <v>43178</v>
      </c>
      <c r="C605" s="4">
        <v>39.51</v>
      </c>
      <c r="D605" s="4">
        <v>38.271599999999999</v>
      </c>
      <c r="E605" s="4">
        <v>151</v>
      </c>
      <c r="F605" s="4"/>
      <c r="G605" s="4"/>
      <c r="H605" s="5">
        <f t="shared" si="9"/>
        <v>2.5351589962867142E-4</v>
      </c>
    </row>
    <row r="606" spans="1:8" ht="13.5" x14ac:dyDescent="0.25">
      <c r="A606" s="1"/>
      <c r="B606" s="3">
        <v>43180</v>
      </c>
      <c r="C606" s="4">
        <v>39.5</v>
      </c>
      <c r="D606" s="4">
        <v>38.261899999999997</v>
      </c>
      <c r="E606" s="4">
        <v>10081</v>
      </c>
      <c r="F606" s="4"/>
      <c r="G606" s="4"/>
      <c r="H606" s="5">
        <f t="shared" si="9"/>
        <v>-2.5345164560672305E-4</v>
      </c>
    </row>
    <row r="607" spans="1:8" ht="13.5" x14ac:dyDescent="0.25">
      <c r="A607" s="1"/>
      <c r="B607" s="3">
        <v>43181</v>
      </c>
      <c r="C607" s="4">
        <v>39.6</v>
      </c>
      <c r="D607" s="4">
        <v>38.358800000000002</v>
      </c>
      <c r="E607" s="4">
        <v>300</v>
      </c>
      <c r="F607" s="4"/>
      <c r="G607" s="4"/>
      <c r="H607" s="5">
        <f t="shared" si="9"/>
        <v>2.5325454303107035E-3</v>
      </c>
    </row>
    <row r="608" spans="1:8" ht="13.5" x14ac:dyDescent="0.25">
      <c r="A608" s="1"/>
      <c r="B608" s="3">
        <v>43182</v>
      </c>
      <c r="C608" s="4">
        <v>39.5</v>
      </c>
      <c r="D608" s="4">
        <v>38.261899999999997</v>
      </c>
      <c r="E608" s="4">
        <v>4774</v>
      </c>
      <c r="F608" s="4"/>
      <c r="G608" s="4"/>
      <c r="H608" s="5">
        <f t="shared" si="9"/>
        <v>-2.5261478461267059E-3</v>
      </c>
    </row>
    <row r="609" spans="1:8" ht="13.5" x14ac:dyDescent="0.25">
      <c r="A609" s="1"/>
      <c r="B609" s="3">
        <v>43185</v>
      </c>
      <c r="C609" s="4">
        <v>39.5</v>
      </c>
      <c r="D609" s="4">
        <v>38.261899999999997</v>
      </c>
      <c r="E609" s="4">
        <v>3184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39.5</v>
      </c>
      <c r="D610" s="4">
        <v>38.261899999999997</v>
      </c>
      <c r="E610" s="4">
        <v>1250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39.99</v>
      </c>
      <c r="D611" s="4">
        <v>38.736600000000003</v>
      </c>
      <c r="E611" s="4">
        <v>173</v>
      </c>
      <c r="F611" s="4"/>
      <c r="G611" s="4"/>
      <c r="H611" s="5">
        <f t="shared" si="9"/>
        <v>1.2406597685948834E-2</v>
      </c>
    </row>
    <row r="612" spans="1:8" ht="13.5" x14ac:dyDescent="0.25">
      <c r="A612" s="1"/>
      <c r="B612" s="3">
        <v>43188</v>
      </c>
      <c r="C612" s="4">
        <v>39.5</v>
      </c>
      <c r="D612" s="4">
        <v>38.261899999999997</v>
      </c>
      <c r="E612" s="4">
        <v>266</v>
      </c>
      <c r="F612" s="4"/>
      <c r="G612" s="4"/>
      <c r="H612" s="5">
        <f t="shared" si="9"/>
        <v>-1.2254560286654111E-2</v>
      </c>
    </row>
    <row r="613" spans="1:8" ht="13.5" x14ac:dyDescent="0.25">
      <c r="A613" s="1"/>
      <c r="B613" s="3">
        <v>43189</v>
      </c>
      <c r="C613" s="4">
        <v>39.979999999999997</v>
      </c>
      <c r="D613" s="4">
        <v>38.726900000000001</v>
      </c>
      <c r="E613" s="4">
        <v>251</v>
      </c>
      <c r="F613" s="4"/>
      <c r="G613" s="4"/>
      <c r="H613" s="5">
        <f t="shared" si="9"/>
        <v>1.2153081786320163E-2</v>
      </c>
    </row>
    <row r="614" spans="1:8" ht="13.5" x14ac:dyDescent="0.25">
      <c r="A614" s="1"/>
      <c r="B614" s="3">
        <v>43192</v>
      </c>
      <c r="C614" s="4">
        <v>40.380000000000003</v>
      </c>
      <c r="D614" s="4">
        <v>39.114400000000003</v>
      </c>
      <c r="E614" s="4">
        <v>50</v>
      </c>
      <c r="F614" s="4"/>
      <c r="G614" s="4"/>
      <c r="H614" s="5">
        <f t="shared" si="9"/>
        <v>1.0005964846140612E-2</v>
      </c>
    </row>
    <row r="615" spans="1:8" ht="13.5" x14ac:dyDescent="0.25">
      <c r="A615" s="1"/>
      <c r="B615" s="3">
        <v>43193</v>
      </c>
      <c r="C615" s="4">
        <v>40.369999999999997</v>
      </c>
      <c r="D615" s="4">
        <v>39.104700000000001</v>
      </c>
      <c r="E615" s="4">
        <v>53</v>
      </c>
      <c r="F615" s="4"/>
      <c r="G615" s="4"/>
      <c r="H615" s="5">
        <f t="shared" si="9"/>
        <v>-2.4799050988899899E-4</v>
      </c>
    </row>
    <row r="616" spans="1:8" ht="13.5" x14ac:dyDescent="0.25">
      <c r="A616" s="1"/>
      <c r="B616" s="3">
        <v>43194</v>
      </c>
      <c r="C616" s="4">
        <v>41</v>
      </c>
      <c r="D616" s="4">
        <v>39.7149</v>
      </c>
      <c r="E616" s="4">
        <v>10</v>
      </c>
      <c r="F616" s="4"/>
      <c r="G616" s="4"/>
      <c r="H616" s="5">
        <f t="shared" si="9"/>
        <v>1.5604262403240504E-2</v>
      </c>
    </row>
    <row r="617" spans="1:8" ht="13.5" x14ac:dyDescent="0.25">
      <c r="A617" s="1"/>
      <c r="B617" s="3">
        <v>43195</v>
      </c>
      <c r="C617" s="4">
        <v>41.7</v>
      </c>
      <c r="D617" s="4">
        <v>40.393000000000001</v>
      </c>
      <c r="E617" s="4">
        <v>45</v>
      </c>
      <c r="F617" s="4"/>
      <c r="G617" s="4"/>
      <c r="H617" s="5">
        <f t="shared" si="9"/>
        <v>1.7074196334373262E-2</v>
      </c>
    </row>
    <row r="618" spans="1:8" ht="13.5" x14ac:dyDescent="0.25">
      <c r="A618" s="1"/>
      <c r="B618" s="3">
        <v>43196</v>
      </c>
      <c r="C618" s="4">
        <v>41.99</v>
      </c>
      <c r="D618" s="4">
        <v>40.673900000000003</v>
      </c>
      <c r="E618" s="4">
        <v>50</v>
      </c>
      <c r="F618" s="4"/>
      <c r="G618" s="4"/>
      <c r="H618" s="5">
        <f t="shared" si="9"/>
        <v>6.9541752283812193E-3</v>
      </c>
    </row>
    <row r="619" spans="1:8" ht="13.5" x14ac:dyDescent="0.25">
      <c r="A619" s="1"/>
      <c r="B619" s="3">
        <v>43200</v>
      </c>
      <c r="C619" s="4">
        <v>41.99</v>
      </c>
      <c r="D619" s="4">
        <v>40.673900000000003</v>
      </c>
      <c r="E619" s="4">
        <v>50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41.96</v>
      </c>
      <c r="D620" s="4">
        <v>40.644799999999996</v>
      </c>
      <c r="E620" s="4">
        <v>1</v>
      </c>
      <c r="F620" s="4"/>
      <c r="G620" s="4"/>
      <c r="H620" s="5">
        <f t="shared" si="9"/>
        <v>-7.154465148413795E-4</v>
      </c>
    </row>
    <row r="621" spans="1:8" ht="13.5" x14ac:dyDescent="0.25">
      <c r="A621" s="1"/>
      <c r="B621" s="3">
        <v>43202</v>
      </c>
      <c r="C621" s="4">
        <v>41.96</v>
      </c>
      <c r="D621" s="4">
        <v>40.644799999999996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41.96</v>
      </c>
      <c r="D622" s="4">
        <v>40.644799999999996</v>
      </c>
      <c r="E622" s="4">
        <v>0</v>
      </c>
      <c r="F622" s="4"/>
      <c r="G622" s="4"/>
      <c r="H622" s="5">
        <f t="shared" si="9"/>
        <v>0</v>
      </c>
    </row>
    <row r="623" spans="1:8" ht="13.5" x14ac:dyDescent="0.25">
      <c r="A623" s="1"/>
      <c r="B623" s="3">
        <v>43206</v>
      </c>
      <c r="C623" s="4">
        <v>41.96</v>
      </c>
      <c r="D623" s="4">
        <v>40.644799999999996</v>
      </c>
      <c r="E623" s="4">
        <v>0</v>
      </c>
      <c r="F623" s="4"/>
      <c r="G623" s="4"/>
      <c r="H623" s="5">
        <f t="shared" si="9"/>
        <v>0</v>
      </c>
    </row>
    <row r="624" spans="1:8" ht="13.5" x14ac:dyDescent="0.25">
      <c r="A624" s="1"/>
      <c r="B624" s="3">
        <v>43207</v>
      </c>
      <c r="C624" s="4">
        <v>41.96</v>
      </c>
      <c r="D624" s="4">
        <v>40.644799999999996</v>
      </c>
      <c r="E624" s="4">
        <v>0</v>
      </c>
      <c r="F624" s="4"/>
      <c r="G624" s="4"/>
      <c r="H624" s="5">
        <f t="shared" si="9"/>
        <v>0</v>
      </c>
    </row>
    <row r="625" spans="1:8" ht="13.5" x14ac:dyDescent="0.25">
      <c r="A625" s="1"/>
      <c r="B625" s="3">
        <v>43208</v>
      </c>
      <c r="C625" s="4">
        <v>41.3</v>
      </c>
      <c r="D625" s="4">
        <v>40.005499999999998</v>
      </c>
      <c r="E625" s="4">
        <v>2</v>
      </c>
      <c r="F625" s="4"/>
      <c r="G625" s="4"/>
      <c r="H625" s="5">
        <f t="shared" si="9"/>
        <v>-1.5728949336692485E-2</v>
      </c>
    </row>
    <row r="626" spans="1:8" ht="13.5" x14ac:dyDescent="0.25">
      <c r="A626" s="1"/>
      <c r="B626" s="3">
        <v>43209</v>
      </c>
      <c r="C626" s="4">
        <v>41.3</v>
      </c>
      <c r="D626" s="4">
        <v>40.005499999999998</v>
      </c>
      <c r="E626" s="4">
        <v>0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41.95</v>
      </c>
      <c r="D627" s="4">
        <v>40.635100000000001</v>
      </c>
      <c r="E627" s="4">
        <v>50</v>
      </c>
      <c r="F627" s="4"/>
      <c r="G627" s="4"/>
      <c r="H627" s="5">
        <f t="shared" si="9"/>
        <v>1.5737836047543551E-2</v>
      </c>
    </row>
    <row r="628" spans="1:8" ht="13.5" x14ac:dyDescent="0.25">
      <c r="A628" s="1"/>
      <c r="B628" s="3">
        <v>43213</v>
      </c>
      <c r="C628" s="4">
        <v>41.5</v>
      </c>
      <c r="D628" s="4">
        <v>40.199199999999998</v>
      </c>
      <c r="E628" s="4">
        <v>31</v>
      </c>
      <c r="F628" s="4"/>
      <c r="G628" s="4"/>
      <c r="H628" s="5">
        <f t="shared" si="9"/>
        <v>-1.07271792120606E-2</v>
      </c>
    </row>
    <row r="629" spans="1:8" ht="13.5" x14ac:dyDescent="0.25">
      <c r="A629" s="1"/>
      <c r="B629" s="3">
        <v>43214</v>
      </c>
      <c r="C629" s="4">
        <v>41.5</v>
      </c>
      <c r="D629" s="4">
        <v>40.199199999999998</v>
      </c>
      <c r="E629" s="4">
        <v>0</v>
      </c>
      <c r="F629" s="4"/>
      <c r="G629" s="4"/>
      <c r="H629" s="5">
        <f t="shared" si="9"/>
        <v>0</v>
      </c>
    </row>
    <row r="630" spans="1:8" ht="13.5" x14ac:dyDescent="0.25">
      <c r="A630" s="1"/>
      <c r="B630" s="3">
        <v>43215</v>
      </c>
      <c r="C630" s="4">
        <v>41.48</v>
      </c>
      <c r="D630" s="4">
        <v>40.179900000000004</v>
      </c>
      <c r="E630" s="4">
        <v>1</v>
      </c>
      <c r="F630" s="4"/>
      <c r="G630" s="4"/>
      <c r="H630" s="5">
        <f t="shared" si="9"/>
        <v>-4.801090568965079E-4</v>
      </c>
    </row>
    <row r="631" spans="1:8" ht="13.5" x14ac:dyDescent="0.25">
      <c r="A631" s="1"/>
      <c r="B631" s="3">
        <v>43216</v>
      </c>
      <c r="C631" s="4">
        <v>40.24</v>
      </c>
      <c r="D631" s="4">
        <v>38.978700000000003</v>
      </c>
      <c r="E631" s="4">
        <v>27</v>
      </c>
      <c r="F631" s="4"/>
      <c r="G631" s="4"/>
      <c r="H631" s="5">
        <f t="shared" si="9"/>
        <v>-2.9895544787319032E-2</v>
      </c>
    </row>
    <row r="632" spans="1:8" ht="13.5" x14ac:dyDescent="0.25">
      <c r="A632" s="1"/>
      <c r="B632" s="3">
        <v>43217</v>
      </c>
      <c r="C632" s="4">
        <v>40.24</v>
      </c>
      <c r="D632" s="4">
        <v>38.978700000000003</v>
      </c>
      <c r="E632" s="4">
        <v>158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39.5</v>
      </c>
      <c r="D633" s="4">
        <v>38.261899999999997</v>
      </c>
      <c r="E633" s="4">
        <v>100</v>
      </c>
      <c r="F633" s="4"/>
      <c r="G633" s="4"/>
      <c r="H633" s="5">
        <f t="shared" si="9"/>
        <v>-1.8389530692403962E-2</v>
      </c>
    </row>
    <row r="634" spans="1:8" ht="13.5" x14ac:dyDescent="0.25">
      <c r="A634" s="1"/>
      <c r="B634" s="3">
        <v>43222</v>
      </c>
      <c r="C634" s="4">
        <v>40.200000000000003</v>
      </c>
      <c r="D634" s="4">
        <v>38.94</v>
      </c>
      <c r="E634" s="4">
        <v>200</v>
      </c>
      <c r="F634" s="4"/>
      <c r="G634" s="4"/>
      <c r="H634" s="5">
        <f t="shared" si="9"/>
        <v>1.7722590880222901E-2</v>
      </c>
    </row>
    <row r="635" spans="1:8" ht="13.5" x14ac:dyDescent="0.25">
      <c r="A635" s="1"/>
      <c r="B635" s="3">
        <v>43223</v>
      </c>
      <c r="C635" s="4">
        <v>39.979999999999997</v>
      </c>
      <c r="D635" s="4">
        <v>38.726900000000001</v>
      </c>
      <c r="E635" s="4">
        <v>300</v>
      </c>
      <c r="F635" s="4"/>
      <c r="G635" s="4"/>
      <c r="H635" s="5">
        <f t="shared" si="9"/>
        <v>-5.4725218284539601E-3</v>
      </c>
    </row>
    <row r="636" spans="1:8" ht="13.5" x14ac:dyDescent="0.25">
      <c r="A636" s="1"/>
      <c r="B636" s="3">
        <v>43224</v>
      </c>
      <c r="C636" s="4">
        <v>39.979999999999997</v>
      </c>
      <c r="D636" s="4">
        <v>38.726900000000001</v>
      </c>
      <c r="E636" s="4">
        <v>0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39.799999999999997</v>
      </c>
      <c r="D637" s="4">
        <v>38.552500000000002</v>
      </c>
      <c r="E637" s="4">
        <v>300</v>
      </c>
      <c r="F637" s="4"/>
      <c r="G637" s="4"/>
      <c r="H637" s="5">
        <f t="shared" si="9"/>
        <v>-4.5033297268823108E-3</v>
      </c>
    </row>
    <row r="638" spans="1:8" ht="13.5" x14ac:dyDescent="0.25">
      <c r="A638" s="1"/>
      <c r="B638" s="3">
        <v>43228</v>
      </c>
      <c r="C638" s="4">
        <v>38.299999999999997</v>
      </c>
      <c r="D638" s="4">
        <v>37.099499999999999</v>
      </c>
      <c r="E638" s="4">
        <v>303</v>
      </c>
      <c r="F638" s="4"/>
      <c r="G638" s="4"/>
      <c r="H638" s="5">
        <f t="shared" si="9"/>
        <v>-3.768886583230667E-2</v>
      </c>
    </row>
    <row r="639" spans="1:8" ht="13.5" x14ac:dyDescent="0.25">
      <c r="A639" s="1"/>
      <c r="B639" s="3">
        <v>43229</v>
      </c>
      <c r="C639" s="4">
        <v>39</v>
      </c>
      <c r="D639" s="4">
        <v>37.7776</v>
      </c>
      <c r="E639" s="4">
        <v>2734</v>
      </c>
      <c r="F639" s="4"/>
      <c r="G639" s="4"/>
      <c r="H639" s="5">
        <f t="shared" si="9"/>
        <v>1.827787436488364E-2</v>
      </c>
    </row>
    <row r="640" spans="1:8" ht="13.5" x14ac:dyDescent="0.25">
      <c r="A640" s="1"/>
      <c r="B640" s="3">
        <v>43230</v>
      </c>
      <c r="C640" s="4">
        <v>39</v>
      </c>
      <c r="D640" s="4">
        <v>37.7776</v>
      </c>
      <c r="E640" s="4">
        <v>1552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39.299999999999997</v>
      </c>
      <c r="D641" s="4">
        <v>38.068199999999997</v>
      </c>
      <c r="E641" s="4">
        <v>211</v>
      </c>
      <c r="F641" s="4"/>
      <c r="G641" s="4"/>
      <c r="H641" s="5">
        <f t="shared" si="9"/>
        <v>7.6923891406547196E-3</v>
      </c>
    </row>
    <row r="642" spans="1:8" ht="13.5" x14ac:dyDescent="0.25">
      <c r="A642" s="1"/>
      <c r="B642" s="3">
        <v>43234</v>
      </c>
      <c r="C642" s="4">
        <v>39.4</v>
      </c>
      <c r="D642" s="4">
        <v>38.165100000000002</v>
      </c>
      <c r="E642" s="4">
        <v>151</v>
      </c>
      <c r="F642" s="4"/>
      <c r="G642" s="4"/>
      <c r="H642" s="5">
        <f t="shared" si="9"/>
        <v>2.5454316200924946E-3</v>
      </c>
    </row>
    <row r="643" spans="1:8" ht="13.5" x14ac:dyDescent="0.25">
      <c r="A643" s="1"/>
      <c r="B643" s="3">
        <v>43235</v>
      </c>
      <c r="C643" s="4">
        <v>39.4</v>
      </c>
      <c r="D643" s="4">
        <v>38.165100000000002</v>
      </c>
      <c r="E643" s="4">
        <v>200</v>
      </c>
      <c r="F643" s="4"/>
      <c r="G643" s="4"/>
      <c r="H643" s="5">
        <f t="shared" si="9"/>
        <v>0</v>
      </c>
    </row>
    <row r="644" spans="1:8" ht="13.5" x14ac:dyDescent="0.25">
      <c r="A644" s="1"/>
      <c r="B644" s="3">
        <v>43236</v>
      </c>
      <c r="C644" s="4">
        <v>39.4</v>
      </c>
      <c r="D644" s="4">
        <v>38.165100000000002</v>
      </c>
      <c r="E644" s="4">
        <v>0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40.24</v>
      </c>
      <c r="D645" s="4">
        <v>38.978700000000003</v>
      </c>
      <c r="E645" s="4">
        <v>150</v>
      </c>
      <c r="F645" s="4"/>
      <c r="G645" s="4"/>
      <c r="H645" s="5">
        <f t="shared" si="9"/>
        <v>2.1317905625820473E-2</v>
      </c>
    </row>
    <row r="646" spans="1:8" ht="13.5" x14ac:dyDescent="0.25">
      <c r="A646" s="1"/>
      <c r="B646" s="3">
        <v>43238</v>
      </c>
      <c r="C646" s="4">
        <v>40.24</v>
      </c>
      <c r="D646" s="4">
        <v>38.978700000000003</v>
      </c>
      <c r="E646" s="4">
        <v>0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40.24</v>
      </c>
      <c r="D647" s="4">
        <v>38.978700000000003</v>
      </c>
      <c r="E647" s="4">
        <v>0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39.1</v>
      </c>
      <c r="D648" s="4">
        <v>37.874499999999998</v>
      </c>
      <c r="E648" s="4">
        <v>134</v>
      </c>
      <c r="F648" s="4"/>
      <c r="G648" s="4"/>
      <c r="H648" s="5">
        <f t="shared" si="10"/>
        <v>-2.8328292118516157E-2</v>
      </c>
    </row>
    <row r="649" spans="1:8" ht="13.5" x14ac:dyDescent="0.25">
      <c r="A649" s="1"/>
      <c r="B649" s="3">
        <v>43243</v>
      </c>
      <c r="C649" s="4">
        <v>39.1</v>
      </c>
      <c r="D649" s="4">
        <v>37.874499999999998</v>
      </c>
      <c r="E649" s="4">
        <v>350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38.1</v>
      </c>
      <c r="D650" s="4">
        <v>36.905799999999999</v>
      </c>
      <c r="E650" s="4">
        <v>142</v>
      </c>
      <c r="F650" s="4"/>
      <c r="G650" s="4"/>
      <c r="H650" s="5">
        <f t="shared" si="10"/>
        <v>-2.5576575268320332E-2</v>
      </c>
    </row>
    <row r="651" spans="1:8" ht="13.5" x14ac:dyDescent="0.25">
      <c r="A651" s="1"/>
      <c r="B651" s="3">
        <v>43245</v>
      </c>
      <c r="C651" s="4">
        <v>38.21</v>
      </c>
      <c r="D651" s="4">
        <v>37.0124</v>
      </c>
      <c r="E651" s="4">
        <v>861</v>
      </c>
      <c r="F651" s="4"/>
      <c r="G651" s="4"/>
      <c r="H651" s="5">
        <f t="shared" si="10"/>
        <v>2.8884348801543457E-3</v>
      </c>
    </row>
    <row r="652" spans="1:8" ht="13.5" x14ac:dyDescent="0.25">
      <c r="A652" s="1"/>
      <c r="B652" s="3">
        <v>43248</v>
      </c>
      <c r="C652" s="4">
        <v>39.090000000000003</v>
      </c>
      <c r="D652" s="4">
        <v>37.864800000000002</v>
      </c>
      <c r="E652" s="4">
        <v>6</v>
      </c>
      <c r="F652" s="4"/>
      <c r="G652" s="4"/>
      <c r="H652" s="5">
        <f t="shared" si="10"/>
        <v>2.3030119635581669E-2</v>
      </c>
    </row>
    <row r="653" spans="1:8" ht="13.5" x14ac:dyDescent="0.25">
      <c r="A653" s="1"/>
      <c r="B653" s="3">
        <v>43249</v>
      </c>
      <c r="C653" s="4">
        <v>39.090000000000003</v>
      </c>
      <c r="D653" s="4">
        <v>37.864800000000002</v>
      </c>
      <c r="E653" s="4">
        <v>1</v>
      </c>
      <c r="F653" s="4"/>
      <c r="G653" s="4"/>
      <c r="H653" s="5">
        <f t="shared" si="10"/>
        <v>0</v>
      </c>
    </row>
    <row r="654" spans="1:8" ht="13.5" x14ac:dyDescent="0.25">
      <c r="A654" s="1"/>
      <c r="B654" s="3">
        <v>43250</v>
      </c>
      <c r="C654" s="4">
        <v>39.090000000000003</v>
      </c>
      <c r="D654" s="4">
        <v>37.864800000000002</v>
      </c>
      <c r="E654" s="4">
        <v>0</v>
      </c>
      <c r="F654" s="4"/>
      <c r="G654" s="4"/>
      <c r="H654" s="5">
        <f t="shared" si="10"/>
        <v>0</v>
      </c>
    </row>
    <row r="655" spans="1:8" ht="13.5" x14ac:dyDescent="0.25">
      <c r="A655" s="1"/>
      <c r="B655" s="3">
        <v>43251</v>
      </c>
      <c r="C655" s="4">
        <v>39.090000000000003</v>
      </c>
      <c r="D655" s="4">
        <v>37.864800000000002</v>
      </c>
      <c r="E655" s="4">
        <v>0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39.090000000000003</v>
      </c>
      <c r="D656" s="4">
        <v>37.864800000000002</v>
      </c>
      <c r="E656" s="4">
        <v>0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38.99</v>
      </c>
      <c r="D657" s="4">
        <v>37.767899999999997</v>
      </c>
      <c r="E657" s="4">
        <v>5</v>
      </c>
      <c r="F657" s="4"/>
      <c r="G657" s="4"/>
      <c r="H657" s="5">
        <f t="shared" si="10"/>
        <v>-2.5591050263042477E-3</v>
      </c>
    </row>
    <row r="658" spans="1:8" ht="13.5" x14ac:dyDescent="0.25">
      <c r="A658" s="1"/>
      <c r="B658" s="3">
        <v>43256</v>
      </c>
      <c r="C658" s="4">
        <v>38.9</v>
      </c>
      <c r="D658" s="4">
        <v>37.680700000000002</v>
      </c>
      <c r="E658" s="4">
        <v>529</v>
      </c>
      <c r="F658" s="4"/>
      <c r="G658" s="4"/>
      <c r="H658" s="5">
        <f t="shared" si="10"/>
        <v>-2.3088389876057638E-3</v>
      </c>
    </row>
    <row r="659" spans="1:8" ht="13.5" x14ac:dyDescent="0.25">
      <c r="A659" s="1"/>
      <c r="B659" s="3">
        <v>43257</v>
      </c>
      <c r="C659" s="4">
        <v>38.880000000000003</v>
      </c>
      <c r="D659" s="4">
        <v>37.6614</v>
      </c>
      <c r="E659" s="4">
        <v>100</v>
      </c>
      <c r="F659" s="4"/>
      <c r="G659" s="4"/>
      <c r="H659" s="5">
        <f t="shared" si="10"/>
        <v>-5.1219855257469222E-4</v>
      </c>
    </row>
    <row r="660" spans="1:8" ht="13.5" x14ac:dyDescent="0.25">
      <c r="A660" s="1"/>
      <c r="B660" s="3">
        <v>43258</v>
      </c>
      <c r="C660" s="4">
        <v>38</v>
      </c>
      <c r="D660" s="4">
        <v>36.808999999999997</v>
      </c>
      <c r="E660" s="4">
        <v>268</v>
      </c>
      <c r="F660" s="4"/>
      <c r="G660" s="4"/>
      <c r="H660" s="5">
        <f t="shared" si="10"/>
        <v>-2.2633253145130105E-2</v>
      </c>
    </row>
    <row r="661" spans="1:8" ht="13.5" x14ac:dyDescent="0.25">
      <c r="A661" s="1"/>
      <c r="B661" s="3">
        <v>43259</v>
      </c>
      <c r="C661" s="4">
        <v>38.01</v>
      </c>
      <c r="D661" s="4">
        <v>36.818600000000004</v>
      </c>
      <c r="E661" s="4">
        <v>481</v>
      </c>
      <c r="F661" s="4"/>
      <c r="G661" s="4"/>
      <c r="H661" s="5">
        <f t="shared" si="10"/>
        <v>2.6080578119498079E-4</v>
      </c>
    </row>
    <row r="662" spans="1:8" ht="13.5" x14ac:dyDescent="0.25">
      <c r="A662" s="1"/>
      <c r="B662" s="3">
        <v>43262</v>
      </c>
      <c r="C662" s="4">
        <v>38.799999999999997</v>
      </c>
      <c r="D662" s="4">
        <v>37.5839</v>
      </c>
      <c r="E662" s="4">
        <v>251</v>
      </c>
      <c r="F662" s="4"/>
      <c r="G662" s="4"/>
      <c r="H662" s="5">
        <f t="shared" si="10"/>
        <v>2.0785689841547376E-2</v>
      </c>
    </row>
    <row r="663" spans="1:8" ht="13.5" x14ac:dyDescent="0.25">
      <c r="A663" s="1"/>
      <c r="B663" s="3">
        <v>43263</v>
      </c>
      <c r="C663" s="4">
        <v>38.799999999999997</v>
      </c>
      <c r="D663" s="4">
        <v>37.5839</v>
      </c>
      <c r="E663" s="4">
        <v>12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38.799999999999997</v>
      </c>
      <c r="D664" s="4">
        <v>37.5839</v>
      </c>
      <c r="E664" s="4">
        <v>100</v>
      </c>
      <c r="F664" s="4"/>
      <c r="G664" s="4"/>
      <c r="H664" s="5">
        <f t="shared" si="10"/>
        <v>0</v>
      </c>
    </row>
    <row r="665" spans="1:8" ht="13.5" x14ac:dyDescent="0.25">
      <c r="A665" s="1"/>
      <c r="B665" s="3">
        <v>43265</v>
      </c>
      <c r="C665" s="4">
        <v>38</v>
      </c>
      <c r="D665" s="4">
        <v>36.808999999999997</v>
      </c>
      <c r="E665" s="4">
        <v>701</v>
      </c>
      <c r="F665" s="4"/>
      <c r="G665" s="4"/>
      <c r="H665" s="5">
        <f t="shared" si="10"/>
        <v>-2.0617870950061127E-2</v>
      </c>
    </row>
    <row r="666" spans="1:8" ht="13.5" x14ac:dyDescent="0.25">
      <c r="A666" s="1"/>
      <c r="B666" s="3">
        <v>43269</v>
      </c>
      <c r="C666" s="4">
        <v>38.799999999999997</v>
      </c>
      <c r="D666" s="4">
        <v>37.5839</v>
      </c>
      <c r="E666" s="4">
        <v>1</v>
      </c>
      <c r="F666" s="4"/>
      <c r="G666" s="4"/>
      <c r="H666" s="5">
        <f t="shared" si="10"/>
        <v>2.1051916650819159E-2</v>
      </c>
    </row>
    <row r="667" spans="1:8" ht="13.5" x14ac:dyDescent="0.25">
      <c r="A667" s="1"/>
      <c r="B667" s="3">
        <v>43270</v>
      </c>
      <c r="C667" s="4">
        <v>38.799999999999997</v>
      </c>
      <c r="D667" s="4">
        <v>37.5839</v>
      </c>
      <c r="E667" s="4">
        <v>1</v>
      </c>
      <c r="F667" s="4"/>
      <c r="G667" s="4"/>
      <c r="H667" s="5">
        <f t="shared" si="10"/>
        <v>0</v>
      </c>
    </row>
    <row r="668" spans="1:8" ht="13.5" x14ac:dyDescent="0.25">
      <c r="A668" s="1"/>
      <c r="B668" s="3">
        <v>43271</v>
      </c>
      <c r="C668" s="4">
        <v>38.06</v>
      </c>
      <c r="D668" s="4">
        <v>36.867100000000001</v>
      </c>
      <c r="E668" s="4">
        <v>396</v>
      </c>
      <c r="F668" s="4"/>
      <c r="G668" s="4"/>
      <c r="H668" s="5">
        <f t="shared" si="10"/>
        <v>-1.9071996253715001E-2</v>
      </c>
    </row>
    <row r="669" spans="1:8" ht="13.5" x14ac:dyDescent="0.25">
      <c r="A669" s="1"/>
      <c r="B669" s="3">
        <v>43272</v>
      </c>
      <c r="C669" s="4">
        <v>38.75</v>
      </c>
      <c r="D669" s="4">
        <v>37.535400000000003</v>
      </c>
      <c r="E669" s="4">
        <v>100</v>
      </c>
      <c r="F669" s="4"/>
      <c r="G669" s="4"/>
      <c r="H669" s="5">
        <f t="shared" si="10"/>
        <v>1.8127273368396268E-2</v>
      </c>
    </row>
    <row r="670" spans="1:8" ht="13.5" x14ac:dyDescent="0.25">
      <c r="A670" s="1"/>
      <c r="B670" s="3">
        <v>43273</v>
      </c>
      <c r="C670" s="4">
        <v>38.75</v>
      </c>
      <c r="D670" s="4">
        <v>37.535400000000003</v>
      </c>
      <c r="E670" s="4">
        <v>0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38.75</v>
      </c>
      <c r="D671" s="4">
        <v>37.535400000000003</v>
      </c>
      <c r="E671" s="4">
        <v>0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38.75</v>
      </c>
      <c r="D672" s="4">
        <v>37.535400000000003</v>
      </c>
      <c r="E672" s="4">
        <v>0</v>
      </c>
      <c r="F672" s="4"/>
      <c r="G672" s="4"/>
      <c r="H672" s="5">
        <f t="shared" si="10"/>
        <v>0</v>
      </c>
    </row>
    <row r="673" spans="1:8" ht="13.5" x14ac:dyDescent="0.25">
      <c r="A673" s="1"/>
      <c r="B673" s="3">
        <v>43278</v>
      </c>
      <c r="C673" s="4">
        <v>38.729999999999997</v>
      </c>
      <c r="D673" s="4">
        <v>37.516100000000002</v>
      </c>
      <c r="E673" s="4">
        <v>201</v>
      </c>
      <c r="F673" s="4"/>
      <c r="G673" s="4"/>
      <c r="H673" s="5">
        <f t="shared" si="10"/>
        <v>-5.1418127953881414E-4</v>
      </c>
    </row>
    <row r="674" spans="1:8" ht="13.5" x14ac:dyDescent="0.25">
      <c r="A674" s="1"/>
      <c r="B674" s="3">
        <v>43279</v>
      </c>
      <c r="C674" s="4">
        <v>38.69</v>
      </c>
      <c r="D674" s="4">
        <v>37.4773</v>
      </c>
      <c r="E674" s="4">
        <v>837</v>
      </c>
      <c r="F674" s="4"/>
      <c r="G674" s="4"/>
      <c r="H674" s="5">
        <f t="shared" si="10"/>
        <v>-1.034222640413101E-3</v>
      </c>
    </row>
    <row r="675" spans="1:8" ht="13.5" x14ac:dyDescent="0.25">
      <c r="A675" s="1"/>
      <c r="B675" s="3">
        <v>43280</v>
      </c>
      <c r="C675" s="4">
        <v>39</v>
      </c>
      <c r="D675" s="4">
        <v>37.7776</v>
      </c>
      <c r="E675" s="4">
        <v>7005</v>
      </c>
      <c r="F675" s="4"/>
      <c r="G675" s="4"/>
      <c r="H675" s="5">
        <f t="shared" si="10"/>
        <v>8.0128504454696579E-3</v>
      </c>
    </row>
    <row r="676" spans="1:8" ht="13.5" x14ac:dyDescent="0.25">
      <c r="A676" s="1"/>
      <c r="B676" s="3">
        <v>43283</v>
      </c>
      <c r="C676" s="4">
        <v>39.4</v>
      </c>
      <c r="D676" s="4">
        <v>38.165100000000002</v>
      </c>
      <c r="E676" s="4">
        <v>1</v>
      </c>
      <c r="F676" s="4"/>
      <c r="G676" s="4"/>
      <c r="H676" s="5">
        <f t="shared" si="10"/>
        <v>1.0257401211299894E-2</v>
      </c>
    </row>
    <row r="677" spans="1:8" ht="13.5" x14ac:dyDescent="0.25">
      <c r="A677" s="1"/>
      <c r="B677" s="3">
        <v>43284</v>
      </c>
      <c r="C677" s="4">
        <v>39.4</v>
      </c>
      <c r="D677" s="4">
        <v>38.165100000000002</v>
      </c>
      <c r="E677" s="4">
        <v>0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39.4</v>
      </c>
      <c r="D678" s="4">
        <v>38.165100000000002</v>
      </c>
      <c r="E678" s="4">
        <v>0</v>
      </c>
      <c r="F678" s="4"/>
      <c r="G678" s="4"/>
      <c r="H678" s="5">
        <f t="shared" si="10"/>
        <v>0</v>
      </c>
    </row>
    <row r="679" spans="1:8" ht="13.5" x14ac:dyDescent="0.25">
      <c r="A679" s="1"/>
      <c r="B679" s="3">
        <v>43286</v>
      </c>
      <c r="C679" s="4">
        <v>39.4</v>
      </c>
      <c r="D679" s="4">
        <v>38.165100000000002</v>
      </c>
      <c r="E679" s="4">
        <v>0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39.4</v>
      </c>
      <c r="D680" s="4">
        <v>38.165100000000002</v>
      </c>
      <c r="E680" s="4">
        <v>0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38.299999999999997</v>
      </c>
      <c r="D681" s="4">
        <v>37.099499999999999</v>
      </c>
      <c r="E681" s="4">
        <v>152</v>
      </c>
      <c r="F681" s="4"/>
      <c r="G681" s="4"/>
      <c r="H681" s="5">
        <f t="shared" si="10"/>
        <v>-2.7920796748862269E-2</v>
      </c>
    </row>
    <row r="682" spans="1:8" ht="13.5" x14ac:dyDescent="0.25">
      <c r="A682" s="1"/>
      <c r="B682" s="3">
        <v>43291</v>
      </c>
      <c r="C682" s="4">
        <v>39.4</v>
      </c>
      <c r="D682" s="4">
        <v>38.165100000000002</v>
      </c>
      <c r="E682" s="4">
        <v>1</v>
      </c>
      <c r="F682" s="4"/>
      <c r="G682" s="4"/>
      <c r="H682" s="5">
        <f t="shared" si="10"/>
        <v>2.8722759066833879E-2</v>
      </c>
    </row>
    <row r="683" spans="1:8" ht="13.5" x14ac:dyDescent="0.25">
      <c r="A683" s="1"/>
      <c r="B683" s="3">
        <v>43292</v>
      </c>
      <c r="C683" s="4">
        <v>39.4</v>
      </c>
      <c r="D683" s="4">
        <v>38.165100000000002</v>
      </c>
      <c r="E683" s="4">
        <v>0</v>
      </c>
      <c r="F683" s="4"/>
      <c r="G683" s="4"/>
      <c r="H683" s="5">
        <f t="shared" si="10"/>
        <v>0</v>
      </c>
    </row>
    <row r="684" spans="1:8" ht="13.5" x14ac:dyDescent="0.25">
      <c r="A684" s="1"/>
      <c r="B684" s="3">
        <v>43293</v>
      </c>
      <c r="C684" s="4">
        <v>39.4</v>
      </c>
      <c r="D684" s="4">
        <v>38.165100000000002</v>
      </c>
      <c r="E684" s="4">
        <v>0</v>
      </c>
      <c r="F684" s="4"/>
      <c r="G684" s="4"/>
      <c r="H684" s="5">
        <f t="shared" si="10"/>
        <v>0</v>
      </c>
    </row>
    <row r="685" spans="1:8" ht="13.5" x14ac:dyDescent="0.25">
      <c r="A685" s="1"/>
      <c r="B685" s="3">
        <v>43294</v>
      </c>
      <c r="C685" s="4">
        <v>39.4</v>
      </c>
      <c r="D685" s="4">
        <v>38.165100000000002</v>
      </c>
      <c r="E685" s="4">
        <v>0</v>
      </c>
      <c r="F685" s="4"/>
      <c r="G685" s="4"/>
      <c r="H685" s="5">
        <f t="shared" si="10"/>
        <v>0</v>
      </c>
    </row>
    <row r="686" spans="1:8" ht="13.5" x14ac:dyDescent="0.25">
      <c r="A686" s="1"/>
      <c r="B686" s="3">
        <v>43297</v>
      </c>
      <c r="C686" s="4">
        <v>39.380000000000003</v>
      </c>
      <c r="D686" s="4">
        <v>38.145699999999998</v>
      </c>
      <c r="E686" s="4">
        <v>25</v>
      </c>
      <c r="F686" s="4"/>
      <c r="G686" s="4"/>
      <c r="H686" s="5">
        <f t="shared" si="10"/>
        <v>-5.0831780867872803E-4</v>
      </c>
    </row>
    <row r="687" spans="1:8" ht="13.5" x14ac:dyDescent="0.25">
      <c r="A687" s="1"/>
      <c r="B687" s="3">
        <v>43298</v>
      </c>
      <c r="C687" s="4">
        <v>39.380000000000003</v>
      </c>
      <c r="D687" s="4">
        <v>38.145699999999998</v>
      </c>
      <c r="E687" s="4">
        <v>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39.380000000000003</v>
      </c>
      <c r="D688" s="4">
        <v>38.145699999999998</v>
      </c>
      <c r="E688" s="4">
        <v>0</v>
      </c>
      <c r="F688" s="4"/>
      <c r="G688" s="4"/>
      <c r="H688" s="5">
        <f t="shared" si="10"/>
        <v>0</v>
      </c>
    </row>
    <row r="689" spans="1:8" ht="13.5" x14ac:dyDescent="0.25">
      <c r="A689" s="1"/>
      <c r="B689" s="3">
        <v>43300</v>
      </c>
      <c r="C689" s="4">
        <v>39.380000000000003</v>
      </c>
      <c r="D689" s="4">
        <v>38.145699999999998</v>
      </c>
      <c r="E689" s="4">
        <v>0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39.380000000000003</v>
      </c>
      <c r="D690" s="4">
        <v>38.145699999999998</v>
      </c>
      <c r="E690" s="4">
        <v>0</v>
      </c>
      <c r="F690" s="4"/>
      <c r="G690" s="4"/>
      <c r="H690" s="5">
        <f t="shared" si="10"/>
        <v>0</v>
      </c>
    </row>
    <row r="691" spans="1:8" ht="13.5" x14ac:dyDescent="0.25">
      <c r="A691" s="1"/>
      <c r="B691" s="3">
        <v>43304</v>
      </c>
      <c r="C691" s="4">
        <v>39.4</v>
      </c>
      <c r="D691" s="4">
        <v>38.165100000000002</v>
      </c>
      <c r="E691" s="4">
        <v>500</v>
      </c>
      <c r="F691" s="4"/>
      <c r="G691" s="4"/>
      <c r="H691" s="5">
        <f t="shared" si="10"/>
        <v>5.0857632708285663E-4</v>
      </c>
    </row>
    <row r="692" spans="1:8" ht="13.5" x14ac:dyDescent="0.25">
      <c r="A692" s="1"/>
      <c r="B692" s="3">
        <v>43305</v>
      </c>
      <c r="C692" s="4">
        <v>38.61</v>
      </c>
      <c r="D692" s="4">
        <v>37.399799999999999</v>
      </c>
      <c r="E692" s="4">
        <v>200</v>
      </c>
      <c r="F692" s="4"/>
      <c r="G692" s="4"/>
      <c r="H692" s="5">
        <f t="shared" si="10"/>
        <v>-2.0052351493904205E-2</v>
      </c>
    </row>
    <row r="693" spans="1:8" ht="13.5" x14ac:dyDescent="0.25">
      <c r="A693" s="1"/>
      <c r="B693" s="3">
        <v>43307</v>
      </c>
      <c r="C693" s="4">
        <v>39.4</v>
      </c>
      <c r="D693" s="4">
        <v>38.165100000000002</v>
      </c>
      <c r="E693" s="4">
        <v>298</v>
      </c>
      <c r="F693" s="4"/>
      <c r="G693" s="4"/>
      <c r="H693" s="5">
        <f t="shared" si="10"/>
        <v>2.0462676270996193E-2</v>
      </c>
    </row>
    <row r="694" spans="1:8" ht="13.5" x14ac:dyDescent="0.25">
      <c r="A694" s="1"/>
      <c r="B694" s="3">
        <v>43308</v>
      </c>
      <c r="C694" s="4">
        <v>39.5</v>
      </c>
      <c r="D694" s="4">
        <v>38.261899999999997</v>
      </c>
      <c r="E694" s="4">
        <v>260</v>
      </c>
      <c r="F694" s="4"/>
      <c r="G694" s="4"/>
      <c r="H694" s="5">
        <f t="shared" si="10"/>
        <v>2.5363486536127159E-3</v>
      </c>
    </row>
    <row r="695" spans="1:8" ht="13.5" x14ac:dyDescent="0.25">
      <c r="A695" s="1"/>
      <c r="B695" s="3">
        <v>43311</v>
      </c>
      <c r="C695" s="4">
        <v>39.5</v>
      </c>
      <c r="D695" s="4">
        <v>38.261899999999997</v>
      </c>
      <c r="E695" s="4">
        <v>153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39.5</v>
      </c>
      <c r="D696" s="4">
        <v>38.261899999999997</v>
      </c>
      <c r="E696" s="4">
        <v>219</v>
      </c>
      <c r="F696" s="4"/>
      <c r="G696" s="4"/>
      <c r="H696" s="5">
        <f t="shared" si="10"/>
        <v>0</v>
      </c>
    </row>
    <row r="697" spans="1:8" ht="13.5" x14ac:dyDescent="0.25">
      <c r="A697" s="1"/>
      <c r="B697" s="3">
        <v>43313</v>
      </c>
      <c r="C697" s="4">
        <v>39.5</v>
      </c>
      <c r="D697" s="4">
        <v>38.261899999999997</v>
      </c>
      <c r="E697" s="4">
        <v>0</v>
      </c>
      <c r="F697" s="4"/>
      <c r="G697" s="4"/>
      <c r="H697" s="5">
        <f t="shared" si="10"/>
        <v>0</v>
      </c>
    </row>
    <row r="698" spans="1:8" ht="13.5" x14ac:dyDescent="0.25">
      <c r="A698" s="1"/>
      <c r="B698" s="3">
        <v>43314</v>
      </c>
      <c r="C698" s="4">
        <v>38.619999999999997</v>
      </c>
      <c r="D698" s="4">
        <v>37.409500000000001</v>
      </c>
      <c r="E698" s="4">
        <v>50</v>
      </c>
      <c r="F698" s="4"/>
      <c r="G698" s="4"/>
      <c r="H698" s="5">
        <f t="shared" si="10"/>
        <v>-2.227803637561114E-2</v>
      </c>
    </row>
    <row r="699" spans="1:8" ht="13.5" x14ac:dyDescent="0.25">
      <c r="A699" s="1"/>
      <c r="B699" s="3">
        <v>43315</v>
      </c>
      <c r="C699" s="4">
        <v>38.71</v>
      </c>
      <c r="D699" s="4">
        <v>37.496699999999997</v>
      </c>
      <c r="E699" s="4">
        <v>9291</v>
      </c>
      <c r="F699" s="4"/>
      <c r="G699" s="4"/>
      <c r="H699" s="5">
        <f t="shared" si="10"/>
        <v>2.3309587136956045E-3</v>
      </c>
    </row>
    <row r="700" spans="1:8" ht="13.5" x14ac:dyDescent="0.25">
      <c r="A700" s="1"/>
      <c r="B700" s="3">
        <v>43318</v>
      </c>
      <c r="C700" s="4">
        <v>38.71</v>
      </c>
      <c r="D700" s="4">
        <v>37.496699999999997</v>
      </c>
      <c r="E700" s="4">
        <v>55</v>
      </c>
      <c r="F700" s="4"/>
      <c r="G700" s="4"/>
      <c r="H700" s="5">
        <f t="shared" si="10"/>
        <v>0</v>
      </c>
    </row>
    <row r="701" spans="1:8" ht="13.5" x14ac:dyDescent="0.25">
      <c r="A701" s="1"/>
      <c r="B701" s="3">
        <v>43319</v>
      </c>
      <c r="C701" s="4">
        <v>38.71</v>
      </c>
      <c r="D701" s="4">
        <v>37.496699999999997</v>
      </c>
      <c r="E701" s="4">
        <v>254</v>
      </c>
      <c r="F701" s="4"/>
      <c r="G701" s="4"/>
      <c r="H701" s="5">
        <f t="shared" si="10"/>
        <v>0</v>
      </c>
    </row>
    <row r="702" spans="1:8" ht="13.5" x14ac:dyDescent="0.25">
      <c r="A702" s="1"/>
      <c r="B702" s="3">
        <v>43320</v>
      </c>
      <c r="C702" s="4">
        <v>38.71</v>
      </c>
      <c r="D702" s="4">
        <v>37.496699999999997</v>
      </c>
      <c r="E702" s="4">
        <v>400</v>
      </c>
      <c r="F702" s="4"/>
      <c r="G702" s="4"/>
      <c r="H702" s="5">
        <f t="shared" si="10"/>
        <v>0</v>
      </c>
    </row>
    <row r="703" spans="1:8" ht="13.5" x14ac:dyDescent="0.25">
      <c r="A703" s="1"/>
      <c r="B703" s="3">
        <v>43321</v>
      </c>
      <c r="C703" s="4">
        <v>38.71</v>
      </c>
      <c r="D703" s="4">
        <v>37.496699999999997</v>
      </c>
      <c r="E703" s="4">
        <v>196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39.5</v>
      </c>
      <c r="D704" s="4">
        <v>38.261899999999997</v>
      </c>
      <c r="E704" s="4">
        <v>590</v>
      </c>
      <c r="F704" s="4"/>
      <c r="G704" s="4"/>
      <c r="H704" s="5">
        <f t="shared" si="10"/>
        <v>2.0407129160699478E-2</v>
      </c>
    </row>
    <row r="705" spans="1:8" ht="13.5" x14ac:dyDescent="0.25">
      <c r="A705" s="1"/>
      <c r="B705" s="3">
        <v>43326</v>
      </c>
      <c r="C705" s="4">
        <v>39.5</v>
      </c>
      <c r="D705" s="4">
        <v>38.261899999999997</v>
      </c>
      <c r="E705" s="4">
        <v>0</v>
      </c>
      <c r="F705" s="4"/>
      <c r="G705" s="4"/>
      <c r="H705" s="5">
        <f t="shared" si="10"/>
        <v>0</v>
      </c>
    </row>
    <row r="706" spans="1:8" ht="13.5" x14ac:dyDescent="0.25">
      <c r="A706" s="1"/>
      <c r="B706" s="3">
        <v>43327</v>
      </c>
      <c r="C706" s="4">
        <v>39.5</v>
      </c>
      <c r="D706" s="4">
        <v>38.261899999999997</v>
      </c>
      <c r="E706" s="4">
        <v>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38.71</v>
      </c>
      <c r="D707" s="4">
        <v>37.496699999999997</v>
      </c>
      <c r="E707" s="4">
        <v>152</v>
      </c>
      <c r="F707" s="4"/>
      <c r="G707" s="4"/>
      <c r="H707" s="5">
        <f t="shared" si="10"/>
        <v>-1.9999006844929293E-2</v>
      </c>
    </row>
    <row r="708" spans="1:8" ht="13.5" x14ac:dyDescent="0.25">
      <c r="A708" s="1"/>
      <c r="B708" s="3">
        <v>43329</v>
      </c>
      <c r="C708" s="4">
        <v>38.71</v>
      </c>
      <c r="D708" s="4">
        <v>37.496699999999997</v>
      </c>
      <c r="E708" s="4">
        <v>378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39.35</v>
      </c>
      <c r="D709" s="4">
        <v>38.116599999999998</v>
      </c>
      <c r="E709" s="4">
        <v>50</v>
      </c>
      <c r="F709" s="4"/>
      <c r="G709" s="4"/>
      <c r="H709" s="5">
        <f t="shared" si="10"/>
        <v>1.6532121493358115E-2</v>
      </c>
    </row>
    <row r="710" spans="1:8" ht="13.5" x14ac:dyDescent="0.25">
      <c r="A710" s="1"/>
      <c r="B710" s="3">
        <v>43335</v>
      </c>
      <c r="C710" s="4">
        <v>39.35</v>
      </c>
      <c r="D710" s="4">
        <v>38.116599999999998</v>
      </c>
      <c r="E710" s="4">
        <v>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39.35</v>
      </c>
      <c r="D711" s="4">
        <v>38.116599999999998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38.71</v>
      </c>
      <c r="D712" s="4">
        <v>37.496699999999997</v>
      </c>
      <c r="E712" s="4">
        <v>400</v>
      </c>
      <c r="F712" s="4"/>
      <c r="G712" s="4"/>
      <c r="H712" s="5">
        <f t="shared" si="11"/>
        <v>-1.6263255379545951E-2</v>
      </c>
    </row>
    <row r="713" spans="1:8" ht="13.5" x14ac:dyDescent="0.25">
      <c r="A713" s="1"/>
      <c r="B713" s="3">
        <v>43340</v>
      </c>
      <c r="C713" s="4">
        <v>38.72</v>
      </c>
      <c r="D713" s="4">
        <v>37.506399999999999</v>
      </c>
      <c r="E713" s="4">
        <v>375</v>
      </c>
      <c r="F713" s="4"/>
      <c r="G713" s="4"/>
      <c r="H713" s="5">
        <f t="shared" si="11"/>
        <v>2.5868943133668462E-4</v>
      </c>
    </row>
    <row r="714" spans="1:8" ht="13.5" x14ac:dyDescent="0.25">
      <c r="A714" s="1"/>
      <c r="B714" s="3">
        <v>43341</v>
      </c>
      <c r="C714" s="4">
        <v>38.75</v>
      </c>
      <c r="D714" s="4">
        <v>37.535400000000003</v>
      </c>
      <c r="E714" s="4">
        <v>750</v>
      </c>
      <c r="F714" s="4"/>
      <c r="G714" s="4"/>
      <c r="H714" s="5">
        <f t="shared" si="11"/>
        <v>7.7320137363232587E-4</v>
      </c>
    </row>
    <row r="715" spans="1:8" ht="13.5" x14ac:dyDescent="0.25">
      <c r="A715" s="1"/>
      <c r="B715" s="3">
        <v>43342</v>
      </c>
      <c r="C715" s="4">
        <v>38.770000000000003</v>
      </c>
      <c r="D715" s="4">
        <v>37.5548</v>
      </c>
      <c r="E715" s="4">
        <v>700</v>
      </c>
      <c r="F715" s="4"/>
      <c r="G715" s="4"/>
      <c r="H715" s="5">
        <f t="shared" si="11"/>
        <v>5.1684543124616805E-4</v>
      </c>
    </row>
    <row r="716" spans="1:8" ht="13.5" x14ac:dyDescent="0.25">
      <c r="A716" s="1"/>
      <c r="B716" s="3">
        <v>43343</v>
      </c>
      <c r="C716" s="4">
        <v>38.07</v>
      </c>
      <c r="D716" s="4">
        <v>37.5565</v>
      </c>
      <c r="E716" s="4">
        <v>880</v>
      </c>
      <c r="F716" s="4"/>
      <c r="G716" s="4"/>
      <c r="H716" s="5">
        <f t="shared" si="11"/>
        <v>4.526718289005908E-5</v>
      </c>
    </row>
    <row r="717" spans="1:8" ht="13.5" x14ac:dyDescent="0.25">
      <c r="A717" s="1"/>
      <c r="B717" s="3">
        <v>43346</v>
      </c>
      <c r="C717" s="4">
        <v>38.6</v>
      </c>
      <c r="D717" s="4">
        <v>38.0794</v>
      </c>
      <c r="E717" s="4">
        <v>6420</v>
      </c>
      <c r="F717" s="4"/>
      <c r="G717" s="4"/>
      <c r="H717" s="5">
        <f t="shared" si="11"/>
        <v>1.3923022645880205E-2</v>
      </c>
    </row>
    <row r="718" spans="1:8" ht="13.5" x14ac:dyDescent="0.25">
      <c r="A718" s="1"/>
      <c r="B718" s="3">
        <v>43347</v>
      </c>
      <c r="C718" s="4">
        <v>38.6</v>
      </c>
      <c r="D718" s="4">
        <v>38.0794</v>
      </c>
      <c r="E718" s="4">
        <v>400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38.61</v>
      </c>
      <c r="D719" s="4">
        <v>38.089199999999998</v>
      </c>
      <c r="E719" s="4">
        <v>5520</v>
      </c>
      <c r="F719" s="4"/>
      <c r="G719" s="4"/>
      <c r="H719" s="5">
        <f t="shared" si="11"/>
        <v>2.5735699617111818E-4</v>
      </c>
    </row>
    <row r="720" spans="1:8" ht="13.5" x14ac:dyDescent="0.25">
      <c r="A720" s="1"/>
      <c r="B720" s="3">
        <v>43349</v>
      </c>
      <c r="C720" s="4">
        <v>38.61</v>
      </c>
      <c r="D720" s="4">
        <v>38.089199999999998</v>
      </c>
      <c r="E720" s="4">
        <v>0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38.68</v>
      </c>
      <c r="D721" s="4">
        <v>38.158299999999997</v>
      </c>
      <c r="E721" s="4">
        <v>620</v>
      </c>
      <c r="F721" s="4"/>
      <c r="G721" s="4"/>
      <c r="H721" s="5">
        <f t="shared" si="11"/>
        <v>1.8141625447633143E-3</v>
      </c>
    </row>
    <row r="722" spans="1:8" ht="13.5" x14ac:dyDescent="0.25">
      <c r="A722" s="1"/>
      <c r="B722" s="3">
        <v>43353</v>
      </c>
      <c r="C722" s="4">
        <v>38.68</v>
      </c>
      <c r="D722" s="4">
        <v>38.158299999999997</v>
      </c>
      <c r="E722" s="4">
        <v>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38.78</v>
      </c>
      <c r="D723" s="4">
        <v>38.256999999999998</v>
      </c>
      <c r="E723" s="4">
        <v>239</v>
      </c>
      <c r="F723" s="4"/>
      <c r="G723" s="4"/>
      <c r="H723" s="5">
        <f t="shared" si="11"/>
        <v>2.5865932182513609E-3</v>
      </c>
    </row>
    <row r="724" spans="1:8" ht="13.5" x14ac:dyDescent="0.25">
      <c r="A724" s="1"/>
      <c r="B724" s="3">
        <v>43356</v>
      </c>
      <c r="C724" s="4">
        <v>38.78</v>
      </c>
      <c r="D724" s="4">
        <v>38.256999999999998</v>
      </c>
      <c r="E724" s="4">
        <v>0</v>
      </c>
      <c r="F724" s="4"/>
      <c r="G724" s="4"/>
      <c r="H724" s="5">
        <f t="shared" si="11"/>
        <v>0</v>
      </c>
    </row>
    <row r="725" spans="1:8" ht="13.5" x14ac:dyDescent="0.25">
      <c r="A725" s="1"/>
      <c r="B725" s="3">
        <v>43357</v>
      </c>
      <c r="C725" s="4">
        <v>38.78</v>
      </c>
      <c r="D725" s="4">
        <v>38.256999999999998</v>
      </c>
      <c r="E725" s="4">
        <v>84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38.78</v>
      </c>
      <c r="D726" s="4">
        <v>38.256999999999998</v>
      </c>
      <c r="E726" s="4">
        <v>20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38.78</v>
      </c>
      <c r="D727" s="4">
        <v>38.256999999999998</v>
      </c>
      <c r="E727" s="4">
        <v>800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38.78</v>
      </c>
      <c r="D728" s="4">
        <v>38.256999999999998</v>
      </c>
      <c r="E728" s="4">
        <v>175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38.799999999999997</v>
      </c>
      <c r="D729" s="4">
        <v>38.276699999999998</v>
      </c>
      <c r="E729" s="4">
        <v>2015</v>
      </c>
      <c r="F729" s="4"/>
      <c r="G729" s="4"/>
      <c r="H729" s="5">
        <f t="shared" si="11"/>
        <v>5.1493844263795574E-4</v>
      </c>
    </row>
    <row r="730" spans="1:8" ht="13.5" x14ac:dyDescent="0.25">
      <c r="A730" s="1"/>
      <c r="B730" s="3">
        <v>43364</v>
      </c>
      <c r="C730" s="4">
        <v>38.83</v>
      </c>
      <c r="D730" s="4">
        <v>38.3063</v>
      </c>
      <c r="E730" s="4">
        <v>1591</v>
      </c>
      <c r="F730" s="4"/>
      <c r="G730" s="4"/>
      <c r="H730" s="5">
        <f t="shared" si="11"/>
        <v>7.7331640397427343E-4</v>
      </c>
    </row>
    <row r="731" spans="1:8" ht="13.5" x14ac:dyDescent="0.25">
      <c r="A731" s="1"/>
      <c r="B731" s="3">
        <v>43367</v>
      </c>
      <c r="C731" s="4">
        <v>39</v>
      </c>
      <c r="D731" s="4">
        <v>38.473999999999997</v>
      </c>
      <c r="E731" s="4">
        <v>1400</v>
      </c>
      <c r="F731" s="4"/>
      <c r="G731" s="4"/>
      <c r="H731" s="5">
        <f t="shared" si="11"/>
        <v>4.3778699587273219E-3</v>
      </c>
    </row>
    <row r="732" spans="1:8" ht="13.5" x14ac:dyDescent="0.25">
      <c r="A732" s="1"/>
      <c r="B732" s="3">
        <v>43368</v>
      </c>
      <c r="C732" s="4">
        <v>39</v>
      </c>
      <c r="D732" s="4">
        <v>38.473999999999997</v>
      </c>
      <c r="E732" s="4">
        <v>101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39</v>
      </c>
      <c r="D733" s="4">
        <v>38.473999999999997</v>
      </c>
      <c r="E733" s="4">
        <v>250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39</v>
      </c>
      <c r="D734" s="4">
        <v>38.473999999999997</v>
      </c>
      <c r="E734" s="4">
        <v>100</v>
      </c>
      <c r="F734" s="4"/>
      <c r="G734" s="4"/>
      <c r="H734" s="5">
        <f t="shared" si="11"/>
        <v>0</v>
      </c>
    </row>
    <row r="735" spans="1:8" ht="13.5" x14ac:dyDescent="0.25">
      <c r="A735" s="1"/>
      <c r="B735" s="3">
        <v>43371</v>
      </c>
      <c r="C735" s="4">
        <v>39</v>
      </c>
      <c r="D735" s="4">
        <v>38.473999999999997</v>
      </c>
      <c r="E735" s="4">
        <v>0</v>
      </c>
      <c r="F735" s="4"/>
      <c r="G735" s="4"/>
      <c r="H735" s="5">
        <f t="shared" si="11"/>
        <v>0</v>
      </c>
    </row>
    <row r="736" spans="1:8" ht="13.5" x14ac:dyDescent="0.25">
      <c r="A736" s="1"/>
      <c r="B736" s="3">
        <v>43374</v>
      </c>
      <c r="C736" s="4">
        <v>39</v>
      </c>
      <c r="D736" s="4">
        <v>38.473999999999997</v>
      </c>
      <c r="E736" s="4">
        <v>1140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39</v>
      </c>
      <c r="D737" s="4">
        <v>38.473999999999997</v>
      </c>
      <c r="E737" s="4">
        <v>1000</v>
      </c>
      <c r="F737" s="4"/>
      <c r="G737" s="4"/>
      <c r="H737" s="5">
        <f t="shared" si="11"/>
        <v>0</v>
      </c>
    </row>
    <row r="738" spans="1:8" ht="13.5" x14ac:dyDescent="0.25">
      <c r="A738" s="1"/>
      <c r="B738" s="3">
        <v>43376</v>
      </c>
      <c r="C738" s="4">
        <v>39.01</v>
      </c>
      <c r="D738" s="4">
        <v>38.483899999999998</v>
      </c>
      <c r="E738" s="4">
        <v>900</v>
      </c>
      <c r="F738" s="4"/>
      <c r="G738" s="4"/>
      <c r="H738" s="5">
        <f t="shared" si="11"/>
        <v>2.5731662941211721E-4</v>
      </c>
    </row>
    <row r="739" spans="1:8" ht="13.5" x14ac:dyDescent="0.25">
      <c r="A739" s="1"/>
      <c r="B739" s="3">
        <v>43377</v>
      </c>
      <c r="C739" s="4">
        <v>39</v>
      </c>
      <c r="D739" s="4">
        <v>38.473999999999997</v>
      </c>
      <c r="E739" s="4">
        <v>3305</v>
      </c>
      <c r="F739" s="4"/>
      <c r="G739" s="4"/>
      <c r="H739" s="5">
        <f t="shared" si="11"/>
        <v>-2.5725043459737181E-4</v>
      </c>
    </row>
    <row r="740" spans="1:8" ht="13.5" x14ac:dyDescent="0.25">
      <c r="A740" s="1"/>
      <c r="B740" s="3">
        <v>43378</v>
      </c>
      <c r="C740" s="4">
        <v>39</v>
      </c>
      <c r="D740" s="4">
        <v>38.473999999999997</v>
      </c>
      <c r="E740" s="4">
        <v>15558</v>
      </c>
      <c r="F740" s="4"/>
      <c r="G740" s="4"/>
      <c r="H740" s="5">
        <f t="shared" si="11"/>
        <v>0</v>
      </c>
    </row>
    <row r="741" spans="1:8" ht="13.5" x14ac:dyDescent="0.25">
      <c r="A741" s="1"/>
      <c r="B741" s="3">
        <v>43381</v>
      </c>
      <c r="C741" s="4">
        <v>39</v>
      </c>
      <c r="D741" s="4">
        <v>38.473999999999997</v>
      </c>
      <c r="E741" s="4">
        <v>3340</v>
      </c>
      <c r="F741" s="4"/>
      <c r="G741" s="4"/>
      <c r="H741" s="5">
        <f t="shared" si="11"/>
        <v>0</v>
      </c>
    </row>
    <row r="742" spans="1:8" ht="13.5" x14ac:dyDescent="0.25">
      <c r="A742" s="1"/>
      <c r="B742" s="3">
        <v>43382</v>
      </c>
      <c r="C742" s="4">
        <v>39</v>
      </c>
      <c r="D742" s="4">
        <v>38.473999999999997</v>
      </c>
      <c r="E742" s="4">
        <v>17100</v>
      </c>
      <c r="F742" s="4"/>
      <c r="G742" s="4"/>
      <c r="H742" s="5">
        <f t="shared" si="11"/>
        <v>0</v>
      </c>
    </row>
    <row r="743" spans="1:8" ht="13.5" x14ac:dyDescent="0.25">
      <c r="A743" s="1"/>
      <c r="B743" s="3">
        <v>43383</v>
      </c>
      <c r="C743" s="4">
        <v>39</v>
      </c>
      <c r="D743" s="4">
        <v>38.473999999999997</v>
      </c>
      <c r="E743" s="4">
        <v>900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39</v>
      </c>
      <c r="D744" s="4">
        <v>38.473999999999997</v>
      </c>
      <c r="E744" s="4">
        <v>200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39</v>
      </c>
      <c r="D745" s="4">
        <v>38.473999999999997</v>
      </c>
      <c r="E745" s="4">
        <v>200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39</v>
      </c>
      <c r="D746" s="4">
        <v>38.473999999999997</v>
      </c>
      <c r="E746" s="4">
        <v>230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38.5</v>
      </c>
      <c r="D747" s="4">
        <v>37.980699999999999</v>
      </c>
      <c r="E747" s="4">
        <v>1370</v>
      </c>
      <c r="F747" s="4"/>
      <c r="G747" s="4"/>
      <c r="H747" s="5">
        <f t="shared" si="11"/>
        <v>-1.2821645786765033E-2</v>
      </c>
    </row>
    <row r="748" spans="1:8" ht="13.5" x14ac:dyDescent="0.25">
      <c r="A748" s="1"/>
      <c r="B748" s="3">
        <v>43391</v>
      </c>
      <c r="C748" s="4">
        <v>38.5</v>
      </c>
      <c r="D748" s="4">
        <v>37.980699999999999</v>
      </c>
      <c r="E748" s="4">
        <v>1100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39</v>
      </c>
      <c r="D749" s="4">
        <v>38.473999999999997</v>
      </c>
      <c r="E749" s="4">
        <v>500</v>
      </c>
      <c r="F749" s="4"/>
      <c r="G749" s="4"/>
      <c r="H749" s="5">
        <f t="shared" si="11"/>
        <v>1.2988175573383267E-2</v>
      </c>
    </row>
    <row r="750" spans="1:8" ht="13.5" x14ac:dyDescent="0.25">
      <c r="A750" s="1"/>
      <c r="B750" s="3">
        <v>43395</v>
      </c>
      <c r="C750" s="4">
        <v>39</v>
      </c>
      <c r="D750" s="4">
        <v>38.473999999999997</v>
      </c>
      <c r="E750" s="4">
        <v>200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39</v>
      </c>
      <c r="D751" s="4">
        <v>38.473999999999997</v>
      </c>
      <c r="E751" s="4">
        <v>200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39</v>
      </c>
      <c r="D752" s="4">
        <v>38.473999999999997</v>
      </c>
      <c r="E752" s="4">
        <v>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39.5</v>
      </c>
      <c r="D753" s="4">
        <v>38.967199999999998</v>
      </c>
      <c r="E753" s="4">
        <v>75</v>
      </c>
      <c r="F753" s="4"/>
      <c r="G753" s="4"/>
      <c r="H753" s="5">
        <f t="shared" si="11"/>
        <v>1.2819046628892283E-2</v>
      </c>
    </row>
    <row r="754" spans="1:8" ht="13.5" x14ac:dyDescent="0.25">
      <c r="A754" s="1"/>
      <c r="B754" s="3">
        <v>43399</v>
      </c>
      <c r="C754" s="4">
        <v>39.5</v>
      </c>
      <c r="D754" s="4">
        <v>38.967199999999998</v>
      </c>
      <c r="E754" s="4">
        <v>0</v>
      </c>
      <c r="F754" s="4"/>
      <c r="G754" s="4"/>
      <c r="H754" s="5">
        <f t="shared" si="11"/>
        <v>0</v>
      </c>
    </row>
    <row r="755" spans="1:8" ht="13.5" x14ac:dyDescent="0.25">
      <c r="A755" s="1"/>
      <c r="B755" s="3">
        <v>43402</v>
      </c>
      <c r="C755" s="4">
        <v>39.5</v>
      </c>
      <c r="D755" s="4">
        <v>38.967199999999998</v>
      </c>
      <c r="E755" s="4">
        <v>0</v>
      </c>
      <c r="F755" s="4"/>
      <c r="G755" s="4"/>
      <c r="H755" s="5">
        <f t="shared" si="11"/>
        <v>0</v>
      </c>
    </row>
    <row r="756" spans="1:8" ht="13.5" x14ac:dyDescent="0.25">
      <c r="A756" s="1"/>
      <c r="B756" s="3">
        <v>43403</v>
      </c>
      <c r="C756" s="4">
        <v>39.4</v>
      </c>
      <c r="D756" s="4">
        <v>38.868600000000001</v>
      </c>
      <c r="E756" s="4">
        <v>10</v>
      </c>
      <c r="F756" s="4"/>
      <c r="G756" s="4"/>
      <c r="H756" s="5">
        <f t="shared" si="11"/>
        <v>-2.530333203309388E-3</v>
      </c>
    </row>
    <row r="757" spans="1:8" ht="13.5" x14ac:dyDescent="0.25">
      <c r="A757" s="1"/>
      <c r="B757" s="3">
        <v>43404</v>
      </c>
      <c r="C757" s="4">
        <v>39.4</v>
      </c>
      <c r="D757" s="4">
        <v>38.868600000000001</v>
      </c>
      <c r="E757" s="4">
        <v>0</v>
      </c>
      <c r="F757" s="4"/>
      <c r="G757" s="4"/>
      <c r="H757" s="5">
        <f t="shared" si="11"/>
        <v>0</v>
      </c>
    </row>
    <row r="758" spans="1:8" ht="13.5" x14ac:dyDescent="0.25">
      <c r="A758" s="1"/>
      <c r="B758" s="3">
        <v>43405</v>
      </c>
      <c r="C758" s="4">
        <v>39.630000000000003</v>
      </c>
      <c r="D758" s="4">
        <v>39.095500000000001</v>
      </c>
      <c r="E758" s="4">
        <v>652</v>
      </c>
      <c r="F758" s="4"/>
      <c r="G758" s="4"/>
      <c r="H758" s="5">
        <f t="shared" si="11"/>
        <v>5.8376169967531769E-3</v>
      </c>
    </row>
    <row r="759" spans="1:8" ht="13.5" x14ac:dyDescent="0.25">
      <c r="A759" s="1"/>
      <c r="B759" s="3">
        <v>43406</v>
      </c>
      <c r="C759" s="4">
        <v>39.630000000000003</v>
      </c>
      <c r="D759" s="4">
        <v>39.095500000000001</v>
      </c>
      <c r="E759" s="4">
        <v>0</v>
      </c>
      <c r="F759" s="4"/>
      <c r="G759" s="4"/>
      <c r="H759" s="5">
        <f t="shared" si="11"/>
        <v>0</v>
      </c>
    </row>
    <row r="760" spans="1:8" ht="13.5" x14ac:dyDescent="0.25">
      <c r="A760" s="1"/>
      <c r="B760" s="3">
        <v>43409</v>
      </c>
      <c r="C760" s="4">
        <v>39.840000000000003</v>
      </c>
      <c r="D760" s="4">
        <v>39.302700000000002</v>
      </c>
      <c r="E760" s="4">
        <v>200</v>
      </c>
      <c r="F760" s="4"/>
      <c r="G760" s="4"/>
      <c r="H760" s="5">
        <f t="shared" si="11"/>
        <v>5.299842692893051E-3</v>
      </c>
    </row>
    <row r="761" spans="1:8" ht="13.5" x14ac:dyDescent="0.25">
      <c r="A761" s="1"/>
      <c r="B761" s="3">
        <v>43410</v>
      </c>
      <c r="C761" s="4">
        <v>39.840000000000003</v>
      </c>
      <c r="D761" s="4">
        <v>39.302700000000002</v>
      </c>
      <c r="E761" s="4">
        <v>0</v>
      </c>
      <c r="F761" s="4"/>
      <c r="G761" s="4"/>
      <c r="H761" s="5">
        <f t="shared" si="11"/>
        <v>0</v>
      </c>
    </row>
    <row r="762" spans="1:8" ht="13.5" x14ac:dyDescent="0.25">
      <c r="A762" s="1"/>
      <c r="B762" s="3">
        <v>43411</v>
      </c>
      <c r="C762" s="4">
        <v>39.840000000000003</v>
      </c>
      <c r="D762" s="4">
        <v>39.302700000000002</v>
      </c>
      <c r="E762" s="4">
        <v>0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39.5</v>
      </c>
      <c r="D763" s="4">
        <v>38.967199999999998</v>
      </c>
      <c r="E763" s="4">
        <v>471</v>
      </c>
      <c r="F763" s="4"/>
      <c r="G763" s="4"/>
      <c r="H763" s="5">
        <f t="shared" si="11"/>
        <v>-8.5363092103087884E-3</v>
      </c>
    </row>
    <row r="764" spans="1:8" ht="13.5" x14ac:dyDescent="0.25">
      <c r="A764" s="1"/>
      <c r="B764" s="3">
        <v>43413</v>
      </c>
      <c r="C764" s="4">
        <v>39.5</v>
      </c>
      <c r="D764" s="4">
        <v>38.967199999999998</v>
      </c>
      <c r="E764" s="4">
        <v>279</v>
      </c>
      <c r="F764" s="4"/>
      <c r="G764" s="4"/>
      <c r="H764" s="5">
        <f t="shared" si="11"/>
        <v>0</v>
      </c>
    </row>
    <row r="765" spans="1:8" ht="13.5" x14ac:dyDescent="0.25">
      <c r="A765" s="1"/>
      <c r="B765" s="3">
        <v>43416</v>
      </c>
      <c r="C765" s="4">
        <v>39.5</v>
      </c>
      <c r="D765" s="4">
        <v>38.967199999999998</v>
      </c>
      <c r="E765" s="4">
        <v>1000</v>
      </c>
      <c r="F765" s="4"/>
      <c r="G765" s="4"/>
      <c r="H765" s="5">
        <f t="shared" si="11"/>
        <v>0</v>
      </c>
    </row>
    <row r="766" spans="1:8" ht="13.5" x14ac:dyDescent="0.25">
      <c r="A766" s="1"/>
      <c r="B766" s="3">
        <v>43417</v>
      </c>
      <c r="C766" s="4">
        <v>39.5</v>
      </c>
      <c r="D766" s="4">
        <v>38.967199999999998</v>
      </c>
      <c r="E766" s="4">
        <v>1700</v>
      </c>
      <c r="F766" s="4"/>
      <c r="G766" s="4"/>
      <c r="H766" s="5">
        <f t="shared" si="11"/>
        <v>0</v>
      </c>
    </row>
    <row r="767" spans="1:8" ht="13.5" x14ac:dyDescent="0.25">
      <c r="A767" s="1"/>
      <c r="B767" s="3">
        <v>43418</v>
      </c>
      <c r="C767" s="4">
        <v>39.5</v>
      </c>
      <c r="D767" s="4">
        <v>38.967199999999998</v>
      </c>
      <c r="E767" s="4">
        <v>0</v>
      </c>
      <c r="F767" s="4"/>
      <c r="G767" s="4"/>
      <c r="H767" s="5">
        <f t="shared" si="11"/>
        <v>0</v>
      </c>
    </row>
    <row r="768" spans="1:8" ht="13.5" x14ac:dyDescent="0.25">
      <c r="A768" s="1"/>
      <c r="B768" s="3">
        <v>43419</v>
      </c>
      <c r="C768" s="4">
        <v>39.5</v>
      </c>
      <c r="D768" s="4">
        <v>38.967199999999998</v>
      </c>
      <c r="E768" s="4">
        <v>0</v>
      </c>
      <c r="F768" s="4"/>
      <c r="G768" s="4"/>
      <c r="H768" s="5">
        <f t="shared" si="11"/>
        <v>0</v>
      </c>
    </row>
    <row r="769" spans="1:8" ht="13.5" x14ac:dyDescent="0.25">
      <c r="A769" s="1"/>
      <c r="B769" s="3">
        <v>43420</v>
      </c>
      <c r="C769" s="4">
        <v>39.5</v>
      </c>
      <c r="D769" s="4">
        <v>38.967199999999998</v>
      </c>
      <c r="E769" s="4">
        <v>0</v>
      </c>
      <c r="F769" s="4"/>
      <c r="G769" s="4"/>
      <c r="H769" s="5">
        <f t="shared" si="11"/>
        <v>0</v>
      </c>
    </row>
    <row r="770" spans="1:8" ht="13.5" x14ac:dyDescent="0.25">
      <c r="A770" s="1"/>
      <c r="B770" s="3">
        <v>43423</v>
      </c>
      <c r="C770" s="4">
        <v>39.5</v>
      </c>
      <c r="D770" s="4">
        <v>38.967199999999998</v>
      </c>
      <c r="E770" s="4">
        <v>0</v>
      </c>
      <c r="F770" s="4"/>
      <c r="G770" s="4"/>
      <c r="H770" s="5">
        <f t="shared" si="11"/>
        <v>0</v>
      </c>
    </row>
    <row r="771" spans="1:8" ht="13.5" x14ac:dyDescent="0.25">
      <c r="A771" s="1"/>
      <c r="B771" s="3">
        <v>43425</v>
      </c>
      <c r="C771" s="4">
        <v>39.5</v>
      </c>
      <c r="D771" s="4">
        <v>38.967199999999998</v>
      </c>
      <c r="E771" s="4">
        <v>706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38.5</v>
      </c>
      <c r="D772" s="4">
        <v>37.980699999999999</v>
      </c>
      <c r="E772" s="4">
        <v>355</v>
      </c>
      <c r="F772" s="4"/>
      <c r="G772" s="4"/>
      <c r="H772" s="5">
        <f t="shared" si="11"/>
        <v>-2.5316163337370905E-2</v>
      </c>
    </row>
    <row r="773" spans="1:8" ht="13.5" x14ac:dyDescent="0.25">
      <c r="A773" s="1"/>
      <c r="B773" s="3">
        <v>43427</v>
      </c>
      <c r="C773" s="4">
        <v>39.49</v>
      </c>
      <c r="D773" s="4">
        <v>38.9574</v>
      </c>
      <c r="E773" s="4">
        <v>4</v>
      </c>
      <c r="F773" s="4"/>
      <c r="G773" s="4"/>
      <c r="H773" s="5">
        <f t="shared" si="11"/>
        <v>2.5715692443793851E-2</v>
      </c>
    </row>
    <row r="774" spans="1:8" ht="13.5" x14ac:dyDescent="0.25">
      <c r="A774" s="1"/>
      <c r="B774" s="3">
        <v>43430</v>
      </c>
      <c r="C774" s="4">
        <v>39.49</v>
      </c>
      <c r="D774" s="4">
        <v>38.9574</v>
      </c>
      <c r="E774" s="4">
        <v>0</v>
      </c>
      <c r="F774" s="4"/>
      <c r="G774" s="4"/>
      <c r="H774" s="5">
        <f t="shared" si="11"/>
        <v>0</v>
      </c>
    </row>
    <row r="775" spans="1:8" ht="13.5" x14ac:dyDescent="0.25">
      <c r="A775" s="1"/>
      <c r="B775" s="3">
        <v>43431</v>
      </c>
      <c r="C775" s="4">
        <v>39.49</v>
      </c>
      <c r="D775" s="4">
        <v>38.9574</v>
      </c>
      <c r="E775" s="4">
        <v>0</v>
      </c>
      <c r="F775" s="4"/>
      <c r="G775" s="4"/>
      <c r="H775" s="5">
        <f t="shared" ref="H775:H838" si="12">(D775-D774)/D774</f>
        <v>0</v>
      </c>
    </row>
    <row r="776" spans="1:8" ht="13.5" x14ac:dyDescent="0.25">
      <c r="A776" s="1"/>
      <c r="B776" s="3">
        <v>43432</v>
      </c>
      <c r="C776" s="4">
        <v>39.49</v>
      </c>
      <c r="D776" s="4">
        <v>38.9574</v>
      </c>
      <c r="E776" s="4">
        <v>0</v>
      </c>
      <c r="F776" s="4"/>
      <c r="G776" s="4"/>
      <c r="H776" s="5">
        <f t="shared" si="12"/>
        <v>0</v>
      </c>
    </row>
    <row r="777" spans="1:8" ht="13.5" x14ac:dyDescent="0.25">
      <c r="A777" s="1"/>
      <c r="B777" s="3">
        <v>43433</v>
      </c>
      <c r="C777" s="4">
        <v>39.49</v>
      </c>
      <c r="D777" s="4">
        <v>38.9574</v>
      </c>
      <c r="E777" s="4">
        <v>0</v>
      </c>
      <c r="F777" s="4"/>
      <c r="G777" s="4"/>
      <c r="H777" s="5">
        <f t="shared" si="12"/>
        <v>0</v>
      </c>
    </row>
    <row r="778" spans="1:8" ht="13.5" x14ac:dyDescent="0.25">
      <c r="A778" s="1"/>
      <c r="B778" s="3">
        <v>43434</v>
      </c>
      <c r="C778" s="4">
        <v>39.200000000000003</v>
      </c>
      <c r="D778" s="4">
        <v>38.671300000000002</v>
      </c>
      <c r="E778" s="4">
        <v>680</v>
      </c>
      <c r="F778" s="4"/>
      <c r="G778" s="4"/>
      <c r="H778" s="5">
        <f t="shared" si="12"/>
        <v>-7.3439192553917251E-3</v>
      </c>
    </row>
    <row r="779" spans="1:8" ht="13.5" x14ac:dyDescent="0.25">
      <c r="A779" s="1"/>
      <c r="B779" s="3">
        <v>43437</v>
      </c>
      <c r="C779" s="4">
        <v>39.200000000000003</v>
      </c>
      <c r="D779" s="4">
        <v>38.671300000000002</v>
      </c>
      <c r="E779" s="4">
        <v>20</v>
      </c>
      <c r="F779" s="4"/>
      <c r="G779" s="4"/>
      <c r="H779" s="5">
        <f t="shared" si="12"/>
        <v>0</v>
      </c>
    </row>
    <row r="780" spans="1:8" ht="13.5" x14ac:dyDescent="0.25">
      <c r="A780" s="1"/>
      <c r="B780" s="3">
        <v>43438</v>
      </c>
      <c r="C780" s="4">
        <v>39.200000000000003</v>
      </c>
      <c r="D780" s="4">
        <v>38.671300000000002</v>
      </c>
      <c r="E780" s="4">
        <v>0</v>
      </c>
      <c r="F780" s="4"/>
      <c r="G780" s="4"/>
      <c r="H780" s="5">
        <f t="shared" si="12"/>
        <v>0</v>
      </c>
    </row>
    <row r="781" spans="1:8" ht="13.5" x14ac:dyDescent="0.25">
      <c r="A781" s="1"/>
      <c r="B781" s="3">
        <v>43439</v>
      </c>
      <c r="C781" s="4">
        <v>38.5</v>
      </c>
      <c r="D781" s="4">
        <v>37.980699999999999</v>
      </c>
      <c r="E781" s="4">
        <v>200</v>
      </c>
      <c r="F781" s="4"/>
      <c r="G781" s="4"/>
      <c r="H781" s="5">
        <f t="shared" si="12"/>
        <v>-1.7858204921996503E-2</v>
      </c>
    </row>
    <row r="782" spans="1:8" ht="13.5" x14ac:dyDescent="0.25">
      <c r="A782" s="1"/>
      <c r="B782" s="3">
        <v>43440</v>
      </c>
      <c r="C782" s="4">
        <v>39.200000000000003</v>
      </c>
      <c r="D782" s="4">
        <v>38.671300000000002</v>
      </c>
      <c r="E782" s="4">
        <v>50</v>
      </c>
      <c r="F782" s="4"/>
      <c r="G782" s="4"/>
      <c r="H782" s="5">
        <f t="shared" si="12"/>
        <v>1.8182919219498415E-2</v>
      </c>
    </row>
    <row r="783" spans="1:8" ht="13.5" x14ac:dyDescent="0.25">
      <c r="A783" s="1"/>
      <c r="B783" s="3">
        <v>43441</v>
      </c>
      <c r="C783" s="4">
        <v>39.200000000000003</v>
      </c>
      <c r="D783" s="4">
        <v>38.671300000000002</v>
      </c>
      <c r="E783" s="4">
        <v>0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39.200000000000003</v>
      </c>
      <c r="D784" s="4">
        <v>38.671300000000002</v>
      </c>
      <c r="E784" s="4">
        <v>50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39.200000000000003</v>
      </c>
      <c r="D785" s="4">
        <v>38.671300000000002</v>
      </c>
      <c r="E785" s="4">
        <v>0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39.200000000000003</v>
      </c>
      <c r="D786" s="4">
        <v>38.671300000000002</v>
      </c>
      <c r="E786" s="4">
        <v>0</v>
      </c>
      <c r="F786" s="4"/>
      <c r="G786" s="4"/>
      <c r="H786" s="5">
        <f t="shared" si="12"/>
        <v>0</v>
      </c>
    </row>
    <row r="787" spans="1:8" ht="13.5" x14ac:dyDescent="0.25">
      <c r="A787" s="1"/>
      <c r="B787" s="3">
        <v>43447</v>
      </c>
      <c r="C787" s="4">
        <v>39.200000000000003</v>
      </c>
      <c r="D787" s="4">
        <v>38.671300000000002</v>
      </c>
      <c r="E787" s="4">
        <v>0</v>
      </c>
      <c r="F787" s="4"/>
      <c r="G787" s="4"/>
      <c r="H787" s="5">
        <f t="shared" si="12"/>
        <v>0</v>
      </c>
    </row>
    <row r="788" spans="1:8" ht="13.5" x14ac:dyDescent="0.25">
      <c r="A788" s="1"/>
      <c r="B788" s="3">
        <v>43448</v>
      </c>
      <c r="C788" s="4">
        <v>38.5</v>
      </c>
      <c r="D788" s="4">
        <v>37.980699999999999</v>
      </c>
      <c r="E788" s="4">
        <v>2000</v>
      </c>
      <c r="F788" s="4"/>
      <c r="G788" s="4"/>
      <c r="H788" s="5">
        <f t="shared" si="12"/>
        <v>-1.7858204921996503E-2</v>
      </c>
    </row>
    <row r="789" spans="1:8" ht="13.5" x14ac:dyDescent="0.25">
      <c r="A789" s="1"/>
      <c r="B789" s="3">
        <v>43451</v>
      </c>
      <c r="C789" s="4">
        <v>38.5</v>
      </c>
      <c r="D789" s="4">
        <v>37.980699999999999</v>
      </c>
      <c r="E789" s="4">
        <v>2000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38.5</v>
      </c>
      <c r="D790" s="4">
        <v>37.980699999999999</v>
      </c>
      <c r="E790" s="4">
        <v>2001</v>
      </c>
      <c r="F790" s="4"/>
      <c r="G790" s="4"/>
      <c r="H790" s="5">
        <f t="shared" si="12"/>
        <v>0</v>
      </c>
    </row>
    <row r="791" spans="1:8" ht="13.5" x14ac:dyDescent="0.25">
      <c r="A791" s="1"/>
      <c r="B791" s="3">
        <v>43453</v>
      </c>
      <c r="C791" s="4">
        <v>38.5</v>
      </c>
      <c r="D791" s="4">
        <v>37.980699999999999</v>
      </c>
      <c r="E791" s="4">
        <v>0</v>
      </c>
      <c r="F791" s="4"/>
      <c r="G791" s="4"/>
      <c r="H791" s="5">
        <f t="shared" si="12"/>
        <v>0</v>
      </c>
    </row>
    <row r="792" spans="1:8" ht="13.5" x14ac:dyDescent="0.25">
      <c r="A792" s="1"/>
      <c r="B792" s="3">
        <v>43454</v>
      </c>
      <c r="C792" s="4">
        <v>38.5</v>
      </c>
      <c r="D792" s="4">
        <v>37.980699999999999</v>
      </c>
      <c r="E792" s="4">
        <v>2001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38.5</v>
      </c>
      <c r="D793" s="4">
        <v>37.980699999999999</v>
      </c>
      <c r="E793" s="4">
        <v>2584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38.5</v>
      </c>
      <c r="D794" s="4">
        <v>37.980699999999999</v>
      </c>
      <c r="E794" s="4">
        <v>0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38.5</v>
      </c>
      <c r="D795" s="4">
        <v>37.980699999999999</v>
      </c>
      <c r="E795" s="4">
        <v>0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38.5</v>
      </c>
      <c r="D796" s="4">
        <v>37.980699999999999</v>
      </c>
      <c r="E796" s="4">
        <v>0</v>
      </c>
      <c r="F796" s="4"/>
      <c r="G796" s="4"/>
      <c r="H796" s="5">
        <f t="shared" si="12"/>
        <v>0</v>
      </c>
    </row>
    <row r="797" spans="1:8" ht="13.5" x14ac:dyDescent="0.25">
      <c r="A797" s="1"/>
      <c r="B797" s="3">
        <v>43461</v>
      </c>
      <c r="C797" s="4">
        <v>38.5</v>
      </c>
      <c r="D797" s="4">
        <v>37.980699999999999</v>
      </c>
      <c r="E797" s="4">
        <v>120</v>
      </c>
      <c r="F797" s="4"/>
      <c r="G797" s="4"/>
      <c r="H797" s="5">
        <f t="shared" si="12"/>
        <v>0</v>
      </c>
    </row>
    <row r="798" spans="1:8" ht="13.5" x14ac:dyDescent="0.25">
      <c r="A798" s="1"/>
      <c r="B798" s="3">
        <v>43462</v>
      </c>
      <c r="C798" s="4">
        <v>38.5</v>
      </c>
      <c r="D798" s="4">
        <v>37.980699999999999</v>
      </c>
      <c r="E798" s="4">
        <v>1400</v>
      </c>
      <c r="F798" s="4"/>
      <c r="G798" s="4"/>
      <c r="H798" s="5">
        <f t="shared" si="12"/>
        <v>0</v>
      </c>
    </row>
    <row r="799" spans="1:8" ht="13.5" x14ac:dyDescent="0.25">
      <c r="A799" s="1"/>
      <c r="B799" s="3">
        <v>43465</v>
      </c>
      <c r="C799" s="4">
        <v>38.5</v>
      </c>
      <c r="D799" s="4">
        <v>37.980699999999999</v>
      </c>
      <c r="E799" s="4">
        <v>705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39</v>
      </c>
      <c r="D800" s="4">
        <v>38.473999999999997</v>
      </c>
      <c r="E800" s="4">
        <v>1000</v>
      </c>
      <c r="F800" s="4"/>
      <c r="G800" s="4"/>
      <c r="H800" s="5">
        <f t="shared" si="12"/>
        <v>1.2988175573383267E-2</v>
      </c>
    </row>
    <row r="801" spans="1:8" ht="13.5" x14ac:dyDescent="0.25">
      <c r="A801" s="1"/>
      <c r="B801" s="3">
        <v>43468</v>
      </c>
      <c r="C801" s="4">
        <v>39</v>
      </c>
      <c r="D801" s="4">
        <v>38.473999999999997</v>
      </c>
      <c r="E801" s="4">
        <v>0</v>
      </c>
      <c r="F801" s="4"/>
      <c r="G801" s="4"/>
      <c r="H801" s="5">
        <f t="shared" si="12"/>
        <v>0</v>
      </c>
    </row>
    <row r="802" spans="1:8" ht="13.5" x14ac:dyDescent="0.25">
      <c r="A802" s="1"/>
      <c r="B802" s="3">
        <v>43469</v>
      </c>
      <c r="C802" s="4">
        <v>39</v>
      </c>
      <c r="D802" s="4">
        <v>38.473999999999997</v>
      </c>
      <c r="E802" s="4">
        <v>0</v>
      </c>
      <c r="F802" s="4"/>
      <c r="G802" s="4"/>
      <c r="H802" s="5">
        <f t="shared" si="12"/>
        <v>0</v>
      </c>
    </row>
    <row r="803" spans="1:8" ht="13.5" x14ac:dyDescent="0.25">
      <c r="A803" s="1"/>
      <c r="B803" s="3">
        <v>43472</v>
      </c>
      <c r="C803" s="4">
        <v>38.5</v>
      </c>
      <c r="D803" s="4">
        <v>37.980699999999999</v>
      </c>
      <c r="E803" s="4">
        <v>9</v>
      </c>
      <c r="F803" s="4"/>
      <c r="G803" s="4"/>
      <c r="H803" s="5">
        <f t="shared" si="12"/>
        <v>-1.2821645786765033E-2</v>
      </c>
    </row>
    <row r="804" spans="1:8" ht="13.5" x14ac:dyDescent="0.25">
      <c r="A804" s="1"/>
      <c r="B804" s="3">
        <v>43473</v>
      </c>
      <c r="C804" s="4">
        <v>37.35</v>
      </c>
      <c r="D804" s="4">
        <v>36.846200000000003</v>
      </c>
      <c r="E804" s="4">
        <v>2200</v>
      </c>
      <c r="F804" s="4"/>
      <c r="G804" s="4"/>
      <c r="H804" s="5">
        <f t="shared" si="12"/>
        <v>-2.9870434194209049E-2</v>
      </c>
    </row>
    <row r="805" spans="1:8" ht="13.5" x14ac:dyDescent="0.25">
      <c r="A805" s="1"/>
      <c r="B805" s="3">
        <v>43474</v>
      </c>
      <c r="C805" s="4">
        <v>38.43</v>
      </c>
      <c r="D805" s="4">
        <v>37.911700000000003</v>
      </c>
      <c r="E805" s="4">
        <v>412</v>
      </c>
      <c r="F805" s="4"/>
      <c r="G805" s="4"/>
      <c r="H805" s="5">
        <f t="shared" si="12"/>
        <v>2.8917500312108168E-2</v>
      </c>
    </row>
    <row r="806" spans="1:8" ht="13.5" x14ac:dyDescent="0.25">
      <c r="A806" s="1"/>
      <c r="B806" s="3">
        <v>43475</v>
      </c>
      <c r="C806" s="4">
        <v>38.9</v>
      </c>
      <c r="D806" s="4">
        <v>38.375300000000003</v>
      </c>
      <c r="E806" s="4">
        <v>220</v>
      </c>
      <c r="F806" s="4"/>
      <c r="G806" s="4"/>
      <c r="H806" s="5">
        <f t="shared" si="12"/>
        <v>1.2228414974796686E-2</v>
      </c>
    </row>
    <row r="807" spans="1:8" ht="13.5" x14ac:dyDescent="0.25">
      <c r="A807" s="1"/>
      <c r="B807" s="3">
        <v>43476</v>
      </c>
      <c r="C807" s="4">
        <v>38.880000000000003</v>
      </c>
      <c r="D807" s="4">
        <v>38.355600000000003</v>
      </c>
      <c r="E807" s="4">
        <v>500</v>
      </c>
      <c r="F807" s="4"/>
      <c r="G807" s="4"/>
      <c r="H807" s="5">
        <f t="shared" si="12"/>
        <v>-5.1335103569223617E-4</v>
      </c>
    </row>
    <row r="808" spans="1:8" ht="13.5" x14ac:dyDescent="0.25">
      <c r="A808" s="1"/>
      <c r="B808" s="3">
        <v>43480</v>
      </c>
      <c r="C808" s="4">
        <v>38.880000000000003</v>
      </c>
      <c r="D808" s="4">
        <v>38.355600000000003</v>
      </c>
      <c r="E808" s="4">
        <v>0</v>
      </c>
      <c r="F808" s="4"/>
      <c r="G808" s="4"/>
      <c r="H808" s="5">
        <f t="shared" si="12"/>
        <v>0</v>
      </c>
    </row>
    <row r="809" spans="1:8" ht="13.5" x14ac:dyDescent="0.25">
      <c r="A809" s="1"/>
      <c r="B809" s="3">
        <v>43481</v>
      </c>
      <c r="C809" s="4">
        <v>38.880000000000003</v>
      </c>
      <c r="D809" s="4">
        <v>38.355600000000003</v>
      </c>
      <c r="E809" s="4">
        <v>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38.880000000000003</v>
      </c>
      <c r="D810" s="4">
        <v>38.355600000000003</v>
      </c>
      <c r="E810" s="4">
        <v>100</v>
      </c>
      <c r="F810" s="4"/>
      <c r="G810" s="4"/>
      <c r="H810" s="5">
        <f t="shared" si="12"/>
        <v>0</v>
      </c>
    </row>
    <row r="811" spans="1:8" ht="13.5" x14ac:dyDescent="0.25">
      <c r="A811" s="1"/>
      <c r="B811" s="3">
        <v>43483</v>
      </c>
      <c r="C811" s="4">
        <v>38.89</v>
      </c>
      <c r="D811" s="4">
        <v>38.365499999999997</v>
      </c>
      <c r="E811" s="4">
        <v>500</v>
      </c>
      <c r="F811" s="4"/>
      <c r="G811" s="4"/>
      <c r="H811" s="5">
        <f t="shared" si="12"/>
        <v>2.5811094077513296E-4</v>
      </c>
    </row>
    <row r="812" spans="1:8" ht="13.5" x14ac:dyDescent="0.25">
      <c r="A812" s="1"/>
      <c r="B812" s="3">
        <v>43486</v>
      </c>
      <c r="C812" s="4">
        <v>38.89</v>
      </c>
      <c r="D812" s="4">
        <v>38.365499999999997</v>
      </c>
      <c r="E812" s="4">
        <v>0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38.880000000000003</v>
      </c>
      <c r="D813" s="4">
        <v>38.355600000000003</v>
      </c>
      <c r="E813" s="4">
        <v>65</v>
      </c>
      <c r="F813" s="4"/>
      <c r="G813" s="4"/>
      <c r="H813" s="5">
        <f t="shared" si="12"/>
        <v>-2.5804433670862341E-4</v>
      </c>
    </row>
    <row r="814" spans="1:8" ht="13.5" x14ac:dyDescent="0.25">
      <c r="A814" s="1"/>
      <c r="B814" s="3">
        <v>43488</v>
      </c>
      <c r="C814" s="4">
        <v>38.880000000000003</v>
      </c>
      <c r="D814" s="4">
        <v>38.355600000000003</v>
      </c>
      <c r="E814" s="4">
        <v>0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38.869999999999997</v>
      </c>
      <c r="D815" s="4">
        <v>38.345700000000001</v>
      </c>
      <c r="E815" s="4">
        <v>650</v>
      </c>
      <c r="F815" s="4"/>
      <c r="G815" s="4"/>
      <c r="H815" s="5">
        <f t="shared" si="12"/>
        <v>-2.581109407753182E-4</v>
      </c>
    </row>
    <row r="816" spans="1:8" ht="13.5" x14ac:dyDescent="0.25">
      <c r="A816" s="1"/>
      <c r="B816" s="3">
        <v>43490</v>
      </c>
      <c r="C816" s="4">
        <v>38.869999999999997</v>
      </c>
      <c r="D816" s="4">
        <v>38.345700000000001</v>
      </c>
      <c r="E816" s="4">
        <v>0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38.869999999999997</v>
      </c>
      <c r="D817" s="4">
        <v>38.345700000000001</v>
      </c>
      <c r="E817" s="4">
        <v>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38.869999999999997</v>
      </c>
      <c r="D818" s="4">
        <v>38.345700000000001</v>
      </c>
      <c r="E818" s="4">
        <v>0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38.869999999999997</v>
      </c>
      <c r="D819" s="4">
        <v>38.345700000000001</v>
      </c>
      <c r="E819" s="4">
        <v>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37.130000000000003</v>
      </c>
      <c r="D820" s="4">
        <v>36.629199999999997</v>
      </c>
      <c r="E820" s="4">
        <v>553</v>
      </c>
      <c r="F820" s="4"/>
      <c r="G820" s="4"/>
      <c r="H820" s="5">
        <f t="shared" si="12"/>
        <v>-4.4763819672088485E-2</v>
      </c>
    </row>
    <row r="821" spans="1:8" ht="13.5" x14ac:dyDescent="0.25">
      <c r="A821" s="1"/>
      <c r="B821" s="3">
        <v>43497</v>
      </c>
      <c r="C821" s="4">
        <v>37.1</v>
      </c>
      <c r="D821" s="4">
        <v>36.599600000000002</v>
      </c>
      <c r="E821" s="4">
        <v>140</v>
      </c>
      <c r="F821" s="4"/>
      <c r="G821" s="4"/>
      <c r="H821" s="5">
        <f t="shared" si="12"/>
        <v>-8.0809845696861978E-4</v>
      </c>
    </row>
    <row r="822" spans="1:8" ht="13.5" x14ac:dyDescent="0.25">
      <c r="A822" s="1"/>
      <c r="B822" s="3">
        <v>43500</v>
      </c>
      <c r="C822" s="4">
        <v>37.1</v>
      </c>
      <c r="D822" s="4">
        <v>36.599600000000002</v>
      </c>
      <c r="E822" s="4">
        <v>0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37.1</v>
      </c>
      <c r="D823" s="4">
        <v>36.599600000000002</v>
      </c>
      <c r="E823" s="4">
        <v>0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37.1</v>
      </c>
      <c r="D824" s="4">
        <v>36.599600000000002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37.1</v>
      </c>
      <c r="D825" s="4">
        <v>36.599600000000002</v>
      </c>
      <c r="E825" s="4">
        <v>0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36.99</v>
      </c>
      <c r="D826" s="4">
        <v>36.491100000000003</v>
      </c>
      <c r="E826" s="4">
        <v>275</v>
      </c>
      <c r="F826" s="4"/>
      <c r="G826" s="4"/>
      <c r="H826" s="5">
        <f t="shared" si="12"/>
        <v>-2.9645132733690906E-3</v>
      </c>
    </row>
    <row r="827" spans="1:8" ht="13.5" x14ac:dyDescent="0.25">
      <c r="A827" s="1"/>
      <c r="B827" s="3">
        <v>43507</v>
      </c>
      <c r="C827" s="4">
        <v>36.99</v>
      </c>
      <c r="D827" s="4">
        <v>36.491100000000003</v>
      </c>
      <c r="E827" s="4">
        <v>0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36.99</v>
      </c>
      <c r="D828" s="4">
        <v>36.491100000000003</v>
      </c>
      <c r="E828" s="4">
        <v>0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36.99</v>
      </c>
      <c r="D829" s="4">
        <v>36.491100000000003</v>
      </c>
      <c r="E829" s="4">
        <v>0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36.99</v>
      </c>
      <c r="D830" s="4">
        <v>36.491100000000003</v>
      </c>
      <c r="E830" s="4">
        <v>0</v>
      </c>
      <c r="F830" s="4"/>
      <c r="G830" s="4"/>
      <c r="H830" s="5">
        <f t="shared" si="12"/>
        <v>0</v>
      </c>
    </row>
    <row r="831" spans="1:8" ht="13.5" x14ac:dyDescent="0.25">
      <c r="A831" s="1"/>
      <c r="B831" s="3">
        <v>43511</v>
      </c>
      <c r="C831" s="4">
        <v>36.99</v>
      </c>
      <c r="D831" s="4">
        <v>36.491100000000003</v>
      </c>
      <c r="E831" s="4">
        <v>0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36.99</v>
      </c>
      <c r="D832" s="4">
        <v>36.491100000000003</v>
      </c>
      <c r="E832" s="4">
        <v>0</v>
      </c>
      <c r="F832" s="4"/>
      <c r="G832" s="4"/>
      <c r="H832" s="5">
        <f t="shared" si="12"/>
        <v>0</v>
      </c>
    </row>
    <row r="833" spans="1:8" ht="13.5" x14ac:dyDescent="0.25">
      <c r="A833" s="1"/>
      <c r="B833" s="3">
        <v>43515</v>
      </c>
      <c r="C833" s="4">
        <v>35.89</v>
      </c>
      <c r="D833" s="4">
        <v>35.405900000000003</v>
      </c>
      <c r="E833" s="4">
        <v>0</v>
      </c>
      <c r="F833" s="4"/>
      <c r="G833" s="4"/>
      <c r="H833" s="5">
        <f t="shared" si="12"/>
        <v>-2.9738758217757216E-2</v>
      </c>
    </row>
    <row r="834" spans="1:8" ht="13.5" x14ac:dyDescent="0.25">
      <c r="A834" s="1"/>
      <c r="B834" s="3">
        <v>43516</v>
      </c>
      <c r="C834" s="4">
        <v>34.82</v>
      </c>
      <c r="D834" s="4">
        <v>34.3504</v>
      </c>
      <c r="E834" s="4">
        <v>54</v>
      </c>
      <c r="F834" s="4"/>
      <c r="G834" s="4"/>
      <c r="H834" s="5">
        <f t="shared" si="12"/>
        <v>-2.9811415611522431E-2</v>
      </c>
    </row>
    <row r="835" spans="1:8" ht="13.5" x14ac:dyDescent="0.25">
      <c r="A835" s="1"/>
      <c r="B835" s="3">
        <v>43517</v>
      </c>
      <c r="C835" s="4">
        <v>34.82</v>
      </c>
      <c r="D835" s="4">
        <v>34.3504</v>
      </c>
      <c r="E835" s="4">
        <v>0</v>
      </c>
      <c r="F835" s="4"/>
      <c r="G835" s="4"/>
      <c r="H835" s="5">
        <f t="shared" si="12"/>
        <v>0</v>
      </c>
    </row>
    <row r="836" spans="1:8" ht="13.5" x14ac:dyDescent="0.25">
      <c r="A836" s="1"/>
      <c r="B836" s="3">
        <v>43518</v>
      </c>
      <c r="C836" s="4">
        <v>34</v>
      </c>
      <c r="D836" s="4">
        <v>33.541400000000003</v>
      </c>
      <c r="E836" s="4">
        <v>150</v>
      </c>
      <c r="F836" s="4"/>
      <c r="G836" s="4"/>
      <c r="H836" s="5">
        <f t="shared" si="12"/>
        <v>-2.3551399692579925E-2</v>
      </c>
    </row>
    <row r="837" spans="1:8" ht="13.5" x14ac:dyDescent="0.25">
      <c r="A837" s="1"/>
      <c r="B837" s="3">
        <v>43521</v>
      </c>
      <c r="C837" s="4">
        <v>34</v>
      </c>
      <c r="D837" s="4">
        <v>33.541400000000003</v>
      </c>
      <c r="E837" s="4">
        <v>2104</v>
      </c>
      <c r="F837" s="4"/>
      <c r="G837" s="4"/>
      <c r="H837" s="5">
        <f t="shared" si="12"/>
        <v>0</v>
      </c>
    </row>
    <row r="838" spans="1:8" ht="13.5" x14ac:dyDescent="0.25">
      <c r="A838" s="1"/>
      <c r="B838" s="3">
        <v>43522</v>
      </c>
      <c r="C838" s="4">
        <v>34.79</v>
      </c>
      <c r="D838" s="4">
        <v>34.320799999999998</v>
      </c>
      <c r="E838" s="4">
        <v>20</v>
      </c>
      <c r="F838" s="4"/>
      <c r="G838" s="4"/>
      <c r="H838" s="5">
        <f t="shared" si="12"/>
        <v>2.3236954927343383E-2</v>
      </c>
    </row>
    <row r="839" spans="1:8" ht="13.5" x14ac:dyDescent="0.25">
      <c r="A839" s="1"/>
      <c r="B839" s="3">
        <v>43523</v>
      </c>
      <c r="C839" s="4">
        <v>33.75</v>
      </c>
      <c r="D839" s="4">
        <v>33.294800000000002</v>
      </c>
      <c r="E839" s="4">
        <v>2635</v>
      </c>
      <c r="F839" s="4"/>
      <c r="G839" s="4"/>
      <c r="H839" s="5">
        <f t="shared" ref="H839:H902" si="13">(D839-D838)/D838</f>
        <v>-2.9894408055756168E-2</v>
      </c>
    </row>
    <row r="840" spans="1:8" ht="13.5" x14ac:dyDescent="0.25">
      <c r="A840" s="1"/>
      <c r="B840" s="3">
        <v>43524</v>
      </c>
      <c r="C840" s="4">
        <v>34.76</v>
      </c>
      <c r="D840" s="4">
        <v>34.291200000000003</v>
      </c>
      <c r="E840" s="4">
        <v>30</v>
      </c>
      <c r="F840" s="4"/>
      <c r="G840" s="4"/>
      <c r="H840" s="5">
        <f t="shared" si="13"/>
        <v>2.9926595143986486E-2</v>
      </c>
    </row>
    <row r="841" spans="1:8" ht="13.5" x14ac:dyDescent="0.25">
      <c r="A841" s="1"/>
      <c r="B841" s="3">
        <v>43525</v>
      </c>
      <c r="C841" s="4">
        <v>35.799999999999997</v>
      </c>
      <c r="D841" s="4">
        <v>35.317100000000003</v>
      </c>
      <c r="E841" s="4">
        <v>729</v>
      </c>
      <c r="F841" s="4"/>
      <c r="G841" s="4"/>
      <c r="H841" s="5">
        <f t="shared" si="13"/>
        <v>2.9917296565882791E-2</v>
      </c>
    </row>
    <row r="842" spans="1:8" ht="13.5" x14ac:dyDescent="0.25">
      <c r="A842" s="1"/>
      <c r="B842" s="3">
        <v>43528</v>
      </c>
      <c r="C842" s="4">
        <v>36</v>
      </c>
      <c r="D842" s="4">
        <v>35.514499999999998</v>
      </c>
      <c r="E842" s="4">
        <v>2155</v>
      </c>
      <c r="F842" s="4"/>
      <c r="G842" s="4"/>
      <c r="H842" s="5">
        <f t="shared" si="13"/>
        <v>5.5893603948227533E-3</v>
      </c>
    </row>
    <row r="843" spans="1:8" ht="13.5" x14ac:dyDescent="0.25">
      <c r="A843" s="1"/>
      <c r="B843" s="3">
        <v>43529</v>
      </c>
      <c r="C843" s="4">
        <v>36</v>
      </c>
      <c r="D843" s="4">
        <v>35.514499999999998</v>
      </c>
      <c r="E843" s="4">
        <v>260</v>
      </c>
      <c r="F843" s="4">
        <v>35.3842</v>
      </c>
      <c r="G843" s="4">
        <v>9199.8919999999998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36</v>
      </c>
      <c r="D844" s="4">
        <v>35.514499999999998</v>
      </c>
      <c r="E844" s="4">
        <v>2100</v>
      </c>
      <c r="F844" s="4">
        <v>35.476199999999999</v>
      </c>
      <c r="G844" s="4">
        <v>74500.02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36</v>
      </c>
      <c r="D845" s="4">
        <v>35.514499999999998</v>
      </c>
      <c r="E845" s="4">
        <v>808</v>
      </c>
      <c r="F845" s="4">
        <v>35.628700000000002</v>
      </c>
      <c r="G845" s="4">
        <v>28787.989600000001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36</v>
      </c>
      <c r="D846" s="4">
        <v>35.514499999999998</v>
      </c>
      <c r="E846" s="4">
        <v>430</v>
      </c>
      <c r="F846" s="4">
        <v>36</v>
      </c>
      <c r="G846" s="4">
        <v>15480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36</v>
      </c>
      <c r="D847" s="4">
        <v>35.514499999999998</v>
      </c>
      <c r="E847" s="4">
        <v>0</v>
      </c>
      <c r="F847" s="4">
        <v>0</v>
      </c>
      <c r="G847" s="4">
        <v>0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35.99</v>
      </c>
      <c r="D848" s="4">
        <v>35.504600000000003</v>
      </c>
      <c r="E848" s="4">
        <v>500</v>
      </c>
      <c r="F848" s="4">
        <v>35.99</v>
      </c>
      <c r="G848" s="4">
        <v>17995</v>
      </c>
      <c r="H848" s="5">
        <f t="shared" si="13"/>
        <v>-2.7875937997141144E-4</v>
      </c>
    </row>
    <row r="849" spans="1:8" ht="13.5" x14ac:dyDescent="0.25">
      <c r="A849" s="1"/>
      <c r="B849" s="3">
        <v>43537</v>
      </c>
      <c r="C849" s="4">
        <v>35.99</v>
      </c>
      <c r="D849" s="4">
        <v>35.504600000000003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35.99</v>
      </c>
      <c r="D850" s="4">
        <v>35.504600000000003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35.99</v>
      </c>
      <c r="D851" s="4">
        <v>35.504600000000003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35.99</v>
      </c>
      <c r="D852" s="4">
        <v>35.504600000000003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35.99</v>
      </c>
      <c r="D853" s="4">
        <v>35.504600000000003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35.99</v>
      </c>
      <c r="D854" s="4">
        <v>35.504600000000003</v>
      </c>
      <c r="E854" s="4">
        <v>0</v>
      </c>
      <c r="F854" s="4">
        <v>0</v>
      </c>
      <c r="G854" s="4">
        <v>0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35.99</v>
      </c>
      <c r="D855" s="4">
        <v>35.504600000000003</v>
      </c>
      <c r="E855" s="4">
        <v>0</v>
      </c>
      <c r="F855" s="4">
        <v>0</v>
      </c>
      <c r="G855" s="4">
        <v>0</v>
      </c>
      <c r="H855" s="5">
        <f t="shared" si="13"/>
        <v>0</v>
      </c>
    </row>
    <row r="856" spans="1:8" ht="13.5" x14ac:dyDescent="0.25">
      <c r="A856" s="1"/>
      <c r="B856" s="3">
        <v>43549</v>
      </c>
      <c r="C856" s="4">
        <v>35.99</v>
      </c>
      <c r="D856" s="4">
        <v>35.504600000000003</v>
      </c>
      <c r="E856" s="4">
        <v>0</v>
      </c>
      <c r="F856" s="4">
        <v>0</v>
      </c>
      <c r="G856" s="4">
        <v>0</v>
      </c>
      <c r="H856" s="5">
        <f t="shared" si="13"/>
        <v>0</v>
      </c>
    </row>
    <row r="857" spans="1:8" ht="13.5" x14ac:dyDescent="0.25">
      <c r="A857" s="1"/>
      <c r="B857" s="3">
        <v>43550</v>
      </c>
      <c r="C857" s="4">
        <v>35.49</v>
      </c>
      <c r="D857" s="4">
        <v>35.011299999999999</v>
      </c>
      <c r="E857" s="4">
        <v>200</v>
      </c>
      <c r="F857" s="4">
        <v>35.49</v>
      </c>
      <c r="G857" s="4">
        <v>7098</v>
      </c>
      <c r="H857" s="5">
        <f t="shared" si="13"/>
        <v>-1.389397430192158E-2</v>
      </c>
    </row>
    <row r="858" spans="1:8" ht="13.5" x14ac:dyDescent="0.25">
      <c r="A858" s="1"/>
      <c r="B858" s="3">
        <v>43551</v>
      </c>
      <c r="C858" s="4">
        <v>35.49</v>
      </c>
      <c r="D858" s="4">
        <v>35.011299999999999</v>
      </c>
      <c r="E858" s="4">
        <v>0</v>
      </c>
      <c r="F858" s="4">
        <v>0</v>
      </c>
      <c r="G858" s="4">
        <v>0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35.49</v>
      </c>
      <c r="D859" s="4">
        <v>35.011299999999999</v>
      </c>
      <c r="E859" s="4">
        <v>0</v>
      </c>
      <c r="F859" s="4">
        <v>0</v>
      </c>
      <c r="G859" s="4">
        <v>0</v>
      </c>
      <c r="H859" s="5">
        <f t="shared" si="13"/>
        <v>0</v>
      </c>
    </row>
    <row r="860" spans="1:8" ht="13.5" x14ac:dyDescent="0.25">
      <c r="A860" s="1"/>
      <c r="B860" s="3">
        <v>43553</v>
      </c>
      <c r="C860" s="4">
        <v>35.49</v>
      </c>
      <c r="D860" s="4">
        <v>35.011299999999999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36.549999999999997</v>
      </c>
      <c r="D861" s="4">
        <v>36.057000000000002</v>
      </c>
      <c r="E861" s="4">
        <v>50</v>
      </c>
      <c r="F861" s="4">
        <v>36.549999999999997</v>
      </c>
      <c r="G861" s="4">
        <v>1827.5</v>
      </c>
      <c r="H861" s="5">
        <f t="shared" si="13"/>
        <v>2.9867499921454037E-2</v>
      </c>
    </row>
    <row r="862" spans="1:8" ht="13.5" x14ac:dyDescent="0.25">
      <c r="A862" s="1"/>
      <c r="B862" s="3">
        <v>43557</v>
      </c>
      <c r="C862" s="4">
        <v>35.46</v>
      </c>
      <c r="D862" s="4">
        <v>34.981699999999996</v>
      </c>
      <c r="E862" s="4">
        <v>0</v>
      </c>
      <c r="F862" s="4">
        <v>0</v>
      </c>
      <c r="G862" s="4">
        <v>0</v>
      </c>
      <c r="H862" s="5">
        <f t="shared" si="13"/>
        <v>-2.9822225920071155E-2</v>
      </c>
    </row>
    <row r="863" spans="1:8" ht="13.5" x14ac:dyDescent="0.25">
      <c r="A863" s="1"/>
      <c r="B863" s="3">
        <v>43558</v>
      </c>
      <c r="C863" s="4">
        <v>34.4</v>
      </c>
      <c r="D863" s="4">
        <v>33.936</v>
      </c>
      <c r="E863" s="4">
        <v>111</v>
      </c>
      <c r="F863" s="4">
        <v>35.116199999999999</v>
      </c>
      <c r="G863" s="4">
        <v>3897.8982000000001</v>
      </c>
      <c r="H863" s="5">
        <f t="shared" si="13"/>
        <v>-2.9892772506767726E-2</v>
      </c>
    </row>
    <row r="864" spans="1:8" ht="13.5" x14ac:dyDescent="0.25">
      <c r="A864" s="1"/>
      <c r="B864" s="3">
        <v>43559</v>
      </c>
      <c r="C864" s="4">
        <v>35.4</v>
      </c>
      <c r="D864" s="4">
        <v>34.922499999999999</v>
      </c>
      <c r="E864" s="4">
        <v>50</v>
      </c>
      <c r="F864" s="4">
        <v>35.4</v>
      </c>
      <c r="G864" s="4">
        <v>1770</v>
      </c>
      <c r="H864" s="5">
        <f t="shared" si="13"/>
        <v>2.9069424799622805E-2</v>
      </c>
    </row>
    <row r="865" spans="1:8" ht="13.5" x14ac:dyDescent="0.25">
      <c r="A865" s="1"/>
      <c r="B865" s="3">
        <v>43560</v>
      </c>
      <c r="C865" s="4">
        <v>35.4</v>
      </c>
      <c r="D865" s="4">
        <v>34.922499999999999</v>
      </c>
      <c r="E865" s="4">
        <v>0</v>
      </c>
      <c r="F865" s="4">
        <v>0</v>
      </c>
      <c r="G865" s="4">
        <v>0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35.4</v>
      </c>
      <c r="D866" s="4">
        <v>34.922499999999999</v>
      </c>
      <c r="E866" s="4">
        <v>0</v>
      </c>
      <c r="F866" s="4">
        <v>0</v>
      </c>
      <c r="G866" s="4">
        <v>0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35.4</v>
      </c>
      <c r="D867" s="4">
        <v>34.922499999999999</v>
      </c>
      <c r="E867" s="4">
        <v>0</v>
      </c>
      <c r="F867" s="4">
        <v>0</v>
      </c>
      <c r="G867" s="4">
        <v>0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35.4</v>
      </c>
      <c r="D868" s="4">
        <v>34.922499999999999</v>
      </c>
      <c r="E868" s="4">
        <v>0</v>
      </c>
      <c r="F868" s="4">
        <v>0</v>
      </c>
      <c r="G868" s="4">
        <v>0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35.4</v>
      </c>
      <c r="D869" s="4">
        <v>34.922499999999999</v>
      </c>
      <c r="E869" s="4">
        <v>0</v>
      </c>
      <c r="F869" s="4">
        <v>0</v>
      </c>
      <c r="G869" s="4">
        <v>0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35.4</v>
      </c>
      <c r="D870" s="4">
        <v>34.922499999999999</v>
      </c>
      <c r="E870" s="4">
        <v>0</v>
      </c>
      <c r="F870" s="4">
        <v>0</v>
      </c>
      <c r="G870" s="4">
        <v>0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35.4</v>
      </c>
      <c r="D871" s="4">
        <v>34.922499999999999</v>
      </c>
      <c r="E871" s="4">
        <v>0</v>
      </c>
      <c r="F871" s="4">
        <v>0</v>
      </c>
      <c r="G871" s="4">
        <v>0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35.4</v>
      </c>
      <c r="D872" s="4">
        <v>34.922499999999999</v>
      </c>
      <c r="E872" s="4">
        <v>0</v>
      </c>
      <c r="F872" s="4">
        <v>0</v>
      </c>
      <c r="G872" s="4">
        <v>0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35.4</v>
      </c>
      <c r="D873" s="4">
        <v>34.922499999999999</v>
      </c>
      <c r="E873" s="4">
        <v>0</v>
      </c>
      <c r="F873" s="4">
        <v>0</v>
      </c>
      <c r="G873" s="4">
        <v>0</v>
      </c>
      <c r="H873" s="5">
        <f t="shared" si="13"/>
        <v>0</v>
      </c>
    </row>
    <row r="874" spans="1:8" ht="13.5" x14ac:dyDescent="0.25">
      <c r="A874" s="1"/>
      <c r="B874" s="3">
        <v>43574</v>
      </c>
      <c r="C874" s="4">
        <v>35.4</v>
      </c>
      <c r="D874" s="4">
        <v>34.922499999999999</v>
      </c>
      <c r="E874" s="4">
        <v>0</v>
      </c>
      <c r="F874" s="4">
        <v>0</v>
      </c>
      <c r="G874" s="4">
        <v>0</v>
      </c>
      <c r="H874" s="5">
        <f t="shared" si="13"/>
        <v>0</v>
      </c>
    </row>
    <row r="875" spans="1:8" ht="13.5" x14ac:dyDescent="0.25">
      <c r="A875" s="1"/>
      <c r="B875" s="3">
        <v>43577</v>
      </c>
      <c r="C875" s="4">
        <v>35.4</v>
      </c>
      <c r="D875" s="4">
        <v>34.922499999999999</v>
      </c>
      <c r="E875" s="4">
        <v>0</v>
      </c>
      <c r="F875" s="4">
        <v>0</v>
      </c>
      <c r="G875" s="4">
        <v>0</v>
      </c>
      <c r="H875" s="5">
        <f t="shared" si="13"/>
        <v>0</v>
      </c>
    </row>
    <row r="876" spans="1:8" ht="13.5" x14ac:dyDescent="0.25">
      <c r="A876" s="1"/>
      <c r="B876" s="3">
        <v>43578</v>
      </c>
      <c r="C876" s="4">
        <v>35.4</v>
      </c>
      <c r="D876" s="4">
        <v>34.922499999999999</v>
      </c>
      <c r="E876" s="4">
        <v>0</v>
      </c>
      <c r="F876" s="4">
        <v>0</v>
      </c>
      <c r="G876" s="4">
        <v>0</v>
      </c>
      <c r="H876" s="5">
        <f t="shared" si="13"/>
        <v>0</v>
      </c>
    </row>
    <row r="877" spans="1:8" ht="13.5" x14ac:dyDescent="0.25">
      <c r="A877" s="1"/>
      <c r="B877" s="3">
        <v>43579</v>
      </c>
      <c r="C877" s="4">
        <v>34.799999999999997</v>
      </c>
      <c r="D877" s="4">
        <v>34.330599999999997</v>
      </c>
      <c r="E877" s="4">
        <v>167</v>
      </c>
      <c r="F877" s="4">
        <v>34.386800000000001</v>
      </c>
      <c r="G877" s="4">
        <v>5742.5955999999996</v>
      </c>
      <c r="H877" s="5">
        <f t="shared" si="13"/>
        <v>-1.6948958407903288E-2</v>
      </c>
    </row>
    <row r="878" spans="1:8" ht="13.5" x14ac:dyDescent="0.25">
      <c r="A878" s="1"/>
      <c r="B878" s="3">
        <v>43580</v>
      </c>
      <c r="C878" s="4">
        <v>34.99</v>
      </c>
      <c r="D878" s="4">
        <v>34.518099999999997</v>
      </c>
      <c r="E878" s="4">
        <v>50</v>
      </c>
      <c r="F878" s="4">
        <v>34.99</v>
      </c>
      <c r="G878" s="4">
        <v>1749.5</v>
      </c>
      <c r="H878" s="5">
        <f t="shared" si="13"/>
        <v>5.4615998555224794E-3</v>
      </c>
    </row>
    <row r="879" spans="1:8" ht="13.5" x14ac:dyDescent="0.25">
      <c r="A879" s="1"/>
      <c r="B879" s="3">
        <v>43581</v>
      </c>
      <c r="C879" s="4">
        <v>34</v>
      </c>
      <c r="D879" s="4">
        <v>33.541400000000003</v>
      </c>
      <c r="E879" s="4">
        <v>150</v>
      </c>
      <c r="F879" s="4">
        <v>34.020000000000003</v>
      </c>
      <c r="G879" s="4">
        <v>5103</v>
      </c>
      <c r="H879" s="5">
        <f t="shared" si="13"/>
        <v>-2.8295300146879289E-2</v>
      </c>
    </row>
    <row r="880" spans="1:8" ht="13.5" x14ac:dyDescent="0.25">
      <c r="A880" s="1"/>
      <c r="B880" s="3">
        <v>43584</v>
      </c>
      <c r="C880" s="4">
        <v>34.450000000000003</v>
      </c>
      <c r="D880" s="4">
        <v>33.985399999999998</v>
      </c>
      <c r="E880" s="4">
        <v>90</v>
      </c>
      <c r="F880" s="4">
        <v>34.450000000000003</v>
      </c>
      <c r="G880" s="4">
        <v>3100.5</v>
      </c>
      <c r="H880" s="5">
        <f t="shared" si="13"/>
        <v>1.3237372321966151E-2</v>
      </c>
    </row>
    <row r="881" spans="1:8" ht="13.5" x14ac:dyDescent="0.25">
      <c r="A881" s="1"/>
      <c r="B881" s="3">
        <v>43585</v>
      </c>
      <c r="C881" s="4">
        <v>34.450000000000003</v>
      </c>
      <c r="D881" s="4">
        <v>33.985399999999998</v>
      </c>
      <c r="E881" s="4">
        <v>0</v>
      </c>
      <c r="F881" s="4">
        <v>0</v>
      </c>
      <c r="G881" s="4">
        <v>0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34.450000000000003</v>
      </c>
      <c r="D882" s="4">
        <v>33.985399999999998</v>
      </c>
      <c r="E882" s="4">
        <v>0</v>
      </c>
      <c r="F882" s="4">
        <v>0</v>
      </c>
      <c r="G882" s="4">
        <v>0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33.799999999999997</v>
      </c>
      <c r="D883" s="4">
        <v>33.344099999999997</v>
      </c>
      <c r="E883" s="4">
        <v>1</v>
      </c>
      <c r="F883" s="4">
        <v>33.799999999999997</v>
      </c>
      <c r="G883" s="4">
        <v>33.799999999999997</v>
      </c>
      <c r="H883" s="5">
        <f t="shared" si="13"/>
        <v>-1.886986764904933E-2</v>
      </c>
    </row>
    <row r="884" spans="1:8" ht="13.5" x14ac:dyDescent="0.25">
      <c r="A884" s="1"/>
      <c r="B884" s="3">
        <v>43591</v>
      </c>
      <c r="C884" s="4">
        <v>34.81</v>
      </c>
      <c r="D884" s="4">
        <v>34.340499999999999</v>
      </c>
      <c r="E884" s="4">
        <v>50</v>
      </c>
      <c r="F884" s="4">
        <v>34.81</v>
      </c>
      <c r="G884" s="4">
        <v>1740.5</v>
      </c>
      <c r="H884" s="5">
        <f t="shared" si="13"/>
        <v>2.9882348001595525E-2</v>
      </c>
    </row>
    <row r="885" spans="1:8" ht="13.5" x14ac:dyDescent="0.25">
      <c r="A885" s="1"/>
      <c r="B885" s="3">
        <v>43592</v>
      </c>
      <c r="C885" s="4">
        <v>34.99</v>
      </c>
      <c r="D885" s="4">
        <v>34.518099999999997</v>
      </c>
      <c r="E885" s="4">
        <v>70</v>
      </c>
      <c r="F885" s="4">
        <v>34.99</v>
      </c>
      <c r="G885" s="4">
        <v>2449.3000000000002</v>
      </c>
      <c r="H885" s="5">
        <f t="shared" si="13"/>
        <v>5.1717359968549729E-3</v>
      </c>
    </row>
    <row r="886" spans="1:8" ht="13.5" x14ac:dyDescent="0.25">
      <c r="A886" s="1"/>
      <c r="B886" s="3">
        <v>43593</v>
      </c>
      <c r="C886" s="4">
        <v>34.5</v>
      </c>
      <c r="D886" s="4">
        <v>34.034700000000001</v>
      </c>
      <c r="E886" s="4">
        <v>300</v>
      </c>
      <c r="F886" s="4">
        <v>34.5</v>
      </c>
      <c r="G886" s="4">
        <v>10350</v>
      </c>
      <c r="H886" s="5">
        <f t="shared" si="13"/>
        <v>-1.4004247047201211E-2</v>
      </c>
    </row>
    <row r="887" spans="1:8" ht="13.5" x14ac:dyDescent="0.25">
      <c r="A887" s="1"/>
      <c r="B887" s="3">
        <v>43594</v>
      </c>
      <c r="C887" s="4">
        <v>34.5</v>
      </c>
      <c r="D887" s="4">
        <v>34.034700000000001</v>
      </c>
      <c r="E887" s="4">
        <v>0</v>
      </c>
      <c r="F887" s="4">
        <v>0</v>
      </c>
      <c r="G887" s="4">
        <v>0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34.5</v>
      </c>
      <c r="D888" s="4">
        <v>34.034700000000001</v>
      </c>
      <c r="E888" s="4">
        <v>0</v>
      </c>
      <c r="F888" s="4">
        <v>0</v>
      </c>
      <c r="G888" s="4">
        <v>0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34.5</v>
      </c>
      <c r="D889" s="4">
        <v>34.034700000000001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34.5</v>
      </c>
      <c r="D890" s="4">
        <v>34.034700000000001</v>
      </c>
      <c r="E890" s="4">
        <v>0</v>
      </c>
      <c r="F890" s="4">
        <v>0</v>
      </c>
      <c r="G890" s="4">
        <v>0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34.47</v>
      </c>
      <c r="D891" s="4">
        <v>34.005099999999999</v>
      </c>
      <c r="E891" s="4">
        <v>1603</v>
      </c>
      <c r="F891" s="4">
        <v>34.4681</v>
      </c>
      <c r="G891" s="4">
        <v>55252.364300000001</v>
      </c>
      <c r="H891" s="5">
        <f t="shared" si="13"/>
        <v>-8.6970062906392795E-4</v>
      </c>
    </row>
    <row r="892" spans="1:8" ht="13.5" x14ac:dyDescent="0.25">
      <c r="A892" s="1"/>
      <c r="B892" s="3">
        <v>43601</v>
      </c>
      <c r="C892" s="4">
        <v>34.47</v>
      </c>
      <c r="D892" s="4">
        <v>34.005099999999999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34.47</v>
      </c>
      <c r="D893" s="4">
        <v>34.005099999999999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34.47</v>
      </c>
      <c r="D894" s="4">
        <v>34.005099999999999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34.49</v>
      </c>
      <c r="D895" s="4">
        <v>34.024799999999999</v>
      </c>
      <c r="E895" s="4">
        <v>205</v>
      </c>
      <c r="F895" s="4">
        <v>34.224400000000003</v>
      </c>
      <c r="G895" s="4">
        <v>7016.0020000000004</v>
      </c>
      <c r="H895" s="5">
        <f t="shared" si="13"/>
        <v>5.7932486597599402E-4</v>
      </c>
    </row>
    <row r="896" spans="1:8" ht="13.5" x14ac:dyDescent="0.25">
      <c r="A896" s="1"/>
      <c r="B896" s="3">
        <v>43607</v>
      </c>
      <c r="C896" s="4">
        <v>34.49</v>
      </c>
      <c r="D896" s="4">
        <v>34.024799999999999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34.49</v>
      </c>
      <c r="D897" s="4">
        <v>34.024799999999999</v>
      </c>
      <c r="E897" s="4">
        <v>0</v>
      </c>
      <c r="F897" s="4">
        <v>0</v>
      </c>
      <c r="G897" s="4">
        <v>0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34.49</v>
      </c>
      <c r="D898" s="4">
        <v>34.024799999999999</v>
      </c>
      <c r="E898" s="4">
        <v>0</v>
      </c>
      <c r="F898" s="4">
        <v>0</v>
      </c>
      <c r="G898" s="4">
        <v>0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34.49</v>
      </c>
      <c r="D899" s="4">
        <v>34.024799999999999</v>
      </c>
      <c r="E899" s="4">
        <v>0</v>
      </c>
      <c r="F899" s="4">
        <v>0</v>
      </c>
      <c r="G899" s="4">
        <v>0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34.49</v>
      </c>
      <c r="D900" s="4">
        <v>34.024799999999999</v>
      </c>
      <c r="E900" s="4">
        <v>0</v>
      </c>
      <c r="F900" s="4">
        <v>0</v>
      </c>
      <c r="G900" s="4">
        <v>0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34.369999999999997</v>
      </c>
      <c r="D901" s="4">
        <v>33.906399999999998</v>
      </c>
      <c r="E901" s="4">
        <v>100</v>
      </c>
      <c r="F901" s="4">
        <v>34.369999999999997</v>
      </c>
      <c r="G901" s="4">
        <v>3437</v>
      </c>
      <c r="H901" s="5">
        <f t="shared" si="13"/>
        <v>-3.4798147233782765E-3</v>
      </c>
    </row>
    <row r="902" spans="1:8" ht="13.5" x14ac:dyDescent="0.25">
      <c r="A902" s="1"/>
      <c r="B902" s="3">
        <v>43615</v>
      </c>
      <c r="C902" s="4">
        <v>34.369999999999997</v>
      </c>
      <c r="D902" s="4">
        <v>33.906399999999998</v>
      </c>
      <c r="E902" s="4">
        <v>101</v>
      </c>
      <c r="F902" s="4">
        <v>33.350200000000001</v>
      </c>
      <c r="G902" s="4">
        <v>3368.3701999999998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34.369999999999997</v>
      </c>
      <c r="D903" s="4">
        <v>33.906399999999998</v>
      </c>
      <c r="E903" s="4">
        <v>1</v>
      </c>
      <c r="F903" s="4">
        <v>34.369999999999997</v>
      </c>
      <c r="G903" s="4">
        <v>34.369999999999997</v>
      </c>
      <c r="H903" s="5">
        <f t="shared" ref="H903:H966" si="14">(D903-D902)/D902</f>
        <v>0</v>
      </c>
    </row>
    <row r="904" spans="1:8" ht="13.5" x14ac:dyDescent="0.25">
      <c r="A904" s="1"/>
      <c r="B904" s="3">
        <v>43619</v>
      </c>
      <c r="C904" s="4">
        <v>34.369999999999997</v>
      </c>
      <c r="D904" s="4">
        <v>33.906399999999998</v>
      </c>
      <c r="E904" s="4">
        <v>0</v>
      </c>
      <c r="F904" s="4">
        <v>0</v>
      </c>
      <c r="G904" s="4">
        <v>0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34.369999999999997</v>
      </c>
      <c r="D905" s="4">
        <v>33.906399999999998</v>
      </c>
      <c r="E905" s="4">
        <v>0</v>
      </c>
      <c r="F905" s="4">
        <v>0</v>
      </c>
      <c r="G905" s="4">
        <v>0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34.369999999999997</v>
      </c>
      <c r="D906" s="4">
        <v>33.906399999999998</v>
      </c>
      <c r="E906" s="4">
        <v>300</v>
      </c>
      <c r="F906" s="4">
        <v>34.145000000000003</v>
      </c>
      <c r="G906" s="4">
        <v>10243.5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34.369999999999997</v>
      </c>
      <c r="D907" s="4">
        <v>33.906399999999998</v>
      </c>
      <c r="E907" s="4">
        <v>0</v>
      </c>
      <c r="F907" s="4">
        <v>0</v>
      </c>
      <c r="G907" s="4">
        <v>0</v>
      </c>
      <c r="H907" s="5">
        <f t="shared" si="14"/>
        <v>0</v>
      </c>
    </row>
    <row r="908" spans="1:8" ht="13.5" x14ac:dyDescent="0.25">
      <c r="A908" s="1"/>
      <c r="B908" s="3">
        <v>43628</v>
      </c>
      <c r="C908" s="4">
        <v>34.369999999999997</v>
      </c>
      <c r="D908" s="4">
        <v>33.906399999999998</v>
      </c>
      <c r="E908" s="4">
        <v>0</v>
      </c>
      <c r="F908" s="4">
        <v>0</v>
      </c>
      <c r="G908" s="4">
        <v>0</v>
      </c>
      <c r="H908" s="5">
        <f t="shared" si="14"/>
        <v>0</v>
      </c>
    </row>
    <row r="909" spans="1:8" ht="13.5" x14ac:dyDescent="0.25">
      <c r="A909" s="1"/>
      <c r="B909" s="3">
        <v>43629</v>
      </c>
      <c r="C909" s="4">
        <v>34.36</v>
      </c>
      <c r="D909" s="4">
        <v>33.896599999999999</v>
      </c>
      <c r="E909" s="4">
        <v>150</v>
      </c>
      <c r="F909" s="4">
        <v>33.68</v>
      </c>
      <c r="G909" s="4">
        <v>5052</v>
      </c>
      <c r="H909" s="5">
        <f t="shared" si="14"/>
        <v>-2.8903097940207389E-4</v>
      </c>
    </row>
    <row r="910" spans="1:8" ht="13.5" x14ac:dyDescent="0.25">
      <c r="A910" s="1"/>
      <c r="B910" s="3">
        <v>43630</v>
      </c>
      <c r="C910" s="4">
        <v>34.369999999999997</v>
      </c>
      <c r="D910" s="4">
        <v>33.906399999999998</v>
      </c>
      <c r="E910" s="4">
        <v>50</v>
      </c>
      <c r="F910" s="4">
        <v>34.369999999999997</v>
      </c>
      <c r="G910" s="4">
        <v>1718.5</v>
      </c>
      <c r="H910" s="5">
        <f t="shared" si="14"/>
        <v>2.8911454246144088E-4</v>
      </c>
    </row>
    <row r="911" spans="1:8" ht="13.5" x14ac:dyDescent="0.25">
      <c r="A911" s="1"/>
      <c r="B911" s="3">
        <v>43633</v>
      </c>
      <c r="C911" s="4">
        <v>34.369999999999997</v>
      </c>
      <c r="D911" s="4">
        <v>33.906399999999998</v>
      </c>
      <c r="E911" s="4">
        <v>0</v>
      </c>
      <c r="F911" s="4">
        <v>0</v>
      </c>
      <c r="G911" s="4">
        <v>0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34.369999999999997</v>
      </c>
      <c r="D912" s="4">
        <v>33.906399999999998</v>
      </c>
      <c r="E912" s="4">
        <v>0</v>
      </c>
      <c r="F912" s="4">
        <v>0</v>
      </c>
      <c r="G912" s="4">
        <v>0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34.369999999999997</v>
      </c>
      <c r="D913" s="4">
        <v>33.906399999999998</v>
      </c>
      <c r="E913" s="4">
        <v>0</v>
      </c>
      <c r="F913" s="4">
        <v>0</v>
      </c>
      <c r="G913" s="4">
        <v>0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33.340000000000003</v>
      </c>
      <c r="D914" s="4">
        <v>32.890300000000003</v>
      </c>
      <c r="E914" s="4">
        <v>0</v>
      </c>
      <c r="F914" s="4">
        <v>0</v>
      </c>
      <c r="G914" s="4">
        <v>0</v>
      </c>
      <c r="H914" s="5">
        <f t="shared" si="14"/>
        <v>-2.9967793690866461E-2</v>
      </c>
    </row>
    <row r="915" spans="1:8" ht="13.5" x14ac:dyDescent="0.25">
      <c r="A915" s="1"/>
      <c r="B915" s="3">
        <v>43637</v>
      </c>
      <c r="C915" s="4">
        <v>32.340000000000003</v>
      </c>
      <c r="D915" s="4">
        <v>31.9038</v>
      </c>
      <c r="E915" s="4">
        <v>50</v>
      </c>
      <c r="F915" s="4">
        <v>34.340000000000003</v>
      </c>
      <c r="G915" s="4">
        <v>1717</v>
      </c>
      <c r="H915" s="5">
        <f t="shared" si="14"/>
        <v>-2.9993645542910917E-2</v>
      </c>
    </row>
    <row r="916" spans="1:8" ht="13.5" x14ac:dyDescent="0.25">
      <c r="A916" s="1"/>
      <c r="B916" s="3">
        <v>43640</v>
      </c>
      <c r="C916" s="4">
        <v>32.340000000000003</v>
      </c>
      <c r="D916" s="4">
        <v>31.9038</v>
      </c>
      <c r="E916" s="4">
        <v>0</v>
      </c>
      <c r="F916" s="4">
        <v>0</v>
      </c>
      <c r="G916" s="4">
        <v>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32.340000000000003</v>
      </c>
      <c r="D917" s="4">
        <v>31.9038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32.340000000000003</v>
      </c>
      <c r="D918" s="4">
        <v>31.9038</v>
      </c>
      <c r="E918" s="4">
        <v>0</v>
      </c>
      <c r="F918" s="4">
        <v>0</v>
      </c>
      <c r="G918" s="4">
        <v>0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32.340000000000003</v>
      </c>
      <c r="D919" s="4">
        <v>31.9038</v>
      </c>
      <c r="E919" s="4">
        <v>0</v>
      </c>
      <c r="F919" s="4">
        <v>0</v>
      </c>
      <c r="G919" s="4">
        <v>0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32.96</v>
      </c>
      <c r="D920" s="4">
        <v>32.515500000000003</v>
      </c>
      <c r="E920" s="4">
        <v>250</v>
      </c>
      <c r="F920" s="4">
        <v>32.768000000000001</v>
      </c>
      <c r="G920" s="4">
        <v>8192</v>
      </c>
      <c r="H920" s="5">
        <f t="shared" si="14"/>
        <v>1.9173264626784349E-2</v>
      </c>
    </row>
    <row r="921" spans="1:8" ht="13.5" x14ac:dyDescent="0.25">
      <c r="A921" s="1"/>
      <c r="B921" s="3">
        <v>43647</v>
      </c>
      <c r="C921" s="4">
        <v>32.799999999999997</v>
      </c>
      <c r="D921" s="4">
        <v>32.357599999999998</v>
      </c>
      <c r="E921" s="4">
        <v>43</v>
      </c>
      <c r="F921" s="4">
        <v>33.807400000000001</v>
      </c>
      <c r="G921" s="4">
        <v>1453.7182</v>
      </c>
      <c r="H921" s="5">
        <f t="shared" si="14"/>
        <v>-4.856145530593256E-3</v>
      </c>
    </row>
    <row r="922" spans="1:8" ht="13.5" x14ac:dyDescent="0.25">
      <c r="A922" s="1"/>
      <c r="B922" s="3">
        <v>43648</v>
      </c>
      <c r="C922" s="4">
        <v>33.770000000000003</v>
      </c>
      <c r="D922" s="4">
        <v>33.314500000000002</v>
      </c>
      <c r="E922" s="4">
        <v>300</v>
      </c>
      <c r="F922" s="4">
        <v>33.591700000000003</v>
      </c>
      <c r="G922" s="4">
        <v>10077.51</v>
      </c>
      <c r="H922" s="5">
        <f t="shared" si="14"/>
        <v>2.9572650629218624E-2</v>
      </c>
    </row>
    <row r="923" spans="1:8" ht="13.5" x14ac:dyDescent="0.25">
      <c r="A923" s="1"/>
      <c r="B923" s="3">
        <v>43649</v>
      </c>
      <c r="C923" s="4">
        <v>34.78</v>
      </c>
      <c r="D923" s="4">
        <v>34.310899999999997</v>
      </c>
      <c r="E923" s="4">
        <v>20</v>
      </c>
      <c r="F923" s="4">
        <v>34.78</v>
      </c>
      <c r="G923" s="4">
        <v>695.6</v>
      </c>
      <c r="H923" s="5">
        <f t="shared" si="14"/>
        <v>2.9908898527667954E-2</v>
      </c>
    </row>
    <row r="924" spans="1:8" ht="13.5" x14ac:dyDescent="0.25">
      <c r="A924" s="1"/>
      <c r="B924" s="3">
        <v>43650</v>
      </c>
      <c r="C924" s="4">
        <v>34.78</v>
      </c>
      <c r="D924" s="4">
        <v>34.310899999999997</v>
      </c>
      <c r="E924" s="4">
        <v>2</v>
      </c>
      <c r="F924" s="4">
        <v>34.78</v>
      </c>
      <c r="G924" s="4">
        <v>69.56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34.78</v>
      </c>
      <c r="D925" s="4">
        <v>34.310899999999997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34.78</v>
      </c>
      <c r="D926" s="4">
        <v>34.310899999999997</v>
      </c>
      <c r="E926" s="4">
        <v>0</v>
      </c>
      <c r="F926" s="4">
        <v>0</v>
      </c>
      <c r="G926" s="4">
        <v>0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34.78</v>
      </c>
      <c r="D927" s="4">
        <v>34.310899999999997</v>
      </c>
      <c r="E927" s="4">
        <v>0</v>
      </c>
      <c r="F927" s="4">
        <v>0</v>
      </c>
      <c r="G927" s="4">
        <v>0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34.78</v>
      </c>
      <c r="D928" s="4">
        <v>34.310899999999997</v>
      </c>
      <c r="E928" s="4">
        <v>0</v>
      </c>
      <c r="F928" s="4">
        <v>0</v>
      </c>
      <c r="G928" s="4">
        <v>0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34.25</v>
      </c>
      <c r="D929" s="4">
        <v>33.7881</v>
      </c>
      <c r="E929" s="4">
        <v>1</v>
      </c>
      <c r="F929" s="4">
        <v>34.25</v>
      </c>
      <c r="G929" s="4">
        <v>34.25</v>
      </c>
      <c r="H929" s="5">
        <f t="shared" si="14"/>
        <v>-1.5237140383959518E-2</v>
      </c>
    </row>
    <row r="930" spans="1:8" ht="13.5" x14ac:dyDescent="0.25">
      <c r="A930" s="1"/>
      <c r="B930" s="3">
        <v>43658</v>
      </c>
      <c r="C930" s="4">
        <v>34.25</v>
      </c>
      <c r="D930" s="4">
        <v>33.7881</v>
      </c>
      <c r="E930" s="4">
        <v>0</v>
      </c>
      <c r="F930" s="4">
        <v>0</v>
      </c>
      <c r="G930" s="4">
        <v>0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34.25</v>
      </c>
      <c r="D931" s="4">
        <v>33.7881</v>
      </c>
      <c r="E931" s="4">
        <v>0</v>
      </c>
      <c r="F931" s="4">
        <v>0</v>
      </c>
      <c r="G931" s="4">
        <v>0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34.25</v>
      </c>
      <c r="D932" s="4">
        <v>33.7881</v>
      </c>
      <c r="E932" s="4">
        <v>0</v>
      </c>
      <c r="F932" s="4">
        <v>0</v>
      </c>
      <c r="G932" s="4">
        <v>0</v>
      </c>
      <c r="H932" s="5">
        <f t="shared" si="14"/>
        <v>0</v>
      </c>
    </row>
    <row r="933" spans="1:8" ht="13.5" x14ac:dyDescent="0.25">
      <c r="A933" s="1"/>
      <c r="B933" s="3">
        <v>43663</v>
      </c>
      <c r="C933" s="4">
        <v>34.25</v>
      </c>
      <c r="D933" s="4">
        <v>33.7881</v>
      </c>
      <c r="E933" s="4">
        <v>0</v>
      </c>
      <c r="F933" s="4">
        <v>0</v>
      </c>
      <c r="G933" s="4">
        <v>0</v>
      </c>
      <c r="H933" s="5">
        <f t="shared" si="14"/>
        <v>0</v>
      </c>
    </row>
    <row r="934" spans="1:8" ht="13.5" x14ac:dyDescent="0.25">
      <c r="A934" s="1"/>
      <c r="B934" s="3">
        <v>43664</v>
      </c>
      <c r="C934" s="4">
        <v>34.25</v>
      </c>
      <c r="D934" s="4">
        <v>33.7881</v>
      </c>
      <c r="E934" s="4">
        <v>0</v>
      </c>
      <c r="F934" s="4">
        <v>0</v>
      </c>
      <c r="G934" s="4">
        <v>0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34.25</v>
      </c>
      <c r="D935" s="4">
        <v>33.7881</v>
      </c>
      <c r="E935" s="4">
        <v>0</v>
      </c>
      <c r="F935" s="4">
        <v>0</v>
      </c>
      <c r="G935" s="4">
        <v>0</v>
      </c>
      <c r="H935" s="5">
        <f t="shared" si="14"/>
        <v>0</v>
      </c>
    </row>
    <row r="936" spans="1:8" ht="13.5" x14ac:dyDescent="0.25">
      <c r="A936" s="1"/>
      <c r="B936" s="3">
        <v>43668</v>
      </c>
      <c r="C936" s="4">
        <v>34.25</v>
      </c>
      <c r="D936" s="4">
        <v>33.7881</v>
      </c>
      <c r="E936" s="4">
        <v>0</v>
      </c>
      <c r="F936" s="4">
        <v>0</v>
      </c>
      <c r="G936" s="4">
        <v>0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34.25</v>
      </c>
      <c r="D937" s="4">
        <v>33.7881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34.25</v>
      </c>
      <c r="D938" s="4">
        <v>33.7881</v>
      </c>
      <c r="E938" s="4">
        <v>0</v>
      </c>
      <c r="F938" s="4">
        <v>0</v>
      </c>
      <c r="G938" s="4">
        <v>0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34</v>
      </c>
      <c r="D939" s="4">
        <v>33.541400000000003</v>
      </c>
      <c r="E939" s="4">
        <v>10</v>
      </c>
      <c r="F939" s="4">
        <v>34</v>
      </c>
      <c r="G939" s="4">
        <v>340</v>
      </c>
      <c r="H939" s="5">
        <f t="shared" si="14"/>
        <v>-7.3013871747744626E-3</v>
      </c>
    </row>
    <row r="940" spans="1:8" ht="13.5" x14ac:dyDescent="0.25">
      <c r="A940" s="1"/>
      <c r="B940" s="3">
        <v>43675</v>
      </c>
      <c r="C940" s="4">
        <v>34</v>
      </c>
      <c r="D940" s="4">
        <v>33.541400000000003</v>
      </c>
      <c r="E940" s="4">
        <v>0</v>
      </c>
      <c r="F940" s="4">
        <v>0</v>
      </c>
      <c r="G940" s="4">
        <v>0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34</v>
      </c>
      <c r="D941" s="4">
        <v>33.541400000000003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34</v>
      </c>
      <c r="D942" s="4">
        <v>33.541400000000003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34</v>
      </c>
      <c r="D943" s="4">
        <v>33.541400000000003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34</v>
      </c>
      <c r="D944" s="4">
        <v>33.541400000000003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34</v>
      </c>
      <c r="D945" s="4">
        <v>33.541400000000003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34</v>
      </c>
      <c r="D946" s="4">
        <v>33.541400000000003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32.979999999999997</v>
      </c>
      <c r="D947" s="4">
        <v>32.535200000000003</v>
      </c>
      <c r="E947" s="4">
        <v>0</v>
      </c>
      <c r="F947" s="4">
        <v>0</v>
      </c>
      <c r="G947" s="4">
        <v>0</v>
      </c>
      <c r="H947" s="5">
        <f t="shared" si="14"/>
        <v>-2.9998747816131696E-2</v>
      </c>
    </row>
    <row r="948" spans="1:8" ht="13.5" x14ac:dyDescent="0.25">
      <c r="A948" s="1"/>
      <c r="B948" s="3">
        <v>43685</v>
      </c>
      <c r="C948" s="4">
        <v>32</v>
      </c>
      <c r="D948" s="4">
        <v>31.5684</v>
      </c>
      <c r="E948" s="4">
        <v>14</v>
      </c>
      <c r="F948" s="4">
        <v>32</v>
      </c>
      <c r="G948" s="4">
        <v>448</v>
      </c>
      <c r="H948" s="5">
        <f t="shared" si="14"/>
        <v>-2.9715508126582982E-2</v>
      </c>
    </row>
    <row r="949" spans="1:8" ht="13.5" x14ac:dyDescent="0.25">
      <c r="A949" s="1"/>
      <c r="B949" s="3">
        <v>43686</v>
      </c>
      <c r="C949" s="4">
        <v>32.96</v>
      </c>
      <c r="D949" s="4">
        <v>32.515500000000003</v>
      </c>
      <c r="E949" s="4">
        <v>3</v>
      </c>
      <c r="F949" s="4">
        <v>32.96</v>
      </c>
      <c r="G949" s="4">
        <v>98.88</v>
      </c>
      <c r="H949" s="5">
        <f t="shared" si="14"/>
        <v>3.00015205078497E-2</v>
      </c>
    </row>
    <row r="950" spans="1:8" ht="13.5" x14ac:dyDescent="0.25">
      <c r="A950" s="1"/>
      <c r="B950" s="3">
        <v>43691</v>
      </c>
      <c r="C950" s="4">
        <v>33</v>
      </c>
      <c r="D950" s="4">
        <v>32.554900000000004</v>
      </c>
      <c r="E950" s="4">
        <v>3</v>
      </c>
      <c r="F950" s="4">
        <v>33</v>
      </c>
      <c r="G950" s="4">
        <v>99</v>
      </c>
      <c r="H950" s="5">
        <f t="shared" si="14"/>
        <v>1.2117297904076685E-3</v>
      </c>
    </row>
    <row r="951" spans="1:8" ht="13.5" x14ac:dyDescent="0.25">
      <c r="A951" s="1"/>
      <c r="B951" s="3">
        <v>43692</v>
      </c>
      <c r="C951" s="4">
        <v>33</v>
      </c>
      <c r="D951" s="4">
        <v>32.554900000000004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33</v>
      </c>
      <c r="D952" s="4">
        <v>32.554900000000004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32.1</v>
      </c>
      <c r="D953" s="4">
        <v>31.667100000000001</v>
      </c>
      <c r="E953" s="4">
        <v>10</v>
      </c>
      <c r="F953" s="4">
        <v>32.1</v>
      </c>
      <c r="G953" s="4">
        <v>321</v>
      </c>
      <c r="H953" s="5">
        <f t="shared" si="14"/>
        <v>-2.7270856307345499E-2</v>
      </c>
    </row>
    <row r="954" spans="1:8" ht="13.5" x14ac:dyDescent="0.25">
      <c r="A954" s="1"/>
      <c r="B954" s="3">
        <v>43697</v>
      </c>
      <c r="C954" s="4">
        <v>32</v>
      </c>
      <c r="D954" s="4">
        <v>31.5684</v>
      </c>
      <c r="E954" s="4">
        <v>18</v>
      </c>
      <c r="F954" s="4">
        <v>32</v>
      </c>
      <c r="G954" s="4">
        <v>576</v>
      </c>
      <c r="H954" s="5">
        <f t="shared" si="14"/>
        <v>-3.1167994543232847E-3</v>
      </c>
    </row>
    <row r="955" spans="1:8" ht="13.5" x14ac:dyDescent="0.25">
      <c r="A955" s="1"/>
      <c r="B955" s="3">
        <v>43698</v>
      </c>
      <c r="C955" s="4">
        <v>32</v>
      </c>
      <c r="D955" s="4">
        <v>31.5684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32</v>
      </c>
      <c r="D956" s="4">
        <v>31.5684</v>
      </c>
      <c r="E956" s="4">
        <v>0</v>
      </c>
      <c r="F956" s="4">
        <v>0</v>
      </c>
      <c r="G956" s="4">
        <v>0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32</v>
      </c>
      <c r="D957" s="4">
        <v>31.5684</v>
      </c>
      <c r="E957" s="4">
        <v>0</v>
      </c>
      <c r="F957" s="4">
        <v>0</v>
      </c>
      <c r="G957" s="4">
        <v>0</v>
      </c>
      <c r="H957" s="5">
        <f t="shared" si="14"/>
        <v>0</v>
      </c>
    </row>
    <row r="958" spans="1:8" ht="13.5" x14ac:dyDescent="0.25">
      <c r="A958" s="1"/>
      <c r="B958" s="3">
        <v>43703</v>
      </c>
      <c r="C958" s="4">
        <v>32</v>
      </c>
      <c r="D958" s="4">
        <v>31.5684</v>
      </c>
      <c r="E958" s="4">
        <v>20</v>
      </c>
      <c r="F958" s="4">
        <v>32</v>
      </c>
      <c r="G958" s="4">
        <v>640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32</v>
      </c>
      <c r="D959" s="4">
        <v>31.5684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32.54</v>
      </c>
      <c r="D960" s="4">
        <v>32.5075</v>
      </c>
      <c r="E960" s="4">
        <v>5</v>
      </c>
      <c r="F960" s="4">
        <v>32.323999999999998</v>
      </c>
      <c r="G960" s="4">
        <v>161.62</v>
      </c>
      <c r="H960" s="5">
        <f t="shared" si="14"/>
        <v>2.9748102532912653E-2</v>
      </c>
    </row>
    <row r="961" spans="1:8" ht="13.5" x14ac:dyDescent="0.25">
      <c r="A961" s="1"/>
      <c r="B961" s="3">
        <v>43706</v>
      </c>
      <c r="C961" s="4">
        <v>32.54</v>
      </c>
      <c r="D961" s="4">
        <v>32.5075</v>
      </c>
      <c r="E961" s="4">
        <v>0</v>
      </c>
      <c r="F961" s="4">
        <v>0</v>
      </c>
      <c r="G961" s="4">
        <v>0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32.54</v>
      </c>
      <c r="D962" s="4">
        <v>32.5075</v>
      </c>
      <c r="E962" s="4">
        <v>0</v>
      </c>
      <c r="F962" s="4">
        <v>0</v>
      </c>
      <c r="G962" s="4">
        <v>0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33.49</v>
      </c>
      <c r="D963" s="4">
        <v>33.456499999999998</v>
      </c>
      <c r="E963" s="4">
        <v>10</v>
      </c>
      <c r="F963" s="4">
        <v>33.49</v>
      </c>
      <c r="G963" s="4">
        <v>334.9</v>
      </c>
      <c r="H963" s="5">
        <f t="shared" si="14"/>
        <v>2.9193263093132294E-2</v>
      </c>
    </row>
    <row r="964" spans="1:8" ht="13.5" x14ac:dyDescent="0.25">
      <c r="A964" s="1"/>
      <c r="B964" s="3">
        <v>43711</v>
      </c>
      <c r="C964" s="4">
        <v>33.49</v>
      </c>
      <c r="D964" s="4">
        <v>33.456499999999998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33.49</v>
      </c>
      <c r="D965" s="4">
        <v>33.456499999999998</v>
      </c>
      <c r="E965" s="4">
        <v>0</v>
      </c>
      <c r="F965" s="4">
        <v>0</v>
      </c>
      <c r="G965" s="4">
        <v>0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33</v>
      </c>
      <c r="D966" s="4">
        <v>32.966999999999999</v>
      </c>
      <c r="E966" s="4">
        <v>10</v>
      </c>
      <c r="F966" s="4">
        <v>33</v>
      </c>
      <c r="G966" s="4">
        <v>330</v>
      </c>
      <c r="H966" s="5">
        <f t="shared" si="14"/>
        <v>-1.4630938681571582E-2</v>
      </c>
    </row>
    <row r="967" spans="1:8" ht="13.5" x14ac:dyDescent="0.25">
      <c r="A967" s="1"/>
      <c r="B967" s="3">
        <v>43714</v>
      </c>
      <c r="C967" s="4">
        <v>33</v>
      </c>
      <c r="D967" s="4">
        <v>32.966999999999999</v>
      </c>
      <c r="E967" s="4">
        <v>0</v>
      </c>
      <c r="F967" s="4">
        <v>0</v>
      </c>
      <c r="G967" s="4">
        <v>0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33</v>
      </c>
      <c r="D968" s="4">
        <v>32.966999999999999</v>
      </c>
      <c r="E968" s="4">
        <v>0</v>
      </c>
      <c r="F968" s="4">
        <v>0</v>
      </c>
      <c r="G968" s="4">
        <v>0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33</v>
      </c>
      <c r="D969" s="4">
        <v>32.966999999999999</v>
      </c>
      <c r="E969" s="4">
        <v>0</v>
      </c>
      <c r="F969" s="4">
        <v>0</v>
      </c>
      <c r="G969" s="4">
        <v>0</v>
      </c>
      <c r="H969" s="5">
        <f t="shared" si="15"/>
        <v>0</v>
      </c>
    </row>
    <row r="970" spans="1:8" ht="13.5" x14ac:dyDescent="0.25">
      <c r="A970" s="1"/>
      <c r="B970" s="3">
        <v>43719</v>
      </c>
      <c r="C970" s="4">
        <v>33</v>
      </c>
      <c r="D970" s="4">
        <v>32.966999999999999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32.99</v>
      </c>
      <c r="D971" s="4">
        <v>32.957000000000001</v>
      </c>
      <c r="E971" s="4">
        <v>1</v>
      </c>
      <c r="F971" s="4">
        <v>32.99</v>
      </c>
      <c r="G971" s="4">
        <v>32.99</v>
      </c>
      <c r="H971" s="5">
        <f t="shared" si="15"/>
        <v>-3.0333363666690965E-4</v>
      </c>
    </row>
    <row r="972" spans="1:8" ht="13.5" x14ac:dyDescent="0.25">
      <c r="A972" s="1"/>
      <c r="B972" s="3">
        <v>43721</v>
      </c>
      <c r="C972" s="4">
        <v>32.99</v>
      </c>
      <c r="D972" s="4">
        <v>32.957000000000001</v>
      </c>
      <c r="E972" s="4">
        <v>0</v>
      </c>
      <c r="F972" s="4">
        <v>0</v>
      </c>
      <c r="G972" s="4">
        <v>0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32.99</v>
      </c>
      <c r="D973" s="4">
        <v>32.957000000000001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32.99</v>
      </c>
      <c r="D974" s="4">
        <v>32.957000000000001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32.99</v>
      </c>
      <c r="D975" s="4">
        <v>32.957000000000001</v>
      </c>
      <c r="E975" s="4">
        <v>0</v>
      </c>
      <c r="F975" s="4">
        <v>0</v>
      </c>
      <c r="G975" s="4">
        <v>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32.99</v>
      </c>
      <c r="D976" s="4">
        <v>32.957000000000001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32.99</v>
      </c>
      <c r="D977" s="4">
        <v>32.957000000000001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32.99</v>
      </c>
      <c r="D978" s="4">
        <v>32.957000000000001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32.99</v>
      </c>
      <c r="D979" s="4">
        <v>32.957000000000001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32.01</v>
      </c>
      <c r="D980" s="4">
        <v>31.978000000000002</v>
      </c>
      <c r="E980" s="4">
        <v>0</v>
      </c>
      <c r="F980" s="4">
        <v>0</v>
      </c>
      <c r="G980" s="4">
        <v>0</v>
      </c>
      <c r="H980" s="5">
        <f t="shared" si="15"/>
        <v>-2.9705373668719823E-2</v>
      </c>
    </row>
    <row r="981" spans="1:8" ht="13.5" x14ac:dyDescent="0.25">
      <c r="A981" s="1"/>
      <c r="B981" s="3">
        <v>43734</v>
      </c>
      <c r="C981" s="4">
        <v>32.01</v>
      </c>
      <c r="D981" s="4">
        <v>31.978000000000002</v>
      </c>
      <c r="E981" s="4">
        <v>0</v>
      </c>
      <c r="F981" s="4">
        <v>0</v>
      </c>
      <c r="G981" s="4">
        <v>0</v>
      </c>
      <c r="H981" s="5">
        <f t="shared" si="15"/>
        <v>0</v>
      </c>
    </row>
    <row r="982" spans="1:8" ht="13.5" x14ac:dyDescent="0.25">
      <c r="A982" s="1"/>
      <c r="B982" s="3">
        <v>43735</v>
      </c>
      <c r="C982" s="4">
        <v>32.01</v>
      </c>
      <c r="D982" s="4">
        <v>31.978000000000002</v>
      </c>
      <c r="E982" s="4">
        <v>0</v>
      </c>
      <c r="F982" s="4">
        <v>0</v>
      </c>
      <c r="G982" s="4">
        <v>0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30.57</v>
      </c>
      <c r="D983" s="4">
        <v>30.539400000000001</v>
      </c>
      <c r="E983" s="4">
        <v>0</v>
      </c>
      <c r="F983" s="4">
        <v>0</v>
      </c>
      <c r="G983" s="4">
        <v>0</v>
      </c>
      <c r="H983" s="5">
        <f t="shared" si="15"/>
        <v>-4.4987178685346206E-2</v>
      </c>
    </row>
    <row r="984" spans="1:8" ht="13.5" x14ac:dyDescent="0.25">
      <c r="A984" s="1"/>
      <c r="B984" s="3">
        <v>43739</v>
      </c>
      <c r="C984" s="4">
        <v>29.66</v>
      </c>
      <c r="D984" s="4">
        <v>29.630299999999998</v>
      </c>
      <c r="E984" s="4">
        <v>1008</v>
      </c>
      <c r="F984" s="4">
        <v>29.661000000000001</v>
      </c>
      <c r="G984" s="4">
        <v>29898.288</v>
      </c>
      <c r="H984" s="5">
        <f t="shared" si="15"/>
        <v>-2.9768102844194785E-2</v>
      </c>
    </row>
    <row r="985" spans="1:8" ht="13.5" x14ac:dyDescent="0.25">
      <c r="A985" s="1"/>
      <c r="B985" s="3">
        <v>43740</v>
      </c>
      <c r="C985" s="4">
        <v>29.66</v>
      </c>
      <c r="D985" s="4">
        <v>29.630299999999998</v>
      </c>
      <c r="E985" s="4">
        <v>0</v>
      </c>
      <c r="F985" s="4">
        <v>0</v>
      </c>
      <c r="G985" s="4">
        <v>0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29.66</v>
      </c>
      <c r="D986" s="4">
        <v>29.630299999999998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28.8</v>
      </c>
      <c r="D987" s="4">
        <v>28.7712</v>
      </c>
      <c r="E987" s="4">
        <v>16</v>
      </c>
      <c r="F987" s="4">
        <v>29.1</v>
      </c>
      <c r="G987" s="4">
        <v>465.6</v>
      </c>
      <c r="H987" s="5">
        <f t="shared" si="15"/>
        <v>-2.899396901145105E-2</v>
      </c>
    </row>
    <row r="988" spans="1:8" ht="13.5" x14ac:dyDescent="0.25">
      <c r="A988" s="1"/>
      <c r="B988" s="3">
        <v>43745</v>
      </c>
      <c r="C988" s="4">
        <v>27.94</v>
      </c>
      <c r="D988" s="4">
        <v>27.912099999999999</v>
      </c>
      <c r="E988" s="4">
        <v>3</v>
      </c>
      <c r="F988" s="4">
        <v>28</v>
      </c>
      <c r="G988" s="4">
        <v>84</v>
      </c>
      <c r="H988" s="5">
        <f t="shared" si="15"/>
        <v>-2.9859720831943107E-2</v>
      </c>
    </row>
    <row r="989" spans="1:8" ht="13.5" x14ac:dyDescent="0.25">
      <c r="A989" s="1"/>
      <c r="B989" s="3">
        <v>43746</v>
      </c>
      <c r="C989" s="4">
        <v>27.11</v>
      </c>
      <c r="D989" s="4">
        <v>27.082899999999999</v>
      </c>
      <c r="E989" s="4">
        <v>3</v>
      </c>
      <c r="F989" s="4">
        <v>27.11</v>
      </c>
      <c r="G989" s="4">
        <v>81.33</v>
      </c>
      <c r="H989" s="5">
        <f t="shared" si="15"/>
        <v>-2.9707546189645356E-2</v>
      </c>
    </row>
    <row r="990" spans="1:8" ht="13.5" x14ac:dyDescent="0.25">
      <c r="A990" s="1"/>
      <c r="B990" s="3">
        <v>43747</v>
      </c>
      <c r="C990" s="4">
        <v>26.35</v>
      </c>
      <c r="D990" s="4">
        <v>26.323699999999999</v>
      </c>
      <c r="E990" s="4">
        <v>2</v>
      </c>
      <c r="F990" s="4">
        <v>26.806000000000001</v>
      </c>
      <c r="G990" s="4">
        <v>53.612000000000002</v>
      </c>
      <c r="H990" s="5">
        <f t="shared" si="15"/>
        <v>-2.8032448519176304E-2</v>
      </c>
    </row>
    <row r="991" spans="1:8" ht="13.5" x14ac:dyDescent="0.25">
      <c r="A991" s="1"/>
      <c r="B991" s="3">
        <v>43748</v>
      </c>
      <c r="C991" s="4">
        <v>25.17</v>
      </c>
      <c r="D991" s="4">
        <v>25.1448</v>
      </c>
      <c r="E991" s="4">
        <v>151</v>
      </c>
      <c r="F991" s="4">
        <v>25.248899999999999</v>
      </c>
      <c r="G991" s="4">
        <v>3812.5839000000001</v>
      </c>
      <c r="H991" s="5">
        <f t="shared" si="15"/>
        <v>-4.4784737707844975E-2</v>
      </c>
    </row>
    <row r="992" spans="1:8" ht="13.5" x14ac:dyDescent="0.25">
      <c r="A992" s="1"/>
      <c r="B992" s="3">
        <v>43749</v>
      </c>
      <c r="C992" s="4">
        <v>24.42</v>
      </c>
      <c r="D992" s="4">
        <v>24.395600000000002</v>
      </c>
      <c r="E992" s="4">
        <v>64</v>
      </c>
      <c r="F992" s="4">
        <v>24.421099999999999</v>
      </c>
      <c r="G992" s="4">
        <v>1562.9503999999999</v>
      </c>
      <c r="H992" s="5">
        <f t="shared" si="15"/>
        <v>-2.9795424898985012E-2</v>
      </c>
    </row>
    <row r="993" spans="1:8" ht="13.5" x14ac:dyDescent="0.25">
      <c r="A993" s="1"/>
      <c r="B993" s="3">
        <v>43752</v>
      </c>
      <c r="C993" s="4">
        <v>23.03</v>
      </c>
      <c r="D993" s="4">
        <v>23.007000000000001</v>
      </c>
      <c r="E993" s="4">
        <v>10</v>
      </c>
      <c r="F993" s="4">
        <v>23.36</v>
      </c>
      <c r="G993" s="4">
        <v>233.6</v>
      </c>
      <c r="H993" s="5">
        <f t="shared" si="15"/>
        <v>-5.6920100345964036E-2</v>
      </c>
    </row>
    <row r="994" spans="1:8" ht="13.5" x14ac:dyDescent="0.25">
      <c r="A994" s="1"/>
      <c r="B994" s="3">
        <v>43754</v>
      </c>
      <c r="C994" s="4">
        <v>23</v>
      </c>
      <c r="D994" s="4">
        <v>22.977</v>
      </c>
      <c r="E994" s="4">
        <v>42</v>
      </c>
      <c r="F994" s="4">
        <v>23.0017</v>
      </c>
      <c r="G994" s="4">
        <v>966.07140000000004</v>
      </c>
      <c r="H994" s="5">
        <f t="shared" si="15"/>
        <v>-1.303950971443523E-3</v>
      </c>
    </row>
    <row r="995" spans="1:8" ht="13.5" x14ac:dyDescent="0.25">
      <c r="A995" s="1"/>
      <c r="B995" s="3">
        <v>43755</v>
      </c>
      <c r="C995" s="4">
        <v>23.7</v>
      </c>
      <c r="D995" s="4">
        <v>23.676300000000001</v>
      </c>
      <c r="E995" s="4">
        <v>36</v>
      </c>
      <c r="F995" s="4">
        <v>23.029199999999999</v>
      </c>
      <c r="G995" s="4">
        <v>829.05119999999999</v>
      </c>
      <c r="H995" s="5">
        <f t="shared" si="15"/>
        <v>3.0434782608695692E-2</v>
      </c>
    </row>
    <row r="996" spans="1:8" ht="13.5" x14ac:dyDescent="0.25">
      <c r="A996" s="1"/>
      <c r="B996" s="3">
        <v>43756</v>
      </c>
      <c r="C996" s="4">
        <v>24.41</v>
      </c>
      <c r="D996" s="4">
        <v>24.3856</v>
      </c>
      <c r="E996" s="4">
        <v>4</v>
      </c>
      <c r="F996" s="4">
        <v>24.065000000000001</v>
      </c>
      <c r="G996" s="4">
        <v>96.26</v>
      </c>
      <c r="H996" s="5">
        <f t="shared" si="15"/>
        <v>2.9958228270464512E-2</v>
      </c>
    </row>
    <row r="997" spans="1:8" ht="13.5" x14ac:dyDescent="0.25">
      <c r="A997" s="1"/>
      <c r="B997" s="3">
        <v>43759</v>
      </c>
      <c r="C997" s="4">
        <v>25.14</v>
      </c>
      <c r="D997" s="4">
        <v>25.114899999999999</v>
      </c>
      <c r="E997" s="4">
        <v>10</v>
      </c>
      <c r="F997" s="4">
        <v>25.14</v>
      </c>
      <c r="G997" s="4">
        <v>251.4</v>
      </c>
      <c r="H997" s="5">
        <f t="shared" si="15"/>
        <v>2.990699429171308E-2</v>
      </c>
    </row>
    <row r="998" spans="1:8" ht="13.5" x14ac:dyDescent="0.25">
      <c r="A998" s="1"/>
      <c r="B998" s="3">
        <v>43760</v>
      </c>
      <c r="C998" s="4">
        <v>25.14</v>
      </c>
      <c r="D998" s="4">
        <v>25.114899999999999</v>
      </c>
      <c r="E998" s="4">
        <v>0</v>
      </c>
      <c r="F998" s="4">
        <v>0</v>
      </c>
      <c r="G998" s="4">
        <v>0</v>
      </c>
      <c r="H998" s="5">
        <f t="shared" si="15"/>
        <v>0</v>
      </c>
    </row>
    <row r="999" spans="1:8" ht="13.5" x14ac:dyDescent="0.25">
      <c r="A999" s="1"/>
      <c r="B999" s="3">
        <v>43761</v>
      </c>
      <c r="C999" s="4">
        <v>25.89</v>
      </c>
      <c r="D999" s="4">
        <v>25.864100000000001</v>
      </c>
      <c r="E999" s="4">
        <v>1</v>
      </c>
      <c r="F999" s="4">
        <v>25.89</v>
      </c>
      <c r="G999" s="4">
        <v>25.89</v>
      </c>
      <c r="H999" s="5">
        <f t="shared" si="15"/>
        <v>2.9830897196485032E-2</v>
      </c>
    </row>
    <row r="1000" spans="1:8" ht="13.5" x14ac:dyDescent="0.25">
      <c r="A1000" s="1"/>
      <c r="B1000" s="3">
        <v>43762</v>
      </c>
      <c r="C1000" s="4">
        <v>25.5</v>
      </c>
      <c r="D1000" s="4">
        <v>25.474499999999999</v>
      </c>
      <c r="E1000" s="4">
        <v>40</v>
      </c>
      <c r="F1000" s="4">
        <v>25.5</v>
      </c>
      <c r="G1000" s="4">
        <v>1020</v>
      </c>
      <c r="H1000" s="5">
        <f t="shared" si="15"/>
        <v>-1.5063350358218592E-2</v>
      </c>
    </row>
    <row r="1001" spans="1:8" ht="13.5" x14ac:dyDescent="0.25">
      <c r="A1001" s="1"/>
      <c r="B1001" s="3">
        <v>43763</v>
      </c>
      <c r="C1001" s="4">
        <v>25.89</v>
      </c>
      <c r="D1001" s="4">
        <v>25.864100000000001</v>
      </c>
      <c r="E1001" s="4">
        <v>1</v>
      </c>
      <c r="F1001" s="4">
        <v>25.89</v>
      </c>
      <c r="G1001" s="4">
        <v>25.89</v>
      </c>
      <c r="H1001" s="5">
        <f t="shared" si="15"/>
        <v>1.5293725097646725E-2</v>
      </c>
    </row>
    <row r="1002" spans="1:8" ht="13.5" x14ac:dyDescent="0.25">
      <c r="A1002" s="1"/>
      <c r="B1002" s="3">
        <v>43766</v>
      </c>
      <c r="C1002" s="4">
        <v>26.66</v>
      </c>
      <c r="D1002" s="4">
        <v>26.633299999999998</v>
      </c>
      <c r="E1002" s="4">
        <v>15</v>
      </c>
      <c r="F1002" s="4">
        <v>26.66</v>
      </c>
      <c r="G1002" s="4">
        <v>399.9</v>
      </c>
      <c r="H1002" s="5">
        <f t="shared" si="15"/>
        <v>2.9740064413607967E-2</v>
      </c>
    </row>
    <row r="1003" spans="1:8" ht="13.5" x14ac:dyDescent="0.25">
      <c r="A1003" s="1"/>
      <c r="B1003" s="3">
        <v>43767</v>
      </c>
      <c r="C1003" s="4">
        <v>27.8</v>
      </c>
      <c r="D1003" s="4">
        <v>27.772200000000002</v>
      </c>
      <c r="E1003" s="4">
        <v>894</v>
      </c>
      <c r="F1003" s="4">
        <v>27.885300000000001</v>
      </c>
      <c r="G1003" s="4">
        <v>24929.458200000001</v>
      </c>
      <c r="H1003" s="5">
        <f t="shared" si="15"/>
        <v>4.2762256273161915E-2</v>
      </c>
    </row>
    <row r="1004" spans="1:8" ht="13.5" x14ac:dyDescent="0.25">
      <c r="A1004" s="1"/>
      <c r="B1004" s="3">
        <v>43768</v>
      </c>
      <c r="C1004" s="4">
        <v>28.63</v>
      </c>
      <c r="D1004" s="4">
        <v>28.601400000000002</v>
      </c>
      <c r="E1004" s="4">
        <v>11</v>
      </c>
      <c r="F1004" s="4">
        <v>28.554500000000001</v>
      </c>
      <c r="G1004" s="4">
        <v>314.09949999999998</v>
      </c>
      <c r="H1004" s="5">
        <f t="shared" si="15"/>
        <v>2.9857195324821229E-2</v>
      </c>
    </row>
    <row r="1005" spans="1:8" ht="13.5" x14ac:dyDescent="0.25">
      <c r="A1005" s="1"/>
      <c r="B1005" s="3">
        <v>43769</v>
      </c>
      <c r="C1005" s="4">
        <v>28.63</v>
      </c>
      <c r="D1005" s="4">
        <v>28.601400000000002</v>
      </c>
      <c r="E1005" s="4">
        <v>0</v>
      </c>
      <c r="F1005" s="4">
        <v>0</v>
      </c>
      <c r="G1005" s="4">
        <v>0</v>
      </c>
      <c r="H1005" s="5">
        <f t="shared" si="15"/>
        <v>0</v>
      </c>
    </row>
    <row r="1006" spans="1:8" ht="13.5" x14ac:dyDescent="0.25">
      <c r="A1006" s="1"/>
      <c r="B1006" s="3">
        <v>43770</v>
      </c>
      <c r="C1006" s="4">
        <v>28.48</v>
      </c>
      <c r="D1006" s="4">
        <v>28.451499999999999</v>
      </c>
      <c r="E1006" s="4">
        <v>50</v>
      </c>
      <c r="F1006" s="4">
        <v>28.48</v>
      </c>
      <c r="G1006" s="4">
        <v>1424</v>
      </c>
      <c r="H1006" s="5">
        <f t="shared" si="15"/>
        <v>-5.241002188704132E-3</v>
      </c>
    </row>
    <row r="1007" spans="1:8" ht="13.5" x14ac:dyDescent="0.25">
      <c r="A1007" s="1"/>
      <c r="B1007" s="3">
        <v>43773</v>
      </c>
      <c r="C1007" s="4">
        <v>28.48</v>
      </c>
      <c r="D1007" s="4">
        <v>28.451499999999999</v>
      </c>
      <c r="E1007" s="4">
        <v>0</v>
      </c>
      <c r="F1007" s="4">
        <v>0</v>
      </c>
      <c r="G1007" s="4">
        <v>0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28</v>
      </c>
      <c r="D1008" s="4">
        <v>27.972000000000001</v>
      </c>
      <c r="E1008" s="4">
        <v>5</v>
      </c>
      <c r="F1008" s="4">
        <v>28</v>
      </c>
      <c r="G1008" s="4">
        <v>140</v>
      </c>
      <c r="H1008" s="5">
        <f t="shared" si="15"/>
        <v>-1.6853241481116919E-2</v>
      </c>
    </row>
    <row r="1009" spans="1:8" ht="13.5" x14ac:dyDescent="0.25">
      <c r="A1009" s="1"/>
      <c r="B1009" s="3">
        <v>43775</v>
      </c>
      <c r="C1009" s="4">
        <v>28</v>
      </c>
      <c r="D1009" s="4">
        <v>27.972000000000001</v>
      </c>
      <c r="E1009" s="4">
        <v>0</v>
      </c>
      <c r="F1009" s="4">
        <v>0</v>
      </c>
      <c r="G1009" s="4">
        <v>0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28</v>
      </c>
      <c r="D1010" s="4">
        <v>27.972000000000001</v>
      </c>
      <c r="E1010" s="4">
        <v>0</v>
      </c>
      <c r="F1010" s="4">
        <v>0</v>
      </c>
      <c r="G1010" s="4">
        <v>0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28</v>
      </c>
      <c r="D1011" s="4">
        <v>27.972000000000001</v>
      </c>
      <c r="E1011" s="4">
        <v>0</v>
      </c>
      <c r="F1011" s="4">
        <v>0</v>
      </c>
      <c r="G1011" s="4">
        <v>0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28</v>
      </c>
      <c r="D1012" s="4">
        <v>27.972000000000001</v>
      </c>
      <c r="E1012" s="4">
        <v>0</v>
      </c>
      <c r="F1012" s="4">
        <v>0</v>
      </c>
      <c r="G1012" s="4">
        <v>0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27.16</v>
      </c>
      <c r="D1013" s="4">
        <v>27.1328</v>
      </c>
      <c r="E1013" s="4">
        <v>2</v>
      </c>
      <c r="F1013" s="4">
        <v>27.565000000000001</v>
      </c>
      <c r="G1013" s="4">
        <v>55.13</v>
      </c>
      <c r="H1013" s="5">
        <f t="shared" si="15"/>
        <v>-3.000143000143006E-2</v>
      </c>
    </row>
    <row r="1014" spans="1:8" ht="13.5" x14ac:dyDescent="0.25">
      <c r="A1014" s="1"/>
      <c r="B1014" s="3">
        <v>43782</v>
      </c>
      <c r="C1014" s="4">
        <v>27.94</v>
      </c>
      <c r="D1014" s="4">
        <v>27.912099999999999</v>
      </c>
      <c r="E1014" s="4">
        <v>26</v>
      </c>
      <c r="F1014" s="4">
        <v>27.656500000000001</v>
      </c>
      <c r="G1014" s="4">
        <v>719.06899999999996</v>
      </c>
      <c r="H1014" s="5">
        <f t="shared" si="15"/>
        <v>2.8721694775327249E-2</v>
      </c>
    </row>
    <row r="1015" spans="1:8" ht="13.5" x14ac:dyDescent="0.25">
      <c r="A1015" s="1"/>
      <c r="B1015" s="3">
        <v>43783</v>
      </c>
      <c r="C1015" s="4">
        <v>27.1</v>
      </c>
      <c r="D1015" s="4">
        <v>27.072900000000001</v>
      </c>
      <c r="E1015" s="4">
        <v>42</v>
      </c>
      <c r="F1015" s="4">
        <v>27.692900000000002</v>
      </c>
      <c r="G1015" s="4">
        <v>1163.1017999999999</v>
      </c>
      <c r="H1015" s="5">
        <f t="shared" si="15"/>
        <v>-3.0065813751025478E-2</v>
      </c>
    </row>
    <row r="1016" spans="1:8" ht="13.5" x14ac:dyDescent="0.25">
      <c r="A1016" s="1"/>
      <c r="B1016" s="3">
        <v>43784</v>
      </c>
      <c r="C1016" s="4">
        <v>25.52</v>
      </c>
      <c r="D1016" s="4">
        <v>25.494499999999999</v>
      </c>
      <c r="E1016" s="4">
        <v>5</v>
      </c>
      <c r="F1016" s="4">
        <v>25.988</v>
      </c>
      <c r="G1016" s="4">
        <v>129.94</v>
      </c>
      <c r="H1016" s="5">
        <f t="shared" si="15"/>
        <v>-5.8301844279704133E-2</v>
      </c>
    </row>
    <row r="1017" spans="1:8" ht="13.5" x14ac:dyDescent="0.25">
      <c r="A1017" s="1"/>
      <c r="B1017" s="3">
        <v>43787</v>
      </c>
      <c r="C1017" s="4">
        <v>23.99</v>
      </c>
      <c r="D1017" s="4">
        <v>23.966000000000001</v>
      </c>
      <c r="E1017" s="4">
        <v>19</v>
      </c>
      <c r="F1017" s="4">
        <v>24.15</v>
      </c>
      <c r="G1017" s="4">
        <v>458.85</v>
      </c>
      <c r="H1017" s="5">
        <f t="shared" si="15"/>
        <v>-5.9954107748730022E-2</v>
      </c>
    </row>
    <row r="1018" spans="1:8" ht="13.5" x14ac:dyDescent="0.25">
      <c r="A1018" s="1"/>
      <c r="B1018" s="3">
        <v>43788</v>
      </c>
      <c r="C1018" s="4">
        <v>24</v>
      </c>
      <c r="D1018" s="4">
        <v>23.975999999999999</v>
      </c>
      <c r="E1018" s="4">
        <v>123</v>
      </c>
      <c r="F1018" s="4">
        <v>23.564299999999999</v>
      </c>
      <c r="G1018" s="4">
        <v>2898.4088999999999</v>
      </c>
      <c r="H1018" s="5">
        <f t="shared" si="15"/>
        <v>4.1725778185754863E-4</v>
      </c>
    </row>
    <row r="1019" spans="1:8" ht="13.5" x14ac:dyDescent="0.25">
      <c r="A1019" s="1"/>
      <c r="B1019" s="3">
        <v>43789</v>
      </c>
      <c r="C1019" s="4">
        <v>23.28</v>
      </c>
      <c r="D1019" s="4">
        <v>23.256699999999999</v>
      </c>
      <c r="E1019" s="4">
        <v>34</v>
      </c>
      <c r="F1019" s="4">
        <v>23.999700000000001</v>
      </c>
      <c r="G1019" s="4">
        <v>815.98979999999995</v>
      </c>
      <c r="H1019" s="5">
        <f t="shared" si="15"/>
        <v>-3.0000834167500857E-2</v>
      </c>
    </row>
    <row r="1020" spans="1:8" ht="13.5" x14ac:dyDescent="0.25">
      <c r="A1020" s="1"/>
      <c r="B1020" s="3">
        <v>43790</v>
      </c>
      <c r="C1020" s="4">
        <v>24.32</v>
      </c>
      <c r="D1020" s="4">
        <v>24.2957</v>
      </c>
      <c r="E1020" s="4">
        <v>39</v>
      </c>
      <c r="F1020" s="4">
        <v>24.212299999999999</v>
      </c>
      <c r="G1020" s="4">
        <v>944.27970000000005</v>
      </c>
      <c r="H1020" s="5">
        <f t="shared" si="15"/>
        <v>4.4675297871151175E-2</v>
      </c>
    </row>
    <row r="1021" spans="1:8" ht="13.5" x14ac:dyDescent="0.25">
      <c r="A1021" s="1"/>
      <c r="B1021" s="3">
        <v>43791</v>
      </c>
      <c r="C1021" s="4">
        <v>25</v>
      </c>
      <c r="D1021" s="4">
        <v>24.975000000000001</v>
      </c>
      <c r="E1021" s="4">
        <v>302</v>
      </c>
      <c r="F1021" s="4">
        <v>24.9954</v>
      </c>
      <c r="G1021" s="4">
        <v>7548.6108000000004</v>
      </c>
      <c r="H1021" s="5">
        <f t="shared" si="15"/>
        <v>2.7959680108002705E-2</v>
      </c>
    </row>
    <row r="1022" spans="1:8" ht="13.5" x14ac:dyDescent="0.25">
      <c r="A1022" s="1"/>
      <c r="B1022" s="3">
        <v>43794</v>
      </c>
      <c r="C1022" s="4">
        <v>25.75</v>
      </c>
      <c r="D1022" s="4">
        <v>25.724299999999999</v>
      </c>
      <c r="E1022" s="4">
        <v>360</v>
      </c>
      <c r="F1022" s="4">
        <v>25.75</v>
      </c>
      <c r="G1022" s="4">
        <v>9270</v>
      </c>
      <c r="H1022" s="5">
        <f t="shared" si="15"/>
        <v>3.0002002002001923E-2</v>
      </c>
    </row>
    <row r="1023" spans="1:8" ht="13.5" x14ac:dyDescent="0.25">
      <c r="A1023" s="1"/>
      <c r="B1023" s="3">
        <v>43795</v>
      </c>
      <c r="C1023" s="4">
        <v>27.31</v>
      </c>
      <c r="D1023" s="4">
        <v>27.282699999999998</v>
      </c>
      <c r="E1023" s="4">
        <v>7132</v>
      </c>
      <c r="F1023" s="4">
        <v>27.029800000000002</v>
      </c>
      <c r="G1023" s="4">
        <v>192776.5336</v>
      </c>
      <c r="H1023" s="5">
        <f t="shared" si="15"/>
        <v>6.0580851568361391E-2</v>
      </c>
    </row>
    <row r="1024" spans="1:8" ht="13.5" x14ac:dyDescent="0.25">
      <c r="A1024" s="1"/>
      <c r="B1024" s="3">
        <v>43796</v>
      </c>
      <c r="C1024" s="4">
        <v>28.97</v>
      </c>
      <c r="D1024" s="4">
        <v>28.940999999999999</v>
      </c>
      <c r="E1024" s="4">
        <v>522</v>
      </c>
      <c r="F1024" s="4">
        <v>28.977699999999999</v>
      </c>
      <c r="G1024" s="4">
        <v>15126.359399999999</v>
      </c>
      <c r="H1024" s="5">
        <f t="shared" si="15"/>
        <v>6.0782107342748359E-2</v>
      </c>
    </row>
    <row r="1025" spans="1:8" ht="13.5" x14ac:dyDescent="0.25">
      <c r="A1025" s="1"/>
      <c r="B1025" s="3">
        <v>43797</v>
      </c>
      <c r="C1025" s="4">
        <v>30.7</v>
      </c>
      <c r="D1025" s="4">
        <v>30.6693</v>
      </c>
      <c r="E1025" s="4">
        <v>17138</v>
      </c>
      <c r="F1025" s="4">
        <v>30.6645</v>
      </c>
      <c r="G1025" s="4">
        <v>525528.201</v>
      </c>
      <c r="H1025" s="5">
        <f t="shared" si="15"/>
        <v>5.9718047061262602E-2</v>
      </c>
    </row>
    <row r="1026" spans="1:8" ht="13.5" x14ac:dyDescent="0.25">
      <c r="A1026" s="1"/>
      <c r="B1026" s="3">
        <v>43798</v>
      </c>
      <c r="C1026" s="4">
        <v>32.54</v>
      </c>
      <c r="D1026" s="4">
        <v>32.5075</v>
      </c>
      <c r="E1026" s="4">
        <v>14421</v>
      </c>
      <c r="F1026" s="4">
        <v>32.017699999999998</v>
      </c>
      <c r="G1026" s="4">
        <v>461727.25170000002</v>
      </c>
      <c r="H1026" s="5">
        <f t="shared" si="15"/>
        <v>5.9936157656027382E-2</v>
      </c>
    </row>
    <row r="1027" spans="1:8" ht="13.5" x14ac:dyDescent="0.25">
      <c r="A1027" s="1"/>
      <c r="B1027" s="3">
        <v>43801</v>
      </c>
      <c r="C1027" s="4">
        <v>34</v>
      </c>
      <c r="D1027" s="4">
        <v>33.966000000000001</v>
      </c>
      <c r="E1027" s="4">
        <v>11939</v>
      </c>
      <c r="F1027" s="4">
        <v>33.197899999999997</v>
      </c>
      <c r="G1027" s="4">
        <v>396349.72810000001</v>
      </c>
      <c r="H1027" s="5">
        <f t="shared" si="15"/>
        <v>4.4866569253249278E-2</v>
      </c>
    </row>
    <row r="1028" spans="1:8" ht="13.5" x14ac:dyDescent="0.25">
      <c r="A1028" s="1"/>
      <c r="B1028" s="3">
        <v>43802</v>
      </c>
      <c r="C1028" s="4">
        <v>33</v>
      </c>
      <c r="D1028" s="4">
        <v>32.966999999999999</v>
      </c>
      <c r="E1028" s="4">
        <v>1798</v>
      </c>
      <c r="F1028" s="4">
        <v>33.478000000000002</v>
      </c>
      <c r="G1028" s="4">
        <v>60193.444000000003</v>
      </c>
      <c r="H1028" s="5">
        <f t="shared" si="15"/>
        <v>-2.9411764705882422E-2</v>
      </c>
    </row>
    <row r="1029" spans="1:8" ht="13.5" x14ac:dyDescent="0.25">
      <c r="A1029" s="1"/>
      <c r="B1029" s="3">
        <v>43803</v>
      </c>
      <c r="C1029" s="4">
        <v>32.799999999999997</v>
      </c>
      <c r="D1029" s="4">
        <v>32.767200000000003</v>
      </c>
      <c r="E1029" s="4">
        <v>600</v>
      </c>
      <c r="F1029" s="4">
        <v>32.701700000000002</v>
      </c>
      <c r="G1029" s="4">
        <v>19621.02</v>
      </c>
      <c r="H1029" s="5">
        <f t="shared" si="15"/>
        <v>-6.0606060606059452E-3</v>
      </c>
    </row>
    <row r="1030" spans="1:8" ht="13.5" x14ac:dyDescent="0.25">
      <c r="A1030" s="1"/>
      <c r="B1030" s="3">
        <v>43804</v>
      </c>
      <c r="C1030" s="4">
        <v>32.79</v>
      </c>
      <c r="D1030" s="4">
        <v>32.757199999999997</v>
      </c>
      <c r="E1030" s="4">
        <v>1130</v>
      </c>
      <c r="F1030" s="4">
        <v>32.384599999999999</v>
      </c>
      <c r="G1030" s="4">
        <v>36594.597999999998</v>
      </c>
      <c r="H1030" s="5">
        <f t="shared" si="15"/>
        <v>-3.0518323201265642E-4</v>
      </c>
    </row>
    <row r="1031" spans="1:8" ht="13.5" x14ac:dyDescent="0.25">
      <c r="A1031" s="1"/>
      <c r="B1031" s="3">
        <v>43805</v>
      </c>
      <c r="C1031" s="4">
        <v>33.380000000000003</v>
      </c>
      <c r="D1031" s="4">
        <v>33.346600000000002</v>
      </c>
      <c r="E1031" s="4">
        <v>694</v>
      </c>
      <c r="F1031" s="4">
        <v>33.0398</v>
      </c>
      <c r="G1031" s="4">
        <v>22929.621200000001</v>
      </c>
      <c r="H1031" s="5">
        <f t="shared" ref="H1031:H1094" si="16">(D1031-D1030)/D1030</f>
        <v>1.7992990853919286E-2</v>
      </c>
    </row>
    <row r="1032" spans="1:8" ht="13.5" x14ac:dyDescent="0.25">
      <c r="A1032" s="1"/>
      <c r="B1032" s="3">
        <v>43808</v>
      </c>
      <c r="C1032" s="4">
        <v>33.299999999999997</v>
      </c>
      <c r="D1032" s="4">
        <v>33.2667</v>
      </c>
      <c r="E1032" s="4">
        <v>250</v>
      </c>
      <c r="F1032" s="4">
        <v>33.299999999999997</v>
      </c>
      <c r="G1032" s="4">
        <v>8325</v>
      </c>
      <c r="H1032" s="5">
        <f t="shared" si="16"/>
        <v>-2.3960463735433922E-3</v>
      </c>
    </row>
    <row r="1033" spans="1:8" ht="13.5" x14ac:dyDescent="0.25">
      <c r="A1033" s="1"/>
      <c r="B1033" s="3">
        <v>43809</v>
      </c>
      <c r="C1033" s="4">
        <v>33</v>
      </c>
      <c r="D1033" s="4">
        <v>32.966999999999999</v>
      </c>
      <c r="E1033" s="4">
        <v>351</v>
      </c>
      <c r="F1033" s="4">
        <v>32.939300000000003</v>
      </c>
      <c r="G1033" s="4">
        <v>11561.694299999999</v>
      </c>
      <c r="H1033" s="5">
        <f t="shared" si="16"/>
        <v>-9.0090090090090506E-3</v>
      </c>
    </row>
    <row r="1034" spans="1:8" ht="13.5" x14ac:dyDescent="0.25">
      <c r="A1034" s="1"/>
      <c r="B1034" s="3">
        <v>43810</v>
      </c>
      <c r="C1034" s="4">
        <v>32.5</v>
      </c>
      <c r="D1034" s="4">
        <v>32.467500000000001</v>
      </c>
      <c r="E1034" s="4">
        <v>229</v>
      </c>
      <c r="F1034" s="4">
        <v>31.911300000000001</v>
      </c>
      <c r="G1034" s="4">
        <v>7307.6877000000004</v>
      </c>
      <c r="H1034" s="5">
        <f t="shared" si="16"/>
        <v>-1.5151515151515079E-2</v>
      </c>
    </row>
    <row r="1035" spans="1:8" ht="13.5" x14ac:dyDescent="0.25">
      <c r="A1035" s="1"/>
      <c r="B1035" s="3">
        <v>43811</v>
      </c>
      <c r="C1035" s="4">
        <v>32.54</v>
      </c>
      <c r="D1035" s="4">
        <v>32.5075</v>
      </c>
      <c r="E1035" s="4">
        <v>933</v>
      </c>
      <c r="F1035" s="4">
        <v>32.404899999999998</v>
      </c>
      <c r="G1035" s="4">
        <v>30233.771700000001</v>
      </c>
      <c r="H1035" s="5">
        <f t="shared" si="16"/>
        <v>1.2320012320012057E-3</v>
      </c>
    </row>
    <row r="1036" spans="1:8" ht="13.5" x14ac:dyDescent="0.25">
      <c r="A1036" s="1"/>
      <c r="B1036" s="3">
        <v>43812</v>
      </c>
      <c r="C1036" s="4">
        <v>31.99</v>
      </c>
      <c r="D1036" s="4">
        <v>31.957999999999998</v>
      </c>
      <c r="E1036" s="4">
        <v>391</v>
      </c>
      <c r="F1036" s="4">
        <v>31.9389</v>
      </c>
      <c r="G1036" s="4">
        <v>12488.109899999999</v>
      </c>
      <c r="H1036" s="5">
        <f t="shared" si="16"/>
        <v>-1.6903791432746347E-2</v>
      </c>
    </row>
    <row r="1037" spans="1:8" ht="13.5" x14ac:dyDescent="0.25">
      <c r="A1037" s="1"/>
      <c r="B1037" s="3">
        <v>43815</v>
      </c>
      <c r="C1037" s="4">
        <v>31</v>
      </c>
      <c r="D1037" s="4">
        <v>30.969000000000001</v>
      </c>
      <c r="E1037" s="4">
        <v>911</v>
      </c>
      <c r="F1037" s="4">
        <v>31.8551</v>
      </c>
      <c r="G1037" s="4">
        <v>29019.9961</v>
      </c>
      <c r="H1037" s="5">
        <f t="shared" si="16"/>
        <v>-3.0946867763940084E-2</v>
      </c>
    </row>
    <row r="1038" spans="1:8" ht="13.5" x14ac:dyDescent="0.25">
      <c r="A1038" s="1"/>
      <c r="B1038" s="3">
        <v>43816</v>
      </c>
      <c r="C1038" s="4">
        <v>30.07</v>
      </c>
      <c r="D1038" s="4">
        <v>30.039899999999999</v>
      </c>
      <c r="E1038" s="4">
        <v>103</v>
      </c>
      <c r="F1038" s="4">
        <v>30.086400000000001</v>
      </c>
      <c r="G1038" s="4">
        <v>3098.8991999999998</v>
      </c>
      <c r="H1038" s="5">
        <f t="shared" si="16"/>
        <v>-3.0000968710646187E-2</v>
      </c>
    </row>
    <row r="1039" spans="1:8" ht="13.5" x14ac:dyDescent="0.25">
      <c r="A1039" s="1"/>
      <c r="B1039" s="3">
        <v>43817</v>
      </c>
      <c r="C1039" s="4">
        <v>30.7</v>
      </c>
      <c r="D1039" s="4">
        <v>30.6693</v>
      </c>
      <c r="E1039" s="4">
        <v>4</v>
      </c>
      <c r="F1039" s="4">
        <v>30.7</v>
      </c>
      <c r="G1039" s="4">
        <v>122.8</v>
      </c>
      <c r="H1039" s="5">
        <f t="shared" si="16"/>
        <v>2.0952133662229248E-2</v>
      </c>
    </row>
    <row r="1040" spans="1:8" ht="13.5" x14ac:dyDescent="0.25">
      <c r="A1040" s="1"/>
      <c r="B1040" s="3">
        <v>43818</v>
      </c>
      <c r="C1040" s="4">
        <v>30.69</v>
      </c>
      <c r="D1040" s="4">
        <v>30.659300000000002</v>
      </c>
      <c r="E1040" s="4">
        <v>150</v>
      </c>
      <c r="F1040" s="4">
        <v>30.69</v>
      </c>
      <c r="G1040" s="4">
        <v>4603.5</v>
      </c>
      <c r="H1040" s="5">
        <f t="shared" si="16"/>
        <v>-3.2605895798071722E-4</v>
      </c>
    </row>
    <row r="1041" spans="1:8" ht="13.5" x14ac:dyDescent="0.25">
      <c r="A1041" s="1"/>
      <c r="B1041" s="3">
        <v>43819</v>
      </c>
      <c r="C1041" s="4">
        <v>30.69</v>
      </c>
      <c r="D1041" s="4">
        <v>30.659300000000002</v>
      </c>
      <c r="E1041" s="4">
        <v>0</v>
      </c>
      <c r="F1041" s="4">
        <v>0</v>
      </c>
      <c r="G1041" s="4">
        <v>0</v>
      </c>
      <c r="H1041" s="5">
        <f t="shared" si="16"/>
        <v>0</v>
      </c>
    </row>
    <row r="1042" spans="1:8" ht="13.5" x14ac:dyDescent="0.25">
      <c r="A1042" s="1"/>
      <c r="B1042" s="3">
        <v>43822</v>
      </c>
      <c r="C1042" s="4">
        <v>29.31</v>
      </c>
      <c r="D1042" s="4">
        <v>29.2807</v>
      </c>
      <c r="E1042" s="4">
        <v>0</v>
      </c>
      <c r="F1042" s="4">
        <v>0</v>
      </c>
      <c r="G1042" s="4">
        <v>0</v>
      </c>
      <c r="H1042" s="5">
        <f t="shared" si="16"/>
        <v>-4.4965149236936335E-2</v>
      </c>
    </row>
    <row r="1043" spans="1:8" ht="13.5" x14ac:dyDescent="0.25">
      <c r="A1043" s="1"/>
      <c r="B1043" s="3">
        <v>43823</v>
      </c>
      <c r="C1043" s="4">
        <v>30.1</v>
      </c>
      <c r="D1043" s="4">
        <v>30.069900000000001</v>
      </c>
      <c r="E1043" s="4">
        <v>36</v>
      </c>
      <c r="F1043" s="4">
        <v>30.028300000000002</v>
      </c>
      <c r="G1043" s="4">
        <v>1081.0188000000001</v>
      </c>
      <c r="H1043" s="5">
        <f t="shared" si="16"/>
        <v>2.6952907546609235E-2</v>
      </c>
    </row>
    <row r="1044" spans="1:8" ht="13.5" x14ac:dyDescent="0.25">
      <c r="A1044" s="1"/>
      <c r="B1044" s="3">
        <v>43824</v>
      </c>
      <c r="C1044" s="4">
        <v>30</v>
      </c>
      <c r="D1044" s="4">
        <v>29.97</v>
      </c>
      <c r="E1044" s="4">
        <v>481</v>
      </c>
      <c r="F1044" s="4">
        <v>29.780799999999999</v>
      </c>
      <c r="G1044" s="4">
        <v>14324.5648</v>
      </c>
      <c r="H1044" s="5">
        <f t="shared" si="16"/>
        <v>-3.3222591362126797E-3</v>
      </c>
    </row>
    <row r="1045" spans="1:8" ht="13.5" x14ac:dyDescent="0.25">
      <c r="A1045" s="1"/>
      <c r="B1045" s="3">
        <v>43825</v>
      </c>
      <c r="C1045" s="4">
        <v>29.9</v>
      </c>
      <c r="D1045" s="4">
        <v>29.870100000000001</v>
      </c>
      <c r="E1045" s="4">
        <v>1000</v>
      </c>
      <c r="F1045" s="4">
        <v>29.9</v>
      </c>
      <c r="G1045" s="4">
        <v>29900</v>
      </c>
      <c r="H1045" s="5">
        <f t="shared" si="16"/>
        <v>-3.3333333333332702E-3</v>
      </c>
    </row>
    <row r="1046" spans="1:8" ht="13.5" x14ac:dyDescent="0.25">
      <c r="A1046" s="1"/>
      <c r="B1046" s="3">
        <v>43826</v>
      </c>
      <c r="C1046" s="4">
        <v>29.01</v>
      </c>
      <c r="D1046" s="4">
        <v>28.981000000000002</v>
      </c>
      <c r="E1046" s="4">
        <v>8</v>
      </c>
      <c r="F1046" s="4">
        <v>29.015000000000001</v>
      </c>
      <c r="G1046" s="4">
        <v>232.12</v>
      </c>
      <c r="H1046" s="5">
        <f t="shared" si="16"/>
        <v>-2.9765551504681909E-2</v>
      </c>
    </row>
    <row r="1047" spans="1:8" ht="13.5" x14ac:dyDescent="0.25">
      <c r="A1047" s="1"/>
      <c r="B1047" s="3">
        <v>43829</v>
      </c>
      <c r="C1047" s="4">
        <v>29.01</v>
      </c>
      <c r="D1047" s="4">
        <v>28.981000000000002</v>
      </c>
      <c r="E1047" s="4">
        <v>3057</v>
      </c>
      <c r="F1047" s="4">
        <v>28.976400000000002</v>
      </c>
      <c r="G1047" s="4">
        <v>88580.854800000001</v>
      </c>
      <c r="H1047" s="5">
        <f t="shared" si="16"/>
        <v>0</v>
      </c>
    </row>
    <row r="1048" spans="1:8" ht="13.5" x14ac:dyDescent="0.25">
      <c r="A1048" s="1"/>
      <c r="B1048" s="3">
        <v>43830</v>
      </c>
      <c r="C1048" s="4">
        <v>28.14</v>
      </c>
      <c r="D1048" s="4">
        <v>28.111899999999999</v>
      </c>
      <c r="E1048" s="4">
        <v>169</v>
      </c>
      <c r="F1048" s="4">
        <v>29</v>
      </c>
      <c r="G1048" s="4">
        <v>4901</v>
      </c>
      <c r="H1048" s="5">
        <f t="shared" si="16"/>
        <v>-2.998861322935727E-2</v>
      </c>
    </row>
    <row r="1049" spans="1:8" ht="13.5" x14ac:dyDescent="0.25">
      <c r="A1049" s="1"/>
      <c r="B1049" s="3">
        <v>43832</v>
      </c>
      <c r="C1049" s="4">
        <v>29.4</v>
      </c>
      <c r="D1049" s="4">
        <v>29.3706</v>
      </c>
      <c r="E1049" s="4">
        <v>1757</v>
      </c>
      <c r="F1049" s="4">
        <v>29.328299999999999</v>
      </c>
      <c r="G1049" s="4">
        <v>51529.823100000001</v>
      </c>
      <c r="H1049" s="5">
        <f t="shared" si="16"/>
        <v>4.4774632806747358E-2</v>
      </c>
    </row>
    <row r="1050" spans="1:8" ht="13.5" x14ac:dyDescent="0.25">
      <c r="A1050" s="1"/>
      <c r="B1050" s="3">
        <v>43833</v>
      </c>
      <c r="C1050" s="4">
        <v>29.95</v>
      </c>
      <c r="D1050" s="4">
        <v>29.920100000000001</v>
      </c>
      <c r="E1050" s="4">
        <v>1228</v>
      </c>
      <c r="F1050" s="4">
        <v>29.976299999999998</v>
      </c>
      <c r="G1050" s="4">
        <v>36810.896399999998</v>
      </c>
      <c r="H1050" s="5">
        <f t="shared" si="16"/>
        <v>1.8709185375852106E-2</v>
      </c>
    </row>
    <row r="1051" spans="1:8" ht="13.5" x14ac:dyDescent="0.25">
      <c r="A1051" s="1"/>
      <c r="B1051" s="3">
        <v>43836</v>
      </c>
      <c r="C1051" s="4">
        <v>29.95</v>
      </c>
      <c r="D1051" s="4">
        <v>29.920100000000001</v>
      </c>
      <c r="E1051" s="4">
        <v>100</v>
      </c>
      <c r="F1051" s="4">
        <v>29.95</v>
      </c>
      <c r="G1051" s="4">
        <v>2995</v>
      </c>
      <c r="H1051" s="5">
        <f t="shared" si="16"/>
        <v>0</v>
      </c>
    </row>
    <row r="1052" spans="1:8" ht="13.5" x14ac:dyDescent="0.25">
      <c r="A1052" s="1"/>
      <c r="B1052" s="3">
        <v>43837</v>
      </c>
      <c r="C1052" s="4">
        <v>29.06</v>
      </c>
      <c r="D1052" s="4">
        <v>29.030899999999999</v>
      </c>
      <c r="E1052" s="4">
        <v>4813</v>
      </c>
      <c r="F1052" s="4">
        <v>29.9239</v>
      </c>
      <c r="G1052" s="4">
        <v>144023.73069999999</v>
      </c>
      <c r="H1052" s="5">
        <f t="shared" si="16"/>
        <v>-2.9719152008181871E-2</v>
      </c>
    </row>
    <row r="1053" spans="1:8" ht="13.5" x14ac:dyDescent="0.25">
      <c r="A1053" s="1"/>
      <c r="B1053" s="3">
        <v>43838</v>
      </c>
      <c r="C1053" s="4">
        <v>29.9</v>
      </c>
      <c r="D1053" s="4">
        <v>29.870100000000001</v>
      </c>
      <c r="E1053" s="4">
        <v>595</v>
      </c>
      <c r="F1053" s="4">
        <v>29.9</v>
      </c>
      <c r="G1053" s="4">
        <v>17790.5</v>
      </c>
      <c r="H1053" s="5">
        <f t="shared" si="16"/>
        <v>2.8907129989080661E-2</v>
      </c>
    </row>
    <row r="1054" spans="1:8" ht="13.5" x14ac:dyDescent="0.25">
      <c r="A1054" s="1"/>
      <c r="B1054" s="3">
        <v>43839</v>
      </c>
      <c r="C1054" s="4">
        <v>30</v>
      </c>
      <c r="D1054" s="4">
        <v>29.97</v>
      </c>
      <c r="E1054" s="4">
        <v>590</v>
      </c>
      <c r="F1054" s="4">
        <v>29.9559</v>
      </c>
      <c r="G1054" s="4">
        <v>17673.981</v>
      </c>
      <c r="H1054" s="5">
        <f t="shared" si="16"/>
        <v>3.3444816053511068E-3</v>
      </c>
    </row>
    <row r="1055" spans="1:8" ht="13.5" x14ac:dyDescent="0.25">
      <c r="A1055" s="1"/>
      <c r="B1055" s="3">
        <v>43840</v>
      </c>
      <c r="C1055" s="4">
        <v>30</v>
      </c>
      <c r="D1055" s="4">
        <v>29.97</v>
      </c>
      <c r="E1055" s="4">
        <v>440</v>
      </c>
      <c r="F1055" s="4">
        <v>29.9682</v>
      </c>
      <c r="G1055" s="4">
        <v>13186.008</v>
      </c>
      <c r="H1055" s="5">
        <f t="shared" si="16"/>
        <v>0</v>
      </c>
    </row>
    <row r="1056" spans="1:8" ht="13.5" x14ac:dyDescent="0.25">
      <c r="A1056" s="1"/>
      <c r="B1056" s="3">
        <v>43843</v>
      </c>
      <c r="C1056" s="4">
        <v>30</v>
      </c>
      <c r="D1056" s="4">
        <v>29.97</v>
      </c>
      <c r="E1056" s="4">
        <v>100</v>
      </c>
      <c r="F1056" s="4">
        <v>30</v>
      </c>
      <c r="G1056" s="4">
        <v>3000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30</v>
      </c>
      <c r="D1057" s="4">
        <v>29.97</v>
      </c>
      <c r="E1057" s="4">
        <v>770</v>
      </c>
      <c r="F1057" s="4">
        <v>30</v>
      </c>
      <c r="G1057" s="4">
        <v>23100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28.23</v>
      </c>
      <c r="D1058" s="4">
        <v>28.201799999999999</v>
      </c>
      <c r="E1058" s="4">
        <v>785</v>
      </c>
      <c r="F1058" s="4">
        <v>28.762</v>
      </c>
      <c r="G1058" s="4">
        <v>22578.17</v>
      </c>
      <c r="H1058" s="5">
        <f t="shared" si="16"/>
        <v>-5.8998998998999005E-2</v>
      </c>
    </row>
    <row r="1059" spans="1:8" ht="13.5" x14ac:dyDescent="0.25">
      <c r="A1059" s="1"/>
      <c r="B1059" s="3">
        <v>43847</v>
      </c>
      <c r="C1059" s="4">
        <v>29.94</v>
      </c>
      <c r="D1059" s="4">
        <v>29.9101</v>
      </c>
      <c r="E1059" s="4">
        <v>32</v>
      </c>
      <c r="F1059" s="4">
        <v>29.097200000000001</v>
      </c>
      <c r="G1059" s="4">
        <v>931.11040000000003</v>
      </c>
      <c r="H1059" s="5">
        <f t="shared" si="16"/>
        <v>6.0574147749434482E-2</v>
      </c>
    </row>
    <row r="1060" spans="1:8" ht="13.5" x14ac:dyDescent="0.25">
      <c r="A1060" s="1"/>
      <c r="B1060" s="3">
        <v>43850</v>
      </c>
      <c r="C1060" s="4">
        <v>29.1</v>
      </c>
      <c r="D1060" s="4">
        <v>29.070900000000002</v>
      </c>
      <c r="E1060" s="4">
        <v>500</v>
      </c>
      <c r="F1060" s="4">
        <v>30</v>
      </c>
      <c r="G1060" s="4">
        <v>15000</v>
      </c>
      <c r="H1060" s="5">
        <f t="shared" si="16"/>
        <v>-2.8057412044760737E-2</v>
      </c>
    </row>
    <row r="1061" spans="1:8" ht="13.5" x14ac:dyDescent="0.25">
      <c r="A1061" s="1"/>
      <c r="B1061" s="3">
        <v>43851</v>
      </c>
      <c r="C1061" s="4">
        <v>30</v>
      </c>
      <c r="D1061" s="4">
        <v>29.97</v>
      </c>
      <c r="E1061" s="4">
        <v>3000</v>
      </c>
      <c r="F1061" s="4">
        <v>30</v>
      </c>
      <c r="G1061" s="4">
        <v>90000</v>
      </c>
      <c r="H1061" s="5">
        <f t="shared" si="16"/>
        <v>3.0927835051546292E-2</v>
      </c>
    </row>
    <row r="1062" spans="1:8" ht="13.5" x14ac:dyDescent="0.25">
      <c r="A1062" s="1"/>
      <c r="B1062" s="3">
        <v>43852</v>
      </c>
      <c r="C1062" s="4">
        <v>29.1</v>
      </c>
      <c r="D1062" s="4">
        <v>29.070900000000002</v>
      </c>
      <c r="E1062" s="4">
        <v>4328</v>
      </c>
      <c r="F1062" s="4">
        <v>29.931799999999999</v>
      </c>
      <c r="G1062" s="4">
        <v>129544.83040000001</v>
      </c>
      <c r="H1062" s="5">
        <f t="shared" si="16"/>
        <v>-2.9999999999999905E-2</v>
      </c>
    </row>
    <row r="1063" spans="1:8" ht="13.5" x14ac:dyDescent="0.25">
      <c r="A1063" s="1"/>
      <c r="B1063" s="3">
        <v>43853</v>
      </c>
      <c r="C1063" s="4">
        <v>30.4</v>
      </c>
      <c r="D1063" s="4">
        <v>30.369599999999998</v>
      </c>
      <c r="E1063" s="4">
        <v>3500</v>
      </c>
      <c r="F1063" s="4">
        <v>30</v>
      </c>
      <c r="G1063" s="4">
        <v>105000</v>
      </c>
      <c r="H1063" s="5">
        <f t="shared" si="16"/>
        <v>4.4673539518900227E-2</v>
      </c>
    </row>
    <row r="1064" spans="1:8" ht="13.5" x14ac:dyDescent="0.25">
      <c r="A1064" s="1"/>
      <c r="B1064" s="3">
        <v>43854</v>
      </c>
      <c r="C1064" s="4">
        <v>31.31</v>
      </c>
      <c r="D1064" s="4">
        <v>31.278700000000001</v>
      </c>
      <c r="E1064" s="4">
        <v>5645</v>
      </c>
      <c r="F1064" s="4">
        <v>31.31</v>
      </c>
      <c r="G1064" s="4">
        <v>176744.95</v>
      </c>
      <c r="H1064" s="5">
        <f t="shared" si="16"/>
        <v>2.993453980296093E-2</v>
      </c>
    </row>
    <row r="1065" spans="1:8" ht="13.5" x14ac:dyDescent="0.25">
      <c r="A1065" s="1"/>
      <c r="B1065" s="3">
        <v>43857</v>
      </c>
      <c r="C1065" s="4">
        <v>32</v>
      </c>
      <c r="D1065" s="4">
        <v>31.968</v>
      </c>
      <c r="E1065" s="4">
        <v>14250</v>
      </c>
      <c r="F1065" s="4">
        <v>31.998200000000001</v>
      </c>
      <c r="G1065" s="4">
        <v>455974.35</v>
      </c>
      <c r="H1065" s="5">
        <f t="shared" si="16"/>
        <v>2.2037360887760659E-2</v>
      </c>
    </row>
    <row r="1066" spans="1:8" ht="13.5" x14ac:dyDescent="0.25">
      <c r="A1066" s="1"/>
      <c r="B1066" s="3">
        <v>43858</v>
      </c>
      <c r="C1066" s="4">
        <v>32</v>
      </c>
      <c r="D1066" s="4">
        <v>31.968</v>
      </c>
      <c r="E1066" s="4">
        <v>11250</v>
      </c>
      <c r="F1066" s="4">
        <v>32</v>
      </c>
      <c r="G1066" s="4">
        <v>360000</v>
      </c>
      <c r="H1066" s="5">
        <f t="shared" si="16"/>
        <v>0</v>
      </c>
    </row>
    <row r="1067" spans="1:8" ht="13.5" x14ac:dyDescent="0.25">
      <c r="A1067" s="1"/>
      <c r="B1067" s="3">
        <v>43859</v>
      </c>
      <c r="C1067" s="4">
        <v>32</v>
      </c>
      <c r="D1067" s="4">
        <v>31.968</v>
      </c>
      <c r="E1067" s="4">
        <v>2500</v>
      </c>
      <c r="F1067" s="4">
        <v>32</v>
      </c>
      <c r="G1067" s="4">
        <v>80000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31.99</v>
      </c>
      <c r="D1068" s="4">
        <v>31.957999999999998</v>
      </c>
      <c r="E1068" s="4">
        <v>1600</v>
      </c>
      <c r="F1068" s="4">
        <v>31.99</v>
      </c>
      <c r="G1068" s="4">
        <v>51184</v>
      </c>
      <c r="H1068" s="5">
        <f t="shared" si="16"/>
        <v>-3.1281281281286171E-4</v>
      </c>
    </row>
    <row r="1069" spans="1:8" ht="13.5" x14ac:dyDescent="0.25">
      <c r="A1069" s="1"/>
      <c r="B1069" s="3">
        <v>43861</v>
      </c>
      <c r="C1069" s="4">
        <v>31.99</v>
      </c>
      <c r="D1069" s="4">
        <v>31.957999999999998</v>
      </c>
      <c r="E1069" s="4">
        <v>0</v>
      </c>
      <c r="F1069" s="4">
        <v>0</v>
      </c>
      <c r="G1069" s="4">
        <v>0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31.99</v>
      </c>
      <c r="D1070" s="4">
        <v>31.957999999999998</v>
      </c>
      <c r="E1070" s="4">
        <v>1000</v>
      </c>
      <c r="F1070" s="4">
        <v>31.99</v>
      </c>
      <c r="G1070" s="4">
        <v>31990</v>
      </c>
      <c r="H1070" s="5">
        <f t="shared" si="16"/>
        <v>0</v>
      </c>
    </row>
    <row r="1071" spans="1:8" ht="13.5" x14ac:dyDescent="0.25">
      <c r="A1071" s="1"/>
      <c r="B1071" s="3">
        <v>43865</v>
      </c>
      <c r="C1071" s="4">
        <v>31.99</v>
      </c>
      <c r="D1071" s="4">
        <v>31.957999999999998</v>
      </c>
      <c r="E1071" s="4">
        <v>0</v>
      </c>
      <c r="F1071" s="4">
        <v>0</v>
      </c>
      <c r="G1071" s="4">
        <v>0</v>
      </c>
      <c r="H1071" s="5">
        <f t="shared" si="16"/>
        <v>0</v>
      </c>
    </row>
    <row r="1072" spans="1:8" ht="13.5" x14ac:dyDescent="0.25">
      <c r="A1072" s="1"/>
      <c r="B1072" s="3">
        <v>43866</v>
      </c>
      <c r="C1072" s="4">
        <v>31.99</v>
      </c>
      <c r="D1072" s="4">
        <v>31.957999999999998</v>
      </c>
      <c r="E1072" s="4">
        <v>0</v>
      </c>
      <c r="F1072" s="4">
        <v>0</v>
      </c>
      <c r="G1072" s="4">
        <v>0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31.99</v>
      </c>
      <c r="D1073" s="4">
        <v>31.957999999999998</v>
      </c>
      <c r="E1073" s="4">
        <v>0</v>
      </c>
      <c r="F1073" s="4">
        <v>0</v>
      </c>
      <c r="G1073" s="4">
        <v>0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31.99</v>
      </c>
      <c r="D1074" s="4">
        <v>31.957999999999998</v>
      </c>
      <c r="E1074" s="4">
        <v>0</v>
      </c>
      <c r="F1074" s="4">
        <v>0</v>
      </c>
      <c r="G1074" s="4">
        <v>0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31.99</v>
      </c>
      <c r="D1075" s="4">
        <v>31.957999999999998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31.99</v>
      </c>
      <c r="D1076" s="4">
        <v>31.957999999999998</v>
      </c>
      <c r="E1076" s="4">
        <v>0</v>
      </c>
      <c r="F1076" s="4">
        <v>0</v>
      </c>
      <c r="G1076" s="4">
        <v>0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31.99</v>
      </c>
      <c r="D1077" s="4">
        <v>31.957999999999998</v>
      </c>
      <c r="E1077" s="4">
        <v>0</v>
      </c>
      <c r="F1077" s="4">
        <v>0</v>
      </c>
      <c r="G1077" s="4">
        <v>0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31.99</v>
      </c>
      <c r="D1078" s="4">
        <v>31.957999999999998</v>
      </c>
      <c r="E1078" s="4">
        <v>0</v>
      </c>
      <c r="F1078" s="4">
        <v>0</v>
      </c>
      <c r="G1078" s="4">
        <v>0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31.99</v>
      </c>
      <c r="D1079" s="4">
        <v>31.957999999999998</v>
      </c>
      <c r="E1079" s="4">
        <v>0</v>
      </c>
      <c r="F1079" s="4">
        <v>0</v>
      </c>
      <c r="G1079" s="4">
        <v>0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31.04</v>
      </c>
      <c r="D1080" s="4">
        <v>31.009</v>
      </c>
      <c r="E1080" s="4">
        <v>0</v>
      </c>
      <c r="F1080" s="4">
        <v>0</v>
      </c>
      <c r="G1080" s="4">
        <v>0</v>
      </c>
      <c r="H1080" s="5">
        <f t="shared" si="16"/>
        <v>-2.9695224982789852E-2</v>
      </c>
    </row>
    <row r="1081" spans="1:8" ht="13.5" x14ac:dyDescent="0.25">
      <c r="A1081" s="1"/>
      <c r="B1081" s="3">
        <v>43879</v>
      </c>
      <c r="C1081" s="4">
        <v>29.65</v>
      </c>
      <c r="D1081" s="4">
        <v>29.6204</v>
      </c>
      <c r="E1081" s="4">
        <v>0</v>
      </c>
      <c r="F1081" s="4">
        <v>0</v>
      </c>
      <c r="G1081" s="4">
        <v>0</v>
      </c>
      <c r="H1081" s="5">
        <f t="shared" si="16"/>
        <v>-4.4780547582959795E-2</v>
      </c>
    </row>
    <row r="1082" spans="1:8" ht="13.5" x14ac:dyDescent="0.25">
      <c r="A1082" s="1"/>
      <c r="B1082" s="3">
        <v>43880</v>
      </c>
      <c r="C1082" s="4">
        <v>29.65</v>
      </c>
      <c r="D1082" s="4">
        <v>29.6204</v>
      </c>
      <c r="E1082" s="4">
        <v>0</v>
      </c>
      <c r="F1082" s="4">
        <v>0</v>
      </c>
      <c r="G1082" s="4">
        <v>0</v>
      </c>
      <c r="H1082" s="5">
        <f t="shared" si="16"/>
        <v>0</v>
      </c>
    </row>
    <row r="1083" spans="1:8" ht="13.5" x14ac:dyDescent="0.25">
      <c r="A1083" s="1"/>
      <c r="B1083" s="3">
        <v>43881</v>
      </c>
      <c r="C1083" s="4">
        <v>30.53</v>
      </c>
      <c r="D1083" s="4">
        <v>30.499500000000001</v>
      </c>
      <c r="E1083" s="4">
        <v>0</v>
      </c>
      <c r="F1083" s="4">
        <v>0</v>
      </c>
      <c r="G1083" s="4">
        <v>0</v>
      </c>
      <c r="H1083" s="5">
        <f t="shared" si="16"/>
        <v>2.9678869967995066E-2</v>
      </c>
    </row>
    <row r="1084" spans="1:8" ht="13.5" x14ac:dyDescent="0.25">
      <c r="A1084" s="1"/>
      <c r="B1084" s="3">
        <v>43882</v>
      </c>
      <c r="C1084" s="4">
        <v>30.53</v>
      </c>
      <c r="D1084" s="4">
        <v>30.499500000000001</v>
      </c>
      <c r="E1084" s="4">
        <v>0</v>
      </c>
      <c r="F1084" s="4">
        <v>0</v>
      </c>
      <c r="G1084" s="4">
        <v>0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30.53</v>
      </c>
      <c r="D1085" s="4">
        <v>30.499500000000001</v>
      </c>
      <c r="E1085" s="4">
        <v>0</v>
      </c>
      <c r="F1085" s="4">
        <v>0</v>
      </c>
      <c r="G1085" s="4">
        <v>0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29.7</v>
      </c>
      <c r="D1086" s="4">
        <v>29.670300000000001</v>
      </c>
      <c r="E1086" s="4">
        <v>50</v>
      </c>
      <c r="F1086" s="4">
        <v>29.7</v>
      </c>
      <c r="G1086" s="4">
        <v>1485</v>
      </c>
      <c r="H1086" s="5">
        <f t="shared" si="16"/>
        <v>-2.7187330939851477E-2</v>
      </c>
    </row>
    <row r="1087" spans="1:8" ht="13.5" x14ac:dyDescent="0.25">
      <c r="A1087" s="1"/>
      <c r="B1087" s="3">
        <v>43887</v>
      </c>
      <c r="C1087" s="4">
        <v>30</v>
      </c>
      <c r="D1087" s="4">
        <v>29.97</v>
      </c>
      <c r="E1087" s="4">
        <v>300</v>
      </c>
      <c r="F1087" s="4">
        <v>30</v>
      </c>
      <c r="G1087" s="4">
        <v>9000</v>
      </c>
      <c r="H1087" s="5">
        <f t="shared" si="16"/>
        <v>1.0101010101010029E-2</v>
      </c>
    </row>
    <row r="1088" spans="1:8" ht="13.5" x14ac:dyDescent="0.25">
      <c r="A1088" s="1"/>
      <c r="B1088" s="3">
        <v>43888</v>
      </c>
      <c r="C1088" s="4">
        <v>30</v>
      </c>
      <c r="D1088" s="4">
        <v>29.97</v>
      </c>
      <c r="E1088" s="4">
        <v>0</v>
      </c>
      <c r="F1088" s="4">
        <v>0</v>
      </c>
      <c r="G1088" s="4">
        <v>0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30</v>
      </c>
      <c r="D1089" s="4">
        <v>29.97</v>
      </c>
      <c r="E1089" s="4">
        <v>0</v>
      </c>
      <c r="F1089" s="4">
        <v>0</v>
      </c>
      <c r="G1089" s="4">
        <v>0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30</v>
      </c>
      <c r="D1090" s="4">
        <v>29.97</v>
      </c>
      <c r="E1090" s="4">
        <v>0</v>
      </c>
      <c r="F1090" s="4">
        <v>0</v>
      </c>
      <c r="G1090" s="4">
        <v>0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30</v>
      </c>
      <c r="D1091" s="4">
        <v>29.97</v>
      </c>
      <c r="E1091" s="4">
        <v>0</v>
      </c>
      <c r="F1091" s="4">
        <v>0</v>
      </c>
      <c r="G1091" s="4">
        <v>0</v>
      </c>
      <c r="H1091" s="5">
        <f t="shared" si="16"/>
        <v>0</v>
      </c>
    </row>
    <row r="1092" spans="1:8" ht="13.5" x14ac:dyDescent="0.25">
      <c r="A1092" s="1"/>
      <c r="B1092" s="3">
        <v>43894</v>
      </c>
      <c r="C1092" s="4">
        <v>30</v>
      </c>
      <c r="D1092" s="4">
        <v>29.97</v>
      </c>
      <c r="E1092" s="4">
        <v>0</v>
      </c>
      <c r="F1092" s="4">
        <v>0</v>
      </c>
      <c r="G1092" s="4">
        <v>0</v>
      </c>
      <c r="H1092" s="5">
        <f t="shared" si="16"/>
        <v>0</v>
      </c>
    </row>
    <row r="1093" spans="1:8" ht="13.5" x14ac:dyDescent="0.25">
      <c r="A1093" s="1"/>
      <c r="B1093" s="3">
        <v>43895</v>
      </c>
      <c r="C1093" s="4">
        <v>30</v>
      </c>
      <c r="D1093" s="4">
        <v>29.97</v>
      </c>
      <c r="E1093" s="4">
        <v>0</v>
      </c>
      <c r="F1093" s="4">
        <v>0</v>
      </c>
      <c r="G1093" s="4">
        <v>0</v>
      </c>
      <c r="H1093" s="5">
        <f t="shared" si="16"/>
        <v>0</v>
      </c>
    </row>
    <row r="1094" spans="1:8" ht="13.5" x14ac:dyDescent="0.25">
      <c r="A1094" s="1"/>
      <c r="B1094" s="3">
        <v>43896</v>
      </c>
      <c r="C1094" s="4">
        <v>30</v>
      </c>
      <c r="D1094" s="4">
        <v>29.97</v>
      </c>
      <c r="E1094" s="4">
        <v>0</v>
      </c>
      <c r="F1094" s="4">
        <v>0</v>
      </c>
      <c r="G1094" s="4">
        <v>0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30</v>
      </c>
      <c r="D1095" s="4">
        <v>29.97</v>
      </c>
      <c r="E1095" s="4">
        <v>0</v>
      </c>
      <c r="F1095" s="4">
        <v>0</v>
      </c>
      <c r="G1095" s="4">
        <v>0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43900</v>
      </c>
      <c r="C1096" s="4">
        <v>29.99</v>
      </c>
      <c r="D1096" s="4">
        <v>29.96</v>
      </c>
      <c r="E1096" s="4">
        <v>1000</v>
      </c>
      <c r="F1096" s="4">
        <v>29.99</v>
      </c>
      <c r="G1096" s="4">
        <v>29990</v>
      </c>
      <c r="H1096" s="5">
        <f t="shared" si="17"/>
        <v>-3.3366700033360061E-4</v>
      </c>
    </row>
    <row r="1097" spans="1:8" ht="13.5" x14ac:dyDescent="0.25">
      <c r="A1097" s="1"/>
      <c r="B1097" s="3">
        <v>43901</v>
      </c>
      <c r="C1097" s="4">
        <v>29.99</v>
      </c>
      <c r="D1097" s="4">
        <v>29.96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29.99</v>
      </c>
      <c r="D1098" s="4">
        <v>29.96</v>
      </c>
      <c r="E1098" s="4">
        <v>0</v>
      </c>
      <c r="F1098" s="4">
        <v>0</v>
      </c>
      <c r="G1098" s="4">
        <v>0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29.99</v>
      </c>
      <c r="D1099" s="4">
        <v>29.96</v>
      </c>
      <c r="E1099" s="4">
        <v>0</v>
      </c>
      <c r="F1099" s="4">
        <v>0</v>
      </c>
      <c r="G1099" s="4">
        <v>0</v>
      </c>
      <c r="H1099" s="5">
        <f t="shared" si="17"/>
        <v>0</v>
      </c>
    </row>
    <row r="1100" spans="1:8" ht="13.5" x14ac:dyDescent="0.25">
      <c r="A1100" s="1"/>
      <c r="B1100" s="3">
        <v>43906</v>
      </c>
      <c r="C1100" s="4">
        <v>29.99</v>
      </c>
      <c r="D1100" s="4">
        <v>29.96</v>
      </c>
      <c r="E1100" s="4">
        <v>0</v>
      </c>
      <c r="F1100" s="4">
        <v>0</v>
      </c>
      <c r="G1100" s="4">
        <v>0</v>
      </c>
      <c r="H1100" s="5">
        <f t="shared" si="17"/>
        <v>0</v>
      </c>
    </row>
    <row r="1101" spans="1:8" ht="13.5" x14ac:dyDescent="0.25">
      <c r="A1101" s="1"/>
      <c r="B1101" s="3">
        <v>43907</v>
      </c>
      <c r="C1101" s="4">
        <v>28.65</v>
      </c>
      <c r="D1101" s="4">
        <v>28.621400000000001</v>
      </c>
      <c r="E1101" s="4">
        <v>0</v>
      </c>
      <c r="F1101" s="4">
        <v>0</v>
      </c>
      <c r="G1101" s="4">
        <v>0</v>
      </c>
      <c r="H1101" s="5">
        <f t="shared" si="17"/>
        <v>-4.4679572763684901E-2</v>
      </c>
    </row>
    <row r="1102" spans="1:8" ht="13.5" x14ac:dyDescent="0.25">
      <c r="A1102" s="1"/>
      <c r="B1102" s="3">
        <v>43908</v>
      </c>
      <c r="C1102" s="4">
        <v>29</v>
      </c>
      <c r="D1102" s="4">
        <v>28.971</v>
      </c>
      <c r="E1102" s="4">
        <v>7</v>
      </c>
      <c r="F1102" s="4">
        <v>29</v>
      </c>
      <c r="G1102" s="4">
        <v>203</v>
      </c>
      <c r="H1102" s="5">
        <f t="shared" si="17"/>
        <v>1.2214636600585534E-2</v>
      </c>
    </row>
    <row r="1103" spans="1:8" ht="13.5" x14ac:dyDescent="0.25">
      <c r="A1103" s="1"/>
      <c r="B1103" s="3">
        <v>43909</v>
      </c>
      <c r="C1103" s="4">
        <v>28.49</v>
      </c>
      <c r="D1103" s="4">
        <v>28.461500000000001</v>
      </c>
      <c r="E1103" s="4">
        <v>150</v>
      </c>
      <c r="F1103" s="4">
        <v>28.49</v>
      </c>
      <c r="G1103" s="4">
        <v>4273.5</v>
      </c>
      <c r="H1103" s="5">
        <f t="shared" si="17"/>
        <v>-1.7586552069310663E-2</v>
      </c>
    </row>
    <row r="1104" spans="1:8" ht="13.5" x14ac:dyDescent="0.25">
      <c r="A1104" s="1"/>
      <c r="B1104" s="3">
        <v>43913</v>
      </c>
      <c r="C1104" s="4">
        <v>28.49</v>
      </c>
      <c r="D1104" s="4">
        <v>28.461500000000001</v>
      </c>
      <c r="E1104" s="4">
        <v>0</v>
      </c>
      <c r="F1104" s="4">
        <v>0</v>
      </c>
      <c r="G1104" s="4">
        <v>0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29.1</v>
      </c>
      <c r="D1105" s="4">
        <v>29.070900000000002</v>
      </c>
      <c r="E1105" s="4">
        <v>30</v>
      </c>
      <c r="F1105" s="4">
        <v>29.1</v>
      </c>
      <c r="G1105" s="4">
        <v>873</v>
      </c>
      <c r="H1105" s="5">
        <f t="shared" si="17"/>
        <v>2.1411380285649064E-2</v>
      </c>
    </row>
    <row r="1106" spans="1:8" ht="13.5" x14ac:dyDescent="0.25">
      <c r="A1106" s="1"/>
      <c r="B1106" s="3">
        <v>43915</v>
      </c>
      <c r="C1106" s="4">
        <v>29.1</v>
      </c>
      <c r="D1106" s="4">
        <v>29.070900000000002</v>
      </c>
      <c r="E1106" s="4">
        <v>0</v>
      </c>
      <c r="F1106" s="4">
        <v>0</v>
      </c>
      <c r="G1106" s="4">
        <v>0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29.1</v>
      </c>
      <c r="D1107" s="4">
        <v>29.070900000000002</v>
      </c>
      <c r="E1107" s="4">
        <v>0</v>
      </c>
      <c r="F1107" s="4">
        <v>0</v>
      </c>
      <c r="G1107" s="4">
        <v>0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29.1</v>
      </c>
      <c r="D1108" s="4">
        <v>29.070900000000002</v>
      </c>
      <c r="E1108" s="4">
        <v>0</v>
      </c>
      <c r="F1108" s="4">
        <v>0</v>
      </c>
      <c r="G1108" s="4">
        <v>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29.1</v>
      </c>
      <c r="D1109" s="4">
        <v>29.070900000000002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29.1</v>
      </c>
      <c r="D1110" s="4">
        <v>29.070900000000002</v>
      </c>
      <c r="E1110" s="4">
        <v>0</v>
      </c>
      <c r="F1110" s="4">
        <v>0</v>
      </c>
      <c r="G1110" s="4">
        <v>0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29.1</v>
      </c>
      <c r="D1111" s="4">
        <v>29.070900000000002</v>
      </c>
      <c r="E1111" s="4">
        <v>0</v>
      </c>
      <c r="F1111" s="4">
        <v>0</v>
      </c>
      <c r="G1111" s="4">
        <v>0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29.97</v>
      </c>
      <c r="D1112" s="4">
        <v>29.94</v>
      </c>
      <c r="E1112" s="4">
        <v>10</v>
      </c>
      <c r="F1112" s="4">
        <v>29.97</v>
      </c>
      <c r="G1112" s="4">
        <v>299.7</v>
      </c>
      <c r="H1112" s="5">
        <f t="shared" si="17"/>
        <v>2.9895875256699983E-2</v>
      </c>
    </row>
    <row r="1113" spans="1:8" ht="13.5" x14ac:dyDescent="0.25">
      <c r="A1113" s="1"/>
      <c r="B1113" s="3">
        <v>43924</v>
      </c>
      <c r="C1113" s="4">
        <v>30.8</v>
      </c>
      <c r="D1113" s="4">
        <v>30.769200000000001</v>
      </c>
      <c r="E1113" s="4">
        <v>5</v>
      </c>
      <c r="F1113" s="4">
        <v>30.8</v>
      </c>
      <c r="G1113" s="4">
        <v>154</v>
      </c>
      <c r="H1113" s="5">
        <f t="shared" si="17"/>
        <v>2.769539078156313E-2</v>
      </c>
    </row>
    <row r="1114" spans="1:8" ht="13.5" x14ac:dyDescent="0.25">
      <c r="A1114" s="1"/>
      <c r="B1114" s="3">
        <v>43927</v>
      </c>
      <c r="C1114" s="4">
        <v>29.88</v>
      </c>
      <c r="D1114" s="4">
        <v>29.850100000000001</v>
      </c>
      <c r="E1114" s="4">
        <v>0</v>
      </c>
      <c r="F1114" s="4">
        <v>0</v>
      </c>
      <c r="G1114" s="4">
        <v>0</v>
      </c>
      <c r="H1114" s="5">
        <f t="shared" si="17"/>
        <v>-2.9870779870779879E-2</v>
      </c>
    </row>
    <row r="1115" spans="1:8" ht="13.5" x14ac:dyDescent="0.25">
      <c r="A1115" s="1"/>
      <c r="B1115" s="3">
        <v>43928</v>
      </c>
      <c r="C1115" s="4">
        <v>29.88</v>
      </c>
      <c r="D1115" s="4">
        <v>29.850100000000001</v>
      </c>
      <c r="E1115" s="4">
        <v>5</v>
      </c>
      <c r="F1115" s="4">
        <v>29.88</v>
      </c>
      <c r="G1115" s="4">
        <v>149.4</v>
      </c>
      <c r="H1115" s="5">
        <f t="shared" si="17"/>
        <v>0</v>
      </c>
    </row>
    <row r="1116" spans="1:8" ht="13.5" x14ac:dyDescent="0.25">
      <c r="A1116" s="1"/>
      <c r="B1116" s="3">
        <v>43929</v>
      </c>
      <c r="C1116" s="4">
        <v>29.09</v>
      </c>
      <c r="D1116" s="4">
        <v>29.0609</v>
      </c>
      <c r="E1116" s="4">
        <v>20</v>
      </c>
      <c r="F1116" s="4">
        <v>29.09</v>
      </c>
      <c r="G1116" s="4">
        <v>581.79999999999995</v>
      </c>
      <c r="H1116" s="5">
        <f t="shared" si="17"/>
        <v>-2.643877239942248E-2</v>
      </c>
    </row>
    <row r="1117" spans="1:8" ht="13.5" x14ac:dyDescent="0.25">
      <c r="A1117" s="1"/>
      <c r="B1117" s="3">
        <v>43934</v>
      </c>
      <c r="C1117" s="4">
        <v>29.09</v>
      </c>
      <c r="D1117" s="4">
        <v>29.0609</v>
      </c>
      <c r="E1117" s="4">
        <v>5</v>
      </c>
      <c r="F1117" s="4">
        <v>29.09</v>
      </c>
      <c r="G1117" s="4">
        <v>145.44999999999999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29.09</v>
      </c>
      <c r="D1118" s="4">
        <v>29.0609</v>
      </c>
      <c r="E1118" s="4">
        <v>5</v>
      </c>
      <c r="F1118" s="4">
        <v>29.09</v>
      </c>
      <c r="G1118" s="4">
        <v>145.44999999999999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28.22</v>
      </c>
      <c r="D1119" s="4">
        <v>28.191800000000001</v>
      </c>
      <c r="E1119" s="4">
        <v>0</v>
      </c>
      <c r="F1119" s="4">
        <v>0</v>
      </c>
      <c r="G1119" s="4">
        <v>0</v>
      </c>
      <c r="H1119" s="5">
        <f t="shared" si="17"/>
        <v>-2.9906162575832115E-2</v>
      </c>
    </row>
    <row r="1120" spans="1:8" ht="13.5" x14ac:dyDescent="0.25">
      <c r="A1120" s="1"/>
      <c r="B1120" s="3">
        <v>43937</v>
      </c>
      <c r="C1120" s="4">
        <v>28.22</v>
      </c>
      <c r="D1120" s="4">
        <v>28.191800000000001</v>
      </c>
      <c r="E1120" s="4">
        <v>0</v>
      </c>
      <c r="F1120" s="4">
        <v>0</v>
      </c>
      <c r="G1120" s="4">
        <v>0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28.22</v>
      </c>
      <c r="D1121" s="4">
        <v>28.191800000000001</v>
      </c>
      <c r="E1121" s="4">
        <v>5</v>
      </c>
      <c r="F1121" s="4">
        <v>28.22</v>
      </c>
      <c r="G1121" s="4">
        <v>141.1</v>
      </c>
      <c r="H1121" s="5">
        <f t="shared" si="17"/>
        <v>0</v>
      </c>
    </row>
    <row r="1122" spans="1:8" ht="13.5" x14ac:dyDescent="0.25">
      <c r="A1122" s="1"/>
      <c r="B1122" s="3">
        <v>43941</v>
      </c>
      <c r="C1122" s="4">
        <v>29.06</v>
      </c>
      <c r="D1122" s="4">
        <v>29.030899999999999</v>
      </c>
      <c r="E1122" s="4">
        <v>5</v>
      </c>
      <c r="F1122" s="4">
        <v>29.06</v>
      </c>
      <c r="G1122" s="4">
        <v>145.30000000000001</v>
      </c>
      <c r="H1122" s="5">
        <f t="shared" si="17"/>
        <v>2.9763973921494845E-2</v>
      </c>
    </row>
    <row r="1123" spans="1:8" ht="13.5" x14ac:dyDescent="0.25">
      <c r="A1123" s="1"/>
      <c r="B1123" s="3">
        <v>43942</v>
      </c>
      <c r="C1123" s="4">
        <v>28.19</v>
      </c>
      <c r="D1123" s="4">
        <v>28.161799999999999</v>
      </c>
      <c r="E1123" s="4">
        <v>7</v>
      </c>
      <c r="F1123" s="4">
        <v>28.314299999999999</v>
      </c>
      <c r="G1123" s="4">
        <v>198.20009999999999</v>
      </c>
      <c r="H1123" s="5">
        <f t="shared" si="17"/>
        <v>-2.9937067056136722E-2</v>
      </c>
    </row>
    <row r="1124" spans="1:8" ht="13.5" x14ac:dyDescent="0.25">
      <c r="A1124" s="1"/>
      <c r="B1124" s="3">
        <v>43943</v>
      </c>
      <c r="C1124" s="4">
        <v>29.03</v>
      </c>
      <c r="D1124" s="4">
        <v>29.001000000000001</v>
      </c>
      <c r="E1124" s="4">
        <v>1153</v>
      </c>
      <c r="F1124" s="4">
        <v>29.03</v>
      </c>
      <c r="G1124" s="4">
        <v>33471.589999999997</v>
      </c>
      <c r="H1124" s="5">
        <f t="shared" si="17"/>
        <v>2.9799231583208522E-2</v>
      </c>
    </row>
    <row r="1125" spans="1:8" ht="13.5" x14ac:dyDescent="0.25">
      <c r="A1125" s="1"/>
      <c r="B1125" s="3">
        <v>43944</v>
      </c>
      <c r="C1125" s="4">
        <v>28.16</v>
      </c>
      <c r="D1125" s="4">
        <v>28.131799999999998</v>
      </c>
      <c r="E1125" s="4">
        <v>6</v>
      </c>
      <c r="F1125" s="4">
        <v>28.16</v>
      </c>
      <c r="G1125" s="4">
        <v>168.96</v>
      </c>
      <c r="H1125" s="5">
        <f t="shared" si="17"/>
        <v>-2.9971380297231228E-2</v>
      </c>
    </row>
    <row r="1126" spans="1:8" ht="13.5" x14ac:dyDescent="0.25">
      <c r="A1126" s="1"/>
      <c r="B1126" s="3">
        <v>43945</v>
      </c>
      <c r="C1126" s="4">
        <v>27.32</v>
      </c>
      <c r="D1126" s="4">
        <v>27.2927</v>
      </c>
      <c r="E1126" s="4">
        <v>11</v>
      </c>
      <c r="F1126" s="4">
        <v>27.32</v>
      </c>
      <c r="G1126" s="4">
        <v>300.52</v>
      </c>
      <c r="H1126" s="5">
        <f t="shared" si="17"/>
        <v>-2.9827455050867646E-2</v>
      </c>
    </row>
    <row r="1127" spans="1:8" ht="13.5" x14ac:dyDescent="0.25">
      <c r="A1127" s="1"/>
      <c r="B1127" s="3">
        <v>43948</v>
      </c>
      <c r="C1127" s="4">
        <v>27.9</v>
      </c>
      <c r="D1127" s="4">
        <v>27.8721</v>
      </c>
      <c r="E1127" s="4">
        <v>5</v>
      </c>
      <c r="F1127" s="4">
        <v>27.9</v>
      </c>
      <c r="G1127" s="4">
        <v>139.5</v>
      </c>
      <c r="H1127" s="5">
        <f t="shared" si="17"/>
        <v>2.1229119874545198E-2</v>
      </c>
    </row>
    <row r="1128" spans="1:8" ht="13.5" x14ac:dyDescent="0.25">
      <c r="A1128" s="1"/>
      <c r="B1128" s="3">
        <v>43949</v>
      </c>
      <c r="C1128" s="4">
        <v>27.07</v>
      </c>
      <c r="D1128" s="4">
        <v>27.042899999999999</v>
      </c>
      <c r="E1128" s="4">
        <v>6</v>
      </c>
      <c r="F1128" s="4">
        <v>27.07</v>
      </c>
      <c r="G1128" s="4">
        <v>162.41999999999999</v>
      </c>
      <c r="H1128" s="5">
        <f t="shared" si="17"/>
        <v>-2.9750180287814704E-2</v>
      </c>
    </row>
    <row r="1129" spans="1:8" ht="13.5" x14ac:dyDescent="0.25">
      <c r="A1129" s="1"/>
      <c r="B1129" s="3">
        <v>43950</v>
      </c>
      <c r="C1129" s="4">
        <v>26.26</v>
      </c>
      <c r="D1129" s="4">
        <v>26.233699999999999</v>
      </c>
      <c r="E1129" s="4">
        <v>6</v>
      </c>
      <c r="F1129" s="4">
        <v>26.8</v>
      </c>
      <c r="G1129" s="4">
        <v>160.80000000000001</v>
      </c>
      <c r="H1129" s="5">
        <f t="shared" si="17"/>
        <v>-2.9922826324099878E-2</v>
      </c>
    </row>
    <row r="1130" spans="1:8" ht="13.5" x14ac:dyDescent="0.25">
      <c r="A1130" s="1"/>
      <c r="B1130" s="3">
        <v>43951</v>
      </c>
      <c r="C1130" s="4">
        <v>25.48</v>
      </c>
      <c r="D1130" s="4">
        <v>25.454499999999999</v>
      </c>
      <c r="E1130" s="4">
        <v>33</v>
      </c>
      <c r="F1130" s="4">
        <v>25.48</v>
      </c>
      <c r="G1130" s="4">
        <v>840.84</v>
      </c>
      <c r="H1130" s="5">
        <f t="shared" si="17"/>
        <v>-2.9702253208659071E-2</v>
      </c>
    </row>
    <row r="1131" spans="1:8" ht="13.5" x14ac:dyDescent="0.25">
      <c r="A1131" s="1"/>
      <c r="B1131" s="3">
        <v>43955</v>
      </c>
      <c r="C1131" s="4">
        <v>24.72</v>
      </c>
      <c r="D1131" s="4">
        <v>24.6953</v>
      </c>
      <c r="E1131" s="4">
        <v>5</v>
      </c>
      <c r="F1131" s="4">
        <v>24.72</v>
      </c>
      <c r="G1131" s="4">
        <v>123.6</v>
      </c>
      <c r="H1131" s="5">
        <f t="shared" si="17"/>
        <v>-2.982576754601347E-2</v>
      </c>
    </row>
    <row r="1132" spans="1:8" ht="13.5" x14ac:dyDescent="0.25">
      <c r="A1132" s="1"/>
      <c r="B1132" s="3">
        <v>43956</v>
      </c>
      <c r="C1132" s="4">
        <v>25.46</v>
      </c>
      <c r="D1132" s="4">
        <v>25.4345</v>
      </c>
      <c r="E1132" s="4">
        <v>1</v>
      </c>
      <c r="F1132" s="4">
        <v>25.46</v>
      </c>
      <c r="G1132" s="4">
        <v>25.46</v>
      </c>
      <c r="H1132" s="5">
        <f t="shared" si="17"/>
        <v>2.9932821225091426E-2</v>
      </c>
    </row>
    <row r="1133" spans="1:8" ht="13.5" x14ac:dyDescent="0.25">
      <c r="A1133" s="1"/>
      <c r="B1133" s="3">
        <v>43957</v>
      </c>
      <c r="C1133" s="4">
        <v>26.22</v>
      </c>
      <c r="D1133" s="4">
        <v>26.1938</v>
      </c>
      <c r="E1133" s="4">
        <v>2</v>
      </c>
      <c r="F1133" s="4">
        <v>26.22</v>
      </c>
      <c r="G1133" s="4">
        <v>52.44</v>
      </c>
      <c r="H1133" s="5">
        <f t="shared" si="17"/>
        <v>2.985315221451177E-2</v>
      </c>
    </row>
    <row r="1134" spans="1:8" ht="13.5" x14ac:dyDescent="0.25">
      <c r="A1134" s="1"/>
      <c r="B1134" s="3">
        <v>43958</v>
      </c>
      <c r="C1134" s="4">
        <v>26.5</v>
      </c>
      <c r="D1134" s="4">
        <v>26.473500000000001</v>
      </c>
      <c r="E1134" s="4">
        <v>58</v>
      </c>
      <c r="F1134" s="4">
        <v>26.5</v>
      </c>
      <c r="G1134" s="4">
        <v>1537</v>
      </c>
      <c r="H1134" s="5">
        <f t="shared" si="17"/>
        <v>1.0678099397567434E-2</v>
      </c>
    </row>
    <row r="1135" spans="1:8" ht="13.5" x14ac:dyDescent="0.25">
      <c r="A1135" s="1"/>
      <c r="B1135" s="3">
        <v>43959</v>
      </c>
      <c r="C1135" s="4">
        <v>27.29</v>
      </c>
      <c r="D1135" s="4">
        <v>27.262699999999999</v>
      </c>
      <c r="E1135" s="4">
        <v>5</v>
      </c>
      <c r="F1135" s="4">
        <v>27.29</v>
      </c>
      <c r="G1135" s="4">
        <v>136.44999999999999</v>
      </c>
      <c r="H1135" s="5">
        <f t="shared" si="17"/>
        <v>2.9810943018490091E-2</v>
      </c>
    </row>
    <row r="1136" spans="1:8" ht="13.5" x14ac:dyDescent="0.25">
      <c r="A1136" s="1"/>
      <c r="B1136" s="3">
        <v>43962</v>
      </c>
      <c r="C1136" s="4">
        <v>26.5</v>
      </c>
      <c r="D1136" s="4">
        <v>26.473500000000001</v>
      </c>
      <c r="E1136" s="4">
        <v>3</v>
      </c>
      <c r="F1136" s="4">
        <v>26.5</v>
      </c>
      <c r="G1136" s="4">
        <v>79.5</v>
      </c>
      <c r="H1136" s="5">
        <f t="shared" si="17"/>
        <v>-2.8947976539374219E-2</v>
      </c>
    </row>
    <row r="1137" spans="1:8" ht="13.5" x14ac:dyDescent="0.25">
      <c r="A1137" s="1"/>
      <c r="B1137" s="3">
        <v>43963</v>
      </c>
      <c r="C1137" s="4">
        <v>26.49</v>
      </c>
      <c r="D1137" s="4">
        <v>26.4635</v>
      </c>
      <c r="E1137" s="4">
        <v>101</v>
      </c>
      <c r="F1137" s="4">
        <v>26.49</v>
      </c>
      <c r="G1137" s="4">
        <v>2675.49</v>
      </c>
      <c r="H1137" s="5">
        <f t="shared" si="17"/>
        <v>-3.7773622679288958E-4</v>
      </c>
    </row>
    <row r="1138" spans="1:8" ht="13.5" x14ac:dyDescent="0.25">
      <c r="A1138" s="1"/>
      <c r="B1138" s="3">
        <v>43964</v>
      </c>
      <c r="C1138" s="4">
        <v>26.29</v>
      </c>
      <c r="D1138" s="4">
        <v>26.2637</v>
      </c>
      <c r="E1138" s="4">
        <v>105</v>
      </c>
      <c r="F1138" s="4">
        <v>26.29</v>
      </c>
      <c r="G1138" s="4">
        <v>2760.45</v>
      </c>
      <c r="H1138" s="5">
        <f t="shared" si="17"/>
        <v>-7.5500217280404991E-3</v>
      </c>
    </row>
    <row r="1139" spans="1:8" ht="13.5" x14ac:dyDescent="0.25">
      <c r="A1139" s="1"/>
      <c r="B1139" s="3">
        <v>43965</v>
      </c>
      <c r="C1139" s="4">
        <v>27</v>
      </c>
      <c r="D1139" s="4">
        <v>26.972999999999999</v>
      </c>
      <c r="E1139" s="4">
        <v>4</v>
      </c>
      <c r="F1139" s="4">
        <v>27</v>
      </c>
      <c r="G1139" s="4">
        <v>108</v>
      </c>
      <c r="H1139" s="5">
        <f t="shared" si="17"/>
        <v>2.7006857373485037E-2</v>
      </c>
    </row>
    <row r="1140" spans="1:8" ht="13.5" x14ac:dyDescent="0.25">
      <c r="A1140" s="1"/>
      <c r="B1140" s="3">
        <v>43966</v>
      </c>
      <c r="C1140" s="4">
        <v>26.19</v>
      </c>
      <c r="D1140" s="4">
        <v>26.163799999999998</v>
      </c>
      <c r="E1140" s="4">
        <v>50</v>
      </c>
      <c r="F1140" s="4">
        <v>26.19</v>
      </c>
      <c r="G1140" s="4">
        <v>1309.5</v>
      </c>
      <c r="H1140" s="5">
        <f t="shared" si="17"/>
        <v>-3.0000370741111504E-2</v>
      </c>
    </row>
    <row r="1141" spans="1:8" ht="13.5" x14ac:dyDescent="0.25">
      <c r="A1141" s="1"/>
      <c r="B1141" s="3">
        <v>43969</v>
      </c>
      <c r="C1141" s="4">
        <v>26.19</v>
      </c>
      <c r="D1141" s="4">
        <v>26.163799999999998</v>
      </c>
      <c r="E1141" s="4">
        <v>205</v>
      </c>
      <c r="F1141" s="4">
        <v>26.19</v>
      </c>
      <c r="G1141" s="4">
        <v>5368.95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26.19</v>
      </c>
      <c r="D1142" s="4">
        <v>26.163799999999998</v>
      </c>
      <c r="E1142" s="4">
        <v>5</v>
      </c>
      <c r="F1142" s="4">
        <v>26.19</v>
      </c>
      <c r="G1142" s="4">
        <v>130.94999999999999</v>
      </c>
      <c r="H1142" s="5">
        <f t="shared" si="17"/>
        <v>0</v>
      </c>
    </row>
    <row r="1143" spans="1:8" ht="13.5" x14ac:dyDescent="0.25">
      <c r="A1143" s="1"/>
      <c r="B1143" s="3">
        <v>43971</v>
      </c>
      <c r="C1143" s="4">
        <v>26</v>
      </c>
      <c r="D1143" s="4">
        <v>25.974</v>
      </c>
      <c r="E1143" s="4">
        <v>457</v>
      </c>
      <c r="F1143" s="4">
        <v>26</v>
      </c>
      <c r="G1143" s="4">
        <v>11882</v>
      </c>
      <c r="H1143" s="5">
        <f t="shared" si="17"/>
        <v>-7.2542979230844984E-3</v>
      </c>
    </row>
    <row r="1144" spans="1:8" ht="13.5" x14ac:dyDescent="0.25">
      <c r="A1144" s="1"/>
      <c r="B1144" s="3">
        <v>43972</v>
      </c>
      <c r="C1144" s="4">
        <v>25.22</v>
      </c>
      <c r="D1144" s="4">
        <v>25.194800000000001</v>
      </c>
      <c r="E1144" s="4">
        <v>260</v>
      </c>
      <c r="F1144" s="4">
        <v>25.22</v>
      </c>
      <c r="G1144" s="4">
        <v>6557.2</v>
      </c>
      <c r="H1144" s="5">
        <f t="shared" si="17"/>
        <v>-2.9999229999229979E-2</v>
      </c>
    </row>
    <row r="1145" spans="1:8" ht="13.5" x14ac:dyDescent="0.25">
      <c r="A1145" s="1"/>
      <c r="B1145" s="3">
        <v>43973</v>
      </c>
      <c r="C1145" s="4">
        <v>24.47</v>
      </c>
      <c r="D1145" s="4">
        <v>24.445499999999999</v>
      </c>
      <c r="E1145" s="4">
        <v>75</v>
      </c>
      <c r="F1145" s="4">
        <v>24.47</v>
      </c>
      <c r="G1145" s="4">
        <v>1835.25</v>
      </c>
      <c r="H1145" s="5">
        <f t="shared" si="17"/>
        <v>-2.9740263863971994E-2</v>
      </c>
    </row>
    <row r="1146" spans="1:8" ht="13.5" x14ac:dyDescent="0.25">
      <c r="A1146" s="1"/>
      <c r="B1146" s="3">
        <v>43977</v>
      </c>
      <c r="C1146" s="4">
        <v>24.47</v>
      </c>
      <c r="D1146" s="4">
        <v>24.445499999999999</v>
      </c>
      <c r="E1146" s="4">
        <v>0</v>
      </c>
      <c r="F1146" s="4">
        <v>0</v>
      </c>
      <c r="G1146" s="4">
        <v>0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24.47</v>
      </c>
      <c r="D1147" s="4">
        <v>24.445499999999999</v>
      </c>
      <c r="E1147" s="4">
        <v>100</v>
      </c>
      <c r="F1147" s="4">
        <v>24.47</v>
      </c>
      <c r="G1147" s="4">
        <v>2447</v>
      </c>
      <c r="H1147" s="5">
        <f t="shared" si="17"/>
        <v>0</v>
      </c>
    </row>
    <row r="1148" spans="1:8" ht="13.5" x14ac:dyDescent="0.25">
      <c r="A1148" s="1"/>
      <c r="B1148" s="3">
        <v>43979</v>
      </c>
      <c r="C1148" s="4">
        <v>25.2</v>
      </c>
      <c r="D1148" s="4">
        <v>25.174800000000001</v>
      </c>
      <c r="E1148" s="4">
        <v>5</v>
      </c>
      <c r="F1148" s="4">
        <v>25.2</v>
      </c>
      <c r="G1148" s="4">
        <v>126</v>
      </c>
      <c r="H1148" s="5">
        <f t="shared" si="17"/>
        <v>2.9833711726084639E-2</v>
      </c>
    </row>
    <row r="1149" spans="1:8" ht="13.5" x14ac:dyDescent="0.25">
      <c r="A1149" s="1"/>
      <c r="B1149" s="3">
        <v>43980</v>
      </c>
      <c r="C1149" s="4">
        <v>24.49</v>
      </c>
      <c r="D1149" s="4">
        <v>24.465499999999999</v>
      </c>
      <c r="E1149" s="4">
        <v>508</v>
      </c>
      <c r="F1149" s="4">
        <v>24.49</v>
      </c>
      <c r="G1149" s="4">
        <v>12440.92</v>
      </c>
      <c r="H1149" s="5">
        <f t="shared" si="17"/>
        <v>-2.8175000397222715E-2</v>
      </c>
    </row>
    <row r="1150" spans="1:8" ht="13.5" x14ac:dyDescent="0.25">
      <c r="A1150" s="1"/>
      <c r="B1150" s="3">
        <v>43983</v>
      </c>
      <c r="C1150" s="4">
        <v>24.5</v>
      </c>
      <c r="D1150" s="4">
        <v>24.4755</v>
      </c>
      <c r="E1150" s="4">
        <v>505</v>
      </c>
      <c r="F1150" s="4">
        <v>24.5</v>
      </c>
      <c r="G1150" s="4">
        <v>12372.5</v>
      </c>
      <c r="H1150" s="5">
        <f t="shared" si="17"/>
        <v>4.0873883632059688E-4</v>
      </c>
    </row>
    <row r="1151" spans="1:8" ht="13.5" x14ac:dyDescent="0.25">
      <c r="A1151" s="1"/>
      <c r="B1151" s="3">
        <v>43984</v>
      </c>
      <c r="C1151" s="4">
        <v>24.5</v>
      </c>
      <c r="D1151" s="4">
        <v>24.4755</v>
      </c>
      <c r="E1151" s="4">
        <v>3</v>
      </c>
      <c r="F1151" s="4">
        <v>24.5</v>
      </c>
      <c r="G1151" s="4">
        <v>73.5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24.99</v>
      </c>
      <c r="D1152" s="4">
        <v>24.965</v>
      </c>
      <c r="E1152" s="4">
        <v>505</v>
      </c>
      <c r="F1152" s="4">
        <v>24.990100000000002</v>
      </c>
      <c r="G1152" s="4">
        <v>12620.0005</v>
      </c>
      <c r="H1152" s="5">
        <f t="shared" si="17"/>
        <v>1.9999591428162839E-2</v>
      </c>
    </row>
    <row r="1153" spans="1:8" ht="13.5" x14ac:dyDescent="0.25">
      <c r="A1153" s="1"/>
      <c r="B1153" s="3">
        <v>43986</v>
      </c>
      <c r="C1153" s="4">
        <v>24.98</v>
      </c>
      <c r="D1153" s="4">
        <v>24.954999999999998</v>
      </c>
      <c r="E1153" s="4">
        <v>584</v>
      </c>
      <c r="F1153" s="4">
        <v>24.98</v>
      </c>
      <c r="G1153" s="4">
        <v>14588.32</v>
      </c>
      <c r="H1153" s="5">
        <f t="shared" si="17"/>
        <v>-4.0056078509920142E-4</v>
      </c>
    </row>
    <row r="1154" spans="1:8" ht="13.5" x14ac:dyDescent="0.25">
      <c r="A1154" s="1"/>
      <c r="B1154" s="3">
        <v>43987</v>
      </c>
      <c r="C1154" s="4">
        <v>24.97</v>
      </c>
      <c r="D1154" s="4">
        <v>24.945</v>
      </c>
      <c r="E1154" s="4">
        <v>5</v>
      </c>
      <c r="F1154" s="4">
        <v>24.97</v>
      </c>
      <c r="G1154" s="4">
        <v>124.85</v>
      </c>
      <c r="H1154" s="5">
        <f t="shared" si="17"/>
        <v>-4.0072129833692693E-4</v>
      </c>
    </row>
    <row r="1155" spans="1:8" ht="13.5" x14ac:dyDescent="0.25">
      <c r="A1155" s="1"/>
      <c r="B1155" s="3">
        <v>43990</v>
      </c>
      <c r="C1155" s="4">
        <v>24.23</v>
      </c>
      <c r="D1155" s="4">
        <v>24.2058</v>
      </c>
      <c r="E1155" s="4">
        <v>0</v>
      </c>
      <c r="F1155" s="4">
        <v>0</v>
      </c>
      <c r="G1155" s="4">
        <v>0</v>
      </c>
      <c r="H1155" s="5">
        <f t="shared" si="17"/>
        <v>-2.963319302465425E-2</v>
      </c>
    </row>
    <row r="1156" spans="1:8" ht="13.5" x14ac:dyDescent="0.25">
      <c r="A1156" s="1"/>
      <c r="B1156" s="3">
        <v>43991</v>
      </c>
      <c r="C1156" s="4">
        <v>24.94</v>
      </c>
      <c r="D1156" s="4">
        <v>24.915099999999999</v>
      </c>
      <c r="E1156" s="4">
        <v>5</v>
      </c>
      <c r="F1156" s="4">
        <v>24.94</v>
      </c>
      <c r="G1156" s="4">
        <v>124.7</v>
      </c>
      <c r="H1156" s="5">
        <f t="shared" si="17"/>
        <v>2.9302894347635645E-2</v>
      </c>
    </row>
    <row r="1157" spans="1:8" ht="13.5" x14ac:dyDescent="0.25">
      <c r="A1157" s="1"/>
      <c r="B1157" s="3">
        <v>43992</v>
      </c>
      <c r="C1157" s="4">
        <v>24.94</v>
      </c>
      <c r="D1157" s="4">
        <v>24.915099999999999</v>
      </c>
      <c r="E1157" s="4">
        <v>5</v>
      </c>
      <c r="F1157" s="4">
        <v>24.94</v>
      </c>
      <c r="G1157" s="4">
        <v>124.7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24.94</v>
      </c>
      <c r="D1158" s="4">
        <v>24.915099999999999</v>
      </c>
      <c r="E1158" s="4">
        <v>0</v>
      </c>
      <c r="F1158" s="4">
        <v>0</v>
      </c>
      <c r="G1158" s="4">
        <v>0</v>
      </c>
      <c r="H1158" s="5">
        <f t="shared" si="17"/>
        <v>0</v>
      </c>
    </row>
    <row r="1159" spans="1:8" ht="13.5" x14ac:dyDescent="0.25">
      <c r="A1159" s="1"/>
      <c r="B1159" s="3">
        <v>43994</v>
      </c>
      <c r="C1159" s="4">
        <v>24.94</v>
      </c>
      <c r="D1159" s="4">
        <v>24.915099999999999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24.24</v>
      </c>
      <c r="D1160" s="4">
        <v>24.215800000000002</v>
      </c>
      <c r="E1160" s="4">
        <v>3</v>
      </c>
      <c r="F1160" s="4">
        <v>24.24</v>
      </c>
      <c r="G1160" s="4">
        <v>72.72</v>
      </c>
      <c r="H1160" s="5">
        <f t="shared" si="18"/>
        <v>-2.806731660719794E-2</v>
      </c>
    </row>
    <row r="1161" spans="1:8" ht="13.5" x14ac:dyDescent="0.25">
      <c r="A1161" s="1"/>
      <c r="B1161" s="3">
        <v>43998</v>
      </c>
      <c r="C1161" s="4">
        <v>23.52</v>
      </c>
      <c r="D1161" s="4">
        <v>23.496500000000001</v>
      </c>
      <c r="E1161" s="4">
        <v>25</v>
      </c>
      <c r="F1161" s="4">
        <v>23.52</v>
      </c>
      <c r="G1161" s="4">
        <v>588</v>
      </c>
      <c r="H1161" s="5">
        <f t="shared" si="18"/>
        <v>-2.970374714029685E-2</v>
      </c>
    </row>
    <row r="1162" spans="1:8" ht="13.5" x14ac:dyDescent="0.25">
      <c r="A1162" s="1"/>
      <c r="B1162" s="3">
        <v>43999</v>
      </c>
      <c r="C1162" s="4">
        <v>23.5</v>
      </c>
      <c r="D1162" s="4">
        <v>23.476500000000001</v>
      </c>
      <c r="E1162" s="4">
        <v>153</v>
      </c>
      <c r="F1162" s="4">
        <v>23.5</v>
      </c>
      <c r="G1162" s="4">
        <v>3595.5</v>
      </c>
      <c r="H1162" s="5">
        <f t="shared" si="18"/>
        <v>-8.5119060285572632E-4</v>
      </c>
    </row>
    <row r="1163" spans="1:8" ht="13.5" x14ac:dyDescent="0.25">
      <c r="A1163" s="1"/>
      <c r="B1163" s="3">
        <v>44000</v>
      </c>
      <c r="C1163" s="4">
        <v>23.5</v>
      </c>
      <c r="D1163" s="4">
        <v>23.476500000000001</v>
      </c>
      <c r="E1163" s="4">
        <v>14</v>
      </c>
      <c r="F1163" s="4">
        <v>23.5</v>
      </c>
      <c r="G1163" s="4">
        <v>329</v>
      </c>
      <c r="H1163" s="5">
        <f t="shared" si="18"/>
        <v>0</v>
      </c>
    </row>
    <row r="1164" spans="1:8" ht="13.5" x14ac:dyDescent="0.25">
      <c r="A1164" s="1"/>
      <c r="B1164" s="3">
        <v>44001</v>
      </c>
      <c r="C1164" s="4">
        <v>23.25</v>
      </c>
      <c r="D1164" s="4">
        <v>23.226800000000001</v>
      </c>
      <c r="E1164" s="4">
        <v>165</v>
      </c>
      <c r="F1164" s="4">
        <v>23.25</v>
      </c>
      <c r="G1164" s="4">
        <v>3836.25</v>
      </c>
      <c r="H1164" s="5">
        <f t="shared" si="18"/>
        <v>-1.0636168082976624E-2</v>
      </c>
    </row>
    <row r="1165" spans="1:8" ht="13.5" x14ac:dyDescent="0.25">
      <c r="A1165" s="1"/>
      <c r="B1165" s="3">
        <v>44004</v>
      </c>
      <c r="C1165" s="4">
        <v>23.01</v>
      </c>
      <c r="D1165" s="4">
        <v>22.986999999999998</v>
      </c>
      <c r="E1165" s="4">
        <v>3</v>
      </c>
      <c r="F1165" s="4">
        <v>23.01</v>
      </c>
      <c r="G1165" s="4">
        <v>69.03</v>
      </c>
      <c r="H1165" s="5">
        <f t="shared" si="18"/>
        <v>-1.0324280572442284E-2</v>
      </c>
    </row>
    <row r="1166" spans="1:8" ht="13.5" x14ac:dyDescent="0.25">
      <c r="A1166" s="1"/>
      <c r="B1166" s="3">
        <v>44005</v>
      </c>
      <c r="C1166" s="4">
        <v>22.6</v>
      </c>
      <c r="D1166" s="4">
        <v>22.577400000000001</v>
      </c>
      <c r="E1166" s="4">
        <v>321</v>
      </c>
      <c r="F1166" s="4">
        <v>22.6</v>
      </c>
      <c r="G1166" s="4">
        <v>7254.6</v>
      </c>
      <c r="H1166" s="5">
        <f t="shared" si="18"/>
        <v>-1.7818767129246859E-2</v>
      </c>
    </row>
    <row r="1167" spans="1:8" ht="13.5" x14ac:dyDescent="0.25">
      <c r="A1167" s="1"/>
      <c r="B1167" s="3">
        <v>44006</v>
      </c>
      <c r="C1167" s="4">
        <v>22.58</v>
      </c>
      <c r="D1167" s="4">
        <v>22.557400000000001</v>
      </c>
      <c r="E1167" s="4">
        <v>7190</v>
      </c>
      <c r="F1167" s="4">
        <v>22.566099999999999</v>
      </c>
      <c r="G1167" s="4">
        <v>162250.25899999999</v>
      </c>
      <c r="H1167" s="5">
        <f t="shared" si="18"/>
        <v>-8.8584159380617671E-4</v>
      </c>
    </row>
    <row r="1168" spans="1:8" ht="13.5" x14ac:dyDescent="0.25">
      <c r="A1168" s="1"/>
      <c r="B1168" s="3">
        <v>44007</v>
      </c>
      <c r="C1168" s="4">
        <v>21.9</v>
      </c>
      <c r="D1168" s="4">
        <v>21.8781</v>
      </c>
      <c r="E1168" s="4">
        <v>31</v>
      </c>
      <c r="F1168" s="4">
        <v>22.093499999999999</v>
      </c>
      <c r="G1168" s="4">
        <v>684.89850000000001</v>
      </c>
      <c r="H1168" s="5">
        <f t="shared" si="18"/>
        <v>-3.0114286220929775E-2</v>
      </c>
    </row>
    <row r="1169" spans="1:8" ht="13.5" x14ac:dyDescent="0.25">
      <c r="A1169" s="1"/>
      <c r="B1169" s="3">
        <v>44008</v>
      </c>
      <c r="C1169" s="4">
        <v>22.55</v>
      </c>
      <c r="D1169" s="4">
        <v>22.5275</v>
      </c>
      <c r="E1169" s="4">
        <v>1</v>
      </c>
      <c r="F1169" s="4">
        <v>22.55</v>
      </c>
      <c r="G1169" s="4">
        <v>22.55</v>
      </c>
      <c r="H1169" s="5">
        <f t="shared" si="18"/>
        <v>2.9682650687216896E-2</v>
      </c>
    </row>
    <row r="1170" spans="1:8" ht="13.5" x14ac:dyDescent="0.25">
      <c r="A1170" s="1"/>
      <c r="B1170" s="3">
        <v>44011</v>
      </c>
      <c r="C1170" s="4">
        <v>22.54</v>
      </c>
      <c r="D1170" s="4">
        <v>22.517499999999998</v>
      </c>
      <c r="E1170" s="4">
        <v>2266</v>
      </c>
      <c r="F1170" s="4">
        <v>22.540299999999998</v>
      </c>
      <c r="G1170" s="4">
        <v>51076.319799999997</v>
      </c>
      <c r="H1170" s="5">
        <f t="shared" si="18"/>
        <v>-4.4390189768068198E-4</v>
      </c>
    </row>
    <row r="1171" spans="1:8" ht="13.5" x14ac:dyDescent="0.25">
      <c r="A1171" s="1"/>
      <c r="B1171" s="3">
        <v>44012</v>
      </c>
      <c r="C1171" s="4">
        <v>21.9</v>
      </c>
      <c r="D1171" s="4">
        <v>21.8781</v>
      </c>
      <c r="E1171" s="4">
        <v>409</v>
      </c>
      <c r="F1171" s="4">
        <v>21.8996</v>
      </c>
      <c r="G1171" s="4">
        <v>8956.9364000000005</v>
      </c>
      <c r="H1171" s="5">
        <f t="shared" si="18"/>
        <v>-2.8395692239369313E-2</v>
      </c>
    </row>
    <row r="1172" spans="1:8" ht="13.5" x14ac:dyDescent="0.25">
      <c r="A1172" s="1"/>
      <c r="B1172" s="3">
        <v>44013</v>
      </c>
      <c r="C1172" s="4">
        <v>21.9</v>
      </c>
      <c r="D1172" s="4">
        <v>21.8781</v>
      </c>
      <c r="E1172" s="4">
        <v>0</v>
      </c>
      <c r="F1172" s="4">
        <v>0</v>
      </c>
      <c r="G1172" s="4">
        <v>0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22.55</v>
      </c>
      <c r="D1173" s="4">
        <v>22.5275</v>
      </c>
      <c r="E1173" s="4">
        <v>9</v>
      </c>
      <c r="F1173" s="4">
        <v>22.31</v>
      </c>
      <c r="G1173" s="4">
        <v>200.79</v>
      </c>
      <c r="H1173" s="5">
        <f t="shared" si="18"/>
        <v>2.9682650687216896E-2</v>
      </c>
    </row>
    <row r="1174" spans="1:8" ht="13.5" x14ac:dyDescent="0.25">
      <c r="A1174" s="1"/>
      <c r="B1174" s="3">
        <v>44015</v>
      </c>
      <c r="C1174" s="4">
        <v>23.22</v>
      </c>
      <c r="D1174" s="4">
        <v>23.1968</v>
      </c>
      <c r="E1174" s="4">
        <v>5</v>
      </c>
      <c r="F1174" s="4">
        <v>23.22</v>
      </c>
      <c r="G1174" s="4">
        <v>116.1</v>
      </c>
      <c r="H1174" s="5">
        <f t="shared" si="18"/>
        <v>2.971035401176339E-2</v>
      </c>
    </row>
    <row r="1175" spans="1:8" ht="13.5" x14ac:dyDescent="0.25">
      <c r="A1175" s="1"/>
      <c r="B1175" s="3">
        <v>44018</v>
      </c>
      <c r="C1175" s="4">
        <v>24</v>
      </c>
      <c r="D1175" s="4">
        <v>23.975999999999999</v>
      </c>
      <c r="E1175" s="4">
        <v>602</v>
      </c>
      <c r="F1175" s="4">
        <v>23.525600000000001</v>
      </c>
      <c r="G1175" s="4">
        <v>14162.4112</v>
      </c>
      <c r="H1175" s="5">
        <f t="shared" si="18"/>
        <v>3.3590840115878026E-2</v>
      </c>
    </row>
    <row r="1176" spans="1:8" ht="13.5" x14ac:dyDescent="0.25">
      <c r="A1176" s="1"/>
      <c r="B1176" s="3">
        <v>44019</v>
      </c>
      <c r="C1176" s="4">
        <v>24.5</v>
      </c>
      <c r="D1176" s="4">
        <v>24.4755</v>
      </c>
      <c r="E1176" s="4">
        <v>750</v>
      </c>
      <c r="F1176" s="4">
        <v>24.5</v>
      </c>
      <c r="G1176" s="4">
        <v>18375</v>
      </c>
      <c r="H1176" s="5">
        <f t="shared" si="18"/>
        <v>2.0833333333333384E-2</v>
      </c>
    </row>
    <row r="1177" spans="1:8" ht="13.5" x14ac:dyDescent="0.25">
      <c r="A1177" s="1"/>
      <c r="B1177" s="3">
        <v>44020</v>
      </c>
      <c r="C1177" s="4">
        <v>25.97</v>
      </c>
      <c r="D1177" s="4">
        <v>25.943999999999999</v>
      </c>
      <c r="E1177" s="4">
        <v>310</v>
      </c>
      <c r="F1177" s="4">
        <v>25.241900000000001</v>
      </c>
      <c r="G1177" s="4">
        <v>7824.9889999999996</v>
      </c>
      <c r="H1177" s="5">
        <f t="shared" si="18"/>
        <v>5.9998774284488521E-2</v>
      </c>
    </row>
    <row r="1178" spans="1:8" ht="13.5" x14ac:dyDescent="0.25">
      <c r="A1178" s="1"/>
      <c r="B1178" s="3">
        <v>44021</v>
      </c>
      <c r="C1178" s="4">
        <v>26.4</v>
      </c>
      <c r="D1178" s="4">
        <v>26.3736</v>
      </c>
      <c r="E1178" s="4">
        <v>23</v>
      </c>
      <c r="F1178" s="4">
        <v>26.443000000000001</v>
      </c>
      <c r="G1178" s="4">
        <v>608.18899999999996</v>
      </c>
      <c r="H1178" s="5">
        <f t="shared" si="18"/>
        <v>1.6558741905642948E-2</v>
      </c>
    </row>
    <row r="1179" spans="1:8" ht="13.5" x14ac:dyDescent="0.25">
      <c r="A1179" s="1"/>
      <c r="B1179" s="3">
        <v>44022</v>
      </c>
      <c r="C1179" s="4">
        <v>26.38</v>
      </c>
      <c r="D1179" s="4">
        <v>26.3536</v>
      </c>
      <c r="E1179" s="4">
        <v>141</v>
      </c>
      <c r="F1179" s="4">
        <v>26.1677</v>
      </c>
      <c r="G1179" s="4">
        <v>3689.6457</v>
      </c>
      <c r="H1179" s="5">
        <f t="shared" si="18"/>
        <v>-7.5833409166740885E-4</v>
      </c>
    </row>
    <row r="1180" spans="1:8" ht="13.5" x14ac:dyDescent="0.25">
      <c r="A1180" s="1"/>
      <c r="B1180" s="3">
        <v>44025</v>
      </c>
      <c r="C1180" s="4">
        <v>26.38</v>
      </c>
      <c r="D1180" s="4">
        <v>26.3536</v>
      </c>
      <c r="E1180" s="4">
        <v>10</v>
      </c>
      <c r="F1180" s="4">
        <v>26.38</v>
      </c>
      <c r="G1180" s="4">
        <v>263.8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26.5</v>
      </c>
      <c r="D1181" s="4">
        <v>26.473500000000001</v>
      </c>
      <c r="E1181" s="4">
        <v>10</v>
      </c>
      <c r="F1181" s="4">
        <v>26.5</v>
      </c>
      <c r="G1181" s="4">
        <v>265</v>
      </c>
      <c r="H1181" s="5">
        <f t="shared" si="18"/>
        <v>4.5496630441382285E-3</v>
      </c>
    </row>
    <row r="1182" spans="1:8" ht="13.5" x14ac:dyDescent="0.25">
      <c r="A1182" s="1"/>
      <c r="B1182" s="3">
        <v>44027</v>
      </c>
      <c r="C1182" s="4">
        <v>26.97</v>
      </c>
      <c r="D1182" s="4">
        <v>26.943000000000001</v>
      </c>
      <c r="E1182" s="4">
        <v>10</v>
      </c>
      <c r="F1182" s="4">
        <v>26.97</v>
      </c>
      <c r="G1182" s="4">
        <v>269.7</v>
      </c>
      <c r="H1182" s="5">
        <f t="shared" si="18"/>
        <v>1.7734715847923396E-2</v>
      </c>
    </row>
    <row r="1183" spans="1:8" ht="13.5" x14ac:dyDescent="0.25">
      <c r="A1183" s="1"/>
      <c r="B1183" s="3">
        <v>44028</v>
      </c>
      <c r="C1183" s="4">
        <v>26.9</v>
      </c>
      <c r="D1183" s="4">
        <v>26.873100000000001</v>
      </c>
      <c r="E1183" s="4">
        <v>190</v>
      </c>
      <c r="F1183" s="4">
        <v>26.904699999999998</v>
      </c>
      <c r="G1183" s="4">
        <v>5111.893</v>
      </c>
      <c r="H1183" s="5">
        <f t="shared" si="18"/>
        <v>-2.5943658835319199E-3</v>
      </c>
    </row>
    <row r="1184" spans="1:8" ht="13.5" x14ac:dyDescent="0.25">
      <c r="A1184" s="1"/>
      <c r="B1184" s="3">
        <v>44029</v>
      </c>
      <c r="C1184" s="4">
        <v>26.9</v>
      </c>
      <c r="D1184" s="4">
        <v>26.873100000000001</v>
      </c>
      <c r="E1184" s="4">
        <v>0</v>
      </c>
      <c r="F1184" s="4">
        <v>0</v>
      </c>
      <c r="G1184" s="4">
        <v>0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26.9</v>
      </c>
      <c r="D1185" s="4">
        <v>26.873100000000001</v>
      </c>
      <c r="E1185" s="4">
        <v>0</v>
      </c>
      <c r="F1185" s="4">
        <v>0</v>
      </c>
      <c r="G1185" s="4">
        <v>0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26.9</v>
      </c>
      <c r="D1186" s="4">
        <v>26.873100000000001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26.9</v>
      </c>
      <c r="D1187" s="4">
        <v>26.873100000000001</v>
      </c>
      <c r="E1187" s="4">
        <v>0</v>
      </c>
      <c r="F1187" s="4">
        <v>0</v>
      </c>
      <c r="G1187" s="4">
        <v>0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26.9</v>
      </c>
      <c r="D1188" s="4">
        <v>26.873100000000001</v>
      </c>
      <c r="E1188" s="4">
        <v>0</v>
      </c>
      <c r="F1188" s="4">
        <v>0</v>
      </c>
      <c r="G1188" s="4">
        <v>0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26.9</v>
      </c>
      <c r="D1189" s="4">
        <v>26.873100000000001</v>
      </c>
      <c r="E1189" s="4">
        <v>0</v>
      </c>
      <c r="F1189" s="4">
        <v>0</v>
      </c>
      <c r="G1189" s="4">
        <v>0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26.7</v>
      </c>
      <c r="D1190" s="4">
        <v>26.673300000000001</v>
      </c>
      <c r="E1190" s="4">
        <v>2</v>
      </c>
      <c r="F1190" s="4">
        <v>26.7</v>
      </c>
      <c r="G1190" s="4">
        <v>53.4</v>
      </c>
      <c r="H1190" s="5">
        <f t="shared" si="18"/>
        <v>-7.4349442379182066E-3</v>
      </c>
    </row>
    <row r="1191" spans="1:8" ht="13.5" x14ac:dyDescent="0.25">
      <c r="A1191" s="1"/>
      <c r="B1191" s="3">
        <v>44040</v>
      </c>
      <c r="C1191" s="4">
        <v>26.7</v>
      </c>
      <c r="D1191" s="4">
        <v>26.673300000000001</v>
      </c>
      <c r="E1191" s="4">
        <v>0</v>
      </c>
      <c r="F1191" s="4">
        <v>0</v>
      </c>
      <c r="G1191" s="4">
        <v>0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26.7</v>
      </c>
      <c r="D1192" s="4">
        <v>26.673300000000001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26.7</v>
      </c>
      <c r="D1193" s="4">
        <v>26.673300000000001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26.7</v>
      </c>
      <c r="D1194" s="4">
        <v>26.673300000000001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26.7</v>
      </c>
      <c r="D1195" s="4">
        <v>26.673300000000001</v>
      </c>
      <c r="E1195" s="4">
        <v>0</v>
      </c>
      <c r="F1195" s="4">
        <v>0</v>
      </c>
      <c r="G1195" s="4">
        <v>0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26.7</v>
      </c>
      <c r="D1196" s="4">
        <v>26.673300000000001</v>
      </c>
      <c r="E1196" s="4">
        <v>0</v>
      </c>
      <c r="F1196" s="4">
        <v>0</v>
      </c>
      <c r="G1196" s="4">
        <v>0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26.7</v>
      </c>
      <c r="D1197" s="4">
        <v>26.673300000000001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26.7</v>
      </c>
      <c r="D1198" s="4">
        <v>26.673300000000001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26.7</v>
      </c>
      <c r="D1199" s="4">
        <v>26.673300000000001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26.7</v>
      </c>
      <c r="D1200" s="4">
        <v>26.673300000000001</v>
      </c>
      <c r="E1200" s="4">
        <v>0</v>
      </c>
      <c r="F1200" s="4">
        <v>0</v>
      </c>
      <c r="G1200" s="4">
        <v>0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26.7</v>
      </c>
      <c r="D1201" s="4">
        <v>26.673300000000001</v>
      </c>
      <c r="E1201" s="4">
        <v>0</v>
      </c>
      <c r="F1201" s="4">
        <v>0</v>
      </c>
      <c r="G1201" s="4">
        <v>0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26.7</v>
      </c>
      <c r="D1202" s="4">
        <v>26.673300000000001</v>
      </c>
      <c r="E1202" s="4">
        <v>0</v>
      </c>
      <c r="F1202" s="4">
        <v>0</v>
      </c>
      <c r="G1202" s="4">
        <v>0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26.7</v>
      </c>
      <c r="D1203" s="4">
        <v>26.673300000000001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26.7</v>
      </c>
      <c r="D1204" s="4">
        <v>26.673300000000001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26.7</v>
      </c>
      <c r="D1205" s="4">
        <v>26.673300000000001</v>
      </c>
      <c r="E1205" s="4">
        <v>0</v>
      </c>
      <c r="F1205" s="4">
        <v>0</v>
      </c>
      <c r="G1205" s="4">
        <v>0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26.7</v>
      </c>
      <c r="D1206" s="4">
        <v>26.673300000000001</v>
      </c>
      <c r="E1206" s="4">
        <v>0</v>
      </c>
      <c r="F1206" s="4">
        <v>0</v>
      </c>
      <c r="G1206" s="4">
        <v>0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26.7</v>
      </c>
      <c r="D1207" s="4">
        <v>26.673300000000001</v>
      </c>
      <c r="E1207" s="4">
        <v>0</v>
      </c>
      <c r="F1207" s="4">
        <v>0</v>
      </c>
      <c r="G1207" s="4">
        <v>0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26.7</v>
      </c>
      <c r="D1208" s="4">
        <v>26.673300000000001</v>
      </c>
      <c r="E1208" s="4">
        <v>0</v>
      </c>
      <c r="F1208" s="4">
        <v>0</v>
      </c>
      <c r="G1208" s="4">
        <v>0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26.7</v>
      </c>
      <c r="D1209" s="4">
        <v>26.673300000000001</v>
      </c>
      <c r="E1209" s="4">
        <v>0</v>
      </c>
      <c r="F1209" s="4">
        <v>0</v>
      </c>
      <c r="G1209" s="4">
        <v>0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26.7</v>
      </c>
      <c r="D1210" s="4">
        <v>26.673300000000001</v>
      </c>
      <c r="E1210" s="4">
        <v>0</v>
      </c>
      <c r="F1210" s="4">
        <v>0</v>
      </c>
      <c r="G1210" s="4">
        <v>0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26.7</v>
      </c>
      <c r="D1211" s="4">
        <v>26.673300000000001</v>
      </c>
      <c r="E1211" s="4">
        <v>0</v>
      </c>
      <c r="F1211" s="4">
        <v>0</v>
      </c>
      <c r="G1211" s="4">
        <v>0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26.7</v>
      </c>
      <c r="D1212" s="4">
        <v>26.673300000000001</v>
      </c>
      <c r="E1212" s="4">
        <v>0</v>
      </c>
      <c r="F1212" s="4">
        <v>0</v>
      </c>
      <c r="G1212" s="4">
        <v>0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26.2</v>
      </c>
      <c r="D1213" s="4">
        <v>26.1738</v>
      </c>
      <c r="E1213" s="4">
        <v>1</v>
      </c>
      <c r="F1213" s="4">
        <v>26.2</v>
      </c>
      <c r="G1213" s="4">
        <v>26.2</v>
      </c>
      <c r="H1213" s="5">
        <f t="shared" si="18"/>
        <v>-1.8726591760299668E-2</v>
      </c>
    </row>
    <row r="1214" spans="1:8" ht="13.5" x14ac:dyDescent="0.25">
      <c r="A1214" s="1"/>
      <c r="B1214" s="3">
        <v>44076</v>
      </c>
      <c r="C1214" s="4">
        <v>26.2</v>
      </c>
      <c r="D1214" s="4">
        <v>26.1738</v>
      </c>
      <c r="E1214" s="4">
        <v>0</v>
      </c>
      <c r="F1214" s="4">
        <v>0</v>
      </c>
      <c r="G1214" s="4">
        <v>0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26.2</v>
      </c>
      <c r="D1215" s="4">
        <v>26.1738</v>
      </c>
      <c r="E1215" s="4">
        <v>0</v>
      </c>
      <c r="F1215" s="4">
        <v>0</v>
      </c>
      <c r="G1215" s="4">
        <v>0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26.2</v>
      </c>
      <c r="D1216" s="4">
        <v>26.1738</v>
      </c>
      <c r="E1216" s="4">
        <v>0</v>
      </c>
      <c r="F1216" s="4">
        <v>0</v>
      </c>
      <c r="G1216" s="4">
        <v>0</v>
      </c>
      <c r="H1216" s="5">
        <f t="shared" si="18"/>
        <v>0</v>
      </c>
    </row>
    <row r="1217" spans="1:8" ht="13.5" x14ac:dyDescent="0.25">
      <c r="A1217" s="1"/>
      <c r="B1217" s="3">
        <v>44081</v>
      </c>
      <c r="C1217" s="4">
        <v>26</v>
      </c>
      <c r="D1217" s="4">
        <v>25.974</v>
      </c>
      <c r="E1217" s="4">
        <v>54</v>
      </c>
      <c r="F1217" s="4">
        <v>26</v>
      </c>
      <c r="G1217" s="4">
        <v>1404</v>
      </c>
      <c r="H1217" s="5">
        <f t="shared" si="18"/>
        <v>-7.633587786259533E-3</v>
      </c>
    </row>
    <row r="1218" spans="1:8" ht="13.5" x14ac:dyDescent="0.25">
      <c r="A1218" s="1"/>
      <c r="B1218" s="3">
        <v>44082</v>
      </c>
      <c r="C1218" s="4">
        <v>25.98</v>
      </c>
      <c r="D1218" s="4">
        <v>25.954000000000001</v>
      </c>
      <c r="E1218" s="4">
        <v>60</v>
      </c>
      <c r="F1218" s="4">
        <v>25.98</v>
      </c>
      <c r="G1218" s="4">
        <v>1558.8</v>
      </c>
      <c r="H1218" s="5">
        <f t="shared" si="18"/>
        <v>-7.7000077000075355E-4</v>
      </c>
    </row>
    <row r="1219" spans="1:8" ht="13.5" x14ac:dyDescent="0.25">
      <c r="A1219" s="1"/>
      <c r="B1219" s="3">
        <v>44083</v>
      </c>
      <c r="C1219" s="4">
        <v>25.87</v>
      </c>
      <c r="D1219" s="4">
        <v>25.844100000000001</v>
      </c>
      <c r="E1219" s="4">
        <v>50</v>
      </c>
      <c r="F1219" s="4">
        <v>25.87</v>
      </c>
      <c r="G1219" s="4">
        <v>1293.5</v>
      </c>
      <c r="H1219" s="5">
        <f t="shared" si="18"/>
        <v>-4.2344147337597159E-3</v>
      </c>
    </row>
    <row r="1220" spans="1:8" ht="13.5" x14ac:dyDescent="0.25">
      <c r="A1220" s="1"/>
      <c r="B1220" s="3">
        <v>44084</v>
      </c>
      <c r="C1220" s="4">
        <v>25.8</v>
      </c>
      <c r="D1220" s="4">
        <v>25.7742</v>
      </c>
      <c r="E1220" s="4">
        <v>30</v>
      </c>
      <c r="F1220" s="4">
        <v>25.8</v>
      </c>
      <c r="G1220" s="4">
        <v>774</v>
      </c>
      <c r="H1220" s="5">
        <f t="shared" si="18"/>
        <v>-2.7046792111159032E-3</v>
      </c>
    </row>
    <row r="1221" spans="1:8" ht="13.5" x14ac:dyDescent="0.25">
      <c r="A1221" s="1"/>
      <c r="B1221" s="3">
        <v>44085</v>
      </c>
      <c r="C1221" s="4">
        <v>25.49</v>
      </c>
      <c r="D1221" s="4">
        <v>25.464500000000001</v>
      </c>
      <c r="E1221" s="4">
        <v>125</v>
      </c>
      <c r="F1221" s="4">
        <v>25.614000000000001</v>
      </c>
      <c r="G1221" s="4">
        <v>3201.75</v>
      </c>
      <c r="H1221" s="5">
        <f t="shared" si="18"/>
        <v>-1.2015891860853079E-2</v>
      </c>
    </row>
    <row r="1222" spans="1:8" ht="13.5" x14ac:dyDescent="0.25">
      <c r="A1222" s="1"/>
      <c r="B1222" s="3">
        <v>44088</v>
      </c>
      <c r="C1222" s="4">
        <v>25.39</v>
      </c>
      <c r="D1222" s="4">
        <v>25.364599999999999</v>
      </c>
      <c r="E1222" s="4">
        <v>150</v>
      </c>
      <c r="F1222" s="4">
        <v>25.39</v>
      </c>
      <c r="G1222" s="4">
        <v>3808.5</v>
      </c>
      <c r="H1222" s="5">
        <f t="shared" si="18"/>
        <v>-3.923108641442072E-3</v>
      </c>
    </row>
    <row r="1223" spans="1:8" ht="13.5" x14ac:dyDescent="0.25">
      <c r="A1223" s="1"/>
      <c r="B1223" s="3">
        <v>44089</v>
      </c>
      <c r="C1223" s="4">
        <v>25.38</v>
      </c>
      <c r="D1223" s="4">
        <v>25.354600000000001</v>
      </c>
      <c r="E1223" s="4">
        <v>50</v>
      </c>
      <c r="F1223" s="4">
        <v>25.38</v>
      </c>
      <c r="G1223" s="4">
        <v>1269</v>
      </c>
      <c r="H1223" s="5">
        <f t="shared" ref="H1223:H1286" si="19">(D1223-D1222)/D1222</f>
        <v>-3.9425025429133562E-4</v>
      </c>
    </row>
    <row r="1224" spans="1:8" ht="13.5" x14ac:dyDescent="0.25">
      <c r="A1224" s="1"/>
      <c r="B1224" s="3">
        <v>44090</v>
      </c>
      <c r="C1224" s="4">
        <v>25</v>
      </c>
      <c r="D1224" s="4">
        <v>24.975000000000001</v>
      </c>
      <c r="E1224" s="4">
        <v>43</v>
      </c>
      <c r="F1224" s="4">
        <v>25</v>
      </c>
      <c r="G1224" s="4">
        <v>1075</v>
      </c>
      <c r="H1224" s="5">
        <f t="shared" si="19"/>
        <v>-1.4971642226657093E-2</v>
      </c>
    </row>
    <row r="1225" spans="1:8" ht="13.5" x14ac:dyDescent="0.25">
      <c r="A1225" s="1"/>
      <c r="B1225" s="3">
        <v>44091</v>
      </c>
      <c r="C1225" s="4">
        <v>24</v>
      </c>
      <c r="D1225" s="4">
        <v>23.975999999999999</v>
      </c>
      <c r="E1225" s="4">
        <v>110</v>
      </c>
      <c r="F1225" s="4">
        <v>24.247699999999998</v>
      </c>
      <c r="G1225" s="4">
        <v>2667.2469999999998</v>
      </c>
      <c r="H1225" s="5">
        <f t="shared" si="19"/>
        <v>-4.0000000000000091E-2</v>
      </c>
    </row>
    <row r="1226" spans="1:8" ht="13.5" x14ac:dyDescent="0.25">
      <c r="A1226" s="1"/>
      <c r="B1226" s="3">
        <v>44092</v>
      </c>
      <c r="C1226" s="4">
        <v>25</v>
      </c>
      <c r="D1226" s="4">
        <v>24.975000000000001</v>
      </c>
      <c r="E1226" s="4">
        <v>50</v>
      </c>
      <c r="F1226" s="4">
        <v>25</v>
      </c>
      <c r="G1226" s="4">
        <v>1250</v>
      </c>
      <c r="H1226" s="5">
        <f t="shared" si="19"/>
        <v>4.1666666666666768E-2</v>
      </c>
    </row>
    <row r="1227" spans="1:8" ht="13.5" x14ac:dyDescent="0.25">
      <c r="A1227" s="1"/>
      <c r="B1227" s="3">
        <v>44095</v>
      </c>
      <c r="C1227" s="4">
        <v>24.25</v>
      </c>
      <c r="D1227" s="4">
        <v>24.2258</v>
      </c>
      <c r="E1227" s="4">
        <v>45</v>
      </c>
      <c r="F1227" s="4">
        <v>24.25</v>
      </c>
      <c r="G1227" s="4">
        <v>1091.25</v>
      </c>
      <c r="H1227" s="5">
        <f t="shared" si="19"/>
        <v>-2.9997997997998072E-2</v>
      </c>
    </row>
    <row r="1228" spans="1:8" ht="13.5" x14ac:dyDescent="0.25">
      <c r="A1228" s="1"/>
      <c r="B1228" s="3">
        <v>44096</v>
      </c>
      <c r="C1228" s="4">
        <v>24.9</v>
      </c>
      <c r="D1228" s="4">
        <v>24.8751</v>
      </c>
      <c r="E1228" s="4">
        <v>50</v>
      </c>
      <c r="F1228" s="4">
        <v>24.9</v>
      </c>
      <c r="G1228" s="4">
        <v>1245</v>
      </c>
      <c r="H1228" s="5">
        <f t="shared" si="19"/>
        <v>2.6802004474568444E-2</v>
      </c>
    </row>
    <row r="1229" spans="1:8" ht="13.5" x14ac:dyDescent="0.25">
      <c r="A1229" s="1"/>
      <c r="B1229" s="3">
        <v>44097</v>
      </c>
      <c r="C1229" s="4">
        <v>24.84</v>
      </c>
      <c r="D1229" s="4">
        <v>24.815200000000001</v>
      </c>
      <c r="E1229" s="4">
        <v>50</v>
      </c>
      <c r="F1229" s="4">
        <v>24.84</v>
      </c>
      <c r="G1229" s="4">
        <v>1242</v>
      </c>
      <c r="H1229" s="5">
        <f t="shared" si="19"/>
        <v>-2.4080305204802776E-3</v>
      </c>
    </row>
    <row r="1230" spans="1:8" ht="13.5" x14ac:dyDescent="0.25">
      <c r="A1230" s="1"/>
      <c r="B1230" s="3">
        <v>44098</v>
      </c>
      <c r="C1230" s="4">
        <v>24.04</v>
      </c>
      <c r="D1230" s="4">
        <v>24.015999999999998</v>
      </c>
      <c r="E1230" s="4">
        <v>50</v>
      </c>
      <c r="F1230" s="4">
        <v>24.78</v>
      </c>
      <c r="G1230" s="4">
        <v>1239</v>
      </c>
      <c r="H1230" s="5">
        <f t="shared" si="19"/>
        <v>-3.2206067249105491E-2</v>
      </c>
    </row>
    <row r="1231" spans="1:8" ht="13.5" x14ac:dyDescent="0.25">
      <c r="A1231" s="1"/>
      <c r="B1231" s="3">
        <v>44099</v>
      </c>
      <c r="C1231" s="4">
        <v>23.99</v>
      </c>
      <c r="D1231" s="4">
        <v>23.966000000000001</v>
      </c>
      <c r="E1231" s="4">
        <v>150</v>
      </c>
      <c r="F1231" s="4">
        <v>23.99</v>
      </c>
      <c r="G1231" s="4">
        <v>3598.5</v>
      </c>
      <c r="H1231" s="5">
        <f t="shared" si="19"/>
        <v>-2.0819453697533794E-3</v>
      </c>
    </row>
    <row r="1232" spans="1:8" ht="13.5" x14ac:dyDescent="0.25">
      <c r="A1232" s="1"/>
      <c r="B1232" s="3">
        <v>44102</v>
      </c>
      <c r="C1232" s="4">
        <v>23.29</v>
      </c>
      <c r="D1232" s="4">
        <v>23.2667</v>
      </c>
      <c r="E1232" s="4">
        <v>105</v>
      </c>
      <c r="F1232" s="4">
        <v>23.284800000000001</v>
      </c>
      <c r="G1232" s="4">
        <v>2444.904</v>
      </c>
      <c r="H1232" s="5">
        <f t="shared" si="19"/>
        <v>-2.9178836685304219E-2</v>
      </c>
    </row>
    <row r="1233" spans="1:8" ht="13.5" x14ac:dyDescent="0.25">
      <c r="A1233" s="1"/>
      <c r="B1233" s="3">
        <v>44103</v>
      </c>
      <c r="C1233" s="4">
        <v>23.29</v>
      </c>
      <c r="D1233" s="4">
        <v>23.2667</v>
      </c>
      <c r="E1233" s="4">
        <v>215</v>
      </c>
      <c r="F1233" s="4">
        <v>23.608599999999999</v>
      </c>
      <c r="G1233" s="4">
        <v>5075.8490000000002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23.29</v>
      </c>
      <c r="D1234" s="4">
        <v>23.2667</v>
      </c>
      <c r="E1234" s="4">
        <v>14</v>
      </c>
      <c r="F1234" s="4">
        <v>23.29</v>
      </c>
      <c r="G1234" s="4">
        <v>326.06</v>
      </c>
      <c r="H1234" s="5">
        <f t="shared" si="19"/>
        <v>0</v>
      </c>
    </row>
    <row r="1235" spans="1:8" ht="13.5" x14ac:dyDescent="0.25">
      <c r="A1235" s="1"/>
      <c r="B1235" s="3">
        <v>44105</v>
      </c>
      <c r="C1235" s="4">
        <v>23.29</v>
      </c>
      <c r="D1235" s="4">
        <v>23.2667</v>
      </c>
      <c r="E1235" s="4">
        <v>0</v>
      </c>
      <c r="F1235" s="4">
        <v>0</v>
      </c>
      <c r="G1235" s="4">
        <v>0</v>
      </c>
      <c r="H1235" s="5">
        <f t="shared" si="19"/>
        <v>0</v>
      </c>
    </row>
    <row r="1236" spans="1:8" ht="13.5" x14ac:dyDescent="0.25">
      <c r="A1236" s="1"/>
      <c r="B1236" s="3">
        <v>44106</v>
      </c>
      <c r="C1236" s="4">
        <v>23.29</v>
      </c>
      <c r="D1236" s="4">
        <v>23.2667</v>
      </c>
      <c r="E1236" s="4">
        <v>0</v>
      </c>
      <c r="F1236" s="4">
        <v>0</v>
      </c>
      <c r="G1236" s="4">
        <v>0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23.9</v>
      </c>
      <c r="D1237" s="4">
        <v>23.876100000000001</v>
      </c>
      <c r="E1237" s="4">
        <v>50</v>
      </c>
      <c r="F1237" s="4">
        <v>23.9</v>
      </c>
      <c r="G1237" s="4">
        <v>1195</v>
      </c>
      <c r="H1237" s="5">
        <f t="shared" si="19"/>
        <v>2.619193955309523E-2</v>
      </c>
    </row>
    <row r="1238" spans="1:8" ht="13.5" x14ac:dyDescent="0.25">
      <c r="A1238" s="1"/>
      <c r="B1238" s="3">
        <v>44110</v>
      </c>
      <c r="C1238" s="4">
        <v>23.9</v>
      </c>
      <c r="D1238" s="4">
        <v>23.876100000000001</v>
      </c>
      <c r="E1238" s="4">
        <v>0</v>
      </c>
      <c r="F1238" s="4">
        <v>0</v>
      </c>
      <c r="G1238" s="4">
        <v>0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23.19</v>
      </c>
      <c r="D1239" s="4">
        <v>23.166799999999999</v>
      </c>
      <c r="E1239" s="4">
        <v>0</v>
      </c>
      <c r="F1239" s="4">
        <v>0</v>
      </c>
      <c r="G1239" s="4">
        <v>0</v>
      </c>
      <c r="H1239" s="5">
        <f t="shared" si="19"/>
        <v>-2.9707531799582111E-2</v>
      </c>
    </row>
    <row r="1240" spans="1:8" ht="13.5" x14ac:dyDescent="0.25">
      <c r="A1240" s="1"/>
      <c r="B1240" s="3">
        <v>44112</v>
      </c>
      <c r="C1240" s="4">
        <v>22.99</v>
      </c>
      <c r="D1240" s="4">
        <v>22.966999999999999</v>
      </c>
      <c r="E1240" s="4">
        <v>50</v>
      </c>
      <c r="F1240" s="4">
        <v>23.7</v>
      </c>
      <c r="G1240" s="4">
        <v>1185</v>
      </c>
      <c r="H1240" s="5">
        <f t="shared" si="19"/>
        <v>-8.624410794758005E-3</v>
      </c>
    </row>
    <row r="1241" spans="1:8" ht="13.5" x14ac:dyDescent="0.25">
      <c r="A1241" s="1"/>
      <c r="B1241" s="3">
        <v>44113</v>
      </c>
      <c r="C1241" s="4">
        <v>23</v>
      </c>
      <c r="D1241" s="4">
        <v>22.977</v>
      </c>
      <c r="E1241" s="4">
        <v>50</v>
      </c>
      <c r="F1241" s="4">
        <v>23</v>
      </c>
      <c r="G1241" s="4">
        <v>1150</v>
      </c>
      <c r="H1241" s="5">
        <f t="shared" si="19"/>
        <v>4.354073235512502E-4</v>
      </c>
    </row>
    <row r="1242" spans="1:8" ht="13.5" x14ac:dyDescent="0.25">
      <c r="A1242" s="1"/>
      <c r="B1242" s="3">
        <v>44116</v>
      </c>
      <c r="C1242" s="4">
        <v>22.31</v>
      </c>
      <c r="D1242" s="4">
        <v>22.287700000000001</v>
      </c>
      <c r="E1242" s="4">
        <v>0</v>
      </c>
      <c r="F1242" s="4">
        <v>0</v>
      </c>
      <c r="G1242" s="4">
        <v>0</v>
      </c>
      <c r="H1242" s="5">
        <f t="shared" si="19"/>
        <v>-2.999956478217345E-2</v>
      </c>
    </row>
    <row r="1243" spans="1:8" ht="13.5" x14ac:dyDescent="0.25">
      <c r="A1243" s="1"/>
      <c r="B1243" s="3">
        <v>44117</v>
      </c>
      <c r="C1243" s="4">
        <v>22.97</v>
      </c>
      <c r="D1243" s="4">
        <v>22.946999999999999</v>
      </c>
      <c r="E1243" s="4">
        <v>34</v>
      </c>
      <c r="F1243" s="4">
        <v>22.97</v>
      </c>
      <c r="G1243" s="4">
        <v>780.98</v>
      </c>
      <c r="H1243" s="5">
        <f t="shared" si="19"/>
        <v>2.9581338585856692E-2</v>
      </c>
    </row>
    <row r="1244" spans="1:8" ht="13.5" x14ac:dyDescent="0.25">
      <c r="A1244" s="1"/>
      <c r="B1244" s="3">
        <v>44118</v>
      </c>
      <c r="C1244" s="4">
        <v>22.97</v>
      </c>
      <c r="D1244" s="4">
        <v>22.946999999999999</v>
      </c>
      <c r="E1244" s="4">
        <v>0</v>
      </c>
      <c r="F1244" s="4">
        <v>0</v>
      </c>
      <c r="G1244" s="4">
        <v>0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22.97</v>
      </c>
      <c r="D1245" s="4">
        <v>22.946999999999999</v>
      </c>
      <c r="E1245" s="4">
        <v>0</v>
      </c>
      <c r="F1245" s="4">
        <v>0</v>
      </c>
      <c r="G1245" s="4">
        <v>0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22.29</v>
      </c>
      <c r="D1246" s="4">
        <v>22.267700000000001</v>
      </c>
      <c r="E1246" s="4">
        <v>40</v>
      </c>
      <c r="F1246" s="4">
        <v>22.29</v>
      </c>
      <c r="G1246" s="4">
        <v>891.6</v>
      </c>
      <c r="H1246" s="5">
        <f t="shared" si="19"/>
        <v>-2.960299821327397E-2</v>
      </c>
    </row>
    <row r="1247" spans="1:8" ht="13.5" x14ac:dyDescent="0.25">
      <c r="A1247" s="1"/>
      <c r="B1247" s="3">
        <v>44124</v>
      </c>
      <c r="C1247" s="4">
        <v>22.29</v>
      </c>
      <c r="D1247" s="4">
        <v>22.267700000000001</v>
      </c>
      <c r="E1247" s="4">
        <v>15</v>
      </c>
      <c r="F1247" s="4">
        <v>22.29</v>
      </c>
      <c r="G1247" s="4">
        <v>334.35</v>
      </c>
      <c r="H1247" s="5">
        <f t="shared" si="19"/>
        <v>0</v>
      </c>
    </row>
    <row r="1248" spans="1:8" ht="13.5" x14ac:dyDescent="0.25">
      <c r="A1248" s="1"/>
      <c r="B1248" s="3">
        <v>44125</v>
      </c>
      <c r="C1248" s="4">
        <v>22.24</v>
      </c>
      <c r="D1248" s="4">
        <v>22.2178</v>
      </c>
      <c r="E1248" s="4">
        <v>110</v>
      </c>
      <c r="F1248" s="4">
        <v>22.24</v>
      </c>
      <c r="G1248" s="4">
        <v>2446.4</v>
      </c>
      <c r="H1248" s="5">
        <f t="shared" si="19"/>
        <v>-2.2409139695613351E-3</v>
      </c>
    </row>
    <row r="1249" spans="1:8" ht="13.5" x14ac:dyDescent="0.25">
      <c r="A1249" s="1"/>
      <c r="B1249" s="3">
        <v>44126</v>
      </c>
      <c r="C1249" s="4">
        <v>22.19</v>
      </c>
      <c r="D1249" s="4">
        <v>22.1678</v>
      </c>
      <c r="E1249" s="4">
        <v>51</v>
      </c>
      <c r="F1249" s="4">
        <v>22.190999999999999</v>
      </c>
      <c r="G1249" s="4">
        <v>1131.741</v>
      </c>
      <c r="H1249" s="5">
        <f t="shared" si="19"/>
        <v>-2.250447839120017E-3</v>
      </c>
    </row>
    <row r="1250" spans="1:8" ht="13.5" x14ac:dyDescent="0.25">
      <c r="A1250" s="1"/>
      <c r="B1250" s="3">
        <v>44127</v>
      </c>
      <c r="C1250" s="4">
        <v>21.55</v>
      </c>
      <c r="D1250" s="4">
        <v>21.528500000000001</v>
      </c>
      <c r="E1250" s="4">
        <v>149</v>
      </c>
      <c r="F1250" s="4">
        <v>21.55</v>
      </c>
      <c r="G1250" s="4">
        <v>3210.95</v>
      </c>
      <c r="H1250" s="5">
        <f t="shared" si="19"/>
        <v>-2.8839127022077006E-2</v>
      </c>
    </row>
    <row r="1251" spans="1:8" ht="13.5" x14ac:dyDescent="0.25">
      <c r="A1251" s="1"/>
      <c r="B1251" s="3">
        <v>44130</v>
      </c>
      <c r="C1251" s="4">
        <v>21.55</v>
      </c>
      <c r="D1251" s="4">
        <v>21.528500000000001</v>
      </c>
      <c r="E1251" s="4">
        <v>0</v>
      </c>
      <c r="F1251" s="4">
        <v>0</v>
      </c>
      <c r="G1251" s="4">
        <v>0</v>
      </c>
      <c r="H1251" s="5">
        <f t="shared" si="19"/>
        <v>0</v>
      </c>
    </row>
    <row r="1252" spans="1:8" ht="13.5" x14ac:dyDescent="0.25">
      <c r="A1252" s="1"/>
      <c r="B1252" s="3">
        <v>44131</v>
      </c>
      <c r="C1252" s="4">
        <v>21.55</v>
      </c>
      <c r="D1252" s="4">
        <v>21.528500000000001</v>
      </c>
      <c r="E1252" s="4">
        <v>0</v>
      </c>
      <c r="F1252" s="4">
        <v>0</v>
      </c>
      <c r="G1252" s="4">
        <v>0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21</v>
      </c>
      <c r="D1253" s="4">
        <v>20.978999999999999</v>
      </c>
      <c r="E1253" s="4">
        <v>2</v>
      </c>
      <c r="F1253" s="4">
        <v>21</v>
      </c>
      <c r="G1253" s="4">
        <v>42</v>
      </c>
      <c r="H1253" s="5">
        <f t="shared" si="19"/>
        <v>-2.5524304991058452E-2</v>
      </c>
    </row>
    <row r="1254" spans="1:8" ht="13.5" x14ac:dyDescent="0.25">
      <c r="A1254" s="1"/>
      <c r="B1254" s="3">
        <v>44134</v>
      </c>
      <c r="C1254" s="4">
        <v>21</v>
      </c>
      <c r="D1254" s="4">
        <v>20.978999999999999</v>
      </c>
      <c r="E1254" s="4">
        <v>0</v>
      </c>
      <c r="F1254" s="4">
        <v>0</v>
      </c>
      <c r="G1254" s="4">
        <v>0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20.5</v>
      </c>
      <c r="D1255" s="4">
        <v>20.479500000000002</v>
      </c>
      <c r="E1255" s="4">
        <v>2</v>
      </c>
      <c r="F1255" s="4">
        <v>20.5</v>
      </c>
      <c r="G1255" s="4">
        <v>41</v>
      </c>
      <c r="H1255" s="5">
        <f t="shared" si="19"/>
        <v>-2.3809523809523697E-2</v>
      </c>
    </row>
    <row r="1256" spans="1:8" ht="13.5" x14ac:dyDescent="0.25">
      <c r="A1256" s="1"/>
      <c r="B1256" s="3">
        <v>44138</v>
      </c>
      <c r="C1256" s="4">
        <v>20.5</v>
      </c>
      <c r="D1256" s="4">
        <v>20.479500000000002</v>
      </c>
      <c r="E1256" s="4">
        <v>0</v>
      </c>
      <c r="F1256" s="4">
        <v>0</v>
      </c>
      <c r="G1256" s="4">
        <v>0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20.5</v>
      </c>
      <c r="D1257" s="4">
        <v>20.479500000000002</v>
      </c>
      <c r="E1257" s="4">
        <v>0</v>
      </c>
      <c r="F1257" s="4">
        <v>0</v>
      </c>
      <c r="G1257" s="4">
        <v>0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19.899999999999999</v>
      </c>
      <c r="D1258" s="4">
        <v>19.880099999999999</v>
      </c>
      <c r="E1258" s="4">
        <v>12</v>
      </c>
      <c r="F1258" s="4">
        <v>19.899999999999999</v>
      </c>
      <c r="G1258" s="4">
        <v>238.8</v>
      </c>
      <c r="H1258" s="5">
        <f t="shared" si="19"/>
        <v>-2.9268292682926966E-2</v>
      </c>
    </row>
    <row r="1259" spans="1:8" ht="13.5" x14ac:dyDescent="0.25">
      <c r="A1259" s="1"/>
      <c r="B1259" s="3">
        <v>44141</v>
      </c>
      <c r="C1259" s="4">
        <v>19.399999999999999</v>
      </c>
      <c r="D1259" s="4">
        <v>19.380600000000001</v>
      </c>
      <c r="E1259" s="4">
        <v>43</v>
      </c>
      <c r="F1259" s="4">
        <v>20.167400000000001</v>
      </c>
      <c r="G1259" s="4">
        <v>867.19820000000004</v>
      </c>
      <c r="H1259" s="5">
        <f t="shared" si="19"/>
        <v>-2.5125628140703397E-2</v>
      </c>
    </row>
    <row r="1260" spans="1:8" ht="13.5" x14ac:dyDescent="0.25">
      <c r="A1260" s="1"/>
      <c r="B1260" s="3">
        <v>44144</v>
      </c>
      <c r="C1260" s="4">
        <v>18.899999999999999</v>
      </c>
      <c r="D1260" s="4">
        <v>18.8811</v>
      </c>
      <c r="E1260" s="4">
        <v>695</v>
      </c>
      <c r="F1260" s="4">
        <v>18.899999999999999</v>
      </c>
      <c r="G1260" s="4">
        <v>13135.5</v>
      </c>
      <c r="H1260" s="5">
        <f t="shared" si="19"/>
        <v>-2.5773195876288717E-2</v>
      </c>
    </row>
    <row r="1261" spans="1:8" ht="13.5" x14ac:dyDescent="0.25">
      <c r="A1261" s="1"/>
      <c r="B1261" s="3">
        <v>44145</v>
      </c>
      <c r="C1261" s="4">
        <v>18.36</v>
      </c>
      <c r="D1261" s="4">
        <v>18.3416</v>
      </c>
      <c r="E1261" s="4">
        <v>12</v>
      </c>
      <c r="F1261" s="4">
        <v>18.36</v>
      </c>
      <c r="G1261" s="4">
        <v>220.32</v>
      </c>
      <c r="H1261" s="5">
        <f t="shared" si="19"/>
        <v>-2.8573547092065627E-2</v>
      </c>
    </row>
    <row r="1262" spans="1:8" ht="13.5" x14ac:dyDescent="0.25">
      <c r="A1262" s="1"/>
      <c r="B1262" s="3">
        <v>44146</v>
      </c>
      <c r="C1262" s="4">
        <v>18.899999999999999</v>
      </c>
      <c r="D1262" s="4">
        <v>18.8811</v>
      </c>
      <c r="E1262" s="4">
        <v>50</v>
      </c>
      <c r="F1262" s="4">
        <v>18.899999999999999</v>
      </c>
      <c r="G1262" s="4">
        <v>945</v>
      </c>
      <c r="H1262" s="5">
        <f t="shared" si="19"/>
        <v>2.9414009682906635E-2</v>
      </c>
    </row>
    <row r="1263" spans="1:8" ht="13.5" x14ac:dyDescent="0.25">
      <c r="A1263" s="1"/>
      <c r="B1263" s="3">
        <v>44147</v>
      </c>
      <c r="C1263" s="4">
        <v>18.89</v>
      </c>
      <c r="D1263" s="4">
        <v>18.871099999999998</v>
      </c>
      <c r="E1263" s="4">
        <v>50</v>
      </c>
      <c r="F1263" s="4">
        <v>18.89</v>
      </c>
      <c r="G1263" s="4">
        <v>944.5</v>
      </c>
      <c r="H1263" s="5">
        <f t="shared" si="19"/>
        <v>-5.2963015925987168E-4</v>
      </c>
    </row>
    <row r="1264" spans="1:8" ht="13.5" x14ac:dyDescent="0.25">
      <c r="A1264" s="1"/>
      <c r="B1264" s="3">
        <v>44148</v>
      </c>
      <c r="C1264" s="4">
        <v>18.89</v>
      </c>
      <c r="D1264" s="4">
        <v>18.871099999999998</v>
      </c>
      <c r="E1264" s="4">
        <v>150</v>
      </c>
      <c r="F1264" s="4">
        <v>18.89</v>
      </c>
      <c r="G1264" s="4">
        <v>2833.5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18.899999999999999</v>
      </c>
      <c r="D1265" s="4">
        <v>18.8811</v>
      </c>
      <c r="E1265" s="4">
        <v>1758</v>
      </c>
      <c r="F1265" s="4">
        <v>18.899999999999999</v>
      </c>
      <c r="G1265" s="4">
        <v>33226.199999999997</v>
      </c>
      <c r="H1265" s="5">
        <f t="shared" si="19"/>
        <v>5.2991081600974846E-4</v>
      </c>
    </row>
    <row r="1266" spans="1:8" ht="13.5" x14ac:dyDescent="0.25">
      <c r="A1266" s="1"/>
      <c r="B1266" s="3">
        <v>44152</v>
      </c>
      <c r="C1266" s="4">
        <v>18.89</v>
      </c>
      <c r="D1266" s="4">
        <v>18.871099999999998</v>
      </c>
      <c r="E1266" s="4">
        <v>230</v>
      </c>
      <c r="F1266" s="4">
        <v>18.894300000000001</v>
      </c>
      <c r="G1266" s="4">
        <v>4345.6890000000003</v>
      </c>
      <c r="H1266" s="5">
        <f t="shared" si="19"/>
        <v>-5.2963015925987168E-4</v>
      </c>
    </row>
    <row r="1267" spans="1:8" ht="13.5" x14ac:dyDescent="0.25">
      <c r="A1267" s="1"/>
      <c r="B1267" s="3">
        <v>44153</v>
      </c>
      <c r="C1267" s="4">
        <v>18.89</v>
      </c>
      <c r="D1267" s="4">
        <v>18.871099999999998</v>
      </c>
      <c r="E1267" s="4">
        <v>150</v>
      </c>
      <c r="F1267" s="4">
        <v>18.89</v>
      </c>
      <c r="G1267" s="4">
        <v>2833.5</v>
      </c>
      <c r="H1267" s="5">
        <f t="shared" si="19"/>
        <v>0</v>
      </c>
    </row>
    <row r="1268" spans="1:8" ht="13.5" x14ac:dyDescent="0.25">
      <c r="A1268" s="1"/>
      <c r="B1268" s="3">
        <v>44154</v>
      </c>
      <c r="C1268" s="4">
        <v>19.100000000000001</v>
      </c>
      <c r="D1268" s="4">
        <v>19.0809</v>
      </c>
      <c r="E1268" s="4">
        <v>7057</v>
      </c>
      <c r="F1268" s="4">
        <v>18.9907</v>
      </c>
      <c r="G1268" s="4">
        <v>134017.36989999999</v>
      </c>
      <c r="H1268" s="5">
        <f t="shared" si="19"/>
        <v>1.1117528919882854E-2</v>
      </c>
    </row>
    <row r="1269" spans="1:8" ht="13.5" x14ac:dyDescent="0.25">
      <c r="A1269" s="1"/>
      <c r="B1269" s="3">
        <v>44155</v>
      </c>
      <c r="C1269" s="4">
        <v>19.95</v>
      </c>
      <c r="D1269" s="4">
        <v>19.93</v>
      </c>
      <c r="E1269" s="4">
        <v>0</v>
      </c>
      <c r="F1269" s="4">
        <v>0</v>
      </c>
      <c r="G1269" s="4">
        <v>0</v>
      </c>
      <c r="H1269" s="5">
        <f t="shared" si="19"/>
        <v>4.4499997379578528E-2</v>
      </c>
    </row>
    <row r="1270" spans="1:8" ht="13.5" x14ac:dyDescent="0.25">
      <c r="A1270" s="1"/>
      <c r="B1270" s="3">
        <v>44158</v>
      </c>
      <c r="C1270" s="4">
        <v>20.84</v>
      </c>
      <c r="D1270" s="4">
        <v>20.819199999999999</v>
      </c>
      <c r="E1270" s="4">
        <v>10</v>
      </c>
      <c r="F1270" s="4">
        <v>20.84</v>
      </c>
      <c r="G1270" s="4">
        <v>208.4</v>
      </c>
      <c r="H1270" s="5">
        <f t="shared" si="19"/>
        <v>4.461615654791766E-2</v>
      </c>
    </row>
    <row r="1271" spans="1:8" ht="13.5" x14ac:dyDescent="0.25">
      <c r="A1271" s="1"/>
      <c r="B1271" s="3">
        <v>44159</v>
      </c>
      <c r="C1271" s="4">
        <v>21.77</v>
      </c>
      <c r="D1271" s="4">
        <v>21.748200000000001</v>
      </c>
      <c r="E1271" s="4">
        <v>4418</v>
      </c>
      <c r="F1271" s="4">
        <v>21.77</v>
      </c>
      <c r="G1271" s="4">
        <v>96179.86</v>
      </c>
      <c r="H1271" s="5">
        <f t="shared" si="19"/>
        <v>4.4622271749154729E-2</v>
      </c>
    </row>
    <row r="1272" spans="1:8" ht="13.5" x14ac:dyDescent="0.25">
      <c r="A1272" s="1"/>
      <c r="B1272" s="3">
        <v>44160</v>
      </c>
      <c r="C1272" s="4">
        <v>22.74</v>
      </c>
      <c r="D1272" s="4">
        <v>22.717300000000002</v>
      </c>
      <c r="E1272" s="4">
        <v>1226</v>
      </c>
      <c r="F1272" s="4">
        <v>22.729700000000001</v>
      </c>
      <c r="G1272" s="4">
        <v>27866.6122</v>
      </c>
      <c r="H1272" s="5">
        <f t="shared" si="19"/>
        <v>4.4560009564009941E-2</v>
      </c>
    </row>
    <row r="1273" spans="1:8" ht="13.5" x14ac:dyDescent="0.25">
      <c r="A1273" s="1"/>
      <c r="B1273" s="3">
        <v>44161</v>
      </c>
      <c r="C1273" s="4">
        <v>22.59</v>
      </c>
      <c r="D1273" s="4">
        <v>22.567399999999999</v>
      </c>
      <c r="E1273" s="4">
        <v>338</v>
      </c>
      <c r="F1273" s="4">
        <v>22.709399999999999</v>
      </c>
      <c r="G1273" s="4">
        <v>7675.7772000000004</v>
      </c>
      <c r="H1273" s="5">
        <f t="shared" si="19"/>
        <v>-6.5984954197903078E-3</v>
      </c>
    </row>
    <row r="1274" spans="1:8" ht="13.5" x14ac:dyDescent="0.25">
      <c r="A1274" s="1"/>
      <c r="B1274" s="3">
        <v>44162</v>
      </c>
      <c r="C1274" s="4">
        <v>22</v>
      </c>
      <c r="D1274" s="4">
        <v>21.978000000000002</v>
      </c>
      <c r="E1274" s="4">
        <v>2318</v>
      </c>
      <c r="F1274" s="4">
        <v>21.972999999999999</v>
      </c>
      <c r="G1274" s="4">
        <v>50933.413999999997</v>
      </c>
      <c r="H1274" s="5">
        <f t="shared" si="19"/>
        <v>-2.6117319673511247E-2</v>
      </c>
    </row>
    <row r="1275" spans="1:8" ht="13.5" x14ac:dyDescent="0.25">
      <c r="A1275" s="1"/>
      <c r="B1275" s="3">
        <v>44165</v>
      </c>
      <c r="C1275" s="4">
        <v>21.5</v>
      </c>
      <c r="D1275" s="4">
        <v>21.4785</v>
      </c>
      <c r="E1275" s="4">
        <v>452</v>
      </c>
      <c r="F1275" s="4">
        <v>21.944700000000001</v>
      </c>
      <c r="G1275" s="4">
        <v>9919.0043999999998</v>
      </c>
      <c r="H1275" s="5">
        <f t="shared" si="19"/>
        <v>-2.272727272727278E-2</v>
      </c>
    </row>
    <row r="1276" spans="1:8" ht="13.5" x14ac:dyDescent="0.25">
      <c r="A1276" s="1"/>
      <c r="B1276" s="3">
        <v>44166</v>
      </c>
      <c r="C1276" s="4">
        <v>20.87</v>
      </c>
      <c r="D1276" s="4">
        <v>20.8491</v>
      </c>
      <c r="E1276" s="4">
        <v>1174</v>
      </c>
      <c r="F1276" s="4">
        <v>20.868200000000002</v>
      </c>
      <c r="G1276" s="4">
        <v>24499.266800000001</v>
      </c>
      <c r="H1276" s="5">
        <f t="shared" si="19"/>
        <v>-2.9303722326978161E-2</v>
      </c>
    </row>
    <row r="1277" spans="1:8" ht="13.5" x14ac:dyDescent="0.25">
      <c r="A1277" s="1"/>
      <c r="B1277" s="3">
        <v>44167</v>
      </c>
      <c r="C1277" s="4">
        <v>20.5</v>
      </c>
      <c r="D1277" s="4">
        <v>20.479500000000002</v>
      </c>
      <c r="E1277" s="4">
        <v>300</v>
      </c>
      <c r="F1277" s="4">
        <v>20.5</v>
      </c>
      <c r="G1277" s="4">
        <v>6150</v>
      </c>
      <c r="H1277" s="5">
        <f t="shared" si="19"/>
        <v>-1.7727383915852404E-2</v>
      </c>
    </row>
    <row r="1278" spans="1:8" ht="13.5" x14ac:dyDescent="0.25">
      <c r="A1278" s="1"/>
      <c r="B1278" s="3">
        <v>44168</v>
      </c>
      <c r="C1278" s="4">
        <v>20.5</v>
      </c>
      <c r="D1278" s="4">
        <v>20.479500000000002</v>
      </c>
      <c r="E1278" s="4">
        <v>0</v>
      </c>
      <c r="F1278" s="4">
        <v>0</v>
      </c>
      <c r="G1278" s="4">
        <v>0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20.49</v>
      </c>
      <c r="D1279" s="4">
        <v>20.4695</v>
      </c>
      <c r="E1279" s="4">
        <v>50</v>
      </c>
      <c r="F1279" s="4">
        <v>20.49</v>
      </c>
      <c r="G1279" s="4">
        <v>1024.5</v>
      </c>
      <c r="H1279" s="5">
        <f t="shared" si="19"/>
        <v>-4.8829317122007674E-4</v>
      </c>
    </row>
    <row r="1280" spans="1:8" ht="13.5" x14ac:dyDescent="0.25">
      <c r="A1280" s="1"/>
      <c r="B1280" s="3">
        <v>44172</v>
      </c>
      <c r="C1280" s="4">
        <v>19.57</v>
      </c>
      <c r="D1280" s="4">
        <v>19.5504</v>
      </c>
      <c r="E1280" s="4">
        <v>0</v>
      </c>
      <c r="F1280" s="4">
        <v>0</v>
      </c>
      <c r="G1280" s="4">
        <v>0</v>
      </c>
      <c r="H1280" s="5">
        <f t="shared" si="19"/>
        <v>-4.4900950194191373E-2</v>
      </c>
    </row>
    <row r="1281" spans="1:8" ht="13.5" x14ac:dyDescent="0.25">
      <c r="A1281" s="1"/>
      <c r="B1281" s="3">
        <v>44173</v>
      </c>
      <c r="C1281" s="4">
        <v>19.670000000000002</v>
      </c>
      <c r="D1281" s="4">
        <v>19.650300000000001</v>
      </c>
      <c r="E1281" s="4">
        <v>305</v>
      </c>
      <c r="F1281" s="4">
        <v>19.109300000000001</v>
      </c>
      <c r="G1281" s="4">
        <v>5828.3365000000003</v>
      </c>
      <c r="H1281" s="5">
        <f t="shared" si="19"/>
        <v>5.109869874785255E-3</v>
      </c>
    </row>
    <row r="1282" spans="1:8" ht="13.5" x14ac:dyDescent="0.25">
      <c r="A1282" s="1"/>
      <c r="B1282" s="3">
        <v>44174</v>
      </c>
      <c r="C1282" s="4">
        <v>19.66</v>
      </c>
      <c r="D1282" s="4">
        <v>19.6403</v>
      </c>
      <c r="E1282" s="4">
        <v>10</v>
      </c>
      <c r="F1282" s="4">
        <v>20.260000000000002</v>
      </c>
      <c r="G1282" s="4">
        <v>202.6</v>
      </c>
      <c r="H1282" s="5">
        <f t="shared" si="19"/>
        <v>-5.088980829810009E-4</v>
      </c>
    </row>
    <row r="1283" spans="1:8" ht="13.5" x14ac:dyDescent="0.25">
      <c r="A1283" s="1"/>
      <c r="B1283" s="3">
        <v>44175</v>
      </c>
      <c r="C1283" s="4">
        <v>19.5</v>
      </c>
      <c r="D1283" s="4">
        <v>19.480499999999999</v>
      </c>
      <c r="E1283" s="4">
        <v>1851</v>
      </c>
      <c r="F1283" s="4">
        <v>19.257200000000001</v>
      </c>
      <c r="G1283" s="4">
        <v>35645.0772</v>
      </c>
      <c r="H1283" s="5">
        <f t="shared" si="19"/>
        <v>-8.136331929756704E-3</v>
      </c>
    </row>
    <row r="1284" spans="1:8" ht="13.5" x14ac:dyDescent="0.25">
      <c r="A1284" s="1"/>
      <c r="B1284" s="3">
        <v>44176</v>
      </c>
      <c r="C1284" s="4">
        <v>20.079999999999998</v>
      </c>
      <c r="D1284" s="4">
        <v>20.059899999999999</v>
      </c>
      <c r="E1284" s="4">
        <v>658</v>
      </c>
      <c r="F1284" s="4">
        <v>19.8887</v>
      </c>
      <c r="G1284" s="4">
        <v>13086.7646</v>
      </c>
      <c r="H1284" s="5">
        <f t="shared" si="19"/>
        <v>2.9742563075896393E-2</v>
      </c>
    </row>
    <row r="1285" spans="1:8" ht="13.5" x14ac:dyDescent="0.25">
      <c r="A1285" s="1"/>
      <c r="B1285" s="3">
        <v>44179</v>
      </c>
      <c r="C1285" s="4">
        <v>19.48</v>
      </c>
      <c r="D1285" s="4">
        <v>19.4605</v>
      </c>
      <c r="E1285" s="4">
        <v>108</v>
      </c>
      <c r="F1285" s="4">
        <v>19.48</v>
      </c>
      <c r="G1285" s="4">
        <v>2103.84</v>
      </c>
      <c r="H1285" s="5">
        <f t="shared" si="19"/>
        <v>-2.9880507878902653E-2</v>
      </c>
    </row>
    <row r="1286" spans="1:8" ht="13.5" x14ac:dyDescent="0.25">
      <c r="A1286" s="1"/>
      <c r="B1286" s="3">
        <v>44180</v>
      </c>
      <c r="C1286" s="4">
        <v>19.399999999999999</v>
      </c>
      <c r="D1286" s="4">
        <v>19.380600000000001</v>
      </c>
      <c r="E1286" s="4">
        <v>50</v>
      </c>
      <c r="F1286" s="4">
        <v>19.399999999999999</v>
      </c>
      <c r="G1286" s="4">
        <v>970</v>
      </c>
      <c r="H1286" s="5">
        <f t="shared" si="19"/>
        <v>-4.1057526785025326E-3</v>
      </c>
    </row>
    <row r="1287" spans="1:8" ht="13.5" x14ac:dyDescent="0.25">
      <c r="A1287" s="1"/>
      <c r="B1287" s="3">
        <v>44181</v>
      </c>
      <c r="C1287" s="4">
        <v>18.7</v>
      </c>
      <c r="D1287" s="4">
        <v>18.6813</v>
      </c>
      <c r="E1287" s="4">
        <v>215</v>
      </c>
      <c r="F1287" s="4">
        <v>19.341899999999999</v>
      </c>
      <c r="G1287" s="4">
        <v>4158.5084999999999</v>
      </c>
      <c r="H1287" s="5">
        <f t="shared" ref="H1287:H1350" si="20">(D1287-D1286)/D1286</f>
        <v>-3.6082474226804169E-2</v>
      </c>
    </row>
    <row r="1288" spans="1:8" ht="13.5" x14ac:dyDescent="0.25">
      <c r="A1288" s="1"/>
      <c r="B1288" s="3">
        <v>44182</v>
      </c>
      <c r="C1288" s="4">
        <v>18</v>
      </c>
      <c r="D1288" s="4">
        <v>17.981999999999999</v>
      </c>
      <c r="E1288" s="4">
        <v>1001</v>
      </c>
      <c r="F1288" s="4">
        <v>18.255299999999998</v>
      </c>
      <c r="G1288" s="4">
        <v>18273.5553</v>
      </c>
      <c r="H1288" s="5">
        <f t="shared" si="20"/>
        <v>-3.7433155080213949E-2</v>
      </c>
    </row>
    <row r="1289" spans="1:8" ht="13.5" x14ac:dyDescent="0.25">
      <c r="A1289" s="1"/>
      <c r="B1289" s="3">
        <v>44183</v>
      </c>
      <c r="C1289" s="4">
        <v>18.809999999999999</v>
      </c>
      <c r="D1289" s="4">
        <v>18.7912</v>
      </c>
      <c r="E1289" s="4">
        <v>10</v>
      </c>
      <c r="F1289" s="4">
        <v>18.809999999999999</v>
      </c>
      <c r="G1289" s="4">
        <v>188.1</v>
      </c>
      <c r="H1289" s="5">
        <f t="shared" si="20"/>
        <v>4.5000556111667256E-2</v>
      </c>
    </row>
    <row r="1290" spans="1:8" ht="13.5" x14ac:dyDescent="0.25">
      <c r="A1290" s="1"/>
      <c r="B1290" s="3">
        <v>44186</v>
      </c>
      <c r="C1290" s="4">
        <v>19.37</v>
      </c>
      <c r="D1290" s="4">
        <v>19.3506</v>
      </c>
      <c r="E1290" s="4">
        <v>50</v>
      </c>
      <c r="F1290" s="4">
        <v>19.37</v>
      </c>
      <c r="G1290" s="4">
        <v>968.5</v>
      </c>
      <c r="H1290" s="5">
        <f t="shared" si="20"/>
        <v>2.9769253693218107E-2</v>
      </c>
    </row>
    <row r="1291" spans="1:8" ht="13.5" x14ac:dyDescent="0.25">
      <c r="A1291" s="1"/>
      <c r="B1291" s="3">
        <v>44187</v>
      </c>
      <c r="C1291" s="4">
        <v>19.39</v>
      </c>
      <c r="D1291" s="4">
        <v>19.3706</v>
      </c>
      <c r="E1291" s="4">
        <v>2</v>
      </c>
      <c r="F1291" s="4">
        <v>19.39</v>
      </c>
      <c r="G1291" s="4">
        <v>38.78</v>
      </c>
      <c r="H1291" s="5">
        <f t="shared" si="20"/>
        <v>1.0335596829038672E-3</v>
      </c>
    </row>
    <row r="1292" spans="1:8" ht="13.5" x14ac:dyDescent="0.25">
      <c r="A1292" s="1"/>
      <c r="B1292" s="3">
        <v>44188</v>
      </c>
      <c r="C1292" s="4">
        <v>19.39</v>
      </c>
      <c r="D1292" s="4">
        <v>19.3706</v>
      </c>
      <c r="E1292" s="4">
        <v>50</v>
      </c>
      <c r="F1292" s="4">
        <v>19.39</v>
      </c>
      <c r="G1292" s="4">
        <v>969.5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19.39</v>
      </c>
      <c r="D1293" s="4">
        <v>19.3706</v>
      </c>
      <c r="E1293" s="4">
        <v>100</v>
      </c>
      <c r="F1293" s="4">
        <v>19.39</v>
      </c>
      <c r="G1293" s="4">
        <v>1939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19.39</v>
      </c>
      <c r="D1294" s="4">
        <v>19.3706</v>
      </c>
      <c r="E1294" s="4">
        <v>0</v>
      </c>
      <c r="F1294" s="4">
        <v>0</v>
      </c>
      <c r="G1294" s="4">
        <v>0</v>
      </c>
      <c r="H1294" s="5">
        <f t="shared" si="20"/>
        <v>0</v>
      </c>
    </row>
    <row r="1295" spans="1:8" ht="13.5" x14ac:dyDescent="0.25">
      <c r="A1295" s="1"/>
      <c r="B1295" s="3">
        <v>44193</v>
      </c>
      <c r="C1295" s="4">
        <v>19.39</v>
      </c>
      <c r="D1295" s="4">
        <v>19.3706</v>
      </c>
      <c r="E1295" s="4">
        <v>0</v>
      </c>
      <c r="F1295" s="4">
        <v>0</v>
      </c>
      <c r="G1295" s="4">
        <v>0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19.39</v>
      </c>
      <c r="D1296" s="4">
        <v>19.3706</v>
      </c>
      <c r="E1296" s="4">
        <v>0</v>
      </c>
      <c r="F1296" s="4">
        <v>0</v>
      </c>
      <c r="G1296" s="4">
        <v>0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19.93</v>
      </c>
      <c r="D1297" s="4">
        <v>19.9101</v>
      </c>
      <c r="E1297" s="4">
        <v>3318</v>
      </c>
      <c r="F1297" s="4">
        <v>19.350000000000001</v>
      </c>
      <c r="G1297" s="4">
        <v>64203.3</v>
      </c>
      <c r="H1297" s="5">
        <f t="shared" si="20"/>
        <v>2.7851486273011695E-2</v>
      </c>
    </row>
    <row r="1298" spans="1:8" ht="13.5" x14ac:dyDescent="0.25">
      <c r="A1298" s="1"/>
      <c r="B1298" s="3">
        <v>44196</v>
      </c>
      <c r="C1298" s="4">
        <v>19.39</v>
      </c>
      <c r="D1298" s="4">
        <v>19.3706</v>
      </c>
      <c r="E1298" s="4">
        <v>1208</v>
      </c>
      <c r="F1298" s="4">
        <v>19.39</v>
      </c>
      <c r="G1298" s="4">
        <v>23423.119999999999</v>
      </c>
      <c r="H1298" s="5">
        <f t="shared" si="20"/>
        <v>-2.7096800116523791E-2</v>
      </c>
    </row>
    <row r="1299" spans="1:8" ht="13.5" x14ac:dyDescent="0.25">
      <c r="A1299" s="1"/>
      <c r="B1299" s="3">
        <v>44200</v>
      </c>
      <c r="C1299" s="4">
        <v>18.52</v>
      </c>
      <c r="D1299" s="4">
        <v>18.5015</v>
      </c>
      <c r="E1299" s="4">
        <v>50</v>
      </c>
      <c r="F1299" s="4">
        <v>18.52</v>
      </c>
      <c r="G1299" s="4">
        <v>926</v>
      </c>
      <c r="H1299" s="5">
        <f t="shared" si="20"/>
        <v>-4.486696333618987E-2</v>
      </c>
    </row>
    <row r="1300" spans="1:8" ht="13.5" x14ac:dyDescent="0.25">
      <c r="A1300" s="1"/>
      <c r="B1300" s="3">
        <v>44201</v>
      </c>
      <c r="C1300" s="4">
        <v>19.07</v>
      </c>
      <c r="D1300" s="4">
        <v>19.050899999999999</v>
      </c>
      <c r="E1300" s="4">
        <v>5</v>
      </c>
      <c r="F1300" s="4">
        <v>19.07</v>
      </c>
      <c r="G1300" s="4">
        <v>95.35</v>
      </c>
      <c r="H1300" s="5">
        <f t="shared" si="20"/>
        <v>2.969488960354558E-2</v>
      </c>
    </row>
    <row r="1301" spans="1:8" ht="13.5" x14ac:dyDescent="0.25">
      <c r="A1301" s="1"/>
      <c r="B1301" s="3">
        <v>44202</v>
      </c>
      <c r="C1301" s="4">
        <v>19.29</v>
      </c>
      <c r="D1301" s="4">
        <v>19.270700000000001</v>
      </c>
      <c r="E1301" s="4">
        <v>955</v>
      </c>
      <c r="F1301" s="4">
        <v>19.290500000000002</v>
      </c>
      <c r="G1301" s="4">
        <v>18422.427500000002</v>
      </c>
      <c r="H1301" s="5">
        <f t="shared" si="20"/>
        <v>1.1537512663443874E-2</v>
      </c>
    </row>
    <row r="1302" spans="1:8" ht="13.5" x14ac:dyDescent="0.25">
      <c r="A1302" s="1"/>
      <c r="B1302" s="3">
        <v>44203</v>
      </c>
      <c r="C1302" s="4">
        <v>19.29</v>
      </c>
      <c r="D1302" s="4">
        <v>19.270700000000001</v>
      </c>
      <c r="E1302" s="4">
        <v>0</v>
      </c>
      <c r="F1302" s="4">
        <v>0</v>
      </c>
      <c r="G1302" s="4">
        <v>0</v>
      </c>
      <c r="H1302" s="5">
        <f t="shared" si="20"/>
        <v>0</v>
      </c>
    </row>
    <row r="1303" spans="1:8" ht="13.5" x14ac:dyDescent="0.25">
      <c r="A1303" s="1"/>
      <c r="B1303" s="3">
        <v>44204</v>
      </c>
      <c r="C1303" s="4">
        <v>19</v>
      </c>
      <c r="D1303" s="4">
        <v>18.981000000000002</v>
      </c>
      <c r="E1303" s="4">
        <v>3565</v>
      </c>
      <c r="F1303" s="4">
        <v>18.991199999999999</v>
      </c>
      <c r="G1303" s="4">
        <v>67703.627999999997</v>
      </c>
      <c r="H1303" s="5">
        <f t="shared" si="20"/>
        <v>-1.5033185094469834E-2</v>
      </c>
    </row>
    <row r="1304" spans="1:8" ht="13.5" x14ac:dyDescent="0.25">
      <c r="A1304" s="1"/>
      <c r="B1304" s="3">
        <v>44207</v>
      </c>
      <c r="C1304" s="4">
        <v>19</v>
      </c>
      <c r="D1304" s="4">
        <v>18.981000000000002</v>
      </c>
      <c r="E1304" s="4">
        <v>729</v>
      </c>
      <c r="F1304" s="4">
        <v>19</v>
      </c>
      <c r="G1304" s="4">
        <v>13851</v>
      </c>
      <c r="H1304" s="5">
        <f t="shared" si="20"/>
        <v>0</v>
      </c>
    </row>
    <row r="1305" spans="1:8" ht="13.5" x14ac:dyDescent="0.25">
      <c r="A1305" s="1"/>
      <c r="B1305" s="3">
        <v>44208</v>
      </c>
      <c r="C1305" s="4">
        <v>19</v>
      </c>
      <c r="D1305" s="4">
        <v>18.981000000000002</v>
      </c>
      <c r="E1305" s="4">
        <v>0</v>
      </c>
      <c r="F1305" s="4">
        <v>0</v>
      </c>
      <c r="G1305" s="4">
        <v>0</v>
      </c>
      <c r="H1305" s="5">
        <f t="shared" si="20"/>
        <v>0</v>
      </c>
    </row>
    <row r="1306" spans="1:8" ht="13.5" x14ac:dyDescent="0.25">
      <c r="A1306" s="1"/>
      <c r="B1306" s="3">
        <v>44209</v>
      </c>
      <c r="C1306" s="4">
        <v>18.43</v>
      </c>
      <c r="D1306" s="4">
        <v>18.4116</v>
      </c>
      <c r="E1306" s="4">
        <v>52</v>
      </c>
      <c r="F1306" s="4">
        <v>18.43</v>
      </c>
      <c r="G1306" s="4">
        <v>958.36</v>
      </c>
      <c r="H1306" s="5">
        <f t="shared" si="20"/>
        <v>-2.9998419472103768E-2</v>
      </c>
    </row>
    <row r="1307" spans="1:8" ht="13.5" x14ac:dyDescent="0.25">
      <c r="A1307" s="1"/>
      <c r="B1307" s="3">
        <v>44211</v>
      </c>
      <c r="C1307" s="4">
        <v>18.43</v>
      </c>
      <c r="D1307" s="4">
        <v>18.4116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18</v>
      </c>
      <c r="D1308" s="4">
        <v>17.981999999999999</v>
      </c>
      <c r="E1308" s="4">
        <v>200</v>
      </c>
      <c r="F1308" s="4">
        <v>18</v>
      </c>
      <c r="G1308" s="4">
        <v>3600</v>
      </c>
      <c r="H1308" s="5">
        <f t="shared" si="20"/>
        <v>-2.3333116078993712E-2</v>
      </c>
    </row>
    <row r="1309" spans="1:8" ht="13.5" x14ac:dyDescent="0.25">
      <c r="A1309" s="1"/>
      <c r="B1309" s="3">
        <v>44215</v>
      </c>
      <c r="C1309" s="4">
        <v>18.54</v>
      </c>
      <c r="D1309" s="4">
        <v>18.5215</v>
      </c>
      <c r="E1309" s="4">
        <v>100</v>
      </c>
      <c r="F1309" s="4">
        <v>18.54</v>
      </c>
      <c r="G1309" s="4">
        <v>1854</v>
      </c>
      <c r="H1309" s="5">
        <f t="shared" si="20"/>
        <v>3.0002224446668911E-2</v>
      </c>
    </row>
    <row r="1310" spans="1:8" ht="13.5" x14ac:dyDescent="0.25">
      <c r="A1310" s="1"/>
      <c r="B1310" s="3">
        <v>44216</v>
      </c>
      <c r="C1310" s="4">
        <v>18.54</v>
      </c>
      <c r="D1310" s="4">
        <v>18.5215</v>
      </c>
      <c r="E1310" s="4">
        <v>0</v>
      </c>
      <c r="F1310" s="4">
        <v>0</v>
      </c>
      <c r="G1310" s="4">
        <v>0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18.010000000000002</v>
      </c>
      <c r="D1311" s="4">
        <v>17.992000000000001</v>
      </c>
      <c r="E1311" s="4">
        <v>1100</v>
      </c>
      <c r="F1311" s="4">
        <v>18.010000000000002</v>
      </c>
      <c r="G1311" s="4">
        <v>19811</v>
      </c>
      <c r="H1311" s="5">
        <f t="shared" si="20"/>
        <v>-2.8588397268039779E-2</v>
      </c>
    </row>
    <row r="1312" spans="1:8" ht="13.5" x14ac:dyDescent="0.25">
      <c r="A1312" s="1"/>
      <c r="B1312" s="3">
        <v>44218</v>
      </c>
      <c r="C1312" s="4">
        <v>18.5</v>
      </c>
      <c r="D1312" s="4">
        <v>18.4815</v>
      </c>
      <c r="E1312" s="4">
        <v>9</v>
      </c>
      <c r="F1312" s="4">
        <v>18.5</v>
      </c>
      <c r="G1312" s="4">
        <v>166.5</v>
      </c>
      <c r="H1312" s="5">
        <f t="shared" si="20"/>
        <v>2.7206536238328121E-2</v>
      </c>
    </row>
    <row r="1313" spans="1:8" ht="13.5" x14ac:dyDescent="0.25">
      <c r="A1313" s="1"/>
      <c r="B1313" s="3">
        <v>44221</v>
      </c>
      <c r="C1313" s="4">
        <v>19</v>
      </c>
      <c r="D1313" s="4">
        <v>18.981000000000002</v>
      </c>
      <c r="E1313" s="4">
        <v>104</v>
      </c>
      <c r="F1313" s="4">
        <v>19</v>
      </c>
      <c r="G1313" s="4">
        <v>1976</v>
      </c>
      <c r="H1313" s="5">
        <f t="shared" si="20"/>
        <v>2.7027027027027091E-2</v>
      </c>
    </row>
    <row r="1314" spans="1:8" ht="13.5" x14ac:dyDescent="0.25">
      <c r="A1314" s="1"/>
      <c r="B1314" s="3">
        <v>44222</v>
      </c>
      <c r="C1314" s="4">
        <v>19</v>
      </c>
      <c r="D1314" s="4">
        <v>18.981000000000002</v>
      </c>
      <c r="E1314" s="4">
        <v>0</v>
      </c>
      <c r="F1314" s="4">
        <v>0</v>
      </c>
      <c r="G1314" s="4">
        <v>0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18.43</v>
      </c>
      <c r="D1315" s="4">
        <v>18.4116</v>
      </c>
      <c r="E1315" s="4">
        <v>2117</v>
      </c>
      <c r="F1315" s="4">
        <v>18.43</v>
      </c>
      <c r="G1315" s="4">
        <v>39016.31</v>
      </c>
      <c r="H1315" s="5">
        <f t="shared" si="20"/>
        <v>-2.9998419472103768E-2</v>
      </c>
    </row>
    <row r="1316" spans="1:8" ht="13.5" x14ac:dyDescent="0.25">
      <c r="A1316" s="1"/>
      <c r="B1316" s="3">
        <v>44224</v>
      </c>
      <c r="C1316" s="4">
        <v>18.43</v>
      </c>
      <c r="D1316" s="4">
        <v>18.4116</v>
      </c>
      <c r="E1316" s="4">
        <v>0</v>
      </c>
      <c r="F1316" s="4">
        <v>0</v>
      </c>
      <c r="G1316" s="4">
        <v>0</v>
      </c>
      <c r="H1316" s="5">
        <f t="shared" si="20"/>
        <v>0</v>
      </c>
    </row>
    <row r="1317" spans="1:8" ht="13.5" x14ac:dyDescent="0.25">
      <c r="A1317" s="1"/>
      <c r="B1317" s="3">
        <v>44225</v>
      </c>
      <c r="C1317" s="4">
        <v>18.98</v>
      </c>
      <c r="D1317" s="4">
        <v>18.960999999999999</v>
      </c>
      <c r="E1317" s="4">
        <v>100</v>
      </c>
      <c r="F1317" s="4">
        <v>18.98</v>
      </c>
      <c r="G1317" s="4">
        <v>1898</v>
      </c>
      <c r="H1317" s="5">
        <f t="shared" si="20"/>
        <v>2.9839883551673867E-2</v>
      </c>
    </row>
    <row r="1318" spans="1:8" ht="13.5" x14ac:dyDescent="0.25">
      <c r="A1318" s="1"/>
      <c r="B1318" s="3">
        <v>44228</v>
      </c>
      <c r="C1318" s="4">
        <v>18.98</v>
      </c>
      <c r="D1318" s="4">
        <v>18.960999999999999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18.899999999999999</v>
      </c>
      <c r="D1319" s="4">
        <v>18.8811</v>
      </c>
      <c r="E1319" s="4">
        <v>21</v>
      </c>
      <c r="F1319" s="4">
        <v>18.899999999999999</v>
      </c>
      <c r="G1319" s="4">
        <v>396.9</v>
      </c>
      <c r="H1319" s="5">
        <f t="shared" si="20"/>
        <v>-4.2139127683138303E-3</v>
      </c>
    </row>
    <row r="1320" spans="1:8" ht="13.5" x14ac:dyDescent="0.25">
      <c r="A1320" s="1"/>
      <c r="B1320" s="3">
        <v>44230</v>
      </c>
      <c r="C1320" s="4">
        <v>18.399999999999999</v>
      </c>
      <c r="D1320" s="4">
        <v>18.381599999999999</v>
      </c>
      <c r="E1320" s="4">
        <v>472</v>
      </c>
      <c r="F1320" s="4">
        <v>18.3553</v>
      </c>
      <c r="G1320" s="4">
        <v>8663.7016000000003</v>
      </c>
      <c r="H1320" s="5">
        <f t="shared" si="20"/>
        <v>-2.6455026455026516E-2</v>
      </c>
    </row>
    <row r="1321" spans="1:8" ht="13.5" x14ac:dyDescent="0.25">
      <c r="A1321" s="1"/>
      <c r="B1321" s="3">
        <v>44231</v>
      </c>
      <c r="C1321" s="4">
        <v>18.399999999999999</v>
      </c>
      <c r="D1321" s="4">
        <v>18.381599999999999</v>
      </c>
      <c r="E1321" s="4">
        <v>0</v>
      </c>
      <c r="F1321" s="4">
        <v>0</v>
      </c>
      <c r="G1321" s="4">
        <v>0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18.399999999999999</v>
      </c>
      <c r="D1322" s="4">
        <v>18.381599999999999</v>
      </c>
      <c r="E1322" s="4">
        <v>0</v>
      </c>
      <c r="F1322" s="4">
        <v>0</v>
      </c>
      <c r="G1322" s="4">
        <v>0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18.399999999999999</v>
      </c>
      <c r="D1323" s="4">
        <v>18.381599999999999</v>
      </c>
      <c r="E1323" s="4">
        <v>0</v>
      </c>
      <c r="F1323" s="4">
        <v>0</v>
      </c>
      <c r="G1323" s="4">
        <v>0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18.399999999999999</v>
      </c>
      <c r="D1324" s="4">
        <v>18.381599999999999</v>
      </c>
      <c r="E1324" s="4">
        <v>1283</v>
      </c>
      <c r="F1324" s="4">
        <v>18.399999999999999</v>
      </c>
      <c r="G1324" s="4">
        <v>23607.200000000001</v>
      </c>
      <c r="H1324" s="5">
        <f t="shared" si="20"/>
        <v>0</v>
      </c>
    </row>
    <row r="1325" spans="1:8" ht="13.5" x14ac:dyDescent="0.25">
      <c r="A1325" s="1"/>
      <c r="B1325" s="3">
        <v>44237</v>
      </c>
      <c r="C1325" s="4">
        <v>18.399999999999999</v>
      </c>
      <c r="D1325" s="4">
        <v>18.381599999999999</v>
      </c>
      <c r="E1325" s="4">
        <v>1000</v>
      </c>
      <c r="F1325" s="4">
        <v>18.399999999999999</v>
      </c>
      <c r="G1325" s="4">
        <v>18400</v>
      </c>
      <c r="H1325" s="5">
        <f t="shared" si="20"/>
        <v>0</v>
      </c>
    </row>
    <row r="1326" spans="1:8" ht="13.5" x14ac:dyDescent="0.25">
      <c r="A1326" s="1"/>
      <c r="B1326" s="3">
        <v>44238</v>
      </c>
      <c r="C1326" s="4">
        <v>18.399999999999999</v>
      </c>
      <c r="D1326" s="4">
        <v>18.381599999999999</v>
      </c>
      <c r="E1326" s="4">
        <v>223</v>
      </c>
      <c r="F1326" s="4">
        <v>18.399999999999999</v>
      </c>
      <c r="G1326" s="4">
        <v>4103.2</v>
      </c>
      <c r="H1326" s="5">
        <f t="shared" si="20"/>
        <v>0</v>
      </c>
    </row>
    <row r="1327" spans="1:8" ht="13.5" x14ac:dyDescent="0.25">
      <c r="A1327" s="1"/>
      <c r="B1327" s="3">
        <v>44239</v>
      </c>
      <c r="C1327" s="4">
        <v>18.399999999999999</v>
      </c>
      <c r="D1327" s="4">
        <v>18.381599999999999</v>
      </c>
      <c r="E1327" s="4">
        <v>0</v>
      </c>
      <c r="F1327" s="4">
        <v>0</v>
      </c>
      <c r="G1327" s="4">
        <v>0</v>
      </c>
      <c r="H1327" s="5">
        <f t="shared" si="20"/>
        <v>0</v>
      </c>
    </row>
    <row r="1328" spans="1:8" ht="13.5" x14ac:dyDescent="0.25">
      <c r="A1328" s="1"/>
      <c r="B1328" s="3">
        <v>44242</v>
      </c>
      <c r="C1328" s="4">
        <v>18.399999999999999</v>
      </c>
      <c r="D1328" s="4">
        <v>18.381599999999999</v>
      </c>
      <c r="E1328" s="4">
        <v>0</v>
      </c>
      <c r="F1328" s="4">
        <v>0</v>
      </c>
      <c r="G1328" s="4">
        <v>0</v>
      </c>
      <c r="H1328" s="5">
        <f t="shared" si="20"/>
        <v>0</v>
      </c>
    </row>
    <row r="1329" spans="1:8" ht="13.5" x14ac:dyDescent="0.25">
      <c r="A1329" s="1"/>
      <c r="B1329" s="3">
        <v>44243</v>
      </c>
      <c r="C1329" s="4">
        <v>18.7</v>
      </c>
      <c r="D1329" s="4">
        <v>18.6813</v>
      </c>
      <c r="E1329" s="4">
        <v>250</v>
      </c>
      <c r="F1329" s="4">
        <v>18.7</v>
      </c>
      <c r="G1329" s="4">
        <v>4675</v>
      </c>
      <c r="H1329" s="5">
        <f t="shared" si="20"/>
        <v>1.6304347826087036E-2</v>
      </c>
    </row>
    <row r="1330" spans="1:8" ht="13.5" x14ac:dyDescent="0.25">
      <c r="A1330" s="1"/>
      <c r="B1330" s="3">
        <v>44244</v>
      </c>
      <c r="C1330" s="4">
        <v>18.399999999999999</v>
      </c>
      <c r="D1330" s="4">
        <v>18.381599999999999</v>
      </c>
      <c r="E1330" s="4">
        <v>50</v>
      </c>
      <c r="F1330" s="4">
        <v>18.399999999999999</v>
      </c>
      <c r="G1330" s="4">
        <v>920</v>
      </c>
      <c r="H1330" s="5">
        <f t="shared" si="20"/>
        <v>-1.6042780748663176E-2</v>
      </c>
    </row>
    <row r="1331" spans="1:8" ht="13.5" x14ac:dyDescent="0.25">
      <c r="A1331" s="1"/>
      <c r="B1331" s="3">
        <v>44245</v>
      </c>
      <c r="C1331" s="4">
        <v>18.7</v>
      </c>
      <c r="D1331" s="4">
        <v>18.6813</v>
      </c>
      <c r="E1331" s="4">
        <v>227</v>
      </c>
      <c r="F1331" s="4">
        <v>18.7</v>
      </c>
      <c r="G1331" s="4">
        <v>4244.8999999999996</v>
      </c>
      <c r="H1331" s="5">
        <f t="shared" si="20"/>
        <v>1.6304347826087036E-2</v>
      </c>
    </row>
    <row r="1332" spans="1:8" ht="13.5" x14ac:dyDescent="0.25">
      <c r="A1332" s="1"/>
      <c r="B1332" s="3">
        <v>44246</v>
      </c>
      <c r="C1332" s="4">
        <v>18.7</v>
      </c>
      <c r="D1332" s="4">
        <v>18.6813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18.7</v>
      </c>
      <c r="D1333" s="4">
        <v>18.6813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18.7</v>
      </c>
      <c r="D1334" s="4">
        <v>18.6813</v>
      </c>
      <c r="E1334" s="4">
        <v>0</v>
      </c>
      <c r="F1334" s="4">
        <v>0</v>
      </c>
      <c r="G1334" s="4">
        <v>0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18.7</v>
      </c>
      <c r="D1335" s="4">
        <v>18.6813</v>
      </c>
      <c r="E1335" s="4">
        <v>0</v>
      </c>
      <c r="F1335" s="4">
        <v>0</v>
      </c>
      <c r="G1335" s="4">
        <v>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18.7</v>
      </c>
      <c r="D1336" s="4">
        <v>18.6813</v>
      </c>
      <c r="E1336" s="4">
        <v>0</v>
      </c>
      <c r="F1336" s="4">
        <v>0</v>
      </c>
      <c r="G1336" s="4">
        <v>0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18.7</v>
      </c>
      <c r="D1337" s="4">
        <v>18.6813</v>
      </c>
      <c r="E1337" s="4">
        <v>0</v>
      </c>
      <c r="F1337" s="4">
        <v>0</v>
      </c>
      <c r="G1337" s="4">
        <v>0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18.14</v>
      </c>
      <c r="D1338" s="4">
        <v>18.1219</v>
      </c>
      <c r="E1338" s="4">
        <v>2</v>
      </c>
      <c r="F1338" s="4">
        <v>18.14</v>
      </c>
      <c r="G1338" s="4">
        <v>36.28</v>
      </c>
      <c r="H1338" s="5">
        <f t="shared" si="20"/>
        <v>-2.9944382885559361E-2</v>
      </c>
    </row>
    <row r="1339" spans="1:8" ht="13.5" x14ac:dyDescent="0.25">
      <c r="A1339" s="1"/>
      <c r="B1339" s="3">
        <v>44257</v>
      </c>
      <c r="C1339" s="4">
        <v>18.14</v>
      </c>
      <c r="D1339" s="4">
        <v>18.1219</v>
      </c>
      <c r="E1339" s="4">
        <v>0</v>
      </c>
      <c r="F1339" s="4">
        <v>0</v>
      </c>
      <c r="G1339" s="4">
        <v>0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18.14</v>
      </c>
      <c r="D1340" s="4">
        <v>18.1219</v>
      </c>
      <c r="E1340" s="4">
        <v>0</v>
      </c>
      <c r="F1340" s="4">
        <v>0</v>
      </c>
      <c r="G1340" s="4">
        <v>0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18.14</v>
      </c>
      <c r="D1341" s="4">
        <v>18.1219</v>
      </c>
      <c r="E1341" s="4">
        <v>0</v>
      </c>
      <c r="F1341" s="4">
        <v>0</v>
      </c>
      <c r="G1341" s="4">
        <v>0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18.3</v>
      </c>
      <c r="D1342" s="4">
        <v>18.281700000000001</v>
      </c>
      <c r="E1342" s="4">
        <v>500</v>
      </c>
      <c r="F1342" s="4">
        <v>18.3</v>
      </c>
      <c r="G1342" s="4">
        <v>9150</v>
      </c>
      <c r="H1342" s="5">
        <f t="shared" si="20"/>
        <v>8.8180599164547104E-3</v>
      </c>
    </row>
    <row r="1343" spans="1:8" ht="13.5" x14ac:dyDescent="0.25">
      <c r="A1343" s="1"/>
      <c r="B1343" s="3">
        <v>44263</v>
      </c>
      <c r="C1343" s="4">
        <v>18.3</v>
      </c>
      <c r="D1343" s="4">
        <v>18.281700000000001</v>
      </c>
      <c r="E1343" s="4">
        <v>0</v>
      </c>
      <c r="F1343" s="4">
        <v>0</v>
      </c>
      <c r="G1343" s="4">
        <v>0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18.3</v>
      </c>
      <c r="D1344" s="4">
        <v>18.281700000000001</v>
      </c>
      <c r="E1344" s="4">
        <v>504</v>
      </c>
      <c r="F1344" s="4">
        <v>18.3</v>
      </c>
      <c r="G1344" s="4">
        <v>9223.2000000000007</v>
      </c>
      <c r="H1344" s="5">
        <f t="shared" si="20"/>
        <v>0</v>
      </c>
    </row>
    <row r="1345" spans="1:8" ht="13.5" x14ac:dyDescent="0.25">
      <c r="A1345" s="1"/>
      <c r="B1345" s="3">
        <v>44265</v>
      </c>
      <c r="C1345" s="4">
        <v>18.3</v>
      </c>
      <c r="D1345" s="4">
        <v>18.281700000000001</v>
      </c>
      <c r="E1345" s="4">
        <v>192</v>
      </c>
      <c r="F1345" s="4">
        <v>18.3</v>
      </c>
      <c r="G1345" s="4">
        <v>3513.6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18.3</v>
      </c>
      <c r="D1346" s="4">
        <v>18.281700000000001</v>
      </c>
      <c r="E1346" s="4">
        <v>808</v>
      </c>
      <c r="F1346" s="4">
        <v>18.3</v>
      </c>
      <c r="G1346" s="4">
        <v>14786.4</v>
      </c>
      <c r="H1346" s="5">
        <f t="shared" si="20"/>
        <v>0</v>
      </c>
    </row>
    <row r="1347" spans="1:8" ht="13.5" x14ac:dyDescent="0.25">
      <c r="A1347" s="1"/>
      <c r="B1347" s="3">
        <v>44267</v>
      </c>
      <c r="C1347" s="4">
        <v>18.3</v>
      </c>
      <c r="D1347" s="4">
        <v>18.281700000000001</v>
      </c>
      <c r="E1347" s="4">
        <v>0</v>
      </c>
      <c r="F1347" s="4">
        <v>0</v>
      </c>
      <c r="G1347" s="4">
        <v>0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18.3</v>
      </c>
      <c r="D1348" s="4">
        <v>18.281700000000001</v>
      </c>
      <c r="E1348" s="4">
        <v>0</v>
      </c>
      <c r="F1348" s="4">
        <v>0</v>
      </c>
      <c r="G1348" s="4">
        <v>0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18.3</v>
      </c>
      <c r="D1349" s="4">
        <v>18.281700000000001</v>
      </c>
      <c r="E1349" s="4">
        <v>800</v>
      </c>
      <c r="F1349" s="4">
        <v>18.3</v>
      </c>
      <c r="G1349" s="4">
        <v>14640</v>
      </c>
      <c r="H1349" s="5">
        <f t="shared" si="20"/>
        <v>0</v>
      </c>
    </row>
    <row r="1350" spans="1:8" ht="13.5" x14ac:dyDescent="0.25">
      <c r="A1350" s="1"/>
      <c r="B1350" s="3">
        <v>44272</v>
      </c>
      <c r="C1350" s="4">
        <v>18.3</v>
      </c>
      <c r="D1350" s="4">
        <v>18.281700000000001</v>
      </c>
      <c r="E1350" s="4">
        <v>110</v>
      </c>
      <c r="F1350" s="4">
        <v>18.3</v>
      </c>
      <c r="G1350" s="4">
        <v>2013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18.3</v>
      </c>
      <c r="D1351" s="4">
        <v>18.281700000000001</v>
      </c>
      <c r="E1351" s="4">
        <v>90</v>
      </c>
      <c r="F1351" s="4">
        <v>18.3</v>
      </c>
      <c r="G1351" s="4">
        <v>1647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18.29</v>
      </c>
      <c r="D1352" s="4">
        <v>18.271699999999999</v>
      </c>
      <c r="E1352" s="4">
        <v>162</v>
      </c>
      <c r="F1352" s="4">
        <v>18.29</v>
      </c>
      <c r="G1352" s="4">
        <v>2962.98</v>
      </c>
      <c r="H1352" s="5">
        <f t="shared" si="21"/>
        <v>-5.4699508251429367E-4</v>
      </c>
    </row>
    <row r="1353" spans="1:8" ht="13.5" x14ac:dyDescent="0.25">
      <c r="A1353" s="1"/>
      <c r="B1353" s="3">
        <v>44277</v>
      </c>
      <c r="C1353" s="4">
        <v>18.29</v>
      </c>
      <c r="D1353" s="4">
        <v>18.271699999999999</v>
      </c>
      <c r="E1353" s="4">
        <v>0</v>
      </c>
      <c r="F1353" s="4">
        <v>0</v>
      </c>
      <c r="G1353" s="4">
        <v>0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18.5</v>
      </c>
      <c r="D1354" s="4">
        <v>18.4815</v>
      </c>
      <c r="E1354" s="4">
        <v>3210</v>
      </c>
      <c r="F1354" s="4">
        <v>18.5</v>
      </c>
      <c r="G1354" s="4">
        <v>59385</v>
      </c>
      <c r="H1354" s="5">
        <f t="shared" si="21"/>
        <v>1.1482237558628991E-2</v>
      </c>
    </row>
    <row r="1355" spans="1:8" ht="13.5" x14ac:dyDescent="0.25">
      <c r="A1355" s="1"/>
      <c r="B1355" s="3">
        <v>44279</v>
      </c>
      <c r="C1355" s="4">
        <v>18.3</v>
      </c>
      <c r="D1355" s="4">
        <v>18.281700000000001</v>
      </c>
      <c r="E1355" s="4">
        <v>118</v>
      </c>
      <c r="F1355" s="4">
        <v>18.330500000000001</v>
      </c>
      <c r="G1355" s="4">
        <v>2162.9989999999998</v>
      </c>
      <c r="H1355" s="5">
        <f t="shared" si="21"/>
        <v>-1.0810810810810798E-2</v>
      </c>
    </row>
    <row r="1356" spans="1:8" ht="13.5" x14ac:dyDescent="0.25">
      <c r="A1356" s="1"/>
      <c r="B1356" s="3">
        <v>44280</v>
      </c>
      <c r="C1356" s="4">
        <v>18.29</v>
      </c>
      <c r="D1356" s="4">
        <v>18.271699999999999</v>
      </c>
      <c r="E1356" s="4">
        <v>20</v>
      </c>
      <c r="F1356" s="4">
        <v>18.29</v>
      </c>
      <c r="G1356" s="4">
        <v>365.8</v>
      </c>
      <c r="H1356" s="5">
        <f t="shared" si="21"/>
        <v>-5.4699508251429367E-4</v>
      </c>
    </row>
    <row r="1357" spans="1:8" ht="13.5" x14ac:dyDescent="0.25">
      <c r="A1357" s="1"/>
      <c r="B1357" s="3">
        <v>44281</v>
      </c>
      <c r="C1357" s="4">
        <v>17.75</v>
      </c>
      <c r="D1357" s="4">
        <v>17.732299999999999</v>
      </c>
      <c r="E1357" s="4">
        <v>68</v>
      </c>
      <c r="F1357" s="4">
        <v>17.75</v>
      </c>
      <c r="G1357" s="4">
        <v>1207</v>
      </c>
      <c r="H1357" s="5">
        <f t="shared" si="21"/>
        <v>-2.9521062626903932E-2</v>
      </c>
    </row>
    <row r="1358" spans="1:8" ht="13.5" x14ac:dyDescent="0.25">
      <c r="A1358" s="1"/>
      <c r="B1358" s="3">
        <v>44284</v>
      </c>
      <c r="C1358" s="4">
        <v>17.75</v>
      </c>
      <c r="D1358" s="4">
        <v>17.732299999999999</v>
      </c>
      <c r="E1358" s="4">
        <v>0</v>
      </c>
      <c r="F1358" s="4">
        <v>0</v>
      </c>
      <c r="G1358" s="4">
        <v>0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17.75</v>
      </c>
      <c r="D1359" s="4">
        <v>17.732299999999999</v>
      </c>
      <c r="E1359" s="4">
        <v>500</v>
      </c>
      <c r="F1359" s="4">
        <v>17.75</v>
      </c>
      <c r="G1359" s="4">
        <v>8875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17.61</v>
      </c>
      <c r="D1360" s="4">
        <v>17.592400000000001</v>
      </c>
      <c r="E1360" s="4">
        <v>151</v>
      </c>
      <c r="F1360" s="4">
        <v>17.61</v>
      </c>
      <c r="G1360" s="4">
        <v>2659.11</v>
      </c>
      <c r="H1360" s="5">
        <f t="shared" si="21"/>
        <v>-7.8895574742135679E-3</v>
      </c>
    </row>
    <row r="1361" spans="1:8" ht="13.5" x14ac:dyDescent="0.25">
      <c r="A1361" s="1"/>
      <c r="B1361" s="3">
        <v>44287</v>
      </c>
      <c r="C1361" s="4">
        <v>17.61</v>
      </c>
      <c r="D1361" s="4">
        <v>17.592400000000001</v>
      </c>
      <c r="E1361" s="4">
        <v>0</v>
      </c>
      <c r="F1361" s="4">
        <v>0</v>
      </c>
      <c r="G1361" s="4">
        <v>0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17.61</v>
      </c>
      <c r="D1362" s="4">
        <v>17.592400000000001</v>
      </c>
      <c r="E1362" s="4">
        <v>0</v>
      </c>
      <c r="F1362" s="4">
        <v>0</v>
      </c>
      <c r="G1362" s="4">
        <v>0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17.61</v>
      </c>
      <c r="D1363" s="4">
        <v>17.592400000000001</v>
      </c>
      <c r="E1363" s="4">
        <v>0</v>
      </c>
      <c r="F1363" s="4">
        <v>0</v>
      </c>
      <c r="G1363" s="4">
        <v>0</v>
      </c>
      <c r="H1363" s="5">
        <f t="shared" si="21"/>
        <v>0</v>
      </c>
    </row>
    <row r="1364" spans="1:8" ht="13.5" x14ac:dyDescent="0.25">
      <c r="A1364" s="1"/>
      <c r="B1364" s="3">
        <v>44292</v>
      </c>
      <c r="C1364" s="4">
        <v>17.649999999999999</v>
      </c>
      <c r="D1364" s="4">
        <v>17.632400000000001</v>
      </c>
      <c r="E1364" s="4">
        <v>130</v>
      </c>
      <c r="F1364" s="4">
        <v>17.649999999999999</v>
      </c>
      <c r="G1364" s="4">
        <v>2294.5</v>
      </c>
      <c r="H1364" s="5">
        <f t="shared" si="21"/>
        <v>2.2737091016574854E-3</v>
      </c>
    </row>
    <row r="1365" spans="1:8" ht="13.5" x14ac:dyDescent="0.25">
      <c r="A1365" s="1"/>
      <c r="B1365" s="3">
        <v>44293</v>
      </c>
      <c r="C1365" s="4">
        <v>17.649999999999999</v>
      </c>
      <c r="D1365" s="4">
        <v>17.632400000000001</v>
      </c>
      <c r="E1365" s="4">
        <v>376</v>
      </c>
      <c r="F1365" s="4">
        <v>17.649999999999999</v>
      </c>
      <c r="G1365" s="4">
        <v>6636.4</v>
      </c>
      <c r="H1365" s="5">
        <f t="shared" si="21"/>
        <v>0</v>
      </c>
    </row>
    <row r="1366" spans="1:8" ht="13.5" x14ac:dyDescent="0.25">
      <c r="A1366" s="1"/>
      <c r="B1366" s="3">
        <v>44294</v>
      </c>
      <c r="C1366" s="4">
        <v>17.989999999999998</v>
      </c>
      <c r="D1366" s="4">
        <v>17.972000000000001</v>
      </c>
      <c r="E1366" s="4">
        <v>4310</v>
      </c>
      <c r="F1366" s="4">
        <v>17.989999999999998</v>
      </c>
      <c r="G1366" s="4">
        <v>77536.899999999994</v>
      </c>
      <c r="H1366" s="5">
        <f t="shared" si="21"/>
        <v>1.9259998638869399E-2</v>
      </c>
    </row>
    <row r="1367" spans="1:8" ht="13.5" x14ac:dyDescent="0.25">
      <c r="A1367" s="1"/>
      <c r="B1367" s="3">
        <v>44298</v>
      </c>
      <c r="C1367" s="4">
        <v>17.989999999999998</v>
      </c>
      <c r="D1367" s="4">
        <v>17.972000000000001</v>
      </c>
      <c r="E1367" s="4">
        <v>0</v>
      </c>
      <c r="F1367" s="4">
        <v>0</v>
      </c>
      <c r="G1367" s="4">
        <v>0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18.489999999999998</v>
      </c>
      <c r="D1368" s="4">
        <v>18.471499999999999</v>
      </c>
      <c r="E1368" s="4">
        <v>800</v>
      </c>
      <c r="F1368" s="4">
        <v>18.489999999999998</v>
      </c>
      <c r="G1368" s="4">
        <v>14792</v>
      </c>
      <c r="H1368" s="5">
        <f t="shared" si="21"/>
        <v>2.7793233919430092E-2</v>
      </c>
    </row>
    <row r="1369" spans="1:8" ht="13.5" x14ac:dyDescent="0.25">
      <c r="A1369" s="1"/>
      <c r="B1369" s="3">
        <v>44300</v>
      </c>
      <c r="C1369" s="4">
        <v>18.489999999999998</v>
      </c>
      <c r="D1369" s="4">
        <v>18.471499999999999</v>
      </c>
      <c r="E1369" s="4">
        <v>0</v>
      </c>
      <c r="F1369" s="4">
        <v>0</v>
      </c>
      <c r="G1369" s="4">
        <v>0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18.489999999999998</v>
      </c>
      <c r="D1370" s="4">
        <v>18.471499999999999</v>
      </c>
      <c r="E1370" s="4">
        <v>0</v>
      </c>
      <c r="F1370" s="4">
        <v>0</v>
      </c>
      <c r="G1370" s="4">
        <v>0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17.66</v>
      </c>
      <c r="D1371" s="4">
        <v>17.642299999999999</v>
      </c>
      <c r="E1371" s="4">
        <v>310</v>
      </c>
      <c r="F1371" s="4">
        <v>17.66</v>
      </c>
      <c r="G1371" s="4">
        <v>5474.6</v>
      </c>
      <c r="H1371" s="5">
        <f t="shared" si="21"/>
        <v>-4.4890777684541062E-2</v>
      </c>
    </row>
    <row r="1372" spans="1:8" ht="13.5" x14ac:dyDescent="0.25">
      <c r="A1372" s="1"/>
      <c r="B1372" s="3">
        <v>44305</v>
      </c>
      <c r="C1372" s="4">
        <v>17.66</v>
      </c>
      <c r="D1372" s="4">
        <v>17.642299999999999</v>
      </c>
      <c r="E1372" s="4">
        <v>139</v>
      </c>
      <c r="F1372" s="4">
        <v>17.66</v>
      </c>
      <c r="G1372" s="4">
        <v>2454.7399999999998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17.66</v>
      </c>
      <c r="D1373" s="4">
        <v>17.642299999999999</v>
      </c>
      <c r="E1373" s="4">
        <v>0</v>
      </c>
      <c r="F1373" s="4">
        <v>0</v>
      </c>
      <c r="G1373" s="4">
        <v>0</v>
      </c>
      <c r="H1373" s="5">
        <f t="shared" si="21"/>
        <v>0</v>
      </c>
    </row>
    <row r="1374" spans="1:8" ht="13.5" x14ac:dyDescent="0.25">
      <c r="A1374" s="1"/>
      <c r="B1374" s="3">
        <v>44307</v>
      </c>
      <c r="C1374" s="4">
        <v>17.7</v>
      </c>
      <c r="D1374" s="4">
        <v>17.682300000000001</v>
      </c>
      <c r="E1374" s="4">
        <v>7</v>
      </c>
      <c r="F1374" s="4">
        <v>17.7</v>
      </c>
      <c r="G1374" s="4">
        <v>123.9</v>
      </c>
      <c r="H1374" s="5">
        <f t="shared" si="21"/>
        <v>2.2672780759879778E-3</v>
      </c>
    </row>
    <row r="1375" spans="1:8" ht="13.5" x14ac:dyDescent="0.25">
      <c r="A1375" s="1"/>
      <c r="B1375" s="3">
        <v>44308</v>
      </c>
      <c r="C1375" s="4">
        <v>17.7</v>
      </c>
      <c r="D1375" s="4">
        <v>17.682300000000001</v>
      </c>
      <c r="E1375" s="4">
        <v>0</v>
      </c>
      <c r="F1375" s="4">
        <v>0</v>
      </c>
      <c r="G1375" s="4">
        <v>0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17.7</v>
      </c>
      <c r="D1376" s="4">
        <v>17.682300000000001</v>
      </c>
      <c r="E1376" s="4">
        <v>0</v>
      </c>
      <c r="F1376" s="4">
        <v>0</v>
      </c>
      <c r="G1376" s="4">
        <v>0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17.7</v>
      </c>
      <c r="D1377" s="4">
        <v>17.682300000000001</v>
      </c>
      <c r="E1377" s="4">
        <v>1000</v>
      </c>
      <c r="F1377" s="4">
        <v>17.7</v>
      </c>
      <c r="G1377" s="4">
        <v>17700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17.7</v>
      </c>
      <c r="D1378" s="4">
        <v>17.682300000000001</v>
      </c>
      <c r="E1378" s="4">
        <v>0</v>
      </c>
      <c r="F1378" s="4">
        <v>0</v>
      </c>
      <c r="G1378" s="4">
        <v>0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17.7</v>
      </c>
      <c r="D1379" s="4">
        <v>17.682300000000001</v>
      </c>
      <c r="E1379" s="4">
        <v>0</v>
      </c>
      <c r="F1379" s="4">
        <v>0</v>
      </c>
      <c r="G1379" s="4">
        <v>0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17.7</v>
      </c>
      <c r="D1380" s="4">
        <v>17.682300000000001</v>
      </c>
      <c r="E1380" s="4">
        <v>40</v>
      </c>
      <c r="F1380" s="4">
        <v>17.7</v>
      </c>
      <c r="G1380" s="4">
        <v>708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17.7</v>
      </c>
      <c r="D1381" s="4">
        <v>17.682300000000001</v>
      </c>
      <c r="E1381" s="4">
        <v>0</v>
      </c>
      <c r="F1381" s="4">
        <v>0</v>
      </c>
      <c r="G1381" s="4">
        <v>0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17.7</v>
      </c>
      <c r="D1382" s="4">
        <v>17.682300000000001</v>
      </c>
      <c r="E1382" s="4">
        <v>0</v>
      </c>
      <c r="F1382" s="4">
        <v>0</v>
      </c>
      <c r="G1382" s="4">
        <v>0</v>
      </c>
      <c r="H1382" s="5">
        <f t="shared" si="21"/>
        <v>0</v>
      </c>
    </row>
    <row r="1383" spans="1:8" ht="13.5" x14ac:dyDescent="0.25">
      <c r="A1383" s="1"/>
      <c r="B1383" s="3">
        <v>44320</v>
      </c>
      <c r="C1383" s="4">
        <v>17.7</v>
      </c>
      <c r="D1383" s="4">
        <v>17.682300000000001</v>
      </c>
      <c r="E1383" s="4">
        <v>0</v>
      </c>
      <c r="F1383" s="4">
        <v>0</v>
      </c>
      <c r="G1383" s="4">
        <v>0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17.7</v>
      </c>
      <c r="D1384" s="4">
        <v>17.682300000000001</v>
      </c>
      <c r="E1384" s="4">
        <v>0</v>
      </c>
      <c r="F1384" s="4">
        <v>0</v>
      </c>
      <c r="G1384" s="4">
        <v>0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17.7</v>
      </c>
      <c r="D1385" s="4">
        <v>17.682300000000001</v>
      </c>
      <c r="E1385" s="4">
        <v>0</v>
      </c>
      <c r="F1385" s="4">
        <v>0</v>
      </c>
      <c r="G1385" s="4">
        <v>0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17.7</v>
      </c>
      <c r="D1386" s="4">
        <v>17.682300000000001</v>
      </c>
      <c r="E1386" s="4">
        <v>0</v>
      </c>
      <c r="F1386" s="4">
        <v>0</v>
      </c>
      <c r="G1386" s="4">
        <v>0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17.7</v>
      </c>
      <c r="D1387" s="4">
        <v>17.682300000000001</v>
      </c>
      <c r="E1387" s="4">
        <v>0</v>
      </c>
      <c r="F1387" s="4">
        <v>0</v>
      </c>
      <c r="G1387" s="4">
        <v>0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17.7</v>
      </c>
      <c r="D1388" s="4">
        <v>17.682300000000001</v>
      </c>
      <c r="E1388" s="4">
        <v>0</v>
      </c>
      <c r="F1388" s="4">
        <v>0</v>
      </c>
      <c r="G1388" s="4">
        <v>0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17.8</v>
      </c>
      <c r="D1389" s="4">
        <v>17.7822</v>
      </c>
      <c r="E1389" s="4">
        <v>188</v>
      </c>
      <c r="F1389" s="4">
        <v>17.703199999999999</v>
      </c>
      <c r="G1389" s="4">
        <v>3328.2015999999999</v>
      </c>
      <c r="H1389" s="5">
        <f t="shared" si="21"/>
        <v>5.6497175141241862E-3</v>
      </c>
    </row>
    <row r="1390" spans="1:8" ht="13.5" x14ac:dyDescent="0.25">
      <c r="A1390" s="1"/>
      <c r="B1390" s="3">
        <v>44334</v>
      </c>
      <c r="C1390" s="4">
        <v>17.8</v>
      </c>
      <c r="D1390" s="4">
        <v>17.7822</v>
      </c>
      <c r="E1390" s="4">
        <v>0</v>
      </c>
      <c r="F1390" s="4">
        <v>0</v>
      </c>
      <c r="G1390" s="4">
        <v>0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17.8</v>
      </c>
      <c r="D1391" s="4">
        <v>17.7822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18.32</v>
      </c>
      <c r="D1392" s="4">
        <v>18.3017</v>
      </c>
      <c r="E1392" s="4">
        <v>23</v>
      </c>
      <c r="F1392" s="4">
        <v>18.32</v>
      </c>
      <c r="G1392" s="4">
        <v>421.36</v>
      </c>
      <c r="H1392" s="5">
        <f t="shared" si="21"/>
        <v>2.9214607866293301E-2</v>
      </c>
    </row>
    <row r="1393" spans="1:8" ht="13.5" x14ac:dyDescent="0.25">
      <c r="A1393" s="1"/>
      <c r="B1393" s="3">
        <v>44337</v>
      </c>
      <c r="C1393" s="4">
        <v>18.32</v>
      </c>
      <c r="D1393" s="4">
        <v>18.3017</v>
      </c>
      <c r="E1393" s="4">
        <v>0</v>
      </c>
      <c r="F1393" s="4">
        <v>0</v>
      </c>
      <c r="G1393" s="4">
        <v>0</v>
      </c>
      <c r="H1393" s="5">
        <f t="shared" si="21"/>
        <v>0</v>
      </c>
    </row>
    <row r="1394" spans="1:8" ht="13.5" x14ac:dyDescent="0.25">
      <c r="A1394" s="1"/>
      <c r="B1394" s="3">
        <v>44340</v>
      </c>
      <c r="C1394" s="4">
        <v>18.32</v>
      </c>
      <c r="D1394" s="4">
        <v>18.3017</v>
      </c>
      <c r="E1394" s="4">
        <v>0</v>
      </c>
      <c r="F1394" s="4">
        <v>0</v>
      </c>
      <c r="G1394" s="4">
        <v>0</v>
      </c>
      <c r="H1394" s="5">
        <f t="shared" si="21"/>
        <v>0</v>
      </c>
    </row>
    <row r="1395" spans="1:8" ht="13.5" x14ac:dyDescent="0.25">
      <c r="A1395" s="1"/>
      <c r="B1395" s="3">
        <v>44341</v>
      </c>
      <c r="C1395" s="4">
        <v>18.32</v>
      </c>
      <c r="D1395" s="4">
        <v>18.3017</v>
      </c>
      <c r="E1395" s="4">
        <v>0</v>
      </c>
      <c r="F1395" s="4">
        <v>0</v>
      </c>
      <c r="G1395" s="4">
        <v>0</v>
      </c>
      <c r="H1395" s="5">
        <f t="shared" si="21"/>
        <v>0</v>
      </c>
    </row>
    <row r="1396" spans="1:8" ht="13.5" x14ac:dyDescent="0.25">
      <c r="A1396" s="1"/>
      <c r="B1396" s="3">
        <v>44342</v>
      </c>
      <c r="C1396" s="4">
        <v>18.32</v>
      </c>
      <c r="D1396" s="4">
        <v>18.3017</v>
      </c>
      <c r="E1396" s="4">
        <v>0</v>
      </c>
      <c r="F1396" s="4">
        <v>0</v>
      </c>
      <c r="G1396" s="4">
        <v>0</v>
      </c>
      <c r="H1396" s="5">
        <f t="shared" si="21"/>
        <v>0</v>
      </c>
    </row>
    <row r="1397" spans="1:8" ht="13.5" x14ac:dyDescent="0.25">
      <c r="A1397" s="1"/>
      <c r="B1397" s="3">
        <v>44343</v>
      </c>
      <c r="C1397" s="4">
        <v>18.32</v>
      </c>
      <c r="D1397" s="4">
        <v>18.3017</v>
      </c>
      <c r="E1397" s="4">
        <v>0</v>
      </c>
      <c r="F1397" s="4">
        <v>0</v>
      </c>
      <c r="G1397" s="4">
        <v>0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18.32</v>
      </c>
      <c r="D1398" s="4">
        <v>18.3017</v>
      </c>
      <c r="E1398" s="4">
        <v>0</v>
      </c>
      <c r="F1398" s="4">
        <v>0</v>
      </c>
      <c r="G1398" s="4">
        <v>0</v>
      </c>
      <c r="H1398" s="5">
        <f t="shared" si="21"/>
        <v>0</v>
      </c>
    </row>
    <row r="1399" spans="1:8" ht="13.5" x14ac:dyDescent="0.25">
      <c r="A1399" s="1"/>
      <c r="B1399" s="3">
        <v>44347</v>
      </c>
      <c r="C1399" s="4">
        <v>17.8</v>
      </c>
      <c r="D1399" s="4">
        <v>17.7822</v>
      </c>
      <c r="E1399" s="4">
        <v>100</v>
      </c>
      <c r="F1399" s="4">
        <v>17.8</v>
      </c>
      <c r="G1399" s="4">
        <v>1780</v>
      </c>
      <c r="H1399" s="5">
        <f t="shared" si="21"/>
        <v>-2.8385341252451998E-2</v>
      </c>
    </row>
    <row r="1400" spans="1:8" ht="13.5" x14ac:dyDescent="0.25">
      <c r="A1400" s="1"/>
      <c r="B1400" s="3">
        <v>44348</v>
      </c>
      <c r="C1400" s="4">
        <v>17.7</v>
      </c>
      <c r="D1400" s="4">
        <v>17.682300000000001</v>
      </c>
      <c r="E1400" s="4">
        <v>395</v>
      </c>
      <c r="F1400" s="4">
        <v>17.7</v>
      </c>
      <c r="G1400" s="4">
        <v>6991.5</v>
      </c>
      <c r="H1400" s="5">
        <f t="shared" si="21"/>
        <v>-5.6179775280897808E-3</v>
      </c>
    </row>
    <row r="1401" spans="1:8" ht="13.5" x14ac:dyDescent="0.25">
      <c r="A1401" s="1"/>
      <c r="B1401" s="3">
        <v>44349</v>
      </c>
      <c r="C1401" s="4">
        <v>17.45</v>
      </c>
      <c r="D1401" s="4">
        <v>17.432600000000001</v>
      </c>
      <c r="E1401" s="4">
        <v>3749</v>
      </c>
      <c r="F1401" s="4">
        <v>17.45</v>
      </c>
      <c r="G1401" s="4">
        <v>65420.05</v>
      </c>
      <c r="H1401" s="5">
        <f t="shared" si="21"/>
        <v>-1.4121466098867268E-2</v>
      </c>
    </row>
    <row r="1402" spans="1:8" ht="13.5" x14ac:dyDescent="0.25">
      <c r="A1402" s="1"/>
      <c r="B1402" s="3">
        <v>44350</v>
      </c>
      <c r="C1402" s="4">
        <v>16.5</v>
      </c>
      <c r="D1402" s="4">
        <v>16.483499999999999</v>
      </c>
      <c r="E1402" s="4">
        <v>3</v>
      </c>
      <c r="F1402" s="4">
        <v>17.010000000000002</v>
      </c>
      <c r="G1402" s="4">
        <v>51.03</v>
      </c>
      <c r="H1402" s="5">
        <f t="shared" si="21"/>
        <v>-5.444397278661825E-2</v>
      </c>
    </row>
    <row r="1403" spans="1:8" ht="13.5" x14ac:dyDescent="0.25">
      <c r="A1403" s="1"/>
      <c r="B1403" s="3">
        <v>44351</v>
      </c>
      <c r="C1403" s="4">
        <v>16</v>
      </c>
      <c r="D1403" s="4">
        <v>15.984</v>
      </c>
      <c r="E1403" s="4">
        <v>27</v>
      </c>
      <c r="F1403" s="4">
        <v>16.489999999999998</v>
      </c>
      <c r="G1403" s="4">
        <v>445.23</v>
      </c>
      <c r="H1403" s="5">
        <f t="shared" si="21"/>
        <v>-3.0303030303030266E-2</v>
      </c>
    </row>
    <row r="1404" spans="1:8" ht="13.5" x14ac:dyDescent="0.25">
      <c r="A1404" s="1"/>
      <c r="B1404" s="3">
        <v>44354</v>
      </c>
      <c r="C1404" s="4">
        <v>15.52</v>
      </c>
      <c r="D1404" s="4">
        <v>15.5045</v>
      </c>
      <c r="E1404" s="4">
        <v>27</v>
      </c>
      <c r="F1404" s="4">
        <v>16.489999999999998</v>
      </c>
      <c r="G1404" s="4">
        <v>445.23</v>
      </c>
      <c r="H1404" s="5">
        <f t="shared" si="21"/>
        <v>-2.9998748748748739E-2</v>
      </c>
    </row>
    <row r="1405" spans="1:8" ht="13.5" x14ac:dyDescent="0.25">
      <c r="A1405" s="1"/>
      <c r="B1405" s="3">
        <v>44355</v>
      </c>
      <c r="C1405" s="4">
        <v>15.52</v>
      </c>
      <c r="D1405" s="4">
        <v>15.5045</v>
      </c>
      <c r="E1405" s="4">
        <v>0</v>
      </c>
      <c r="F1405" s="4">
        <v>0</v>
      </c>
      <c r="G1405" s="4">
        <v>0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16.21</v>
      </c>
      <c r="D1406" s="4">
        <v>16.1938</v>
      </c>
      <c r="E1406" s="4">
        <v>80</v>
      </c>
      <c r="F1406" s="4">
        <v>16.21</v>
      </c>
      <c r="G1406" s="4">
        <v>1296.8</v>
      </c>
      <c r="H1406" s="5">
        <f t="shared" si="21"/>
        <v>4.4458060563062292E-2</v>
      </c>
    </row>
    <row r="1407" spans="1:8" ht="13.5" x14ac:dyDescent="0.25">
      <c r="A1407" s="1"/>
      <c r="B1407" s="3">
        <v>44357</v>
      </c>
      <c r="C1407" s="4">
        <v>16.5</v>
      </c>
      <c r="D1407" s="4">
        <v>16.483499999999999</v>
      </c>
      <c r="E1407" s="4">
        <v>1890</v>
      </c>
      <c r="F1407" s="4">
        <v>16.5</v>
      </c>
      <c r="G1407" s="4">
        <v>31185</v>
      </c>
      <c r="H1407" s="5">
        <f t="shared" si="21"/>
        <v>1.788956267213377E-2</v>
      </c>
    </row>
    <row r="1408" spans="1:8" ht="13.5" x14ac:dyDescent="0.25">
      <c r="A1408" s="1"/>
      <c r="B1408" s="3">
        <v>44358</v>
      </c>
      <c r="C1408" s="4">
        <v>16.5</v>
      </c>
      <c r="D1408" s="4">
        <v>16.483499999999999</v>
      </c>
      <c r="E1408" s="4">
        <v>3432</v>
      </c>
      <c r="F1408" s="4">
        <v>16.5</v>
      </c>
      <c r="G1408" s="4">
        <v>56628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16.5</v>
      </c>
      <c r="D1409" s="4">
        <v>16.483499999999999</v>
      </c>
      <c r="E1409" s="4">
        <v>0</v>
      </c>
      <c r="F1409" s="4">
        <v>0</v>
      </c>
      <c r="G1409" s="4">
        <v>0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16.5</v>
      </c>
      <c r="D1410" s="4">
        <v>16.483499999999999</v>
      </c>
      <c r="E1410" s="4">
        <v>0</v>
      </c>
      <c r="F1410" s="4">
        <v>0</v>
      </c>
      <c r="G1410" s="4">
        <v>0</v>
      </c>
      <c r="H1410" s="5">
        <f t="shared" si="21"/>
        <v>0</v>
      </c>
    </row>
    <row r="1411" spans="1:8" ht="13.5" x14ac:dyDescent="0.25">
      <c r="A1411" s="1"/>
      <c r="B1411" s="3">
        <v>44363</v>
      </c>
      <c r="C1411" s="4">
        <v>17</v>
      </c>
      <c r="D1411" s="4">
        <v>16.983000000000001</v>
      </c>
      <c r="E1411" s="4">
        <v>595</v>
      </c>
      <c r="F1411" s="4">
        <v>17</v>
      </c>
      <c r="G1411" s="4">
        <v>10115</v>
      </c>
      <c r="H1411" s="5">
        <f t="shared" si="21"/>
        <v>3.0303030303030373E-2</v>
      </c>
    </row>
    <row r="1412" spans="1:8" ht="13.5" x14ac:dyDescent="0.25">
      <c r="A1412" s="1"/>
      <c r="B1412" s="3">
        <v>44364</v>
      </c>
      <c r="C1412" s="4">
        <v>17</v>
      </c>
      <c r="D1412" s="4">
        <v>16.983000000000001</v>
      </c>
      <c r="E1412" s="4">
        <v>595</v>
      </c>
      <c r="F1412" s="4">
        <v>17</v>
      </c>
      <c r="G1412" s="4">
        <v>10115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17</v>
      </c>
      <c r="D1413" s="4">
        <v>16.983000000000001</v>
      </c>
      <c r="E1413" s="4">
        <v>595</v>
      </c>
      <c r="F1413" s="4">
        <v>17</v>
      </c>
      <c r="G1413" s="4">
        <v>10115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17</v>
      </c>
      <c r="D1414" s="4">
        <v>16.983000000000001</v>
      </c>
      <c r="E1414" s="4">
        <v>18070</v>
      </c>
      <c r="F1414" s="4">
        <v>17</v>
      </c>
      <c r="G1414" s="4">
        <v>307190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17.510000000000002</v>
      </c>
      <c r="D1415" s="4">
        <v>17.4925</v>
      </c>
      <c r="E1415" s="4">
        <v>10303</v>
      </c>
      <c r="F1415" s="4">
        <v>17.500299999999999</v>
      </c>
      <c r="G1415" s="4">
        <v>180305.59090000001</v>
      </c>
      <c r="H1415" s="5">
        <f t="shared" ref="H1415:H1478" si="22">(D1415-D1414)/D1414</f>
        <v>3.0000588824118185E-2</v>
      </c>
    </row>
    <row r="1416" spans="1:8" ht="13.5" x14ac:dyDescent="0.25">
      <c r="A1416" s="1"/>
      <c r="B1416" s="3">
        <v>44370</v>
      </c>
      <c r="C1416" s="4">
        <v>18</v>
      </c>
      <c r="D1416" s="4">
        <v>17.981999999999999</v>
      </c>
      <c r="E1416" s="4">
        <v>10019</v>
      </c>
      <c r="F1416" s="4">
        <v>17.995100000000001</v>
      </c>
      <c r="G1416" s="4">
        <v>180292.9069</v>
      </c>
      <c r="H1416" s="5">
        <f t="shared" si="22"/>
        <v>2.7983421466342695E-2</v>
      </c>
    </row>
    <row r="1417" spans="1:8" ht="13.5" x14ac:dyDescent="0.25">
      <c r="A1417" s="1"/>
      <c r="B1417" s="3">
        <v>44371</v>
      </c>
      <c r="C1417" s="4">
        <v>18</v>
      </c>
      <c r="D1417" s="4">
        <v>17.981999999999999</v>
      </c>
      <c r="E1417" s="4">
        <v>8</v>
      </c>
      <c r="F1417" s="4">
        <v>18</v>
      </c>
      <c r="G1417" s="4">
        <v>144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18</v>
      </c>
      <c r="D1418" s="4">
        <v>17.981999999999999</v>
      </c>
      <c r="E1418" s="4">
        <v>1300</v>
      </c>
      <c r="F1418" s="4">
        <v>18</v>
      </c>
      <c r="G1418" s="4">
        <v>23400</v>
      </c>
      <c r="H1418" s="5">
        <f t="shared" si="22"/>
        <v>0</v>
      </c>
    </row>
    <row r="1419" spans="1:8" ht="13.5" x14ac:dyDescent="0.25">
      <c r="A1419" s="1"/>
      <c r="B1419" s="3">
        <v>44375</v>
      </c>
      <c r="C1419" s="4">
        <v>18</v>
      </c>
      <c r="D1419" s="4">
        <v>17.981999999999999</v>
      </c>
      <c r="E1419" s="4">
        <v>55</v>
      </c>
      <c r="F1419" s="4">
        <v>18</v>
      </c>
      <c r="G1419" s="4">
        <v>990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18</v>
      </c>
      <c r="D1420" s="4">
        <v>17.981999999999999</v>
      </c>
      <c r="E1420" s="4">
        <v>2209</v>
      </c>
      <c r="F1420" s="4">
        <v>18</v>
      </c>
      <c r="G1420" s="4">
        <v>39762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18</v>
      </c>
      <c r="D1421" s="4">
        <v>17.981999999999999</v>
      </c>
      <c r="E1421" s="4">
        <v>500</v>
      </c>
      <c r="F1421" s="4">
        <v>18</v>
      </c>
      <c r="G1421" s="4">
        <v>9000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18</v>
      </c>
      <c r="D1422" s="4">
        <v>17.981999999999999</v>
      </c>
      <c r="E1422" s="4">
        <v>2050</v>
      </c>
      <c r="F1422" s="4">
        <v>18</v>
      </c>
      <c r="G1422" s="4">
        <v>36900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18.010000000000002</v>
      </c>
      <c r="D1423" s="4">
        <v>17.992000000000001</v>
      </c>
      <c r="E1423" s="4">
        <v>590</v>
      </c>
      <c r="F1423" s="4">
        <v>18.010000000000002</v>
      </c>
      <c r="G1423" s="4">
        <v>10625.9</v>
      </c>
      <c r="H1423" s="5">
        <f t="shared" si="22"/>
        <v>5.5611166722286526E-4</v>
      </c>
    </row>
    <row r="1424" spans="1:8" ht="13.5" x14ac:dyDescent="0.25">
      <c r="A1424" s="1"/>
      <c r="B1424" s="3">
        <v>44382</v>
      </c>
      <c r="C1424" s="4">
        <v>18.010000000000002</v>
      </c>
      <c r="D1424" s="4">
        <v>17.992000000000001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18.010000000000002</v>
      </c>
      <c r="D1425" s="4">
        <v>17.992000000000001</v>
      </c>
      <c r="E1425" s="4">
        <v>7659</v>
      </c>
      <c r="F1425" s="4">
        <v>18.007400000000001</v>
      </c>
      <c r="G1425" s="4">
        <v>137918.67660000001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18</v>
      </c>
      <c r="D1426" s="4">
        <v>17.981999999999999</v>
      </c>
      <c r="E1426" s="4">
        <v>11066</v>
      </c>
      <c r="F1426" s="4">
        <v>18</v>
      </c>
      <c r="G1426" s="4">
        <v>199188</v>
      </c>
      <c r="H1426" s="5">
        <f t="shared" si="22"/>
        <v>-5.5580257892405311E-4</v>
      </c>
    </row>
    <row r="1427" spans="1:8" ht="13.5" x14ac:dyDescent="0.25">
      <c r="A1427" s="1"/>
      <c r="B1427" s="3">
        <v>44385</v>
      </c>
      <c r="C1427" s="4">
        <v>18.010000000000002</v>
      </c>
      <c r="D1427" s="4">
        <v>17.992000000000001</v>
      </c>
      <c r="E1427" s="4">
        <v>1708</v>
      </c>
      <c r="F1427" s="4">
        <v>18.009699999999999</v>
      </c>
      <c r="G1427" s="4">
        <v>30760.567599999998</v>
      </c>
      <c r="H1427" s="5">
        <f t="shared" si="22"/>
        <v>5.5611166722286526E-4</v>
      </c>
    </row>
    <row r="1428" spans="1:8" ht="13.5" x14ac:dyDescent="0.25">
      <c r="A1428" s="1"/>
      <c r="B1428" s="3">
        <v>44386</v>
      </c>
      <c r="C1428" s="4">
        <v>18.02</v>
      </c>
      <c r="D1428" s="4">
        <v>18.001999999999999</v>
      </c>
      <c r="E1428" s="4">
        <v>997</v>
      </c>
      <c r="F1428" s="4">
        <v>18.02</v>
      </c>
      <c r="G1428" s="4">
        <v>17965.939999999999</v>
      </c>
      <c r="H1428" s="5">
        <f t="shared" si="22"/>
        <v>5.5580257892385557E-4</v>
      </c>
    </row>
    <row r="1429" spans="1:8" ht="13.5" x14ac:dyDescent="0.25">
      <c r="A1429" s="1"/>
      <c r="B1429" s="3">
        <v>44389</v>
      </c>
      <c r="C1429" s="4">
        <v>18</v>
      </c>
      <c r="D1429" s="4">
        <v>17.981999999999999</v>
      </c>
      <c r="E1429" s="4">
        <v>1580</v>
      </c>
      <c r="F1429" s="4">
        <v>18</v>
      </c>
      <c r="G1429" s="4">
        <v>28440</v>
      </c>
      <c r="H1429" s="5">
        <f t="shared" si="22"/>
        <v>-1.1109876680368612E-3</v>
      </c>
    </row>
    <row r="1430" spans="1:8" ht="13.5" x14ac:dyDescent="0.25">
      <c r="A1430" s="1"/>
      <c r="B1430" s="3">
        <v>44390</v>
      </c>
      <c r="C1430" s="4">
        <v>18.5</v>
      </c>
      <c r="D1430" s="4">
        <v>18.4815</v>
      </c>
      <c r="E1430" s="4">
        <v>30</v>
      </c>
      <c r="F1430" s="4">
        <v>18.5</v>
      </c>
      <c r="G1430" s="4">
        <v>555</v>
      </c>
      <c r="H1430" s="5">
        <f t="shared" si="22"/>
        <v>2.7777777777777842E-2</v>
      </c>
    </row>
    <row r="1431" spans="1:8" ht="13.5" x14ac:dyDescent="0.25">
      <c r="A1431" s="1"/>
      <c r="B1431" s="3">
        <v>44391</v>
      </c>
      <c r="C1431" s="4">
        <v>18.5</v>
      </c>
      <c r="D1431" s="4">
        <v>18.4815</v>
      </c>
      <c r="E1431" s="4">
        <v>100</v>
      </c>
      <c r="F1431" s="4">
        <v>18.5</v>
      </c>
      <c r="G1431" s="4">
        <v>1850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19.05</v>
      </c>
      <c r="D1432" s="4">
        <v>19.030999999999999</v>
      </c>
      <c r="E1432" s="4">
        <v>0</v>
      </c>
      <c r="F1432" s="4">
        <v>0</v>
      </c>
      <c r="G1432" s="4">
        <v>0</v>
      </c>
      <c r="H1432" s="5">
        <f t="shared" si="22"/>
        <v>2.9732435137840452E-2</v>
      </c>
    </row>
    <row r="1433" spans="1:8" ht="13.5" x14ac:dyDescent="0.25">
      <c r="A1433" s="1"/>
      <c r="B1433" s="3">
        <v>44393</v>
      </c>
      <c r="C1433" s="4">
        <v>18.2</v>
      </c>
      <c r="D1433" s="4">
        <v>18.181799999999999</v>
      </c>
      <c r="E1433" s="4">
        <v>0</v>
      </c>
      <c r="F1433" s="4">
        <v>0</v>
      </c>
      <c r="G1433" s="4">
        <v>0</v>
      </c>
      <c r="H1433" s="5">
        <f t="shared" si="22"/>
        <v>-4.4621932636225096E-2</v>
      </c>
    </row>
    <row r="1434" spans="1:8" ht="13.5" x14ac:dyDescent="0.25">
      <c r="A1434" s="1"/>
      <c r="B1434" s="3">
        <v>44396</v>
      </c>
      <c r="C1434" s="4">
        <v>18.2</v>
      </c>
      <c r="D1434" s="4">
        <v>18.181799999999999</v>
      </c>
      <c r="E1434" s="4">
        <v>0</v>
      </c>
      <c r="F1434" s="4">
        <v>0</v>
      </c>
      <c r="G1434" s="4">
        <v>0</v>
      </c>
      <c r="H1434" s="5">
        <f t="shared" si="22"/>
        <v>0</v>
      </c>
    </row>
    <row r="1435" spans="1:8" ht="13.5" x14ac:dyDescent="0.25">
      <c r="A1435" s="1"/>
      <c r="B1435" s="3">
        <v>44399</v>
      </c>
      <c r="C1435" s="4">
        <v>18.2</v>
      </c>
      <c r="D1435" s="4">
        <v>18.181799999999999</v>
      </c>
      <c r="E1435" s="4">
        <v>0</v>
      </c>
      <c r="F1435" s="4">
        <v>0</v>
      </c>
      <c r="G1435" s="4">
        <v>0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18.2</v>
      </c>
      <c r="D1436" s="4">
        <v>18.181799999999999</v>
      </c>
      <c r="E1436" s="4">
        <v>0</v>
      </c>
      <c r="F1436" s="4">
        <v>0</v>
      </c>
      <c r="G1436" s="4">
        <v>0</v>
      </c>
      <c r="H1436" s="5">
        <f t="shared" si="22"/>
        <v>0</v>
      </c>
    </row>
    <row r="1437" spans="1:8" ht="13.5" x14ac:dyDescent="0.25">
      <c r="A1437" s="1"/>
      <c r="B1437" s="3">
        <v>44403</v>
      </c>
      <c r="C1437" s="4">
        <v>18.2</v>
      </c>
      <c r="D1437" s="4">
        <v>18.181799999999999</v>
      </c>
      <c r="E1437" s="4">
        <v>0</v>
      </c>
      <c r="F1437" s="4">
        <v>0</v>
      </c>
      <c r="G1437" s="4">
        <v>0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18</v>
      </c>
      <c r="D1438" s="4">
        <v>17.981999999999999</v>
      </c>
      <c r="E1438" s="4">
        <v>4732</v>
      </c>
      <c r="F1438" s="4">
        <v>18</v>
      </c>
      <c r="G1438" s="4">
        <v>85176</v>
      </c>
      <c r="H1438" s="5">
        <f t="shared" si="22"/>
        <v>-1.0989010989010976E-2</v>
      </c>
    </row>
    <row r="1439" spans="1:8" ht="13.5" x14ac:dyDescent="0.25">
      <c r="A1439" s="1"/>
      <c r="B1439" s="3">
        <v>44405</v>
      </c>
      <c r="C1439" s="4">
        <v>18</v>
      </c>
      <c r="D1439" s="4">
        <v>17.981999999999999</v>
      </c>
      <c r="E1439" s="4">
        <v>473</v>
      </c>
      <c r="F1439" s="4">
        <v>18</v>
      </c>
      <c r="G1439" s="4">
        <v>8514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18</v>
      </c>
      <c r="D1440" s="4">
        <v>17.981999999999999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18</v>
      </c>
      <c r="D1441" s="4">
        <v>17.981999999999999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18</v>
      </c>
      <c r="D1442" s="4">
        <v>17.981999999999999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18</v>
      </c>
      <c r="D1443" s="4">
        <v>17.981999999999999</v>
      </c>
      <c r="E1443" s="4">
        <v>0</v>
      </c>
      <c r="F1443" s="4">
        <v>0</v>
      </c>
      <c r="G1443" s="4">
        <v>0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18</v>
      </c>
      <c r="D1444" s="4">
        <v>17.981999999999999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18</v>
      </c>
      <c r="D1445" s="4">
        <v>17.981999999999999</v>
      </c>
      <c r="E1445" s="4">
        <v>50</v>
      </c>
      <c r="F1445" s="4">
        <v>18</v>
      </c>
      <c r="G1445" s="4">
        <v>900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18</v>
      </c>
      <c r="D1446" s="4">
        <v>17.981999999999999</v>
      </c>
      <c r="E1446" s="4">
        <v>43307</v>
      </c>
      <c r="F1446" s="4">
        <v>18</v>
      </c>
      <c r="G1446" s="4">
        <v>779526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18</v>
      </c>
      <c r="D1447" s="4">
        <v>17.981999999999999</v>
      </c>
      <c r="E1447" s="4">
        <v>250</v>
      </c>
      <c r="F1447" s="4">
        <v>18</v>
      </c>
      <c r="G1447" s="4">
        <v>4500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18</v>
      </c>
      <c r="D1448" s="4">
        <v>17.981999999999999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18</v>
      </c>
      <c r="D1449" s="4">
        <v>17.981999999999999</v>
      </c>
      <c r="E1449" s="4">
        <v>0</v>
      </c>
      <c r="F1449" s="4">
        <v>0</v>
      </c>
      <c r="G1449" s="4">
        <v>0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18</v>
      </c>
      <c r="D1450" s="4">
        <v>17.981999999999999</v>
      </c>
      <c r="E1450" s="4">
        <v>0</v>
      </c>
      <c r="F1450" s="4">
        <v>0</v>
      </c>
      <c r="G1450" s="4">
        <v>0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18</v>
      </c>
      <c r="D1451" s="4">
        <v>17.981999999999999</v>
      </c>
      <c r="E1451" s="4">
        <v>0</v>
      </c>
      <c r="F1451" s="4">
        <v>0</v>
      </c>
      <c r="G1451" s="4">
        <v>0</v>
      </c>
      <c r="H1451" s="5">
        <f t="shared" si="22"/>
        <v>0</v>
      </c>
    </row>
    <row r="1452" spans="1:8" ht="13.5" x14ac:dyDescent="0.25">
      <c r="A1452" s="1"/>
      <c r="B1452" s="3">
        <v>44426</v>
      </c>
      <c r="C1452" s="4">
        <v>18</v>
      </c>
      <c r="D1452" s="4">
        <v>17.981999999999999</v>
      </c>
      <c r="E1452" s="4">
        <v>0</v>
      </c>
      <c r="F1452" s="4">
        <v>0</v>
      </c>
      <c r="G1452" s="4">
        <v>0</v>
      </c>
      <c r="H1452" s="5">
        <f t="shared" si="22"/>
        <v>0</v>
      </c>
    </row>
    <row r="1453" spans="1:8" ht="13.5" x14ac:dyDescent="0.25">
      <c r="A1453" s="1"/>
      <c r="B1453" s="3">
        <v>44427</v>
      </c>
      <c r="C1453" s="4">
        <v>18</v>
      </c>
      <c r="D1453" s="4">
        <v>17.981999999999999</v>
      </c>
      <c r="E1453" s="4">
        <v>0</v>
      </c>
      <c r="F1453" s="4">
        <v>0</v>
      </c>
      <c r="G1453" s="4">
        <v>0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18</v>
      </c>
      <c r="D1454" s="4">
        <v>17.981999999999999</v>
      </c>
      <c r="E1454" s="4">
        <v>0</v>
      </c>
      <c r="F1454" s="4">
        <v>0</v>
      </c>
      <c r="G1454" s="4">
        <v>0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17.190000000000001</v>
      </c>
      <c r="D1455" s="4">
        <v>17.172799999999999</v>
      </c>
      <c r="E1455" s="4">
        <v>0</v>
      </c>
      <c r="F1455" s="4">
        <v>0</v>
      </c>
      <c r="G1455" s="4">
        <v>0</v>
      </c>
      <c r="H1455" s="5">
        <f t="shared" si="22"/>
        <v>-4.5000556111667256E-2</v>
      </c>
    </row>
    <row r="1456" spans="1:8" ht="13.5" x14ac:dyDescent="0.25">
      <c r="A1456" s="1"/>
      <c r="B1456" s="3">
        <v>44432</v>
      </c>
      <c r="C1456" s="4">
        <v>17.190000000000001</v>
      </c>
      <c r="D1456" s="4">
        <v>17.172799999999999</v>
      </c>
      <c r="E1456" s="4">
        <v>0</v>
      </c>
      <c r="F1456" s="4">
        <v>0</v>
      </c>
      <c r="G1456" s="4">
        <v>0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17.190000000000001</v>
      </c>
      <c r="D1457" s="4">
        <v>17.172799999999999</v>
      </c>
      <c r="E1457" s="4">
        <v>0</v>
      </c>
      <c r="F1457" s="4">
        <v>0</v>
      </c>
      <c r="G1457" s="4">
        <v>0</v>
      </c>
      <c r="H1457" s="5">
        <f t="shared" si="22"/>
        <v>0</v>
      </c>
    </row>
    <row r="1458" spans="1:8" ht="13.5" x14ac:dyDescent="0.25">
      <c r="A1458" s="1"/>
      <c r="B1458" s="3">
        <v>44434</v>
      </c>
      <c r="C1458" s="4">
        <v>17.190000000000001</v>
      </c>
      <c r="D1458" s="4">
        <v>17.172799999999999</v>
      </c>
      <c r="E1458" s="4">
        <v>0</v>
      </c>
      <c r="F1458" s="4">
        <v>0</v>
      </c>
      <c r="G1458" s="4">
        <v>0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17.190000000000001</v>
      </c>
      <c r="D1459" s="4">
        <v>17.172799999999999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17.190000000000001</v>
      </c>
      <c r="D1460" s="4">
        <v>17.172799999999999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17.190000000000001</v>
      </c>
      <c r="D1461" s="4">
        <v>17.172799999999999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17.190000000000001</v>
      </c>
      <c r="D1462" s="4">
        <v>17.172799999999999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17.190000000000001</v>
      </c>
      <c r="D1463" s="4">
        <v>17.172799999999999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17.190000000000001</v>
      </c>
      <c r="D1464" s="4">
        <v>17.172799999999999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17.190000000000001</v>
      </c>
      <c r="D1465" s="4">
        <v>17.172799999999999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17.190000000000001</v>
      </c>
      <c r="D1466" s="4">
        <v>17.172799999999999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17.190000000000001</v>
      </c>
      <c r="D1467" s="4">
        <v>17.172799999999999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17</v>
      </c>
      <c r="D1468" s="4">
        <v>16.983000000000001</v>
      </c>
      <c r="E1468" s="4">
        <v>25</v>
      </c>
      <c r="F1468" s="4">
        <v>17</v>
      </c>
      <c r="G1468" s="4">
        <v>425</v>
      </c>
      <c r="H1468" s="5">
        <f t="shared" si="22"/>
        <v>-1.1052361874592274E-2</v>
      </c>
    </row>
    <row r="1469" spans="1:8" ht="13.5" x14ac:dyDescent="0.25">
      <c r="A1469" s="1"/>
      <c r="B1469" s="3">
        <v>44449</v>
      </c>
      <c r="C1469" s="4">
        <v>17</v>
      </c>
      <c r="D1469" s="4">
        <v>16.983000000000001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17</v>
      </c>
      <c r="D1470" s="4">
        <v>16.983000000000001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17</v>
      </c>
      <c r="D1471" s="4">
        <v>16.983000000000001</v>
      </c>
      <c r="E1471" s="4">
        <v>0</v>
      </c>
      <c r="F1471" s="4">
        <v>0</v>
      </c>
      <c r="G1471" s="4">
        <v>0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17</v>
      </c>
      <c r="D1472" s="4">
        <v>16.983000000000001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17.5</v>
      </c>
      <c r="D1473" s="4">
        <v>17.482500000000002</v>
      </c>
      <c r="E1473" s="4">
        <v>4830</v>
      </c>
      <c r="F1473" s="4">
        <v>17.5</v>
      </c>
      <c r="G1473" s="4">
        <v>84525</v>
      </c>
      <c r="H1473" s="5">
        <f t="shared" si="22"/>
        <v>2.9411764705882422E-2</v>
      </c>
    </row>
    <row r="1474" spans="1:8" ht="13.5" x14ac:dyDescent="0.25">
      <c r="A1474" s="1"/>
      <c r="B1474" s="3">
        <v>44456</v>
      </c>
      <c r="C1474" s="4">
        <v>17.5</v>
      </c>
      <c r="D1474" s="4">
        <v>17.482500000000002</v>
      </c>
      <c r="E1474" s="4">
        <v>0</v>
      </c>
      <c r="F1474" s="4">
        <v>0</v>
      </c>
      <c r="G1474" s="4">
        <v>0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17.5</v>
      </c>
      <c r="D1475" s="4">
        <v>17.482500000000002</v>
      </c>
      <c r="E1475" s="4">
        <v>0</v>
      </c>
      <c r="F1475" s="4">
        <v>0</v>
      </c>
      <c r="G1475" s="4">
        <v>0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17.5</v>
      </c>
      <c r="D1476" s="4">
        <v>17.482500000000002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17.5</v>
      </c>
      <c r="D1477" s="4">
        <v>17.482500000000002</v>
      </c>
      <c r="E1477" s="4">
        <v>0</v>
      </c>
      <c r="F1477" s="4">
        <v>0</v>
      </c>
      <c r="G1477" s="4">
        <v>0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17.5</v>
      </c>
      <c r="D1478" s="4">
        <v>17.482500000000002</v>
      </c>
      <c r="E1478" s="4">
        <v>0</v>
      </c>
      <c r="F1478" s="4">
        <v>0</v>
      </c>
      <c r="G1478" s="4">
        <v>0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17.5</v>
      </c>
      <c r="D1479" s="4">
        <v>17.482500000000002</v>
      </c>
      <c r="E1479" s="4">
        <v>0</v>
      </c>
      <c r="F1479" s="4">
        <v>0</v>
      </c>
      <c r="G1479" s="4">
        <v>0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17.5</v>
      </c>
      <c r="D1480" s="4">
        <v>17.482500000000002</v>
      </c>
      <c r="E1480" s="4">
        <v>100</v>
      </c>
      <c r="F1480" s="4">
        <v>17.5</v>
      </c>
      <c r="G1480" s="4">
        <v>1750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17</v>
      </c>
      <c r="D1481" s="4">
        <v>16.983000000000001</v>
      </c>
      <c r="E1481" s="4">
        <v>32</v>
      </c>
      <c r="F1481" s="4">
        <v>17</v>
      </c>
      <c r="G1481" s="4">
        <v>544</v>
      </c>
      <c r="H1481" s="5">
        <f t="shared" si="23"/>
        <v>-2.8571428571428636E-2</v>
      </c>
    </row>
    <row r="1482" spans="1:8" ht="13.5" x14ac:dyDescent="0.25">
      <c r="A1482" s="1"/>
      <c r="B1482" s="3">
        <v>44468</v>
      </c>
      <c r="C1482" s="4">
        <v>17</v>
      </c>
      <c r="D1482" s="4">
        <v>16.983000000000001</v>
      </c>
      <c r="E1482" s="4">
        <v>25</v>
      </c>
      <c r="F1482" s="4">
        <v>17</v>
      </c>
      <c r="G1482" s="4">
        <v>425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17</v>
      </c>
      <c r="D1483" s="4">
        <v>16.983000000000001</v>
      </c>
      <c r="E1483" s="4">
        <v>3</v>
      </c>
      <c r="F1483" s="4">
        <v>17</v>
      </c>
      <c r="G1483" s="4">
        <v>51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17</v>
      </c>
      <c r="D1484" s="4">
        <v>16.983000000000001</v>
      </c>
      <c r="E1484" s="4">
        <v>1</v>
      </c>
      <c r="F1484" s="4">
        <v>17</v>
      </c>
      <c r="G1484" s="4">
        <v>17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17</v>
      </c>
      <c r="D1485" s="4">
        <v>16.983000000000001</v>
      </c>
      <c r="E1485" s="4">
        <v>0</v>
      </c>
      <c r="F1485" s="4">
        <v>0</v>
      </c>
      <c r="G1485" s="4">
        <v>0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17</v>
      </c>
      <c r="D1486" s="4">
        <v>16.983000000000001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17</v>
      </c>
      <c r="D1487" s="4">
        <v>16.983000000000001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17</v>
      </c>
      <c r="D1488" s="4">
        <v>16.983000000000001</v>
      </c>
      <c r="E1488" s="4">
        <v>0</v>
      </c>
      <c r="F1488" s="4">
        <v>0</v>
      </c>
      <c r="G1488" s="4">
        <v>0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17</v>
      </c>
      <c r="D1489" s="4">
        <v>16.983000000000001</v>
      </c>
      <c r="E1489" s="4">
        <v>0</v>
      </c>
      <c r="F1489" s="4">
        <v>0</v>
      </c>
      <c r="G1489" s="4">
        <v>0</v>
      </c>
      <c r="H1489" s="5">
        <f t="shared" si="23"/>
        <v>0</v>
      </c>
    </row>
    <row r="1490" spans="1:8" ht="13.5" x14ac:dyDescent="0.25">
      <c r="A1490" s="1"/>
      <c r="B1490" s="3">
        <v>44480</v>
      </c>
      <c r="C1490" s="4">
        <v>17</v>
      </c>
      <c r="D1490" s="4">
        <v>16.983000000000001</v>
      </c>
      <c r="E1490" s="4">
        <v>0</v>
      </c>
      <c r="F1490" s="4">
        <v>0</v>
      </c>
      <c r="G1490" s="4">
        <v>0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17</v>
      </c>
      <c r="D1491" s="4">
        <v>16.983000000000001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17</v>
      </c>
      <c r="D1492" s="4">
        <v>16.983000000000001</v>
      </c>
      <c r="E1492" s="4">
        <v>0</v>
      </c>
      <c r="F1492" s="4">
        <v>0</v>
      </c>
      <c r="G1492" s="4">
        <v>0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16.52</v>
      </c>
      <c r="D1493" s="4">
        <v>16.503499999999999</v>
      </c>
      <c r="E1493" s="4">
        <v>3</v>
      </c>
      <c r="F1493" s="4">
        <v>16.52</v>
      </c>
      <c r="G1493" s="4">
        <v>49.56</v>
      </c>
      <c r="H1493" s="5">
        <f t="shared" si="23"/>
        <v>-2.8234116469410681E-2</v>
      </c>
    </row>
    <row r="1494" spans="1:8" ht="13.5" x14ac:dyDescent="0.25">
      <c r="A1494" s="1"/>
      <c r="B1494" s="3">
        <v>44488</v>
      </c>
      <c r="C1494" s="4">
        <v>16</v>
      </c>
      <c r="D1494" s="4">
        <v>15.984</v>
      </c>
      <c r="E1494" s="4">
        <v>5</v>
      </c>
      <c r="F1494" s="4">
        <v>16</v>
      </c>
      <c r="G1494" s="4">
        <v>80</v>
      </c>
      <c r="H1494" s="5">
        <f t="shared" si="23"/>
        <v>-3.1478171296997544E-2</v>
      </c>
    </row>
    <row r="1495" spans="1:8" ht="13.5" x14ac:dyDescent="0.25">
      <c r="A1495" s="1"/>
      <c r="B1495" s="3">
        <v>44489</v>
      </c>
      <c r="C1495" s="4">
        <v>16</v>
      </c>
      <c r="D1495" s="4">
        <v>15.984</v>
      </c>
      <c r="E1495" s="4">
        <v>25</v>
      </c>
      <c r="F1495" s="4">
        <v>16</v>
      </c>
      <c r="G1495" s="4">
        <v>400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16</v>
      </c>
      <c r="D1496" s="4">
        <v>15.984</v>
      </c>
      <c r="E1496" s="4">
        <v>0</v>
      </c>
      <c r="F1496" s="4">
        <v>0</v>
      </c>
      <c r="G1496" s="4">
        <v>0</v>
      </c>
      <c r="H1496" s="5">
        <f t="shared" si="23"/>
        <v>0</v>
      </c>
    </row>
    <row r="1497" spans="1:8" ht="13.5" x14ac:dyDescent="0.25">
      <c r="A1497" s="1"/>
      <c r="B1497" s="3">
        <v>44491</v>
      </c>
      <c r="C1497" s="4">
        <v>16</v>
      </c>
      <c r="D1497" s="4">
        <v>15.984</v>
      </c>
      <c r="E1497" s="4">
        <v>0</v>
      </c>
      <c r="F1497" s="4">
        <v>0</v>
      </c>
      <c r="G1497" s="4">
        <v>0</v>
      </c>
      <c r="H1497" s="5">
        <f t="shared" si="23"/>
        <v>0</v>
      </c>
    </row>
    <row r="1498" spans="1:8" ht="13.5" x14ac:dyDescent="0.25">
      <c r="A1498" s="1"/>
      <c r="B1498" s="3">
        <v>44494</v>
      </c>
      <c r="C1498" s="4">
        <v>16</v>
      </c>
      <c r="D1498" s="4">
        <v>15.984</v>
      </c>
      <c r="E1498" s="4">
        <v>0</v>
      </c>
      <c r="F1498" s="4">
        <v>0</v>
      </c>
      <c r="G1498" s="4">
        <v>0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16</v>
      </c>
      <c r="D1499" s="4">
        <v>15.984</v>
      </c>
      <c r="E1499" s="4">
        <v>0</v>
      </c>
      <c r="F1499" s="4">
        <v>0</v>
      </c>
      <c r="G1499" s="4">
        <v>0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16</v>
      </c>
      <c r="D1500" s="4">
        <v>15.984</v>
      </c>
      <c r="E1500" s="4">
        <v>0</v>
      </c>
      <c r="F1500" s="4">
        <v>0</v>
      </c>
      <c r="G1500" s="4">
        <v>0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15.9</v>
      </c>
      <c r="D1501" s="4">
        <v>15.8841</v>
      </c>
      <c r="E1501" s="4">
        <v>3</v>
      </c>
      <c r="F1501" s="4">
        <v>15.9</v>
      </c>
      <c r="G1501" s="4">
        <v>47.7</v>
      </c>
      <c r="H1501" s="5">
        <f t="shared" si="23"/>
        <v>-6.2499999999999925E-3</v>
      </c>
    </row>
    <row r="1502" spans="1:8" ht="13.5" x14ac:dyDescent="0.25">
      <c r="A1502" s="1"/>
      <c r="B1502" s="3">
        <v>44498</v>
      </c>
      <c r="C1502" s="4">
        <v>15.9</v>
      </c>
      <c r="D1502" s="4">
        <v>15.8841</v>
      </c>
      <c r="E1502" s="4">
        <v>0</v>
      </c>
      <c r="F1502" s="4">
        <v>0</v>
      </c>
      <c r="G1502" s="4">
        <v>0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15.9</v>
      </c>
      <c r="D1503" s="4">
        <v>15.8841</v>
      </c>
      <c r="E1503" s="4">
        <v>0</v>
      </c>
      <c r="F1503" s="4">
        <v>0</v>
      </c>
      <c r="G1503" s="4">
        <v>0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15.9</v>
      </c>
      <c r="D1504" s="4">
        <v>15.8841</v>
      </c>
      <c r="E1504" s="4">
        <v>0</v>
      </c>
      <c r="F1504" s="4">
        <v>0</v>
      </c>
      <c r="G1504" s="4">
        <v>0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15.9</v>
      </c>
      <c r="D1505" s="4">
        <v>15.8841</v>
      </c>
      <c r="E1505" s="4">
        <v>0</v>
      </c>
      <c r="F1505" s="4">
        <v>0</v>
      </c>
      <c r="G1505" s="4">
        <v>0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15.9</v>
      </c>
      <c r="D1506" s="4">
        <v>15.8841</v>
      </c>
      <c r="E1506" s="4">
        <v>0</v>
      </c>
      <c r="F1506" s="4">
        <v>0</v>
      </c>
      <c r="G1506" s="4">
        <v>0</v>
      </c>
      <c r="H1506" s="5">
        <f t="shared" si="23"/>
        <v>0</v>
      </c>
    </row>
    <row r="1507" spans="1:8" ht="13.5" x14ac:dyDescent="0.25">
      <c r="A1507" s="1"/>
      <c r="B1507" s="3">
        <v>44505</v>
      </c>
      <c r="C1507" s="4">
        <v>15.5</v>
      </c>
      <c r="D1507" s="4">
        <v>15.484500000000001</v>
      </c>
      <c r="E1507" s="4">
        <v>40</v>
      </c>
      <c r="F1507" s="4">
        <v>15.5</v>
      </c>
      <c r="G1507" s="4">
        <v>620</v>
      </c>
      <c r="H1507" s="5">
        <f t="shared" si="23"/>
        <v>-2.5157232704402486E-2</v>
      </c>
    </row>
    <row r="1508" spans="1:8" ht="13.5" x14ac:dyDescent="0.25">
      <c r="A1508" s="1"/>
      <c r="B1508" s="3">
        <v>44508</v>
      </c>
      <c r="C1508" s="4">
        <v>15.5</v>
      </c>
      <c r="D1508" s="4">
        <v>15.484500000000001</v>
      </c>
      <c r="E1508" s="4">
        <v>0</v>
      </c>
      <c r="F1508" s="4">
        <v>0</v>
      </c>
      <c r="G1508" s="4">
        <v>0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15.5</v>
      </c>
      <c r="D1509" s="4">
        <v>15.484500000000001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15.5</v>
      </c>
      <c r="D1510" s="4">
        <v>15.484500000000001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15.5</v>
      </c>
      <c r="D1511" s="4">
        <v>15.484500000000001</v>
      </c>
      <c r="E1511" s="4">
        <v>0</v>
      </c>
      <c r="F1511" s="4">
        <v>0</v>
      </c>
      <c r="G1511" s="4">
        <v>0</v>
      </c>
      <c r="H1511" s="5">
        <f t="shared" si="23"/>
        <v>0</v>
      </c>
    </row>
    <row r="1512" spans="1:8" ht="13.5" x14ac:dyDescent="0.25">
      <c r="A1512" s="1"/>
      <c r="B1512" s="3">
        <v>44512</v>
      </c>
      <c r="C1512" s="4">
        <v>15.5</v>
      </c>
      <c r="D1512" s="4">
        <v>15.484500000000001</v>
      </c>
      <c r="E1512" s="4">
        <v>0</v>
      </c>
      <c r="F1512" s="4">
        <v>0</v>
      </c>
      <c r="G1512" s="4">
        <v>0</v>
      </c>
      <c r="H1512" s="5">
        <f t="shared" si="23"/>
        <v>0</v>
      </c>
    </row>
    <row r="1513" spans="1:8" ht="13.5" x14ac:dyDescent="0.25">
      <c r="A1513" s="1"/>
      <c r="B1513" s="3">
        <v>44515</v>
      </c>
      <c r="C1513" s="4">
        <v>15.4</v>
      </c>
      <c r="D1513" s="4">
        <v>15.384600000000001</v>
      </c>
      <c r="E1513" s="4">
        <v>10</v>
      </c>
      <c r="F1513" s="4">
        <v>15.4</v>
      </c>
      <c r="G1513" s="4">
        <v>154</v>
      </c>
      <c r="H1513" s="5">
        <f t="shared" si="23"/>
        <v>-6.4516129032257986E-3</v>
      </c>
    </row>
    <row r="1514" spans="1:8" ht="13.5" x14ac:dyDescent="0.25">
      <c r="A1514" s="1"/>
      <c r="B1514" s="3">
        <v>44516</v>
      </c>
      <c r="C1514" s="4">
        <v>15.4</v>
      </c>
      <c r="D1514" s="4">
        <v>15.384600000000001</v>
      </c>
      <c r="E1514" s="4">
        <v>103</v>
      </c>
      <c r="F1514" s="4">
        <v>15.4</v>
      </c>
      <c r="G1514" s="4">
        <v>1586.2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15.4</v>
      </c>
      <c r="D1515" s="4">
        <v>15.384600000000001</v>
      </c>
      <c r="E1515" s="4">
        <v>0</v>
      </c>
      <c r="F1515" s="4">
        <v>0</v>
      </c>
      <c r="G1515" s="4">
        <v>0</v>
      </c>
      <c r="H1515" s="5">
        <f t="shared" si="23"/>
        <v>0</v>
      </c>
    </row>
    <row r="1516" spans="1:8" ht="13.5" x14ac:dyDescent="0.25">
      <c r="A1516" s="1"/>
      <c r="B1516" s="3">
        <v>44518</v>
      </c>
      <c r="C1516" s="4">
        <v>15.4</v>
      </c>
      <c r="D1516" s="4">
        <v>15.384600000000001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15.4</v>
      </c>
      <c r="D1517" s="4">
        <v>15.384600000000001</v>
      </c>
      <c r="E1517" s="4">
        <v>0</v>
      </c>
      <c r="F1517" s="4">
        <v>0</v>
      </c>
      <c r="G1517" s="4">
        <v>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16</v>
      </c>
      <c r="D1518" s="4">
        <v>15.984</v>
      </c>
      <c r="E1518" s="4">
        <v>34</v>
      </c>
      <c r="F1518" s="4">
        <v>16</v>
      </c>
      <c r="G1518" s="4">
        <v>544</v>
      </c>
      <c r="H1518" s="5">
        <f t="shared" si="23"/>
        <v>3.8961038961038912E-2</v>
      </c>
    </row>
    <row r="1519" spans="1:8" ht="13.5" x14ac:dyDescent="0.25">
      <c r="A1519" s="1"/>
      <c r="B1519" s="3">
        <v>44523</v>
      </c>
      <c r="C1519" s="4">
        <v>16</v>
      </c>
      <c r="D1519" s="4">
        <v>15.984</v>
      </c>
      <c r="E1519" s="4">
        <v>0</v>
      </c>
      <c r="F1519" s="4">
        <v>0</v>
      </c>
      <c r="G1519" s="4">
        <v>0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16</v>
      </c>
      <c r="D1520" s="4">
        <v>15.984</v>
      </c>
      <c r="E1520" s="4">
        <v>0</v>
      </c>
      <c r="F1520" s="4">
        <v>0</v>
      </c>
      <c r="G1520" s="4">
        <v>0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16</v>
      </c>
      <c r="D1521" s="4">
        <v>15.984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16</v>
      </c>
      <c r="D1522" s="4">
        <v>15.984</v>
      </c>
      <c r="E1522" s="4">
        <v>0</v>
      </c>
      <c r="F1522" s="4">
        <v>0</v>
      </c>
      <c r="G1522" s="4">
        <v>0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16</v>
      </c>
      <c r="D1523" s="4">
        <v>15.984</v>
      </c>
      <c r="E1523" s="4">
        <v>0</v>
      </c>
      <c r="F1523" s="4">
        <v>0</v>
      </c>
      <c r="G1523" s="4">
        <v>0</v>
      </c>
      <c r="H1523" s="5">
        <f t="shared" si="23"/>
        <v>0</v>
      </c>
    </row>
    <row r="1524" spans="1:8" ht="13.5" x14ac:dyDescent="0.25">
      <c r="A1524" s="1"/>
      <c r="B1524" s="3">
        <v>44530</v>
      </c>
      <c r="C1524" s="4">
        <v>16</v>
      </c>
      <c r="D1524" s="4">
        <v>15.984</v>
      </c>
      <c r="E1524" s="4">
        <v>0</v>
      </c>
      <c r="F1524" s="4">
        <v>0</v>
      </c>
      <c r="G1524" s="4">
        <v>0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16</v>
      </c>
      <c r="D1525" s="4">
        <v>15.984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16</v>
      </c>
      <c r="D1526" s="4">
        <v>15.984</v>
      </c>
      <c r="E1526" s="4">
        <v>0</v>
      </c>
      <c r="F1526" s="4">
        <v>0</v>
      </c>
      <c r="G1526" s="4">
        <v>0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16.72</v>
      </c>
      <c r="D1527" s="4">
        <v>16.703299999999999</v>
      </c>
      <c r="E1527" s="4">
        <v>810</v>
      </c>
      <c r="F1527" s="4">
        <v>16.72</v>
      </c>
      <c r="G1527" s="4">
        <v>13543.2</v>
      </c>
      <c r="H1527" s="5">
        <f t="shared" si="23"/>
        <v>4.5001251251251172E-2</v>
      </c>
    </row>
    <row r="1528" spans="1:8" ht="13.5" x14ac:dyDescent="0.25">
      <c r="A1528" s="1"/>
      <c r="B1528" s="3">
        <v>44536</v>
      </c>
      <c r="C1528" s="4">
        <v>16.72</v>
      </c>
      <c r="D1528" s="4">
        <v>16.703299999999999</v>
      </c>
      <c r="E1528" s="4">
        <v>0</v>
      </c>
      <c r="F1528" s="4">
        <v>0</v>
      </c>
      <c r="G1528" s="4">
        <v>0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16.72</v>
      </c>
      <c r="D1529" s="4">
        <v>16.703299999999999</v>
      </c>
      <c r="E1529" s="4">
        <v>0</v>
      </c>
      <c r="F1529" s="4">
        <v>0</v>
      </c>
      <c r="G1529" s="4">
        <v>0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16.72</v>
      </c>
      <c r="D1530" s="4">
        <v>16.703299999999999</v>
      </c>
      <c r="E1530" s="4">
        <v>0</v>
      </c>
      <c r="F1530" s="4">
        <v>0</v>
      </c>
      <c r="G1530" s="4">
        <v>0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16.72</v>
      </c>
      <c r="D1531" s="4">
        <v>16.703299999999999</v>
      </c>
      <c r="E1531" s="4">
        <v>0</v>
      </c>
      <c r="F1531" s="4">
        <v>0</v>
      </c>
      <c r="G1531" s="4">
        <v>0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16.72</v>
      </c>
      <c r="D1532" s="4">
        <v>16.703299999999999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16.72</v>
      </c>
      <c r="D1533" s="4">
        <v>16.703299999999999</v>
      </c>
      <c r="E1533" s="4">
        <v>0</v>
      </c>
      <c r="F1533" s="4">
        <v>0</v>
      </c>
      <c r="G1533" s="4">
        <v>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16.72</v>
      </c>
      <c r="D1534" s="4">
        <v>16.703299999999999</v>
      </c>
      <c r="E1534" s="4">
        <v>0</v>
      </c>
      <c r="F1534" s="4">
        <v>0</v>
      </c>
      <c r="G1534" s="4">
        <v>0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16.72</v>
      </c>
      <c r="D1535" s="4">
        <v>16.703299999999999</v>
      </c>
      <c r="E1535" s="4">
        <v>0</v>
      </c>
      <c r="F1535" s="4">
        <v>0</v>
      </c>
      <c r="G1535" s="4">
        <v>0</v>
      </c>
      <c r="H1535" s="5">
        <f t="shared" si="23"/>
        <v>0</v>
      </c>
    </row>
    <row r="1536" spans="1:8" ht="13.5" x14ac:dyDescent="0.25">
      <c r="A1536" s="1"/>
      <c r="B1536" s="3">
        <v>44546</v>
      </c>
      <c r="C1536" s="4">
        <v>16.72</v>
      </c>
      <c r="D1536" s="4">
        <v>16.703299999999999</v>
      </c>
      <c r="E1536" s="4">
        <v>0</v>
      </c>
      <c r="F1536" s="4">
        <v>0</v>
      </c>
      <c r="G1536" s="4">
        <v>0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16.72</v>
      </c>
      <c r="D1537" s="4">
        <v>16.703299999999999</v>
      </c>
      <c r="E1537" s="4">
        <v>0</v>
      </c>
      <c r="F1537" s="4">
        <v>0</v>
      </c>
      <c r="G1537" s="4">
        <v>0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16.649999999999999</v>
      </c>
      <c r="D1538" s="4">
        <v>16.633400000000002</v>
      </c>
      <c r="E1538" s="4">
        <v>15</v>
      </c>
      <c r="F1538" s="4">
        <v>16.649999999999999</v>
      </c>
      <c r="G1538" s="4">
        <v>249.75</v>
      </c>
      <c r="H1538" s="5">
        <f t="shared" si="23"/>
        <v>-4.1848018056310412E-3</v>
      </c>
    </row>
    <row r="1539" spans="1:8" ht="13.5" x14ac:dyDescent="0.25">
      <c r="A1539" s="1"/>
      <c r="B1539" s="3">
        <v>44552</v>
      </c>
      <c r="C1539" s="4">
        <v>16.649999999999999</v>
      </c>
      <c r="D1539" s="4">
        <v>16.633400000000002</v>
      </c>
      <c r="E1539" s="4">
        <v>0</v>
      </c>
      <c r="F1539" s="4">
        <v>0</v>
      </c>
      <c r="G1539" s="4">
        <v>0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16.649999999999999</v>
      </c>
      <c r="D1540" s="4">
        <v>16.633400000000002</v>
      </c>
      <c r="E1540" s="4">
        <v>0</v>
      </c>
      <c r="F1540" s="4">
        <v>0</v>
      </c>
      <c r="G1540" s="4">
        <v>0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16.649999999999999</v>
      </c>
      <c r="D1541" s="4">
        <v>16.633400000000002</v>
      </c>
      <c r="E1541" s="4">
        <v>0</v>
      </c>
      <c r="F1541" s="4">
        <v>0</v>
      </c>
      <c r="G1541" s="4">
        <v>0</v>
      </c>
      <c r="H1541" s="5">
        <f t="shared" si="23"/>
        <v>0</v>
      </c>
    </row>
    <row r="1542" spans="1:8" ht="13.5" x14ac:dyDescent="0.25">
      <c r="A1542" s="1"/>
      <c r="B1542" s="3">
        <v>44557</v>
      </c>
      <c r="C1542" s="4">
        <v>16.649999999999999</v>
      </c>
      <c r="D1542" s="4">
        <v>16.633400000000002</v>
      </c>
      <c r="E1542" s="4">
        <v>0</v>
      </c>
      <c r="F1542" s="4">
        <v>0</v>
      </c>
      <c r="G1542" s="4">
        <v>0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16.649999999999999</v>
      </c>
      <c r="D1543" s="4">
        <v>16.633400000000002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16.63</v>
      </c>
      <c r="D1544" s="4">
        <v>16.613399999999999</v>
      </c>
      <c r="E1544" s="4">
        <v>745</v>
      </c>
      <c r="F1544" s="4">
        <v>16.632000000000001</v>
      </c>
      <c r="G1544" s="4">
        <v>12390.84</v>
      </c>
      <c r="H1544" s="5">
        <f t="shared" si="24"/>
        <v>-1.202399990380988E-3</v>
      </c>
    </row>
    <row r="1545" spans="1:8" ht="13.5" x14ac:dyDescent="0.25">
      <c r="A1545" s="1"/>
      <c r="B1545" s="3">
        <v>44560</v>
      </c>
      <c r="C1545" s="4">
        <v>16.63</v>
      </c>
      <c r="D1545" s="4">
        <v>16.613399999999999</v>
      </c>
      <c r="E1545" s="4">
        <v>75</v>
      </c>
      <c r="F1545" s="4">
        <v>16.63</v>
      </c>
      <c r="G1545" s="4">
        <v>1247.25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16.63</v>
      </c>
      <c r="D1546" s="4">
        <v>16.613399999999999</v>
      </c>
      <c r="E1546" s="4">
        <v>0</v>
      </c>
      <c r="F1546" s="4">
        <v>0</v>
      </c>
      <c r="G1546" s="4">
        <v>0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16.63</v>
      </c>
      <c r="D1547" s="4">
        <v>16.613399999999999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16.63</v>
      </c>
      <c r="D1548" s="4">
        <v>16.613399999999999</v>
      </c>
      <c r="E1548" s="4">
        <v>0</v>
      </c>
      <c r="F1548" s="4">
        <v>0</v>
      </c>
      <c r="G1548" s="4">
        <v>0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16.63</v>
      </c>
      <c r="D1549" s="4">
        <v>16.613399999999999</v>
      </c>
      <c r="E1549" s="4">
        <v>0</v>
      </c>
      <c r="F1549" s="4">
        <v>0</v>
      </c>
      <c r="G1549" s="4">
        <v>0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16.63</v>
      </c>
      <c r="D1550" s="4">
        <v>16.613399999999999</v>
      </c>
      <c r="E1550" s="4">
        <v>0</v>
      </c>
      <c r="F1550" s="4">
        <v>0</v>
      </c>
      <c r="G1550" s="4">
        <v>0</v>
      </c>
      <c r="H1550" s="5">
        <f t="shared" si="24"/>
        <v>0</v>
      </c>
    </row>
    <row r="1551" spans="1:8" ht="13.5" x14ac:dyDescent="0.25">
      <c r="A1551" s="1"/>
      <c r="B1551" s="3">
        <v>44568</v>
      </c>
      <c r="C1551" s="4">
        <v>16.63</v>
      </c>
      <c r="D1551" s="4">
        <v>16.613399999999999</v>
      </c>
      <c r="E1551" s="4">
        <v>0</v>
      </c>
      <c r="F1551" s="4">
        <v>0</v>
      </c>
      <c r="G1551" s="4">
        <v>0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16.63</v>
      </c>
      <c r="D1552" s="4">
        <v>16.613399999999999</v>
      </c>
      <c r="E1552" s="4">
        <v>0</v>
      </c>
      <c r="F1552" s="4">
        <v>0</v>
      </c>
      <c r="G1552" s="4">
        <v>0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16.63</v>
      </c>
      <c r="D1553" s="4">
        <v>16.613399999999999</v>
      </c>
      <c r="E1553" s="4">
        <v>0</v>
      </c>
      <c r="F1553" s="4">
        <v>0</v>
      </c>
      <c r="G1553" s="4">
        <v>0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16.63</v>
      </c>
      <c r="D1554" s="4">
        <v>16.613399999999999</v>
      </c>
      <c r="E1554" s="4">
        <v>0</v>
      </c>
      <c r="F1554" s="4">
        <v>0</v>
      </c>
      <c r="G1554" s="4">
        <v>0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16.63</v>
      </c>
      <c r="D1555" s="4">
        <v>16.613399999999999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16.63</v>
      </c>
      <c r="D1556" s="4">
        <v>16.613399999999999</v>
      </c>
      <c r="E1556" s="4">
        <v>0</v>
      </c>
      <c r="F1556" s="4">
        <v>0</v>
      </c>
      <c r="G1556" s="4">
        <v>0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16.579999999999998</v>
      </c>
      <c r="D1557" s="4">
        <v>16.563400000000001</v>
      </c>
      <c r="E1557" s="4">
        <v>10</v>
      </c>
      <c r="F1557" s="4">
        <v>16.579999999999998</v>
      </c>
      <c r="G1557" s="4">
        <v>165.8</v>
      </c>
      <c r="H1557" s="5">
        <f t="shared" si="24"/>
        <v>-3.0096187414976562E-3</v>
      </c>
    </row>
    <row r="1558" spans="1:8" ht="13.5" x14ac:dyDescent="0.25">
      <c r="A1558" s="1"/>
      <c r="B1558" s="3">
        <v>44579</v>
      </c>
      <c r="C1558" s="4">
        <v>16.579999999999998</v>
      </c>
      <c r="D1558" s="4">
        <v>16.563400000000001</v>
      </c>
      <c r="E1558" s="4">
        <v>0</v>
      </c>
      <c r="F1558" s="4">
        <v>0</v>
      </c>
      <c r="G1558" s="4">
        <v>0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16.579999999999998</v>
      </c>
      <c r="D1559" s="4">
        <v>16.563400000000001</v>
      </c>
      <c r="E1559" s="4">
        <v>0</v>
      </c>
      <c r="F1559" s="4">
        <v>0</v>
      </c>
      <c r="G1559" s="4">
        <v>0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16.579999999999998</v>
      </c>
      <c r="D1560" s="4">
        <v>16.563400000000001</v>
      </c>
      <c r="E1560" s="4">
        <v>0</v>
      </c>
      <c r="F1560" s="4">
        <v>0</v>
      </c>
      <c r="G1560" s="4">
        <v>0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16.579999999999998</v>
      </c>
      <c r="D1561" s="4">
        <v>16.563400000000001</v>
      </c>
      <c r="E1561" s="4">
        <v>0</v>
      </c>
      <c r="F1561" s="4">
        <v>0</v>
      </c>
      <c r="G1561" s="4">
        <v>0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16.579999999999998</v>
      </c>
      <c r="D1562" s="4">
        <v>16.563400000000001</v>
      </c>
      <c r="E1562" s="4">
        <v>0</v>
      </c>
      <c r="F1562" s="4">
        <v>0</v>
      </c>
      <c r="G1562" s="4">
        <v>0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16.579999999999998</v>
      </c>
      <c r="D1563" s="4">
        <v>16.563400000000001</v>
      </c>
      <c r="E1563" s="4">
        <v>0</v>
      </c>
      <c r="F1563" s="4">
        <v>0</v>
      </c>
      <c r="G1563" s="4">
        <v>0</v>
      </c>
      <c r="H1563" s="5">
        <f t="shared" si="24"/>
        <v>0</v>
      </c>
    </row>
    <row r="1564" spans="1:8" ht="13.5" x14ac:dyDescent="0.25">
      <c r="A1564" s="1"/>
      <c r="B1564" s="3">
        <v>44587</v>
      </c>
      <c r="C1564" s="4">
        <v>16.579999999999998</v>
      </c>
      <c r="D1564" s="4">
        <v>16.563400000000001</v>
      </c>
      <c r="E1564" s="4">
        <v>0</v>
      </c>
      <c r="F1564" s="4">
        <v>0</v>
      </c>
      <c r="G1564" s="4">
        <v>0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16.579999999999998</v>
      </c>
      <c r="D1565" s="4">
        <v>16.563400000000001</v>
      </c>
      <c r="E1565" s="4">
        <v>0</v>
      </c>
      <c r="F1565" s="4">
        <v>0</v>
      </c>
      <c r="G1565" s="4">
        <v>0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15.84</v>
      </c>
      <c r="D1566" s="4">
        <v>15.824199999999999</v>
      </c>
      <c r="E1566" s="4">
        <v>0</v>
      </c>
      <c r="F1566" s="4">
        <v>0</v>
      </c>
      <c r="G1566" s="4">
        <v>0</v>
      </c>
      <c r="H1566" s="5">
        <f t="shared" si="24"/>
        <v>-4.4628518299383101E-2</v>
      </c>
    </row>
    <row r="1567" spans="1:8" ht="13.5" x14ac:dyDescent="0.25">
      <c r="A1567" s="1"/>
      <c r="B1567" s="3">
        <v>44592</v>
      </c>
      <c r="C1567" s="4">
        <v>15.84</v>
      </c>
      <c r="D1567" s="4">
        <v>15.824199999999999</v>
      </c>
      <c r="E1567" s="4">
        <v>130</v>
      </c>
      <c r="F1567" s="4">
        <v>15.84</v>
      </c>
      <c r="G1567" s="4">
        <v>2059.1999999999998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15.13</v>
      </c>
      <c r="D1568" s="4">
        <v>15.1149</v>
      </c>
      <c r="E1568" s="4">
        <v>0</v>
      </c>
      <c r="F1568" s="4">
        <v>0</v>
      </c>
      <c r="G1568" s="4">
        <v>0</v>
      </c>
      <c r="H1568" s="5">
        <f t="shared" si="24"/>
        <v>-4.4823750963713736E-2</v>
      </c>
    </row>
    <row r="1569" spans="1:8" ht="13.5" x14ac:dyDescent="0.25">
      <c r="A1569" s="1"/>
      <c r="B1569" s="3">
        <v>44594</v>
      </c>
      <c r="C1569" s="4">
        <v>15</v>
      </c>
      <c r="D1569" s="4">
        <v>14.984999999999999</v>
      </c>
      <c r="E1569" s="4">
        <v>807</v>
      </c>
      <c r="F1569" s="4">
        <v>15</v>
      </c>
      <c r="G1569" s="4">
        <v>12105</v>
      </c>
      <c r="H1569" s="5">
        <f t="shared" si="24"/>
        <v>-8.5941686680031625E-3</v>
      </c>
    </row>
    <row r="1570" spans="1:8" ht="13.5" x14ac:dyDescent="0.25">
      <c r="A1570" s="1"/>
      <c r="B1570" s="3">
        <v>44595</v>
      </c>
      <c r="C1570" s="4">
        <v>15</v>
      </c>
      <c r="D1570" s="4">
        <v>14.984999999999999</v>
      </c>
      <c r="E1570" s="4">
        <v>30</v>
      </c>
      <c r="F1570" s="4">
        <v>15</v>
      </c>
      <c r="G1570" s="4">
        <v>450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15</v>
      </c>
      <c r="D1571" s="4">
        <v>14.984999999999999</v>
      </c>
      <c r="E1571" s="4">
        <v>0</v>
      </c>
      <c r="F1571" s="4">
        <v>0</v>
      </c>
      <c r="G1571" s="4">
        <v>0</v>
      </c>
      <c r="H1571" s="5">
        <f t="shared" si="24"/>
        <v>0</v>
      </c>
    </row>
    <row r="1572" spans="1:8" ht="13.5" x14ac:dyDescent="0.25">
      <c r="A1572" s="1"/>
      <c r="B1572" s="3">
        <v>44599</v>
      </c>
      <c r="C1572" s="4">
        <v>14.33</v>
      </c>
      <c r="D1572" s="4">
        <v>14.3157</v>
      </c>
      <c r="E1572" s="4">
        <v>684</v>
      </c>
      <c r="F1572" s="4">
        <v>14.500999999999999</v>
      </c>
      <c r="G1572" s="4">
        <v>9918.6839999999993</v>
      </c>
      <c r="H1572" s="5">
        <f t="shared" si="24"/>
        <v>-4.4664664664664649E-2</v>
      </c>
    </row>
    <row r="1573" spans="1:8" ht="13.5" x14ac:dyDescent="0.25">
      <c r="A1573" s="1"/>
      <c r="B1573" s="3">
        <v>44600</v>
      </c>
      <c r="C1573" s="4">
        <v>14.33</v>
      </c>
      <c r="D1573" s="4">
        <v>14.3157</v>
      </c>
      <c r="E1573" s="4">
        <v>0</v>
      </c>
      <c r="F1573" s="4">
        <v>0</v>
      </c>
      <c r="G1573" s="4">
        <v>0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14.33</v>
      </c>
      <c r="D1574" s="4">
        <v>14.3157</v>
      </c>
      <c r="E1574" s="4">
        <v>0</v>
      </c>
      <c r="F1574" s="4">
        <v>0</v>
      </c>
      <c r="G1574" s="4">
        <v>0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14</v>
      </c>
      <c r="D1575" s="4">
        <v>13.986000000000001</v>
      </c>
      <c r="E1575" s="4">
        <v>172</v>
      </c>
      <c r="F1575" s="4">
        <v>14</v>
      </c>
      <c r="G1575" s="4">
        <v>2408</v>
      </c>
      <c r="H1575" s="5">
        <f t="shared" si="24"/>
        <v>-2.3030658647498831E-2</v>
      </c>
    </row>
    <row r="1576" spans="1:8" ht="13.5" x14ac:dyDescent="0.25">
      <c r="A1576" s="1"/>
      <c r="B1576" s="3">
        <v>44603</v>
      </c>
      <c r="C1576" s="4">
        <v>14</v>
      </c>
      <c r="D1576" s="4">
        <v>13.986000000000001</v>
      </c>
      <c r="E1576" s="4">
        <v>0</v>
      </c>
      <c r="F1576" s="4">
        <v>0</v>
      </c>
      <c r="G1576" s="4">
        <v>0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14</v>
      </c>
      <c r="D1577" s="4">
        <v>13.986000000000001</v>
      </c>
      <c r="E1577" s="4">
        <v>0</v>
      </c>
      <c r="F1577" s="4">
        <v>0</v>
      </c>
      <c r="G1577" s="4">
        <v>0</v>
      </c>
      <c r="H1577" s="5">
        <f t="shared" si="24"/>
        <v>0</v>
      </c>
    </row>
    <row r="1578" spans="1:8" ht="13.5" x14ac:dyDescent="0.25">
      <c r="A1578" s="1"/>
      <c r="B1578" s="3">
        <v>44607</v>
      </c>
      <c r="C1578" s="4">
        <v>14</v>
      </c>
      <c r="D1578" s="4">
        <v>13.986000000000001</v>
      </c>
      <c r="E1578" s="4">
        <v>0</v>
      </c>
      <c r="F1578" s="4">
        <v>0</v>
      </c>
      <c r="G1578" s="4">
        <v>0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13.38</v>
      </c>
      <c r="D1579" s="4">
        <v>13.3666</v>
      </c>
      <c r="E1579" s="4">
        <v>57</v>
      </c>
      <c r="F1579" s="4">
        <v>13.38</v>
      </c>
      <c r="G1579" s="4">
        <v>762.66</v>
      </c>
      <c r="H1579" s="5">
        <f t="shared" si="24"/>
        <v>-4.428714428714433E-2</v>
      </c>
    </row>
    <row r="1580" spans="1:8" ht="13.5" x14ac:dyDescent="0.25">
      <c r="A1580" s="1"/>
      <c r="B1580" s="3">
        <v>44609</v>
      </c>
      <c r="C1580" s="4">
        <v>13.38</v>
      </c>
      <c r="D1580" s="4">
        <v>13.3666</v>
      </c>
      <c r="E1580" s="4">
        <v>4</v>
      </c>
      <c r="F1580" s="4">
        <v>13.38</v>
      </c>
      <c r="G1580" s="4">
        <v>53.52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13.38</v>
      </c>
      <c r="D1581" s="4">
        <v>13.3666</v>
      </c>
      <c r="E1581" s="4">
        <v>34</v>
      </c>
      <c r="F1581" s="4">
        <v>13.38</v>
      </c>
      <c r="G1581" s="4">
        <v>454.92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13.38</v>
      </c>
      <c r="D1582" s="4">
        <v>13.3666</v>
      </c>
      <c r="E1582" s="4">
        <v>0</v>
      </c>
      <c r="F1582" s="4">
        <v>0</v>
      </c>
      <c r="G1582" s="4">
        <v>0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13.38</v>
      </c>
      <c r="D1583" s="4">
        <v>13.3666</v>
      </c>
      <c r="E1583" s="4">
        <v>0</v>
      </c>
      <c r="F1583" s="4">
        <v>0</v>
      </c>
      <c r="G1583" s="4">
        <v>0</v>
      </c>
      <c r="H1583" s="5">
        <f t="shared" si="24"/>
        <v>0</v>
      </c>
    </row>
    <row r="1584" spans="1:8" ht="13.5" x14ac:dyDescent="0.25">
      <c r="A1584" s="1"/>
      <c r="B1584" s="3">
        <v>44615</v>
      </c>
      <c r="C1584" s="4">
        <v>13.38</v>
      </c>
      <c r="D1584" s="4">
        <v>13.3666</v>
      </c>
      <c r="E1584" s="4">
        <v>0</v>
      </c>
      <c r="F1584" s="4">
        <v>0</v>
      </c>
      <c r="G1584" s="4">
        <v>0</v>
      </c>
      <c r="H1584" s="5">
        <f t="shared" si="24"/>
        <v>0</v>
      </c>
    </row>
    <row r="1585" spans="1:8" ht="13.5" x14ac:dyDescent="0.25">
      <c r="A1585" s="1"/>
      <c r="B1585" s="3">
        <v>44616</v>
      </c>
      <c r="C1585" s="4">
        <v>13.38</v>
      </c>
      <c r="D1585" s="4">
        <v>13.3666</v>
      </c>
      <c r="E1585" s="4">
        <v>0</v>
      </c>
      <c r="F1585" s="4">
        <v>0</v>
      </c>
      <c r="G1585" s="4">
        <v>0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13.38</v>
      </c>
      <c r="D1586" s="4">
        <v>13.3666</v>
      </c>
      <c r="E1586" s="4">
        <v>0</v>
      </c>
      <c r="F1586" s="4">
        <v>0</v>
      </c>
      <c r="G1586" s="4">
        <v>0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13.38</v>
      </c>
      <c r="D1587" s="4">
        <v>13.3666</v>
      </c>
      <c r="E1587" s="4">
        <v>0</v>
      </c>
      <c r="F1587" s="4">
        <v>0</v>
      </c>
      <c r="G1587" s="4">
        <v>0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13.38</v>
      </c>
      <c r="D1588" s="4">
        <v>13.3666</v>
      </c>
      <c r="E1588" s="4">
        <v>0</v>
      </c>
      <c r="F1588" s="4">
        <v>0</v>
      </c>
      <c r="G1588" s="4">
        <v>0</v>
      </c>
      <c r="H1588" s="5">
        <f t="shared" si="24"/>
        <v>0</v>
      </c>
    </row>
    <row r="1589" spans="1:8" ht="13.5" x14ac:dyDescent="0.25">
      <c r="A1589" s="1"/>
      <c r="B1589" s="3">
        <v>44622</v>
      </c>
      <c r="C1589" s="4">
        <v>13.38</v>
      </c>
      <c r="D1589" s="4">
        <v>13.3666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13.38</v>
      </c>
      <c r="D1590" s="4">
        <v>13.3666</v>
      </c>
      <c r="E1590" s="4">
        <v>0</v>
      </c>
      <c r="F1590" s="4">
        <v>0</v>
      </c>
      <c r="G1590" s="4">
        <v>0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13.38</v>
      </c>
      <c r="D1591" s="4">
        <v>13.3666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13.38</v>
      </c>
      <c r="D1592" s="4">
        <v>13.3666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13.38</v>
      </c>
      <c r="D1593" s="4">
        <v>13.3666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13.38</v>
      </c>
      <c r="D1594" s="4">
        <v>13.3666</v>
      </c>
      <c r="E1594" s="4">
        <v>0</v>
      </c>
      <c r="F1594" s="4">
        <v>0</v>
      </c>
      <c r="G1594" s="4">
        <v>0</v>
      </c>
      <c r="H1594" s="5">
        <f t="shared" si="24"/>
        <v>0</v>
      </c>
    </row>
    <row r="1595" spans="1:8" ht="13.5" x14ac:dyDescent="0.25">
      <c r="A1595" s="1"/>
      <c r="B1595" s="3">
        <v>44630</v>
      </c>
      <c r="C1595" s="4">
        <v>13</v>
      </c>
      <c r="D1595" s="4">
        <v>12.987</v>
      </c>
      <c r="E1595" s="4">
        <v>444</v>
      </c>
      <c r="F1595" s="4">
        <v>13</v>
      </c>
      <c r="G1595" s="4">
        <v>5772</v>
      </c>
      <c r="H1595" s="5">
        <f t="shared" si="24"/>
        <v>-2.8399144135382217E-2</v>
      </c>
    </row>
    <row r="1596" spans="1:8" ht="13.5" x14ac:dyDescent="0.25">
      <c r="A1596" s="1"/>
      <c r="B1596" s="3">
        <v>44631</v>
      </c>
      <c r="C1596" s="4">
        <v>13</v>
      </c>
      <c r="D1596" s="4">
        <v>12.987</v>
      </c>
      <c r="E1596" s="4">
        <v>50</v>
      </c>
      <c r="F1596" s="4">
        <v>13</v>
      </c>
      <c r="G1596" s="4">
        <v>650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13</v>
      </c>
      <c r="D1597" s="4">
        <v>12.987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13</v>
      </c>
      <c r="D1598" s="4">
        <v>12.987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13</v>
      </c>
      <c r="D1599" s="4">
        <v>12.987</v>
      </c>
      <c r="E1599" s="4">
        <v>60</v>
      </c>
      <c r="F1599" s="4">
        <v>13</v>
      </c>
      <c r="G1599" s="4">
        <v>780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13</v>
      </c>
      <c r="D1600" s="4">
        <v>12.987</v>
      </c>
      <c r="E1600" s="4">
        <v>1000</v>
      </c>
      <c r="F1600" s="4">
        <v>13</v>
      </c>
      <c r="G1600" s="4">
        <v>13000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13</v>
      </c>
      <c r="D1601" s="4">
        <v>12.987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13.58</v>
      </c>
      <c r="D1602" s="4">
        <v>13.5664</v>
      </c>
      <c r="E1602" s="4">
        <v>0</v>
      </c>
      <c r="F1602" s="4">
        <v>0</v>
      </c>
      <c r="G1602" s="4">
        <v>0</v>
      </c>
      <c r="H1602" s="5">
        <f t="shared" si="24"/>
        <v>4.4613844613844593E-2</v>
      </c>
    </row>
    <row r="1603" spans="1:8" ht="13.5" x14ac:dyDescent="0.25">
      <c r="A1603" s="1"/>
      <c r="B1603" s="3">
        <v>44642</v>
      </c>
      <c r="C1603" s="4">
        <v>12.97</v>
      </c>
      <c r="D1603" s="4">
        <v>12.957000000000001</v>
      </c>
      <c r="E1603" s="4">
        <v>0</v>
      </c>
      <c r="F1603" s="4">
        <v>0</v>
      </c>
      <c r="G1603" s="4">
        <v>0</v>
      </c>
      <c r="H1603" s="5">
        <f t="shared" si="24"/>
        <v>-4.4919801863427221E-2</v>
      </c>
    </row>
    <row r="1604" spans="1:8" ht="13.5" x14ac:dyDescent="0.25">
      <c r="A1604" s="1"/>
      <c r="B1604" s="3">
        <v>44643</v>
      </c>
      <c r="C1604" s="4">
        <v>12.43</v>
      </c>
      <c r="D1604" s="4">
        <v>12.4176</v>
      </c>
      <c r="E1604" s="4">
        <v>345</v>
      </c>
      <c r="F1604" s="4">
        <v>12.43</v>
      </c>
      <c r="G1604" s="4">
        <v>4288.3500000000004</v>
      </c>
      <c r="H1604" s="5">
        <f t="shared" si="24"/>
        <v>-4.1630006946052366E-2</v>
      </c>
    </row>
    <row r="1605" spans="1:8" ht="13.5" x14ac:dyDescent="0.25">
      <c r="A1605" s="1"/>
      <c r="B1605" s="3">
        <v>44644</v>
      </c>
      <c r="C1605" s="4">
        <v>12.43</v>
      </c>
      <c r="D1605" s="4">
        <v>12.4176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12.43</v>
      </c>
      <c r="D1606" s="4">
        <v>12.4176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12.43</v>
      </c>
      <c r="D1607" s="4">
        <v>12.4176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12.43</v>
      </c>
      <c r="D1608" s="4">
        <v>12.4176</v>
      </c>
      <c r="E1608" s="4">
        <v>0</v>
      </c>
      <c r="F1608" s="4">
        <v>0</v>
      </c>
      <c r="G1608" s="4">
        <v>0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12.43</v>
      </c>
      <c r="D1609" s="4">
        <v>12.4176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12.43</v>
      </c>
      <c r="D1610" s="4">
        <v>12.4176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12.43</v>
      </c>
      <c r="D1611" s="4">
        <v>12.4176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12.43</v>
      </c>
      <c r="D1612" s="4">
        <v>12.4176</v>
      </c>
      <c r="E1612" s="4">
        <v>0</v>
      </c>
      <c r="F1612" s="4">
        <v>0</v>
      </c>
      <c r="G1612" s="4">
        <v>0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12.43</v>
      </c>
      <c r="D1613" s="4">
        <v>12.4176</v>
      </c>
      <c r="E1613" s="4">
        <v>0</v>
      </c>
      <c r="F1613" s="4">
        <v>0</v>
      </c>
      <c r="G1613" s="4">
        <v>0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12.43</v>
      </c>
      <c r="D1614" s="4">
        <v>12.4176</v>
      </c>
      <c r="E1614" s="4">
        <v>305</v>
      </c>
      <c r="F1614" s="4">
        <v>12.43</v>
      </c>
      <c r="G1614" s="4">
        <v>3791.15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12.43</v>
      </c>
      <c r="D1615" s="4">
        <v>12.4176</v>
      </c>
      <c r="E1615" s="4">
        <v>0</v>
      </c>
      <c r="F1615" s="4">
        <v>0</v>
      </c>
      <c r="G1615" s="4">
        <v>0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12.43</v>
      </c>
      <c r="D1616" s="4">
        <v>12.4176</v>
      </c>
      <c r="E1616" s="4">
        <v>306</v>
      </c>
      <c r="F1616" s="4">
        <v>12.43</v>
      </c>
      <c r="G1616" s="4">
        <v>3803.58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12.43</v>
      </c>
      <c r="D1617" s="4">
        <v>12.4176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12.43</v>
      </c>
      <c r="D1618" s="4">
        <v>12.4176</v>
      </c>
      <c r="E1618" s="4">
        <v>0</v>
      </c>
      <c r="F1618" s="4">
        <v>0</v>
      </c>
      <c r="G1618" s="4">
        <v>0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12</v>
      </c>
      <c r="D1619" s="4">
        <v>11.988</v>
      </c>
      <c r="E1619" s="4">
        <v>6</v>
      </c>
      <c r="F1619" s="4">
        <v>12</v>
      </c>
      <c r="G1619" s="4">
        <v>72</v>
      </c>
      <c r="H1619" s="5">
        <f t="shared" si="25"/>
        <v>-3.4596057209122587E-2</v>
      </c>
    </row>
    <row r="1620" spans="1:8" ht="13.5" x14ac:dyDescent="0.25">
      <c r="A1620" s="1"/>
      <c r="B1620" s="3">
        <v>44665</v>
      </c>
      <c r="C1620" s="4">
        <v>12</v>
      </c>
      <c r="D1620" s="4">
        <v>11.988</v>
      </c>
      <c r="E1620" s="4">
        <v>3</v>
      </c>
      <c r="F1620" s="4">
        <v>12</v>
      </c>
      <c r="G1620" s="4">
        <v>36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12</v>
      </c>
      <c r="D1621" s="4">
        <v>11.988</v>
      </c>
      <c r="E1621" s="4">
        <v>166</v>
      </c>
      <c r="F1621" s="4">
        <v>12</v>
      </c>
      <c r="G1621" s="4">
        <v>1992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12</v>
      </c>
      <c r="D1622" s="4">
        <v>11.988</v>
      </c>
      <c r="E1622" s="4">
        <v>0</v>
      </c>
      <c r="F1622" s="4">
        <v>0</v>
      </c>
      <c r="G1622" s="4">
        <v>0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11.66</v>
      </c>
      <c r="D1623" s="4">
        <v>11.648300000000001</v>
      </c>
      <c r="E1623" s="4">
        <v>203</v>
      </c>
      <c r="F1623" s="4">
        <v>11.66</v>
      </c>
      <c r="G1623" s="4">
        <v>2366.98</v>
      </c>
      <c r="H1623" s="5">
        <f t="shared" si="25"/>
        <v>-2.8336670003336568E-2</v>
      </c>
    </row>
    <row r="1624" spans="1:8" ht="13.5" x14ac:dyDescent="0.25">
      <c r="A1624" s="1"/>
      <c r="B1624" s="3">
        <v>44671</v>
      </c>
      <c r="C1624" s="4">
        <v>11.14</v>
      </c>
      <c r="D1624" s="4">
        <v>11.1289</v>
      </c>
      <c r="E1624" s="4">
        <v>8</v>
      </c>
      <c r="F1624" s="4">
        <v>11.14</v>
      </c>
      <c r="G1624" s="4">
        <v>89.12</v>
      </c>
      <c r="H1624" s="5">
        <f t="shared" si="25"/>
        <v>-4.4590197711254081E-2</v>
      </c>
    </row>
    <row r="1625" spans="1:8" ht="13.5" x14ac:dyDescent="0.25">
      <c r="A1625" s="1"/>
      <c r="B1625" s="3">
        <v>44672</v>
      </c>
      <c r="C1625" s="4">
        <v>11.14</v>
      </c>
      <c r="D1625" s="4">
        <v>11.1289</v>
      </c>
      <c r="E1625" s="4">
        <v>0</v>
      </c>
      <c r="F1625" s="4">
        <v>0</v>
      </c>
      <c r="G1625" s="4">
        <v>0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11.14</v>
      </c>
      <c r="D1626" s="4">
        <v>11.1289</v>
      </c>
      <c r="E1626" s="4">
        <v>0</v>
      </c>
      <c r="F1626" s="4">
        <v>0</v>
      </c>
      <c r="G1626" s="4">
        <v>0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11.64</v>
      </c>
      <c r="D1627" s="4">
        <v>11.628399999999999</v>
      </c>
      <c r="E1627" s="4">
        <v>213</v>
      </c>
      <c r="F1627" s="4">
        <v>11.14</v>
      </c>
      <c r="G1627" s="4">
        <v>2372.8200000000002</v>
      </c>
      <c r="H1627" s="5">
        <f t="shared" si="25"/>
        <v>4.4883142089514633E-2</v>
      </c>
    </row>
    <row r="1628" spans="1:8" ht="13.5" x14ac:dyDescent="0.25">
      <c r="A1628" s="1"/>
      <c r="B1628" s="3">
        <v>44677</v>
      </c>
      <c r="C1628" s="4">
        <v>11.64</v>
      </c>
      <c r="D1628" s="4">
        <v>11.628399999999999</v>
      </c>
      <c r="E1628" s="4">
        <v>0</v>
      </c>
      <c r="F1628" s="4">
        <v>0</v>
      </c>
      <c r="G1628" s="4">
        <v>0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11.9</v>
      </c>
      <c r="D1629" s="4">
        <v>11.8881</v>
      </c>
      <c r="E1629" s="4">
        <v>87</v>
      </c>
      <c r="F1629" s="4">
        <v>11.9</v>
      </c>
      <c r="G1629" s="4">
        <v>1035.3</v>
      </c>
      <c r="H1629" s="5">
        <f t="shared" si="25"/>
        <v>2.2333253070069871E-2</v>
      </c>
    </row>
    <row r="1630" spans="1:8" ht="13.5" x14ac:dyDescent="0.25">
      <c r="A1630" s="1"/>
      <c r="B1630" s="3">
        <v>44679</v>
      </c>
      <c r="C1630" s="4">
        <v>11.9</v>
      </c>
      <c r="D1630" s="4">
        <v>11.8881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11.9</v>
      </c>
      <c r="D1631" s="4">
        <v>11.8881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11.9</v>
      </c>
      <c r="D1632" s="4">
        <v>11.8881</v>
      </c>
      <c r="E1632" s="4">
        <v>0</v>
      </c>
      <c r="F1632" s="4">
        <v>0</v>
      </c>
      <c r="G1632" s="4">
        <v>0</v>
      </c>
      <c r="H1632" s="5">
        <f t="shared" si="25"/>
        <v>0</v>
      </c>
    </row>
    <row r="1633" spans="1:8" ht="13.5" x14ac:dyDescent="0.25">
      <c r="A1633" s="1"/>
      <c r="B1633" s="3">
        <v>44686</v>
      </c>
      <c r="C1633" s="4">
        <v>11.9</v>
      </c>
      <c r="D1633" s="4">
        <v>11.8881</v>
      </c>
      <c r="E1633" s="4">
        <v>0</v>
      </c>
      <c r="F1633" s="4">
        <v>0</v>
      </c>
      <c r="G1633" s="4">
        <v>0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11.9</v>
      </c>
      <c r="D1634" s="4">
        <v>11.8881</v>
      </c>
      <c r="E1634" s="4">
        <v>0</v>
      </c>
      <c r="F1634" s="4">
        <v>0</v>
      </c>
      <c r="G1634" s="4">
        <v>0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11.9</v>
      </c>
      <c r="D1635" s="4">
        <v>11.8881</v>
      </c>
      <c r="E1635" s="4">
        <v>0</v>
      </c>
      <c r="F1635" s="4">
        <v>0</v>
      </c>
      <c r="G1635" s="4">
        <v>0</v>
      </c>
      <c r="H1635" s="5">
        <f t="shared" si="25"/>
        <v>0</v>
      </c>
    </row>
    <row r="1636" spans="1:8" ht="13.5" x14ac:dyDescent="0.25">
      <c r="A1636" s="1"/>
      <c r="B1636" s="3">
        <v>44691</v>
      </c>
      <c r="C1636" s="4">
        <v>12</v>
      </c>
      <c r="D1636" s="4">
        <v>11.988</v>
      </c>
      <c r="E1636" s="4">
        <v>200</v>
      </c>
      <c r="F1636" s="4">
        <v>12</v>
      </c>
      <c r="G1636" s="4">
        <v>2400</v>
      </c>
      <c r="H1636" s="5">
        <f t="shared" si="25"/>
        <v>8.4033613445378044E-3</v>
      </c>
    </row>
    <row r="1637" spans="1:8" ht="13.5" x14ac:dyDescent="0.25">
      <c r="A1637" s="1"/>
      <c r="B1637" s="3">
        <v>44692</v>
      </c>
      <c r="C1637" s="4">
        <v>12</v>
      </c>
      <c r="D1637" s="4">
        <v>11.988</v>
      </c>
      <c r="E1637" s="4">
        <v>0</v>
      </c>
      <c r="F1637" s="4">
        <v>0</v>
      </c>
      <c r="G1637" s="4">
        <v>0</v>
      </c>
      <c r="H1637" s="5">
        <f t="shared" si="25"/>
        <v>0</v>
      </c>
    </row>
    <row r="1638" spans="1:8" ht="13.5" x14ac:dyDescent="0.25">
      <c r="A1638" s="1"/>
      <c r="B1638" s="3">
        <v>44693</v>
      </c>
      <c r="C1638" s="4">
        <v>12</v>
      </c>
      <c r="D1638" s="4">
        <v>11.988</v>
      </c>
      <c r="E1638" s="4">
        <v>0</v>
      </c>
      <c r="F1638" s="4">
        <v>0</v>
      </c>
      <c r="G1638" s="4">
        <v>0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12</v>
      </c>
      <c r="D1639" s="4">
        <v>11.988</v>
      </c>
      <c r="E1639" s="4">
        <v>100</v>
      </c>
      <c r="F1639" s="4">
        <v>12</v>
      </c>
      <c r="G1639" s="4">
        <v>1200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12</v>
      </c>
      <c r="D1640" s="4">
        <v>11.988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12</v>
      </c>
      <c r="D1641" s="4">
        <v>11.988</v>
      </c>
      <c r="E1641" s="4">
        <v>0</v>
      </c>
      <c r="F1641" s="4">
        <v>0</v>
      </c>
      <c r="G1641" s="4">
        <v>0</v>
      </c>
      <c r="H1641" s="5">
        <f t="shared" si="25"/>
        <v>0</v>
      </c>
    </row>
    <row r="1642" spans="1:8" ht="13.5" x14ac:dyDescent="0.25">
      <c r="A1642" s="1"/>
      <c r="B1642" s="3">
        <v>44699</v>
      </c>
      <c r="C1642" s="4">
        <v>12</v>
      </c>
      <c r="D1642" s="4">
        <v>11.988</v>
      </c>
      <c r="E1642" s="4">
        <v>0</v>
      </c>
      <c r="F1642" s="4">
        <v>0</v>
      </c>
      <c r="G1642" s="4">
        <v>0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12</v>
      </c>
      <c r="D1643" s="4">
        <v>11.988</v>
      </c>
      <c r="E1643" s="4">
        <v>100</v>
      </c>
      <c r="F1643" s="4">
        <v>12</v>
      </c>
      <c r="G1643" s="4">
        <v>1200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12</v>
      </c>
      <c r="D1644" s="4">
        <v>11.988</v>
      </c>
      <c r="E1644" s="4">
        <v>0</v>
      </c>
      <c r="F1644" s="4">
        <v>0</v>
      </c>
      <c r="G1644" s="4">
        <v>0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12</v>
      </c>
      <c r="D1645" s="4">
        <v>11.988</v>
      </c>
      <c r="E1645" s="4">
        <v>350</v>
      </c>
      <c r="F1645" s="4">
        <v>12</v>
      </c>
      <c r="G1645" s="4">
        <v>4200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12.54</v>
      </c>
      <c r="D1646" s="4">
        <v>12.5275</v>
      </c>
      <c r="E1646" s="4">
        <v>1</v>
      </c>
      <c r="F1646" s="4">
        <v>12.54</v>
      </c>
      <c r="G1646" s="4">
        <v>12.54</v>
      </c>
      <c r="H1646" s="5">
        <f t="shared" si="25"/>
        <v>4.5003336670003363E-2</v>
      </c>
    </row>
    <row r="1647" spans="1:8" ht="13.5" x14ac:dyDescent="0.25">
      <c r="A1647" s="1"/>
      <c r="B1647" s="3">
        <v>44706</v>
      </c>
      <c r="C1647" s="4">
        <v>13.05</v>
      </c>
      <c r="D1647" s="4">
        <v>13.037000000000001</v>
      </c>
      <c r="E1647" s="4">
        <v>1</v>
      </c>
      <c r="F1647" s="4">
        <v>13.05</v>
      </c>
      <c r="G1647" s="4">
        <v>13.05</v>
      </c>
      <c r="H1647" s="5">
        <f t="shared" si="25"/>
        <v>4.0670524845340325E-2</v>
      </c>
    </row>
    <row r="1648" spans="1:8" ht="13.5" x14ac:dyDescent="0.25">
      <c r="A1648" s="1"/>
      <c r="B1648" s="3">
        <v>44707</v>
      </c>
      <c r="C1648" s="4">
        <v>13.62</v>
      </c>
      <c r="D1648" s="4">
        <v>13.606400000000001</v>
      </c>
      <c r="E1648" s="4">
        <v>198</v>
      </c>
      <c r="F1648" s="4">
        <v>13.62</v>
      </c>
      <c r="G1648" s="4">
        <v>2696.76</v>
      </c>
      <c r="H1648" s="5">
        <f t="shared" si="25"/>
        <v>4.3675692260489368E-2</v>
      </c>
    </row>
    <row r="1649" spans="1:8" ht="13.5" x14ac:dyDescent="0.25">
      <c r="A1649" s="1"/>
      <c r="B1649" s="3">
        <v>44708</v>
      </c>
      <c r="C1649" s="4">
        <v>14.23</v>
      </c>
      <c r="D1649" s="4">
        <v>14.2158</v>
      </c>
      <c r="E1649" s="4">
        <v>9</v>
      </c>
      <c r="F1649" s="4">
        <v>14.23</v>
      </c>
      <c r="G1649" s="4">
        <v>128.07</v>
      </c>
      <c r="H1649" s="5">
        <f t="shared" si="25"/>
        <v>4.478774694261517E-2</v>
      </c>
    </row>
    <row r="1650" spans="1:8" ht="13.5" x14ac:dyDescent="0.25">
      <c r="A1650" s="1"/>
      <c r="B1650" s="3">
        <v>44711</v>
      </c>
      <c r="C1650" s="4">
        <v>14.23</v>
      </c>
      <c r="D1650" s="4">
        <v>14.2158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14.22</v>
      </c>
      <c r="D1651" s="4">
        <v>14.2058</v>
      </c>
      <c r="E1651" s="4">
        <v>11</v>
      </c>
      <c r="F1651" s="4">
        <v>14.22</v>
      </c>
      <c r="G1651" s="4">
        <v>156.41999999999999</v>
      </c>
      <c r="H1651" s="5">
        <f t="shared" si="25"/>
        <v>-7.0344264832086746E-4</v>
      </c>
    </row>
    <row r="1652" spans="1:8" ht="13.5" x14ac:dyDescent="0.25">
      <c r="A1652" s="1"/>
      <c r="B1652" s="3">
        <v>44713</v>
      </c>
      <c r="C1652" s="4">
        <v>14.22</v>
      </c>
      <c r="D1652" s="4">
        <v>14.2058</v>
      </c>
      <c r="E1652" s="4">
        <v>0</v>
      </c>
      <c r="F1652" s="4">
        <v>0</v>
      </c>
      <c r="G1652" s="4">
        <v>0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14.22</v>
      </c>
      <c r="D1653" s="4">
        <v>14.2058</v>
      </c>
      <c r="E1653" s="4">
        <v>0</v>
      </c>
      <c r="F1653" s="4">
        <v>0</v>
      </c>
      <c r="G1653" s="4">
        <v>0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14.22</v>
      </c>
      <c r="D1654" s="4">
        <v>14.2058</v>
      </c>
      <c r="E1654" s="4">
        <v>487</v>
      </c>
      <c r="F1654" s="4">
        <v>14.22</v>
      </c>
      <c r="G1654" s="4">
        <v>6925.14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14.23</v>
      </c>
      <c r="D1655" s="4">
        <v>14.2158</v>
      </c>
      <c r="E1655" s="4">
        <v>10</v>
      </c>
      <c r="F1655" s="4">
        <v>14.23</v>
      </c>
      <c r="G1655" s="4">
        <v>142.30000000000001</v>
      </c>
      <c r="H1655" s="5">
        <f t="shared" si="25"/>
        <v>7.0393782821099736E-4</v>
      </c>
    </row>
    <row r="1656" spans="1:8" ht="13.5" x14ac:dyDescent="0.25">
      <c r="A1656" s="1"/>
      <c r="B1656" s="3">
        <v>44719</v>
      </c>
      <c r="C1656" s="4">
        <v>14.87</v>
      </c>
      <c r="D1656" s="4">
        <v>14.8551</v>
      </c>
      <c r="E1656" s="4">
        <v>196</v>
      </c>
      <c r="F1656" s="4">
        <v>14.87</v>
      </c>
      <c r="G1656" s="4">
        <v>2914.52</v>
      </c>
      <c r="H1656" s="5">
        <f t="shared" si="25"/>
        <v>4.497108850715404E-2</v>
      </c>
    </row>
    <row r="1657" spans="1:8" ht="13.5" x14ac:dyDescent="0.25">
      <c r="A1657" s="1"/>
      <c r="B1657" s="3">
        <v>44720</v>
      </c>
      <c r="C1657" s="4">
        <v>15.53</v>
      </c>
      <c r="D1657" s="4">
        <v>15.5145</v>
      </c>
      <c r="E1657" s="4">
        <v>4</v>
      </c>
      <c r="F1657" s="4">
        <v>15.53</v>
      </c>
      <c r="G1657" s="4">
        <v>62.12</v>
      </c>
      <c r="H1657" s="5">
        <f t="shared" si="25"/>
        <v>4.4388795767110266E-2</v>
      </c>
    </row>
    <row r="1658" spans="1:8" ht="13.5" x14ac:dyDescent="0.25">
      <c r="A1658" s="1"/>
      <c r="B1658" s="3">
        <v>44721</v>
      </c>
      <c r="C1658" s="4">
        <v>16.22</v>
      </c>
      <c r="D1658" s="4">
        <v>16.203800000000001</v>
      </c>
      <c r="E1658" s="4">
        <v>14</v>
      </c>
      <c r="F1658" s="4">
        <v>16.22</v>
      </c>
      <c r="G1658" s="4">
        <v>227.08</v>
      </c>
      <c r="H1658" s="5">
        <f t="shared" si="25"/>
        <v>4.4429404750394863E-2</v>
      </c>
    </row>
    <row r="1659" spans="1:8" ht="13.5" x14ac:dyDescent="0.25">
      <c r="A1659" s="1"/>
      <c r="B1659" s="3">
        <v>44722</v>
      </c>
      <c r="C1659" s="4">
        <v>16.22</v>
      </c>
      <c r="D1659" s="4">
        <v>16.203800000000001</v>
      </c>
      <c r="E1659" s="4">
        <v>0</v>
      </c>
      <c r="F1659" s="4">
        <v>0</v>
      </c>
      <c r="G1659" s="4">
        <v>0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16.22</v>
      </c>
      <c r="D1660" s="4">
        <v>16.203800000000001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16.22</v>
      </c>
      <c r="D1661" s="4">
        <v>16.203800000000001</v>
      </c>
      <c r="E1661" s="4">
        <v>0</v>
      </c>
      <c r="F1661" s="4">
        <v>0</v>
      </c>
      <c r="G1661" s="4">
        <v>0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16.22</v>
      </c>
      <c r="D1662" s="4">
        <v>16.203800000000001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16.22</v>
      </c>
      <c r="D1663" s="4">
        <v>16.203800000000001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15.5</v>
      </c>
      <c r="D1664" s="4">
        <v>15.484500000000001</v>
      </c>
      <c r="E1664" s="4">
        <v>0</v>
      </c>
      <c r="F1664" s="4">
        <v>0</v>
      </c>
      <c r="G1664" s="4">
        <v>0</v>
      </c>
      <c r="H1664" s="5">
        <f t="shared" si="25"/>
        <v>-4.4390821905972704E-2</v>
      </c>
    </row>
    <row r="1665" spans="1:8" ht="13.5" x14ac:dyDescent="0.25">
      <c r="A1665" s="1"/>
      <c r="B1665" s="3">
        <v>44732</v>
      </c>
      <c r="C1665" s="4">
        <v>16</v>
      </c>
      <c r="D1665" s="4">
        <v>15.984</v>
      </c>
      <c r="E1665" s="4">
        <v>1</v>
      </c>
      <c r="F1665" s="4">
        <v>16</v>
      </c>
      <c r="G1665" s="4">
        <v>16</v>
      </c>
      <c r="H1665" s="5">
        <f t="shared" si="25"/>
        <v>3.225806451612899E-2</v>
      </c>
    </row>
    <row r="1666" spans="1:8" ht="13.5" x14ac:dyDescent="0.25">
      <c r="A1666" s="1"/>
      <c r="B1666" s="3">
        <v>44733</v>
      </c>
      <c r="C1666" s="4">
        <v>16</v>
      </c>
      <c r="D1666" s="4">
        <v>15.984</v>
      </c>
      <c r="E1666" s="4">
        <v>0</v>
      </c>
      <c r="F1666" s="4">
        <v>0</v>
      </c>
      <c r="G1666" s="4">
        <v>0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16</v>
      </c>
      <c r="D1667" s="4">
        <v>15.984</v>
      </c>
      <c r="E1667" s="4">
        <v>0</v>
      </c>
      <c r="F1667" s="4">
        <v>0</v>
      </c>
      <c r="G1667" s="4">
        <v>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15.28</v>
      </c>
      <c r="D1668" s="4">
        <v>15.264699999999999</v>
      </c>
      <c r="E1668" s="4">
        <v>0</v>
      </c>
      <c r="F1668" s="4">
        <v>0</v>
      </c>
      <c r="G1668" s="4">
        <v>0</v>
      </c>
      <c r="H1668" s="5">
        <f t="shared" si="25"/>
        <v>-4.5001251251251283E-2</v>
      </c>
    </row>
    <row r="1669" spans="1:8" ht="13.5" x14ac:dyDescent="0.25">
      <c r="A1669" s="1"/>
      <c r="B1669" s="3">
        <v>44736</v>
      </c>
      <c r="C1669" s="4">
        <v>15.28</v>
      </c>
      <c r="D1669" s="4">
        <v>15.264699999999999</v>
      </c>
      <c r="E1669" s="4">
        <v>202</v>
      </c>
      <c r="F1669" s="4">
        <v>14.606999999999999</v>
      </c>
      <c r="G1669" s="4">
        <v>2950.614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15.28</v>
      </c>
      <c r="D1670" s="4">
        <v>15.264699999999999</v>
      </c>
      <c r="E1670" s="4">
        <v>0</v>
      </c>
      <c r="F1670" s="4">
        <v>0</v>
      </c>
      <c r="G1670" s="4">
        <v>0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14.6</v>
      </c>
      <c r="D1671" s="4">
        <v>14.5854</v>
      </c>
      <c r="E1671" s="4">
        <v>0</v>
      </c>
      <c r="F1671" s="4">
        <v>0</v>
      </c>
      <c r="G1671" s="4">
        <v>0</v>
      </c>
      <c r="H1671" s="5">
        <f t="shared" ref="H1671:H1734" si="26">(D1671-D1670)/D1670</f>
        <v>-4.4501365896480086E-2</v>
      </c>
    </row>
    <row r="1672" spans="1:8" ht="13.5" x14ac:dyDescent="0.25">
      <c r="A1672" s="1"/>
      <c r="B1672" s="3">
        <v>44741</v>
      </c>
      <c r="C1672" s="4">
        <v>13.95</v>
      </c>
      <c r="D1672" s="4">
        <v>13.9361</v>
      </c>
      <c r="E1672" s="4">
        <v>203</v>
      </c>
      <c r="F1672" s="4">
        <v>14</v>
      </c>
      <c r="G1672" s="4">
        <v>2842</v>
      </c>
      <c r="H1672" s="5">
        <f t="shared" si="26"/>
        <v>-4.4517119859585626E-2</v>
      </c>
    </row>
    <row r="1673" spans="1:8" ht="13.5" x14ac:dyDescent="0.25">
      <c r="A1673" s="1"/>
      <c r="B1673" s="3">
        <v>44742</v>
      </c>
      <c r="C1673" s="4">
        <v>13.49</v>
      </c>
      <c r="D1673" s="4">
        <v>13.4765</v>
      </c>
      <c r="E1673" s="4">
        <v>200</v>
      </c>
      <c r="F1673" s="4">
        <v>13.49</v>
      </c>
      <c r="G1673" s="4">
        <v>2698</v>
      </c>
      <c r="H1673" s="5">
        <f t="shared" si="26"/>
        <v>-3.2979097451941365E-2</v>
      </c>
    </row>
    <row r="1674" spans="1:8" ht="13.5" x14ac:dyDescent="0.25">
      <c r="A1674" s="1"/>
      <c r="B1674" s="3">
        <v>44743</v>
      </c>
      <c r="C1674" s="4">
        <v>13.01</v>
      </c>
      <c r="D1674" s="4">
        <v>12.997</v>
      </c>
      <c r="E1674" s="4">
        <v>588</v>
      </c>
      <c r="F1674" s="4">
        <v>13.327</v>
      </c>
      <c r="G1674" s="4">
        <v>7836.2759999999998</v>
      </c>
      <c r="H1674" s="5">
        <f t="shared" si="26"/>
        <v>-3.5580454865877624E-2</v>
      </c>
    </row>
    <row r="1675" spans="1:8" ht="13.5" x14ac:dyDescent="0.25">
      <c r="A1675" s="1"/>
      <c r="B1675" s="3">
        <v>44746</v>
      </c>
      <c r="C1675" s="4">
        <v>13.59</v>
      </c>
      <c r="D1675" s="4">
        <v>13.5764</v>
      </c>
      <c r="E1675" s="4">
        <v>1</v>
      </c>
      <c r="F1675" s="4">
        <v>13.59</v>
      </c>
      <c r="G1675" s="4">
        <v>13.59</v>
      </c>
      <c r="H1675" s="5">
        <f t="shared" si="26"/>
        <v>4.4579518350388529E-2</v>
      </c>
    </row>
    <row r="1676" spans="1:8" ht="13.5" x14ac:dyDescent="0.25">
      <c r="A1676" s="1"/>
      <c r="B1676" s="3">
        <v>44747</v>
      </c>
      <c r="C1676" s="4">
        <v>13.59</v>
      </c>
      <c r="D1676" s="4">
        <v>13.5764</v>
      </c>
      <c r="E1676" s="4">
        <v>0</v>
      </c>
      <c r="F1676" s="4">
        <v>0</v>
      </c>
      <c r="G1676" s="4">
        <v>0</v>
      </c>
      <c r="H1676" s="5">
        <f t="shared" si="26"/>
        <v>0</v>
      </c>
    </row>
    <row r="1677" spans="1:8" ht="13.5" x14ac:dyDescent="0.25">
      <c r="A1677" s="1"/>
      <c r="B1677" s="3">
        <v>44748</v>
      </c>
      <c r="C1677" s="4">
        <v>13.59</v>
      </c>
      <c r="D1677" s="4">
        <v>13.5764</v>
      </c>
      <c r="E1677" s="4">
        <v>0</v>
      </c>
      <c r="F1677" s="4">
        <v>0</v>
      </c>
      <c r="G1677" s="4">
        <v>0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13.03</v>
      </c>
      <c r="D1678" s="4">
        <v>13.016999999999999</v>
      </c>
      <c r="E1678" s="4">
        <v>72</v>
      </c>
      <c r="F1678" s="4">
        <v>13.03</v>
      </c>
      <c r="G1678" s="4">
        <v>938.16</v>
      </c>
      <c r="H1678" s="5">
        <f t="shared" si="26"/>
        <v>-4.1203853746206665E-2</v>
      </c>
    </row>
    <row r="1679" spans="1:8" ht="13.5" x14ac:dyDescent="0.25">
      <c r="A1679" s="1"/>
      <c r="B1679" s="3">
        <v>44750</v>
      </c>
      <c r="C1679" s="4">
        <v>13.03</v>
      </c>
      <c r="D1679" s="4">
        <v>13.016999999999999</v>
      </c>
      <c r="E1679" s="4">
        <v>50</v>
      </c>
      <c r="F1679" s="4">
        <v>13.03</v>
      </c>
      <c r="G1679" s="4">
        <v>651.5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13.03</v>
      </c>
      <c r="D1680" s="4">
        <v>13.016999999999999</v>
      </c>
      <c r="E1680" s="4">
        <v>3</v>
      </c>
      <c r="F1680" s="4">
        <v>13.03</v>
      </c>
      <c r="G1680" s="4">
        <v>39.090000000000003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13.03</v>
      </c>
      <c r="D1681" s="4">
        <v>13.016999999999999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13.03</v>
      </c>
      <c r="D1682" s="4">
        <v>13.016999999999999</v>
      </c>
      <c r="E1682" s="4">
        <v>3</v>
      </c>
      <c r="F1682" s="4">
        <v>13.03</v>
      </c>
      <c r="G1682" s="4">
        <v>39.090000000000003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13.03</v>
      </c>
      <c r="D1683" s="4">
        <v>13.016999999999999</v>
      </c>
      <c r="E1683" s="4">
        <v>540</v>
      </c>
      <c r="F1683" s="4">
        <v>13.03</v>
      </c>
      <c r="G1683" s="4">
        <v>7036.2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13.03</v>
      </c>
      <c r="D1684" s="4">
        <v>13.016999999999999</v>
      </c>
      <c r="E1684" s="4">
        <v>0</v>
      </c>
      <c r="F1684" s="4">
        <v>0</v>
      </c>
      <c r="G1684" s="4">
        <v>0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13.03</v>
      </c>
      <c r="D1685" s="4">
        <v>13.016999999999999</v>
      </c>
      <c r="E1685" s="4">
        <v>0</v>
      </c>
      <c r="F1685" s="4">
        <v>0</v>
      </c>
      <c r="G1685" s="4">
        <v>0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13.03</v>
      </c>
      <c r="D1686" s="4">
        <v>13.016999999999999</v>
      </c>
      <c r="E1686" s="4">
        <v>103</v>
      </c>
      <c r="F1686" s="4">
        <v>13.03</v>
      </c>
      <c r="G1686" s="4">
        <v>1342.09</v>
      </c>
      <c r="H1686" s="5">
        <f t="shared" si="26"/>
        <v>0</v>
      </c>
    </row>
    <row r="1687" spans="1:8" ht="13.5" x14ac:dyDescent="0.25">
      <c r="A1687" s="1"/>
      <c r="B1687" s="3">
        <v>44762</v>
      </c>
      <c r="C1687" s="4">
        <v>13.03</v>
      </c>
      <c r="D1687" s="4">
        <v>13.016999999999999</v>
      </c>
      <c r="E1687" s="4">
        <v>0</v>
      </c>
      <c r="F1687" s="4">
        <v>0</v>
      </c>
      <c r="G1687" s="4">
        <v>0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13.5</v>
      </c>
      <c r="D1688" s="4">
        <v>13.486499999999999</v>
      </c>
      <c r="E1688" s="4">
        <v>1</v>
      </c>
      <c r="F1688" s="4">
        <v>13.5</v>
      </c>
      <c r="G1688" s="4">
        <v>13.5</v>
      </c>
      <c r="H1688" s="5">
        <f t="shared" si="26"/>
        <v>3.6068218483521555E-2</v>
      </c>
    </row>
    <row r="1689" spans="1:8" ht="13.5" x14ac:dyDescent="0.25">
      <c r="A1689" s="1"/>
      <c r="B1689" s="3">
        <v>44764</v>
      </c>
      <c r="C1689" s="4">
        <v>13</v>
      </c>
      <c r="D1689" s="4">
        <v>12.987</v>
      </c>
      <c r="E1689" s="4">
        <v>200</v>
      </c>
      <c r="F1689" s="4">
        <v>13</v>
      </c>
      <c r="G1689" s="4">
        <v>2600</v>
      </c>
      <c r="H1689" s="5">
        <f t="shared" si="26"/>
        <v>-3.7037037037036993E-2</v>
      </c>
    </row>
    <row r="1690" spans="1:8" ht="13.5" x14ac:dyDescent="0.25">
      <c r="A1690" s="1"/>
      <c r="B1690" s="3">
        <v>44768</v>
      </c>
      <c r="C1690" s="4">
        <v>12.42</v>
      </c>
      <c r="D1690" s="4">
        <v>12.4076</v>
      </c>
      <c r="E1690" s="4">
        <v>2</v>
      </c>
      <c r="F1690" s="4">
        <v>12.42</v>
      </c>
      <c r="G1690" s="4">
        <v>24.84</v>
      </c>
      <c r="H1690" s="5">
        <f t="shared" si="26"/>
        <v>-4.4613844613844593E-2</v>
      </c>
    </row>
    <row r="1691" spans="1:8" ht="13.5" x14ac:dyDescent="0.25">
      <c r="A1691" s="1"/>
      <c r="B1691" s="3">
        <v>44769</v>
      </c>
      <c r="C1691" s="4">
        <v>12.97</v>
      </c>
      <c r="D1691" s="4">
        <v>12.957000000000001</v>
      </c>
      <c r="E1691" s="4">
        <v>0</v>
      </c>
      <c r="F1691" s="4">
        <v>0</v>
      </c>
      <c r="G1691" s="4">
        <v>0</v>
      </c>
      <c r="H1691" s="5">
        <f t="shared" si="26"/>
        <v>4.4279312679325597E-2</v>
      </c>
    </row>
    <row r="1692" spans="1:8" ht="13.5" x14ac:dyDescent="0.25">
      <c r="A1692" s="1"/>
      <c r="B1692" s="3">
        <v>44770</v>
      </c>
      <c r="C1692" s="4">
        <v>12.49</v>
      </c>
      <c r="D1692" s="4">
        <v>12.477499999999999</v>
      </c>
      <c r="E1692" s="4">
        <v>250</v>
      </c>
      <c r="F1692" s="4">
        <v>12.49</v>
      </c>
      <c r="G1692" s="4">
        <v>3122.5</v>
      </c>
      <c r="H1692" s="5">
        <f t="shared" si="26"/>
        <v>-3.7007023230686234E-2</v>
      </c>
    </row>
    <row r="1693" spans="1:8" ht="13.5" x14ac:dyDescent="0.25">
      <c r="A1693" s="1"/>
      <c r="B1693" s="3">
        <v>44771</v>
      </c>
      <c r="C1693" s="4">
        <v>12.49</v>
      </c>
      <c r="D1693" s="4">
        <v>12.477499999999999</v>
      </c>
      <c r="E1693" s="4">
        <v>0</v>
      </c>
      <c r="F1693" s="4">
        <v>0</v>
      </c>
      <c r="G1693" s="4">
        <v>0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12.49</v>
      </c>
      <c r="D1694" s="4">
        <v>12.477499999999999</v>
      </c>
      <c r="E1694" s="4">
        <v>78</v>
      </c>
      <c r="F1694" s="4">
        <v>12.49</v>
      </c>
      <c r="G1694" s="4">
        <v>974.22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12.49</v>
      </c>
      <c r="D1695" s="4">
        <v>12.477499999999999</v>
      </c>
      <c r="E1695" s="4">
        <v>0</v>
      </c>
      <c r="F1695" s="4">
        <v>0</v>
      </c>
      <c r="G1695" s="4">
        <v>0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12.49</v>
      </c>
      <c r="D1696" s="4">
        <v>12.477499999999999</v>
      </c>
      <c r="E1696" s="4">
        <v>18</v>
      </c>
      <c r="F1696" s="4">
        <v>12.49</v>
      </c>
      <c r="G1696" s="4">
        <v>224.82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12.49</v>
      </c>
      <c r="D1697" s="4">
        <v>12.477499999999999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12.49</v>
      </c>
      <c r="D1698" s="4">
        <v>12.477499999999999</v>
      </c>
      <c r="E1698" s="4">
        <v>660</v>
      </c>
      <c r="F1698" s="4">
        <v>12.49</v>
      </c>
      <c r="G1698" s="4">
        <v>8243.4</v>
      </c>
      <c r="H1698" s="5">
        <f t="shared" si="26"/>
        <v>0</v>
      </c>
    </row>
    <row r="1699" spans="1:8" ht="13.5" x14ac:dyDescent="0.25">
      <c r="A1699" s="1"/>
      <c r="B1699" s="3">
        <v>44781</v>
      </c>
      <c r="C1699" s="4">
        <v>12.03</v>
      </c>
      <c r="D1699" s="4">
        <v>12.018000000000001</v>
      </c>
      <c r="E1699" s="4">
        <v>100</v>
      </c>
      <c r="F1699" s="4">
        <v>12.03</v>
      </c>
      <c r="G1699" s="4">
        <v>1203</v>
      </c>
      <c r="H1699" s="5">
        <f t="shared" si="26"/>
        <v>-3.6826287317170789E-2</v>
      </c>
    </row>
    <row r="1700" spans="1:8" ht="13.5" x14ac:dyDescent="0.25">
      <c r="A1700" s="1"/>
      <c r="B1700" s="3">
        <v>44782</v>
      </c>
      <c r="C1700" s="4">
        <v>12.03</v>
      </c>
      <c r="D1700" s="4">
        <v>12.018000000000001</v>
      </c>
      <c r="E1700" s="4">
        <v>0</v>
      </c>
      <c r="F1700" s="4">
        <v>0</v>
      </c>
      <c r="G1700" s="4">
        <v>0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12.05</v>
      </c>
      <c r="D1701" s="4">
        <v>12.038</v>
      </c>
      <c r="E1701" s="4">
        <v>100</v>
      </c>
      <c r="F1701" s="4">
        <v>12.05</v>
      </c>
      <c r="G1701" s="4">
        <v>1205</v>
      </c>
      <c r="H1701" s="5">
        <f t="shared" si="26"/>
        <v>1.6641704110500559E-3</v>
      </c>
    </row>
    <row r="1702" spans="1:8" ht="13.5" x14ac:dyDescent="0.25">
      <c r="A1702" s="1"/>
      <c r="B1702" s="3">
        <v>44784</v>
      </c>
      <c r="C1702" s="4">
        <v>12.05</v>
      </c>
      <c r="D1702" s="4">
        <v>12.038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12.05</v>
      </c>
      <c r="D1703" s="4">
        <v>12.038</v>
      </c>
      <c r="E1703" s="4">
        <v>0</v>
      </c>
      <c r="F1703" s="4">
        <v>0</v>
      </c>
      <c r="G1703" s="4">
        <v>0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12.05</v>
      </c>
      <c r="D1704" s="4">
        <v>12.038</v>
      </c>
      <c r="E1704" s="4">
        <v>0</v>
      </c>
      <c r="F1704" s="4">
        <v>0</v>
      </c>
      <c r="G1704" s="4">
        <v>0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12.05</v>
      </c>
      <c r="D1705" s="4">
        <v>12.038</v>
      </c>
      <c r="E1705" s="4">
        <v>0</v>
      </c>
      <c r="F1705" s="4">
        <v>0</v>
      </c>
      <c r="G1705" s="4">
        <v>0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12.05</v>
      </c>
      <c r="D1706" s="4">
        <v>12.038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12.05</v>
      </c>
      <c r="D1707" s="4">
        <v>12.038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12.59</v>
      </c>
      <c r="D1708" s="4">
        <v>12.577400000000001</v>
      </c>
      <c r="E1708" s="4">
        <v>2</v>
      </c>
      <c r="F1708" s="4">
        <v>12.59</v>
      </c>
      <c r="G1708" s="4">
        <v>25.18</v>
      </c>
      <c r="H1708" s="5">
        <f t="shared" si="26"/>
        <v>4.4808107659079624E-2</v>
      </c>
    </row>
    <row r="1709" spans="1:8" ht="13.5" x14ac:dyDescent="0.25">
      <c r="A1709" s="1"/>
      <c r="B1709" s="3">
        <v>44795</v>
      </c>
      <c r="C1709" s="4">
        <v>12.59</v>
      </c>
      <c r="D1709" s="4">
        <v>12.577400000000001</v>
      </c>
      <c r="E1709" s="4">
        <v>0</v>
      </c>
      <c r="F1709" s="4">
        <v>0</v>
      </c>
      <c r="G1709" s="4">
        <v>0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12.59</v>
      </c>
      <c r="D1710" s="4">
        <v>12.577400000000001</v>
      </c>
      <c r="E1710" s="4">
        <v>0</v>
      </c>
      <c r="F1710" s="4">
        <v>0</v>
      </c>
      <c r="G1710" s="4">
        <v>0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12.59</v>
      </c>
      <c r="D1711" s="4">
        <v>12.577400000000001</v>
      </c>
      <c r="E1711" s="4">
        <v>0</v>
      </c>
      <c r="F1711" s="4">
        <v>0</v>
      </c>
      <c r="G1711" s="4">
        <v>0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12.59</v>
      </c>
      <c r="D1712" s="4">
        <v>12.577400000000001</v>
      </c>
      <c r="E1712" s="4">
        <v>0</v>
      </c>
      <c r="F1712" s="4">
        <v>0</v>
      </c>
      <c r="G1712" s="4">
        <v>0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12.9</v>
      </c>
      <c r="D1713" s="4">
        <v>12.8871</v>
      </c>
      <c r="E1713" s="4">
        <v>100</v>
      </c>
      <c r="F1713" s="4">
        <v>12.9</v>
      </c>
      <c r="G1713" s="4">
        <v>1290</v>
      </c>
      <c r="H1713" s="5">
        <f t="shared" si="26"/>
        <v>2.4623531095456883E-2</v>
      </c>
    </row>
    <row r="1714" spans="1:8" ht="13.5" x14ac:dyDescent="0.25">
      <c r="A1714" s="1"/>
      <c r="B1714" s="3">
        <v>44802</v>
      </c>
      <c r="C1714" s="4">
        <v>12.9</v>
      </c>
      <c r="D1714" s="4">
        <v>12.8871</v>
      </c>
      <c r="E1714" s="4">
        <v>0</v>
      </c>
      <c r="F1714" s="4">
        <v>0</v>
      </c>
      <c r="G1714" s="4">
        <v>0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12.32</v>
      </c>
      <c r="D1715" s="4">
        <v>12.307700000000001</v>
      </c>
      <c r="E1715" s="4">
        <v>0</v>
      </c>
      <c r="F1715" s="4">
        <v>0</v>
      </c>
      <c r="G1715" s="4">
        <v>0</v>
      </c>
      <c r="H1715" s="5">
        <f t="shared" si="26"/>
        <v>-4.4959688370541061E-2</v>
      </c>
    </row>
    <row r="1716" spans="1:8" ht="13.5" x14ac:dyDescent="0.25">
      <c r="A1716" s="1"/>
      <c r="B1716" s="3">
        <v>44804</v>
      </c>
      <c r="C1716" s="4">
        <v>12.32</v>
      </c>
      <c r="D1716" s="4">
        <v>12.307700000000001</v>
      </c>
      <c r="E1716" s="4">
        <v>0</v>
      </c>
      <c r="F1716" s="4">
        <v>0</v>
      </c>
      <c r="G1716" s="4">
        <v>0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12.32</v>
      </c>
      <c r="D1717" s="4">
        <v>12.307700000000001</v>
      </c>
      <c r="E1717" s="4">
        <v>700</v>
      </c>
      <c r="F1717" s="4">
        <v>12.32</v>
      </c>
      <c r="G1717" s="4">
        <v>8624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12.35</v>
      </c>
      <c r="D1718" s="4">
        <v>12.3377</v>
      </c>
      <c r="E1718" s="4">
        <v>810</v>
      </c>
      <c r="F1718" s="4">
        <v>12.35</v>
      </c>
      <c r="G1718" s="4">
        <v>10003.5</v>
      </c>
      <c r="H1718" s="5">
        <f t="shared" si="26"/>
        <v>2.4374984765634E-3</v>
      </c>
    </row>
    <row r="1719" spans="1:8" ht="13.5" x14ac:dyDescent="0.25">
      <c r="A1719" s="1"/>
      <c r="B1719" s="3">
        <v>44809</v>
      </c>
      <c r="C1719" s="4">
        <v>12.35</v>
      </c>
      <c r="D1719" s="4">
        <v>12.3377</v>
      </c>
      <c r="E1719" s="4">
        <v>488</v>
      </c>
      <c r="F1719" s="4">
        <v>12.35</v>
      </c>
      <c r="G1719" s="4">
        <v>6026.8</v>
      </c>
      <c r="H1719" s="5">
        <f t="shared" si="26"/>
        <v>0</v>
      </c>
    </row>
    <row r="1720" spans="1:8" ht="13.5" x14ac:dyDescent="0.25">
      <c r="A1720" s="1"/>
      <c r="B1720" s="3">
        <v>44810</v>
      </c>
      <c r="C1720" s="4">
        <v>12.35</v>
      </c>
      <c r="D1720" s="4">
        <v>12.3377</v>
      </c>
      <c r="E1720" s="4">
        <v>0</v>
      </c>
      <c r="F1720" s="4">
        <v>0</v>
      </c>
      <c r="G1720" s="4">
        <v>0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12.49</v>
      </c>
      <c r="D1721" s="4">
        <v>12.477499999999999</v>
      </c>
      <c r="E1721" s="4">
        <v>217</v>
      </c>
      <c r="F1721" s="4">
        <v>12.49</v>
      </c>
      <c r="G1721" s="4">
        <v>2710.33</v>
      </c>
      <c r="H1721" s="5">
        <f t="shared" si="26"/>
        <v>1.1331123304991956E-2</v>
      </c>
    </row>
    <row r="1722" spans="1:8" ht="13.5" x14ac:dyDescent="0.25">
      <c r="A1722" s="1"/>
      <c r="B1722" s="3">
        <v>44812</v>
      </c>
      <c r="C1722" s="4">
        <v>12.5</v>
      </c>
      <c r="D1722" s="4">
        <v>12.487500000000001</v>
      </c>
      <c r="E1722" s="4">
        <v>353</v>
      </c>
      <c r="F1722" s="4">
        <v>12.5</v>
      </c>
      <c r="G1722" s="4">
        <v>4412.5</v>
      </c>
      <c r="H1722" s="5">
        <f t="shared" si="26"/>
        <v>8.0144259667413857E-4</v>
      </c>
    </row>
    <row r="1723" spans="1:8" ht="13.5" x14ac:dyDescent="0.25">
      <c r="A1723" s="1"/>
      <c r="B1723" s="3">
        <v>44813</v>
      </c>
      <c r="C1723" s="4">
        <v>12.5</v>
      </c>
      <c r="D1723" s="4">
        <v>12.487500000000001</v>
      </c>
      <c r="E1723" s="4">
        <v>3</v>
      </c>
      <c r="F1723" s="4">
        <v>12.5</v>
      </c>
      <c r="G1723" s="4">
        <v>37.5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12.5</v>
      </c>
      <c r="D1724" s="4">
        <v>12.487500000000001</v>
      </c>
      <c r="E1724" s="4">
        <v>0</v>
      </c>
      <c r="F1724" s="4">
        <v>0</v>
      </c>
      <c r="G1724" s="4">
        <v>0</v>
      </c>
      <c r="H1724" s="5">
        <f t="shared" si="26"/>
        <v>0</v>
      </c>
    </row>
    <row r="1725" spans="1:8" ht="13.5" x14ac:dyDescent="0.25">
      <c r="A1725" s="1"/>
      <c r="B1725" s="3">
        <v>44817</v>
      </c>
      <c r="C1725" s="4">
        <v>12.5</v>
      </c>
      <c r="D1725" s="4">
        <v>12.487500000000001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12.5</v>
      </c>
      <c r="D1726" s="4">
        <v>12.487500000000001</v>
      </c>
      <c r="E1726" s="4">
        <v>0</v>
      </c>
      <c r="F1726" s="4">
        <v>0</v>
      </c>
      <c r="G1726" s="4">
        <v>0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12.5</v>
      </c>
      <c r="D1727" s="4">
        <v>12.487500000000001</v>
      </c>
      <c r="E1727" s="4">
        <v>0</v>
      </c>
      <c r="F1727" s="4">
        <v>0</v>
      </c>
      <c r="G1727" s="4">
        <v>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12.5</v>
      </c>
      <c r="D1728" s="4">
        <v>12.487500000000001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12.5</v>
      </c>
      <c r="D1729" s="4">
        <v>12.487500000000001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12.3</v>
      </c>
      <c r="D1730" s="4">
        <v>12.287699999999999</v>
      </c>
      <c r="E1730" s="4">
        <v>220</v>
      </c>
      <c r="F1730" s="4">
        <v>12.3</v>
      </c>
      <c r="G1730" s="4">
        <v>2706</v>
      </c>
      <c r="H1730" s="5">
        <f t="shared" si="26"/>
        <v>-1.6000000000000122E-2</v>
      </c>
    </row>
    <row r="1731" spans="1:8" ht="13.5" x14ac:dyDescent="0.25">
      <c r="A1731" s="1"/>
      <c r="B1731" s="3">
        <v>44825</v>
      </c>
      <c r="C1731" s="4">
        <v>12.3</v>
      </c>
      <c r="D1731" s="4">
        <v>12.287699999999999</v>
      </c>
      <c r="E1731" s="4">
        <v>0</v>
      </c>
      <c r="F1731" s="4">
        <v>0</v>
      </c>
      <c r="G1731" s="4">
        <v>0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12.3</v>
      </c>
      <c r="D1732" s="4">
        <v>12.287699999999999</v>
      </c>
      <c r="E1732" s="4">
        <v>0</v>
      </c>
      <c r="F1732" s="4">
        <v>0</v>
      </c>
      <c r="G1732" s="4">
        <v>0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12.3</v>
      </c>
      <c r="D1733" s="4">
        <v>12.287699999999999</v>
      </c>
      <c r="E1733" s="4">
        <v>200</v>
      </c>
      <c r="F1733" s="4">
        <v>12.3</v>
      </c>
      <c r="G1733" s="4">
        <v>2460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12.25</v>
      </c>
      <c r="D1734" s="4">
        <v>12.2378</v>
      </c>
      <c r="E1734" s="4">
        <v>220</v>
      </c>
      <c r="F1734" s="4">
        <v>12.25</v>
      </c>
      <c r="G1734" s="4">
        <v>2695</v>
      </c>
      <c r="H1734" s="5">
        <f t="shared" si="26"/>
        <v>-4.06097154064627E-3</v>
      </c>
    </row>
    <row r="1735" spans="1:8" ht="13.5" x14ac:dyDescent="0.25">
      <c r="A1735" s="1"/>
      <c r="B1735" s="3">
        <v>44831</v>
      </c>
      <c r="C1735" s="4">
        <v>12.25</v>
      </c>
      <c r="D1735" s="4">
        <v>12.2378</v>
      </c>
      <c r="E1735" s="4">
        <v>0</v>
      </c>
      <c r="F1735" s="4">
        <v>0</v>
      </c>
      <c r="G1735" s="4">
        <v>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12.01</v>
      </c>
      <c r="D1736" s="4">
        <v>11.997999999999999</v>
      </c>
      <c r="E1736" s="4">
        <v>33</v>
      </c>
      <c r="F1736" s="4">
        <v>12.01</v>
      </c>
      <c r="G1736" s="4">
        <v>396.33</v>
      </c>
      <c r="H1736" s="5">
        <f t="shared" si="27"/>
        <v>-1.9595025249636428E-2</v>
      </c>
    </row>
    <row r="1737" spans="1:8" ht="13.5" x14ac:dyDescent="0.25">
      <c r="A1737" s="1"/>
      <c r="B1737" s="3">
        <v>44833</v>
      </c>
      <c r="C1737" s="4">
        <v>12.01</v>
      </c>
      <c r="D1737" s="4">
        <v>11.997999999999999</v>
      </c>
      <c r="E1737" s="4">
        <v>0</v>
      </c>
      <c r="F1737" s="4">
        <v>0</v>
      </c>
      <c r="G1737" s="4">
        <v>0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12.01</v>
      </c>
      <c r="D1738" s="4">
        <v>11.997999999999999</v>
      </c>
      <c r="E1738" s="4">
        <v>15</v>
      </c>
      <c r="F1738" s="4">
        <v>12.01</v>
      </c>
      <c r="G1738" s="4">
        <v>180.15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12.01</v>
      </c>
      <c r="D1739" s="4">
        <v>11.997999999999999</v>
      </c>
      <c r="E1739" s="4">
        <v>3</v>
      </c>
      <c r="F1739" s="4">
        <v>12.01</v>
      </c>
      <c r="G1739" s="4">
        <v>36.03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12.01</v>
      </c>
      <c r="D1740" s="4">
        <v>11.997999999999999</v>
      </c>
      <c r="E1740" s="4">
        <v>0</v>
      </c>
      <c r="F1740" s="4">
        <v>0</v>
      </c>
      <c r="G1740" s="4">
        <v>0</v>
      </c>
      <c r="H1740" s="5">
        <f t="shared" si="27"/>
        <v>0</v>
      </c>
    </row>
    <row r="1741" spans="1:8" ht="13.5" x14ac:dyDescent="0.25">
      <c r="A1741" s="1"/>
      <c r="B1741" s="3">
        <v>44839</v>
      </c>
      <c r="C1741" s="4">
        <v>12.01</v>
      </c>
      <c r="D1741" s="4">
        <v>11.997999999999999</v>
      </c>
      <c r="E1741" s="4">
        <v>0</v>
      </c>
      <c r="F1741" s="4">
        <v>0</v>
      </c>
      <c r="G1741" s="4">
        <v>0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12.01</v>
      </c>
      <c r="D1742" s="4">
        <v>11.997999999999999</v>
      </c>
      <c r="E1742" s="4">
        <v>0</v>
      </c>
      <c r="F1742" s="4">
        <v>0</v>
      </c>
      <c r="G1742" s="4">
        <v>0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11.51</v>
      </c>
      <c r="D1743" s="4">
        <v>11.4985</v>
      </c>
      <c r="E1743" s="4">
        <v>103</v>
      </c>
      <c r="F1743" s="4">
        <v>11.51</v>
      </c>
      <c r="G1743" s="4">
        <v>1185.53</v>
      </c>
      <c r="H1743" s="5">
        <f t="shared" si="27"/>
        <v>-4.1631938656442692E-2</v>
      </c>
    </row>
    <row r="1744" spans="1:8" ht="13.5" x14ac:dyDescent="0.25">
      <c r="A1744" s="1"/>
      <c r="B1744" s="3">
        <v>44844</v>
      </c>
      <c r="C1744" s="4">
        <v>11.51</v>
      </c>
      <c r="D1744" s="4">
        <v>11.4985</v>
      </c>
      <c r="E1744" s="4">
        <v>11</v>
      </c>
      <c r="F1744" s="4">
        <v>11.51</v>
      </c>
      <c r="G1744" s="4">
        <v>126.61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11.51</v>
      </c>
      <c r="D1745" s="4">
        <v>11.4985</v>
      </c>
      <c r="E1745" s="4">
        <v>0</v>
      </c>
      <c r="F1745" s="4">
        <v>0</v>
      </c>
      <c r="G1745" s="4">
        <v>0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11.01</v>
      </c>
      <c r="D1746" s="4">
        <v>10.999000000000001</v>
      </c>
      <c r="E1746" s="4">
        <v>18</v>
      </c>
      <c r="F1746" s="4">
        <v>11.01</v>
      </c>
      <c r="G1746" s="4">
        <v>198.18</v>
      </c>
      <c r="H1746" s="5">
        <f t="shared" si="27"/>
        <v>-4.3440448754185276E-2</v>
      </c>
    </row>
    <row r="1747" spans="1:8" ht="13.5" x14ac:dyDescent="0.25">
      <c r="A1747" s="1"/>
      <c r="B1747" s="3">
        <v>44847</v>
      </c>
      <c r="C1747" s="4">
        <v>11.01</v>
      </c>
      <c r="D1747" s="4">
        <v>10.999000000000001</v>
      </c>
      <c r="E1747" s="4">
        <v>2</v>
      </c>
      <c r="F1747" s="4">
        <v>11.01</v>
      </c>
      <c r="G1747" s="4">
        <v>22.02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11.01</v>
      </c>
      <c r="D1748" s="4">
        <v>10.999000000000001</v>
      </c>
      <c r="E1748" s="4">
        <v>0</v>
      </c>
      <c r="F1748" s="4">
        <v>0</v>
      </c>
      <c r="G1748" s="4">
        <v>0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10.52</v>
      </c>
      <c r="D1749" s="4">
        <v>10.509499999999999</v>
      </c>
      <c r="E1749" s="4">
        <v>0</v>
      </c>
      <c r="F1749" s="4">
        <v>0</v>
      </c>
      <c r="G1749" s="4">
        <v>0</v>
      </c>
      <c r="H1749" s="5">
        <f t="shared" si="27"/>
        <v>-4.4504045822347613E-2</v>
      </c>
    </row>
    <row r="1750" spans="1:8" ht="13.5" x14ac:dyDescent="0.25">
      <c r="A1750" s="1"/>
      <c r="B1750" s="3">
        <v>44852</v>
      </c>
      <c r="C1750" s="4">
        <v>10.1</v>
      </c>
      <c r="D1750" s="4">
        <v>10.0899</v>
      </c>
      <c r="E1750" s="4">
        <v>50</v>
      </c>
      <c r="F1750" s="4">
        <v>10.1</v>
      </c>
      <c r="G1750" s="4">
        <v>505</v>
      </c>
      <c r="H1750" s="5">
        <f t="shared" si="27"/>
        <v>-3.9925781435843674E-2</v>
      </c>
    </row>
    <row r="1751" spans="1:8" ht="13.5" x14ac:dyDescent="0.25">
      <c r="A1751" s="1"/>
      <c r="B1751" s="3">
        <v>44853</v>
      </c>
      <c r="C1751" s="4">
        <v>10.1</v>
      </c>
      <c r="D1751" s="4">
        <v>10.0899</v>
      </c>
      <c r="E1751" s="4">
        <v>65</v>
      </c>
      <c r="F1751" s="4">
        <v>10.1</v>
      </c>
      <c r="G1751" s="4">
        <v>656.5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10.01</v>
      </c>
      <c r="D1752" s="4">
        <v>10</v>
      </c>
      <c r="E1752" s="4">
        <v>13</v>
      </c>
      <c r="F1752" s="4">
        <v>10.01</v>
      </c>
      <c r="G1752" s="4">
        <v>130.13</v>
      </c>
      <c r="H1752" s="5">
        <f t="shared" si="27"/>
        <v>-8.9098999990089196E-3</v>
      </c>
    </row>
    <row r="1753" spans="1:8" ht="13.5" x14ac:dyDescent="0.25">
      <c r="A1753" s="1"/>
      <c r="B1753" s="3">
        <v>44855</v>
      </c>
      <c r="C1753" s="4">
        <v>10.01</v>
      </c>
      <c r="D1753" s="4">
        <v>10</v>
      </c>
      <c r="E1753" s="4">
        <v>0</v>
      </c>
      <c r="F1753" s="4">
        <v>0</v>
      </c>
      <c r="G1753" s="4">
        <v>0</v>
      </c>
      <c r="H1753" s="5">
        <f t="shared" si="27"/>
        <v>0</v>
      </c>
    </row>
    <row r="1754" spans="1:8" ht="13.5" x14ac:dyDescent="0.25">
      <c r="A1754" s="1"/>
      <c r="B1754" s="3">
        <v>44858</v>
      </c>
      <c r="C1754" s="4">
        <v>10.01</v>
      </c>
      <c r="D1754" s="4">
        <v>10</v>
      </c>
      <c r="E1754" s="4">
        <v>19</v>
      </c>
      <c r="F1754" s="4">
        <v>10.01</v>
      </c>
      <c r="G1754" s="4">
        <v>190.19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10.01</v>
      </c>
      <c r="D1755" s="4">
        <v>10</v>
      </c>
      <c r="E1755" s="4">
        <v>0</v>
      </c>
      <c r="F1755" s="4">
        <v>0</v>
      </c>
      <c r="G1755" s="4">
        <v>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10.01</v>
      </c>
      <c r="D1756" s="4">
        <v>10</v>
      </c>
      <c r="E1756" s="4">
        <v>0</v>
      </c>
      <c r="F1756" s="4">
        <v>0</v>
      </c>
      <c r="G1756" s="4">
        <v>0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10.01</v>
      </c>
      <c r="D1757" s="4">
        <v>10</v>
      </c>
      <c r="E1757" s="4">
        <v>0</v>
      </c>
      <c r="F1757" s="4">
        <v>0</v>
      </c>
      <c r="G1757" s="4">
        <v>0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10.01</v>
      </c>
      <c r="D1758" s="4">
        <v>10</v>
      </c>
      <c r="E1758" s="4">
        <v>0</v>
      </c>
      <c r="F1758" s="4">
        <v>0</v>
      </c>
      <c r="G1758" s="4">
        <v>0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10.01</v>
      </c>
      <c r="D1759" s="4">
        <v>10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10.01</v>
      </c>
      <c r="D1760" s="4">
        <v>10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10.01</v>
      </c>
      <c r="D1761" s="4">
        <v>10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10.01</v>
      </c>
      <c r="D1762" s="4">
        <v>10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10.01</v>
      </c>
      <c r="D1763" s="4">
        <v>10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10.01</v>
      </c>
      <c r="D1764" s="4">
        <v>10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10.01</v>
      </c>
      <c r="D1765" s="4">
        <v>10</v>
      </c>
      <c r="E1765" s="4">
        <v>0</v>
      </c>
      <c r="F1765" s="4">
        <v>0</v>
      </c>
      <c r="G1765" s="4">
        <v>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10.01</v>
      </c>
      <c r="D1766" s="4">
        <v>10</v>
      </c>
      <c r="E1766" s="4">
        <v>0</v>
      </c>
      <c r="F1766" s="4">
        <v>0</v>
      </c>
      <c r="G1766" s="4">
        <v>0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10.46</v>
      </c>
      <c r="D1767" s="4">
        <v>10.4495</v>
      </c>
      <c r="E1767" s="4">
        <v>0</v>
      </c>
      <c r="F1767" s="4">
        <v>0</v>
      </c>
      <c r="G1767" s="4">
        <v>0</v>
      </c>
      <c r="H1767" s="5">
        <f t="shared" si="27"/>
        <v>4.4950000000000045E-2</v>
      </c>
    </row>
    <row r="1768" spans="1:8" ht="13.5" x14ac:dyDescent="0.25">
      <c r="A1768" s="1"/>
      <c r="B1768" s="3">
        <v>44876</v>
      </c>
      <c r="C1768" s="4">
        <v>10.93</v>
      </c>
      <c r="D1768" s="4">
        <v>10.9191</v>
      </c>
      <c r="E1768" s="4">
        <v>0</v>
      </c>
      <c r="F1768" s="4">
        <v>0</v>
      </c>
      <c r="G1768" s="4">
        <v>0</v>
      </c>
      <c r="H1768" s="5">
        <f t="shared" si="27"/>
        <v>4.4939949279869829E-2</v>
      </c>
    </row>
    <row r="1769" spans="1:8" ht="13.5" x14ac:dyDescent="0.25">
      <c r="A1769" s="1"/>
      <c r="B1769" s="3">
        <v>44879</v>
      </c>
      <c r="C1769" s="4">
        <v>10.93</v>
      </c>
      <c r="D1769" s="4">
        <v>10.9191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10.99</v>
      </c>
      <c r="D1770" s="4">
        <v>10.978999999999999</v>
      </c>
      <c r="E1770" s="4">
        <v>8</v>
      </c>
      <c r="F1770" s="4">
        <v>10.99</v>
      </c>
      <c r="G1770" s="4">
        <v>87.92</v>
      </c>
      <c r="H1770" s="5">
        <f t="shared" si="27"/>
        <v>5.4858001117307244E-3</v>
      </c>
    </row>
    <row r="1771" spans="1:8" ht="13.5" x14ac:dyDescent="0.25">
      <c r="A1771" s="1"/>
      <c r="B1771" s="3">
        <v>44881</v>
      </c>
      <c r="C1771" s="4">
        <v>10.99</v>
      </c>
      <c r="D1771" s="4">
        <v>10.978999999999999</v>
      </c>
      <c r="E1771" s="4">
        <v>3</v>
      </c>
      <c r="F1771" s="4">
        <v>10.99</v>
      </c>
      <c r="G1771" s="4">
        <v>32.97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10.99</v>
      </c>
      <c r="D1772" s="4">
        <v>10.978999999999999</v>
      </c>
      <c r="E1772" s="4">
        <v>0</v>
      </c>
      <c r="F1772" s="4">
        <v>0</v>
      </c>
      <c r="G1772" s="4">
        <v>0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10.99</v>
      </c>
      <c r="D1773" s="4">
        <v>10.978999999999999</v>
      </c>
      <c r="E1773" s="4">
        <v>0</v>
      </c>
      <c r="F1773" s="4">
        <v>0</v>
      </c>
      <c r="G1773" s="4">
        <v>0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10.99</v>
      </c>
      <c r="D1774" s="4">
        <v>10.978999999999999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10.99</v>
      </c>
      <c r="D1775" s="4">
        <v>10.978999999999999</v>
      </c>
      <c r="E1775" s="4">
        <v>69</v>
      </c>
      <c r="F1775" s="4">
        <v>10.99</v>
      </c>
      <c r="G1775" s="4">
        <v>758.31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10.99</v>
      </c>
      <c r="D1776" s="4">
        <v>10.978999999999999</v>
      </c>
      <c r="E1776" s="4">
        <v>0</v>
      </c>
      <c r="F1776" s="4">
        <v>0</v>
      </c>
      <c r="G1776" s="4">
        <v>0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10.99</v>
      </c>
      <c r="D1777" s="4">
        <v>10.978999999999999</v>
      </c>
      <c r="E1777" s="4">
        <v>4</v>
      </c>
      <c r="F1777" s="4">
        <v>10.99</v>
      </c>
      <c r="G1777" s="4">
        <v>43.96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10.99</v>
      </c>
      <c r="D1778" s="4">
        <v>10.978999999999999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10.99</v>
      </c>
      <c r="D1779" s="4">
        <v>10.978999999999999</v>
      </c>
      <c r="E1779" s="4">
        <v>0</v>
      </c>
      <c r="F1779" s="4">
        <v>0</v>
      </c>
      <c r="G1779" s="4">
        <v>0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10.99</v>
      </c>
      <c r="D1780" s="4">
        <v>10.978999999999999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10.99</v>
      </c>
      <c r="D1781" s="4">
        <v>10.978999999999999</v>
      </c>
      <c r="E1781" s="4">
        <v>0</v>
      </c>
      <c r="F1781" s="4">
        <v>0</v>
      </c>
      <c r="G1781" s="4">
        <v>0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10.99</v>
      </c>
      <c r="D1782" s="4">
        <v>10.978999999999999</v>
      </c>
      <c r="E1782" s="4">
        <v>0</v>
      </c>
      <c r="F1782" s="4">
        <v>0</v>
      </c>
      <c r="G1782" s="4">
        <v>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10.5</v>
      </c>
      <c r="D1783" s="4">
        <v>10.4895</v>
      </c>
      <c r="E1783" s="4">
        <v>0</v>
      </c>
      <c r="F1783" s="4">
        <v>0</v>
      </c>
      <c r="G1783" s="4">
        <v>0</v>
      </c>
      <c r="H1783" s="5">
        <f t="shared" si="27"/>
        <v>-4.4585117041624885E-2</v>
      </c>
    </row>
    <row r="1784" spans="1:8" ht="13.5" x14ac:dyDescent="0.25">
      <c r="A1784" s="1"/>
      <c r="B1784" s="3">
        <v>44900</v>
      </c>
      <c r="C1784" s="4">
        <v>10.029999999999999</v>
      </c>
      <c r="D1784" s="4">
        <v>10.02</v>
      </c>
      <c r="E1784" s="4">
        <v>0</v>
      </c>
      <c r="F1784" s="4">
        <v>0</v>
      </c>
      <c r="G1784" s="4">
        <v>0</v>
      </c>
      <c r="H1784" s="5">
        <f t="shared" si="27"/>
        <v>-4.4759044759044762E-2</v>
      </c>
    </row>
    <row r="1785" spans="1:8" ht="13.5" x14ac:dyDescent="0.25">
      <c r="A1785" s="1"/>
      <c r="B1785" s="3">
        <v>44901</v>
      </c>
      <c r="C1785" s="4">
        <v>10.01</v>
      </c>
      <c r="D1785" s="4">
        <v>10</v>
      </c>
      <c r="E1785" s="4">
        <v>14</v>
      </c>
      <c r="F1785" s="4">
        <v>10.01</v>
      </c>
      <c r="G1785" s="4">
        <v>140.13999999999999</v>
      </c>
      <c r="H1785" s="5">
        <f t="shared" si="27"/>
        <v>-1.9960079840318935E-3</v>
      </c>
    </row>
    <row r="1786" spans="1:8" ht="13.5" x14ac:dyDescent="0.25">
      <c r="A1786" s="1"/>
      <c r="B1786" s="3">
        <v>44902</v>
      </c>
      <c r="C1786" s="4">
        <v>9.56</v>
      </c>
      <c r="D1786" s="4">
        <v>9.5503999999999998</v>
      </c>
      <c r="E1786" s="4">
        <v>0</v>
      </c>
      <c r="F1786" s="4">
        <v>0</v>
      </c>
      <c r="G1786" s="4">
        <v>0</v>
      </c>
      <c r="H1786" s="5">
        <f t="shared" si="27"/>
        <v>-4.4960000000000021E-2</v>
      </c>
    </row>
    <row r="1787" spans="1:8" ht="13.5" x14ac:dyDescent="0.25">
      <c r="A1787" s="1"/>
      <c r="B1787" s="3">
        <v>44903</v>
      </c>
      <c r="C1787" s="4">
        <v>9.99</v>
      </c>
      <c r="D1787" s="4">
        <v>9.98</v>
      </c>
      <c r="E1787" s="4">
        <v>1</v>
      </c>
      <c r="F1787" s="4">
        <v>9.99</v>
      </c>
      <c r="G1787" s="4">
        <v>9.99</v>
      </c>
      <c r="H1787" s="5">
        <f t="shared" si="27"/>
        <v>4.4982409113754465E-2</v>
      </c>
    </row>
    <row r="1788" spans="1:8" ht="13.5" x14ac:dyDescent="0.25">
      <c r="A1788" s="1"/>
      <c r="B1788" s="3">
        <v>44904</v>
      </c>
      <c r="C1788" s="4">
        <v>9.99</v>
      </c>
      <c r="D1788" s="4">
        <v>9.98</v>
      </c>
      <c r="E1788" s="4">
        <v>75</v>
      </c>
      <c r="F1788" s="4">
        <v>9.99</v>
      </c>
      <c r="G1788" s="4">
        <v>749.25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10.43</v>
      </c>
      <c r="D1789" s="4">
        <v>10.419600000000001</v>
      </c>
      <c r="E1789" s="4">
        <v>0</v>
      </c>
      <c r="F1789" s="4">
        <v>0</v>
      </c>
      <c r="G1789" s="4">
        <v>0</v>
      </c>
      <c r="H1789" s="5">
        <f t="shared" si="27"/>
        <v>4.4048096192384811E-2</v>
      </c>
    </row>
    <row r="1790" spans="1:8" ht="13.5" x14ac:dyDescent="0.25">
      <c r="A1790" s="1"/>
      <c r="B1790" s="3">
        <v>44908</v>
      </c>
      <c r="C1790" s="4">
        <v>10.89</v>
      </c>
      <c r="D1790" s="4">
        <v>10.879099999999999</v>
      </c>
      <c r="E1790" s="4">
        <v>10</v>
      </c>
      <c r="F1790" s="4">
        <v>10.89</v>
      </c>
      <c r="G1790" s="4">
        <v>108.9</v>
      </c>
      <c r="H1790" s="5">
        <f t="shared" si="27"/>
        <v>4.409958155783316E-2</v>
      </c>
    </row>
    <row r="1791" spans="1:8" ht="13.5" x14ac:dyDescent="0.25">
      <c r="A1791" s="1"/>
      <c r="B1791" s="3">
        <v>44909</v>
      </c>
      <c r="C1791" s="4">
        <v>10.89</v>
      </c>
      <c r="D1791" s="4">
        <v>10.879099999999999</v>
      </c>
      <c r="E1791" s="4">
        <v>0</v>
      </c>
      <c r="F1791" s="4">
        <v>0</v>
      </c>
      <c r="G1791" s="4">
        <v>0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10.98</v>
      </c>
      <c r="D1792" s="4">
        <v>10.968999999999999</v>
      </c>
      <c r="E1792" s="4">
        <v>10</v>
      </c>
      <c r="F1792" s="4">
        <v>10.98</v>
      </c>
      <c r="G1792" s="4">
        <v>109.8</v>
      </c>
      <c r="H1792" s="5">
        <f t="shared" si="27"/>
        <v>8.2635512128760736E-3</v>
      </c>
    </row>
    <row r="1793" spans="1:8" ht="13.5" x14ac:dyDescent="0.25">
      <c r="A1793" s="1"/>
      <c r="B1793" s="3">
        <v>44911</v>
      </c>
      <c r="C1793" s="4">
        <v>10.98</v>
      </c>
      <c r="D1793" s="4">
        <v>10.968999999999999</v>
      </c>
      <c r="E1793" s="4">
        <v>0</v>
      </c>
      <c r="F1793" s="4">
        <v>0</v>
      </c>
      <c r="G1793" s="4">
        <v>0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10.98</v>
      </c>
      <c r="D1794" s="4">
        <v>10.968999999999999</v>
      </c>
      <c r="E1794" s="4">
        <v>0</v>
      </c>
      <c r="F1794" s="4">
        <v>0</v>
      </c>
      <c r="G1794" s="4">
        <v>0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10.98</v>
      </c>
      <c r="D1795" s="4">
        <v>10.968999999999999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11.47</v>
      </c>
      <c r="D1796" s="4">
        <v>11.458500000000001</v>
      </c>
      <c r="E1796" s="4">
        <v>45</v>
      </c>
      <c r="F1796" s="4">
        <v>11.47</v>
      </c>
      <c r="G1796" s="4">
        <v>516.15</v>
      </c>
      <c r="H1796" s="5">
        <f t="shared" si="27"/>
        <v>4.4625763515361599E-2</v>
      </c>
    </row>
    <row r="1797" spans="1:8" ht="13.5" x14ac:dyDescent="0.25">
      <c r="A1797" s="1"/>
      <c r="B1797" s="3">
        <v>44917</v>
      </c>
      <c r="C1797" s="4">
        <v>11.47</v>
      </c>
      <c r="D1797" s="4">
        <v>11.458500000000001</v>
      </c>
      <c r="E1797" s="4">
        <v>0</v>
      </c>
      <c r="F1797" s="4">
        <v>0</v>
      </c>
      <c r="G1797" s="4">
        <v>0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11.47</v>
      </c>
      <c r="D1798" s="4">
        <v>11.458500000000001</v>
      </c>
      <c r="E1798" s="4">
        <v>0</v>
      </c>
      <c r="F1798" s="4">
        <v>0</v>
      </c>
      <c r="G1798" s="4">
        <v>0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11.47</v>
      </c>
      <c r="D1799" s="4">
        <v>11.458500000000001</v>
      </c>
      <c r="E1799" s="4">
        <v>10</v>
      </c>
      <c r="F1799" s="4">
        <v>11.47</v>
      </c>
      <c r="G1799" s="4">
        <v>114.7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11.47</v>
      </c>
      <c r="D1800" s="4">
        <v>11.458500000000001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11.47</v>
      </c>
      <c r="D1801" s="4">
        <v>11.458500000000001</v>
      </c>
      <c r="E1801" s="4">
        <v>0</v>
      </c>
      <c r="F1801" s="4">
        <v>0</v>
      </c>
      <c r="G1801" s="4">
        <v>0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11.47</v>
      </c>
      <c r="D1802" s="4">
        <v>11.458500000000001</v>
      </c>
      <c r="E1802" s="4">
        <v>0</v>
      </c>
      <c r="F1802" s="4">
        <v>0</v>
      </c>
      <c r="G1802" s="4">
        <v>0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10.96</v>
      </c>
      <c r="D1803" s="4">
        <v>10.949</v>
      </c>
      <c r="E1803" s="4">
        <v>500</v>
      </c>
      <c r="F1803" s="4">
        <v>10.96</v>
      </c>
      <c r="G1803" s="4">
        <v>5480</v>
      </c>
      <c r="H1803" s="5">
        <f t="shared" si="28"/>
        <v>-4.4464807784614119E-2</v>
      </c>
    </row>
    <row r="1804" spans="1:8" ht="13.5" x14ac:dyDescent="0.25">
      <c r="A1804" s="1"/>
      <c r="B1804" s="3">
        <v>44928</v>
      </c>
      <c r="C1804" s="4">
        <v>10.96</v>
      </c>
      <c r="D1804" s="4">
        <v>10.949</v>
      </c>
      <c r="E1804" s="4">
        <v>0</v>
      </c>
      <c r="F1804" s="4">
        <v>0</v>
      </c>
      <c r="G1804" s="4">
        <v>0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10.96</v>
      </c>
      <c r="D1805" s="4">
        <v>10.949</v>
      </c>
      <c r="E1805" s="4">
        <v>0</v>
      </c>
      <c r="F1805" s="4">
        <v>0</v>
      </c>
      <c r="G1805" s="4">
        <v>0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11</v>
      </c>
      <c r="D1806" s="4">
        <v>10.989000000000001</v>
      </c>
      <c r="E1806" s="4">
        <v>239</v>
      </c>
      <c r="F1806" s="4">
        <v>11</v>
      </c>
      <c r="G1806" s="4">
        <v>2629</v>
      </c>
      <c r="H1806" s="5">
        <f t="shared" si="28"/>
        <v>3.6533016713855989E-3</v>
      </c>
    </row>
    <row r="1807" spans="1:8" ht="13.5" x14ac:dyDescent="0.25">
      <c r="A1807" s="1"/>
      <c r="B1807" s="3">
        <v>44931</v>
      </c>
      <c r="C1807" s="4">
        <v>11</v>
      </c>
      <c r="D1807" s="4">
        <v>10.989000000000001</v>
      </c>
      <c r="E1807" s="4">
        <v>300</v>
      </c>
      <c r="F1807" s="4">
        <v>11</v>
      </c>
      <c r="G1807" s="4">
        <v>3300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11</v>
      </c>
      <c r="D1808" s="4">
        <v>10.989000000000001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11</v>
      </c>
      <c r="D1809" s="4">
        <v>10.989000000000001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11</v>
      </c>
      <c r="D1810" s="4">
        <v>10.989000000000001</v>
      </c>
      <c r="E1810" s="4">
        <v>0</v>
      </c>
      <c r="F1810" s="4">
        <v>0</v>
      </c>
      <c r="G1810" s="4">
        <v>0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11</v>
      </c>
      <c r="D1811" s="4">
        <v>10.989000000000001</v>
      </c>
      <c r="E1811" s="4">
        <v>0</v>
      </c>
      <c r="F1811" s="4">
        <v>0</v>
      </c>
      <c r="G1811" s="4">
        <v>0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11</v>
      </c>
      <c r="D1812" s="4">
        <v>10.989000000000001</v>
      </c>
      <c r="E1812" s="4">
        <v>0</v>
      </c>
      <c r="F1812" s="4">
        <v>0</v>
      </c>
      <c r="G1812" s="4">
        <v>0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11</v>
      </c>
      <c r="D1813" s="4">
        <v>10.989000000000001</v>
      </c>
      <c r="E1813" s="4">
        <v>0</v>
      </c>
      <c r="F1813" s="4">
        <v>0</v>
      </c>
      <c r="G1813" s="4">
        <v>0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11</v>
      </c>
      <c r="D1814" s="4">
        <v>10.989000000000001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11</v>
      </c>
      <c r="D1815" s="4">
        <v>10.989000000000001</v>
      </c>
      <c r="E1815" s="4">
        <v>0</v>
      </c>
      <c r="F1815" s="4">
        <v>0</v>
      </c>
      <c r="G1815" s="4">
        <v>0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11</v>
      </c>
      <c r="D1816" s="4">
        <v>10.989000000000001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11</v>
      </c>
      <c r="D1817" s="4">
        <v>10.989000000000001</v>
      </c>
      <c r="E1817" s="4">
        <v>0</v>
      </c>
      <c r="F1817" s="4">
        <v>0</v>
      </c>
      <c r="G1817" s="4">
        <v>0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11</v>
      </c>
      <c r="D1818" s="4">
        <v>10.989000000000001</v>
      </c>
      <c r="E1818" s="4">
        <v>0</v>
      </c>
      <c r="F1818" s="4">
        <v>0</v>
      </c>
      <c r="G1818" s="4">
        <v>0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11</v>
      </c>
      <c r="D1819" s="4">
        <v>10.989000000000001</v>
      </c>
      <c r="E1819" s="4">
        <v>0</v>
      </c>
      <c r="F1819" s="4">
        <v>0</v>
      </c>
      <c r="G1819" s="4">
        <v>0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11</v>
      </c>
      <c r="D1820" s="4">
        <v>10.989000000000001</v>
      </c>
      <c r="E1820" s="4">
        <v>0</v>
      </c>
      <c r="F1820" s="4">
        <v>0</v>
      </c>
      <c r="G1820" s="4">
        <v>0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11</v>
      </c>
      <c r="D1821" s="4">
        <v>10.989000000000001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11</v>
      </c>
      <c r="D1822" s="4">
        <v>10.989000000000001</v>
      </c>
      <c r="E1822" s="4">
        <v>0</v>
      </c>
      <c r="F1822" s="4">
        <v>0</v>
      </c>
      <c r="G1822" s="4">
        <v>0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10.55</v>
      </c>
      <c r="D1823" s="4">
        <v>10.5395</v>
      </c>
      <c r="E1823" s="4">
        <v>3000</v>
      </c>
      <c r="F1823" s="4">
        <v>10.55</v>
      </c>
      <c r="G1823" s="4">
        <v>31650</v>
      </c>
      <c r="H1823" s="5">
        <f t="shared" si="28"/>
        <v>-4.0904540904540945E-2</v>
      </c>
    </row>
    <row r="1824" spans="1:8" ht="13.5" x14ac:dyDescent="0.25">
      <c r="A1824" s="1"/>
      <c r="B1824" s="3">
        <v>44956</v>
      </c>
      <c r="C1824" s="4">
        <v>10.6</v>
      </c>
      <c r="D1824" s="4">
        <v>10.589399999999999</v>
      </c>
      <c r="E1824" s="4">
        <v>280</v>
      </c>
      <c r="F1824" s="4">
        <v>10.6</v>
      </c>
      <c r="G1824" s="4">
        <v>2968</v>
      </c>
      <c r="H1824" s="5">
        <f t="shared" si="28"/>
        <v>4.7345699511361231E-3</v>
      </c>
    </row>
    <row r="1825" spans="1:8" ht="13.5" x14ac:dyDescent="0.25">
      <c r="A1825" s="1"/>
      <c r="B1825" s="3">
        <v>44957</v>
      </c>
      <c r="C1825" s="4">
        <v>11.01</v>
      </c>
      <c r="D1825" s="4">
        <v>10.999000000000001</v>
      </c>
      <c r="E1825" s="4">
        <v>1438</v>
      </c>
      <c r="F1825" s="4">
        <v>11.007</v>
      </c>
      <c r="G1825" s="4">
        <v>15828.066000000001</v>
      </c>
      <c r="H1825" s="5">
        <f t="shared" si="28"/>
        <v>3.868018962358595E-2</v>
      </c>
    </row>
    <row r="1826" spans="1:8" ht="13.5" x14ac:dyDescent="0.25">
      <c r="A1826" s="1"/>
      <c r="B1826" s="3">
        <v>44958</v>
      </c>
      <c r="C1826" s="4">
        <v>11.01</v>
      </c>
      <c r="D1826" s="4">
        <v>10.999000000000001</v>
      </c>
      <c r="E1826" s="4">
        <v>114</v>
      </c>
      <c r="F1826" s="4">
        <v>11.01</v>
      </c>
      <c r="G1826" s="4">
        <v>1255.1400000000001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11.01</v>
      </c>
      <c r="D1827" s="4">
        <v>10.999000000000001</v>
      </c>
      <c r="E1827" s="4">
        <v>0</v>
      </c>
      <c r="F1827" s="4">
        <v>0</v>
      </c>
      <c r="G1827" s="4">
        <v>0</v>
      </c>
      <c r="H1827" s="5">
        <f t="shared" si="28"/>
        <v>0</v>
      </c>
    </row>
    <row r="1828" spans="1:8" ht="13.5" x14ac:dyDescent="0.25">
      <c r="A1828" s="1"/>
      <c r="B1828" s="3">
        <v>44960</v>
      </c>
      <c r="C1828" s="4">
        <v>11.01</v>
      </c>
      <c r="D1828" s="4">
        <v>10.999000000000001</v>
      </c>
      <c r="E1828" s="4">
        <v>0</v>
      </c>
      <c r="F1828" s="4">
        <v>0</v>
      </c>
      <c r="G1828" s="4">
        <v>0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11</v>
      </c>
      <c r="D1829" s="4">
        <v>10.989000000000001</v>
      </c>
      <c r="E1829" s="4">
        <v>43</v>
      </c>
      <c r="F1829" s="4">
        <v>11</v>
      </c>
      <c r="G1829" s="4">
        <v>473</v>
      </c>
      <c r="H1829" s="5">
        <f t="shared" si="28"/>
        <v>-9.0917356123281997E-4</v>
      </c>
    </row>
    <row r="1830" spans="1:8" ht="13.5" x14ac:dyDescent="0.25">
      <c r="A1830" s="1"/>
      <c r="B1830" s="3">
        <v>44964</v>
      </c>
      <c r="C1830" s="4">
        <v>11.49</v>
      </c>
      <c r="D1830" s="4">
        <v>11.4785</v>
      </c>
      <c r="E1830" s="4">
        <v>0</v>
      </c>
      <c r="F1830" s="4">
        <v>0</v>
      </c>
      <c r="G1830" s="4">
        <v>0</v>
      </c>
      <c r="H1830" s="5">
        <f t="shared" si="28"/>
        <v>4.4544544544544505E-2</v>
      </c>
    </row>
    <row r="1831" spans="1:8" ht="13.5" x14ac:dyDescent="0.25">
      <c r="A1831" s="1"/>
      <c r="B1831" s="3">
        <v>44965</v>
      </c>
      <c r="C1831" s="4">
        <v>11.49</v>
      </c>
      <c r="D1831" s="4">
        <v>11.4785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11.49</v>
      </c>
      <c r="D1832" s="4">
        <v>11.4785</v>
      </c>
      <c r="E1832" s="4">
        <v>0</v>
      </c>
      <c r="F1832" s="4">
        <v>0</v>
      </c>
      <c r="G1832" s="4">
        <v>0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11.49</v>
      </c>
      <c r="D1833" s="4">
        <v>11.4785</v>
      </c>
      <c r="E1833" s="4">
        <v>0</v>
      </c>
      <c r="F1833" s="4">
        <v>0</v>
      </c>
      <c r="G1833" s="4">
        <v>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11.49</v>
      </c>
      <c r="D1834" s="4">
        <v>11.4785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11.49</v>
      </c>
      <c r="D1835" s="4">
        <v>11.4785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11.49</v>
      </c>
      <c r="D1836" s="4">
        <v>11.4785</v>
      </c>
      <c r="E1836" s="4">
        <v>0</v>
      </c>
      <c r="F1836" s="4">
        <v>0</v>
      </c>
      <c r="G1836" s="4">
        <v>0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11.49</v>
      </c>
      <c r="D1837" s="4">
        <v>11.4785</v>
      </c>
      <c r="E1837" s="4">
        <v>7</v>
      </c>
      <c r="F1837" s="4">
        <v>11.49</v>
      </c>
      <c r="G1837" s="4">
        <v>80.430000000000007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11.49</v>
      </c>
      <c r="D1838" s="4">
        <v>11.4785</v>
      </c>
      <c r="E1838" s="4">
        <v>0</v>
      </c>
      <c r="F1838" s="4">
        <v>0</v>
      </c>
      <c r="G1838" s="4">
        <v>0</v>
      </c>
      <c r="H1838" s="5">
        <f t="shared" si="28"/>
        <v>0</v>
      </c>
    </row>
    <row r="1839" spans="1:8" ht="13.5" x14ac:dyDescent="0.25">
      <c r="A1839" s="1"/>
      <c r="B1839" s="3">
        <v>44977</v>
      </c>
      <c r="C1839" s="4">
        <v>12</v>
      </c>
      <c r="D1839" s="4">
        <v>11.988</v>
      </c>
      <c r="E1839" s="4">
        <v>10</v>
      </c>
      <c r="F1839" s="4">
        <v>12</v>
      </c>
      <c r="G1839" s="4">
        <v>120</v>
      </c>
      <c r="H1839" s="5">
        <f t="shared" si="28"/>
        <v>4.4387332839656679E-2</v>
      </c>
    </row>
    <row r="1840" spans="1:8" ht="13.5" x14ac:dyDescent="0.25">
      <c r="A1840" s="1"/>
      <c r="B1840" s="3">
        <v>44978</v>
      </c>
      <c r="C1840" s="4">
        <v>12</v>
      </c>
      <c r="D1840" s="4">
        <v>11.988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12</v>
      </c>
      <c r="D1841" s="4">
        <v>11.988</v>
      </c>
      <c r="E1841" s="4">
        <v>0</v>
      </c>
      <c r="F1841" s="4">
        <v>0</v>
      </c>
      <c r="G1841" s="4">
        <v>0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12</v>
      </c>
      <c r="D1842" s="4">
        <v>11.988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12</v>
      </c>
      <c r="D1843" s="4">
        <v>11.988</v>
      </c>
      <c r="E1843" s="4">
        <v>0</v>
      </c>
      <c r="F1843" s="4">
        <v>0</v>
      </c>
      <c r="G1843" s="4">
        <v>0</v>
      </c>
      <c r="H1843" s="5">
        <f t="shared" si="28"/>
        <v>0</v>
      </c>
    </row>
    <row r="1844" spans="1:8" ht="13.5" x14ac:dyDescent="0.25">
      <c r="A1844" s="1"/>
      <c r="B1844" s="3">
        <v>44984</v>
      </c>
      <c r="C1844" s="4">
        <v>12</v>
      </c>
      <c r="D1844" s="4">
        <v>11.988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12</v>
      </c>
      <c r="D1845" s="4">
        <v>11.988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12</v>
      </c>
      <c r="D1846" s="4">
        <v>11.988</v>
      </c>
      <c r="E1846" s="4">
        <v>0</v>
      </c>
      <c r="F1846" s="4">
        <v>0</v>
      </c>
      <c r="G1846" s="4">
        <v>0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12</v>
      </c>
      <c r="D1847" s="4">
        <v>11.988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12</v>
      </c>
      <c r="D1848" s="4">
        <v>11.988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12</v>
      </c>
      <c r="D1849" s="4">
        <v>11.988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12.54</v>
      </c>
      <c r="D1850" s="4">
        <v>12.5275</v>
      </c>
      <c r="E1850" s="4">
        <v>4</v>
      </c>
      <c r="F1850" s="4">
        <v>12.54</v>
      </c>
      <c r="G1850" s="4">
        <v>50.16</v>
      </c>
      <c r="H1850" s="5">
        <f t="shared" si="28"/>
        <v>4.5003336670003363E-2</v>
      </c>
    </row>
    <row r="1851" spans="1:8" ht="13.5" x14ac:dyDescent="0.25">
      <c r="A1851" s="1"/>
      <c r="B1851" s="3">
        <v>44993</v>
      </c>
      <c r="C1851" s="4">
        <v>12.54</v>
      </c>
      <c r="D1851" s="4">
        <v>12.5275</v>
      </c>
      <c r="E1851" s="4">
        <v>1</v>
      </c>
      <c r="F1851" s="4">
        <v>12.54</v>
      </c>
      <c r="G1851" s="4">
        <v>12.54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12.54</v>
      </c>
      <c r="D1852" s="4">
        <v>12.5275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12.54</v>
      </c>
      <c r="D1853" s="4">
        <v>12.5275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12.54</v>
      </c>
      <c r="D1854" s="4">
        <v>12.5275</v>
      </c>
      <c r="E1854" s="4">
        <v>0</v>
      </c>
      <c r="F1854" s="4">
        <v>0</v>
      </c>
      <c r="G1854" s="4">
        <v>0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13.1</v>
      </c>
      <c r="D1855" s="4">
        <v>13.0869</v>
      </c>
      <c r="E1855" s="4">
        <v>0</v>
      </c>
      <c r="F1855" s="4">
        <v>0</v>
      </c>
      <c r="G1855" s="4">
        <v>0</v>
      </c>
      <c r="H1855" s="5">
        <f t="shared" si="28"/>
        <v>4.4653761724206757E-2</v>
      </c>
    </row>
    <row r="1856" spans="1:8" ht="13.5" x14ac:dyDescent="0.25">
      <c r="A1856" s="1"/>
      <c r="B1856" s="3">
        <v>45000</v>
      </c>
      <c r="C1856" s="4">
        <v>13.5</v>
      </c>
      <c r="D1856" s="4">
        <v>13.486499999999999</v>
      </c>
      <c r="E1856" s="4">
        <v>1</v>
      </c>
      <c r="F1856" s="4">
        <v>13.5</v>
      </c>
      <c r="G1856" s="4">
        <v>13.5</v>
      </c>
      <c r="H1856" s="5">
        <f t="shared" si="28"/>
        <v>3.0534351145038132E-2</v>
      </c>
    </row>
    <row r="1857" spans="1:8" ht="13.5" x14ac:dyDescent="0.25">
      <c r="A1857" s="1"/>
      <c r="B1857" s="3">
        <v>45001</v>
      </c>
      <c r="C1857" s="4">
        <v>13.5</v>
      </c>
      <c r="D1857" s="4">
        <v>13.486499999999999</v>
      </c>
      <c r="E1857" s="4">
        <v>0</v>
      </c>
      <c r="F1857" s="4">
        <v>0</v>
      </c>
      <c r="G1857" s="4">
        <v>0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13.5</v>
      </c>
      <c r="D1858" s="4">
        <v>13.486499999999999</v>
      </c>
      <c r="E1858" s="4">
        <v>0</v>
      </c>
      <c r="F1858" s="4">
        <v>0</v>
      </c>
      <c r="G1858" s="4">
        <v>0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13.5</v>
      </c>
      <c r="D1859" s="4">
        <v>13.486499999999999</v>
      </c>
      <c r="E1859" s="4">
        <v>0</v>
      </c>
      <c r="F1859" s="4">
        <v>0</v>
      </c>
      <c r="G1859" s="4">
        <v>0</v>
      </c>
      <c r="H1859" s="5">
        <f t="shared" si="28"/>
        <v>0</v>
      </c>
    </row>
    <row r="1860" spans="1:8" ht="13.5" x14ac:dyDescent="0.25">
      <c r="A1860" s="1"/>
      <c r="B1860" s="3">
        <v>45007</v>
      </c>
      <c r="C1860" s="4">
        <v>12.9</v>
      </c>
      <c r="D1860" s="4">
        <v>12.8871</v>
      </c>
      <c r="E1860" s="4">
        <v>0</v>
      </c>
      <c r="F1860" s="4">
        <v>0</v>
      </c>
      <c r="G1860" s="4">
        <v>0</v>
      </c>
      <c r="H1860" s="5">
        <f t="shared" si="28"/>
        <v>-4.4444444444444391E-2</v>
      </c>
    </row>
    <row r="1861" spans="1:8" ht="13.5" x14ac:dyDescent="0.25">
      <c r="A1861" s="1"/>
      <c r="B1861" s="3">
        <v>45008</v>
      </c>
      <c r="C1861" s="4">
        <v>12.9</v>
      </c>
      <c r="D1861" s="4">
        <v>12.8871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12.9</v>
      </c>
      <c r="D1862" s="4">
        <v>12.8871</v>
      </c>
      <c r="E1862" s="4">
        <v>0</v>
      </c>
      <c r="F1862" s="4">
        <v>0</v>
      </c>
      <c r="G1862" s="4">
        <v>0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12.9</v>
      </c>
      <c r="D1863" s="4">
        <v>12.8871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12.32</v>
      </c>
      <c r="D1864" s="4">
        <v>12.307700000000001</v>
      </c>
      <c r="E1864" s="4">
        <v>0</v>
      </c>
      <c r="F1864" s="4">
        <v>0</v>
      </c>
      <c r="G1864" s="4">
        <v>0</v>
      </c>
      <c r="H1864" s="5">
        <f t="shared" si="29"/>
        <v>-4.4959688370541061E-2</v>
      </c>
    </row>
    <row r="1865" spans="1:8" ht="13.5" x14ac:dyDescent="0.25">
      <c r="A1865" s="1"/>
      <c r="B1865" s="3">
        <v>45014</v>
      </c>
      <c r="C1865" s="4">
        <v>12.32</v>
      </c>
      <c r="D1865" s="4">
        <v>12.307700000000001</v>
      </c>
      <c r="E1865" s="4">
        <v>0</v>
      </c>
      <c r="F1865" s="4">
        <v>0</v>
      </c>
      <c r="G1865" s="4">
        <v>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12.32</v>
      </c>
      <c r="D1866" s="4">
        <v>12.307700000000001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11.77</v>
      </c>
      <c r="D1867" s="4">
        <v>11.7582</v>
      </c>
      <c r="E1867" s="4">
        <v>0</v>
      </c>
      <c r="F1867" s="4">
        <v>0</v>
      </c>
      <c r="G1867" s="4">
        <v>0</v>
      </c>
      <c r="H1867" s="5">
        <f t="shared" si="29"/>
        <v>-4.4646847095720574E-2</v>
      </c>
    </row>
    <row r="1868" spans="1:8" ht="13.5" x14ac:dyDescent="0.25">
      <c r="A1868" s="1"/>
      <c r="B1868" s="3">
        <v>45019</v>
      </c>
      <c r="C1868" s="4">
        <v>11.5</v>
      </c>
      <c r="D1868" s="4">
        <v>11.4885</v>
      </c>
      <c r="E1868" s="4">
        <v>50</v>
      </c>
      <c r="F1868" s="4">
        <v>11.5</v>
      </c>
      <c r="G1868" s="4">
        <v>575</v>
      </c>
      <c r="H1868" s="5">
        <f t="shared" si="29"/>
        <v>-2.2937184262897405E-2</v>
      </c>
    </row>
    <row r="1869" spans="1:8" ht="13.5" x14ac:dyDescent="0.25">
      <c r="A1869" s="1"/>
      <c r="B1869" s="3">
        <v>45020</v>
      </c>
      <c r="C1869" s="4">
        <v>11</v>
      </c>
      <c r="D1869" s="4">
        <v>10.989000000000001</v>
      </c>
      <c r="E1869" s="4">
        <v>550</v>
      </c>
      <c r="F1869" s="4">
        <v>11</v>
      </c>
      <c r="G1869" s="4">
        <v>6050</v>
      </c>
      <c r="H1869" s="5">
        <f t="shared" si="29"/>
        <v>-4.3478260869565161E-2</v>
      </c>
    </row>
    <row r="1870" spans="1:8" ht="13.5" x14ac:dyDescent="0.25">
      <c r="A1870" s="1"/>
      <c r="B1870" s="3">
        <v>45021</v>
      </c>
      <c r="C1870" s="4">
        <v>11.49</v>
      </c>
      <c r="D1870" s="4">
        <v>11.4785</v>
      </c>
      <c r="E1870" s="4">
        <v>0</v>
      </c>
      <c r="F1870" s="4">
        <v>0</v>
      </c>
      <c r="G1870" s="4">
        <v>0</v>
      </c>
      <c r="H1870" s="5">
        <f t="shared" si="29"/>
        <v>4.4544544544544505E-2</v>
      </c>
    </row>
    <row r="1871" spans="1:8" ht="13.5" x14ac:dyDescent="0.25">
      <c r="A1871" s="1"/>
      <c r="B1871" s="3">
        <v>45022</v>
      </c>
      <c r="C1871" s="4">
        <v>11.5</v>
      </c>
      <c r="D1871" s="4">
        <v>11.4885</v>
      </c>
      <c r="E1871" s="4">
        <v>251</v>
      </c>
      <c r="F1871" s="4">
        <v>11.502000000000001</v>
      </c>
      <c r="G1871" s="4">
        <v>2887.002</v>
      </c>
      <c r="H1871" s="5">
        <f t="shared" si="29"/>
        <v>8.7119397133769976E-4</v>
      </c>
    </row>
    <row r="1872" spans="1:8" ht="13.5" x14ac:dyDescent="0.25">
      <c r="A1872" s="1"/>
      <c r="B1872" s="3">
        <v>45023</v>
      </c>
      <c r="C1872" s="4">
        <v>11.5</v>
      </c>
      <c r="D1872" s="4">
        <v>11.4885</v>
      </c>
      <c r="E1872" s="4">
        <v>0</v>
      </c>
      <c r="F1872" s="4">
        <v>0</v>
      </c>
      <c r="G1872" s="4">
        <v>0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11.5</v>
      </c>
      <c r="D1873" s="4">
        <v>11.4885</v>
      </c>
      <c r="E1873" s="4">
        <v>0</v>
      </c>
      <c r="F1873" s="4">
        <v>0</v>
      </c>
      <c r="G1873" s="4">
        <v>0</v>
      </c>
      <c r="H1873" s="5">
        <f t="shared" si="29"/>
        <v>0</v>
      </c>
    </row>
    <row r="1874" spans="1:8" ht="13.5" x14ac:dyDescent="0.25">
      <c r="A1874" s="1"/>
      <c r="B1874" s="3">
        <v>45027</v>
      </c>
      <c r="C1874" s="4">
        <v>11.5</v>
      </c>
      <c r="D1874" s="4">
        <v>11.4885</v>
      </c>
      <c r="E1874" s="4">
        <v>0</v>
      </c>
      <c r="F1874" s="4">
        <v>0</v>
      </c>
      <c r="G1874" s="4">
        <v>0</v>
      </c>
      <c r="H1874" s="5">
        <f t="shared" si="29"/>
        <v>0</v>
      </c>
    </row>
    <row r="1875" spans="1:8" ht="13.5" x14ac:dyDescent="0.25">
      <c r="A1875" s="1"/>
      <c r="B1875" s="3">
        <v>45028</v>
      </c>
      <c r="C1875" s="4">
        <v>11.5</v>
      </c>
      <c r="D1875" s="4">
        <v>11.4885</v>
      </c>
      <c r="E1875" s="4">
        <v>0</v>
      </c>
      <c r="F1875" s="4">
        <v>0</v>
      </c>
      <c r="G1875" s="4">
        <v>0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11.5</v>
      </c>
      <c r="D1876" s="4">
        <v>11.4885</v>
      </c>
      <c r="E1876" s="4">
        <v>0</v>
      </c>
      <c r="F1876" s="4">
        <v>0</v>
      </c>
      <c r="G1876" s="4">
        <v>0</v>
      </c>
      <c r="H1876" s="5">
        <f t="shared" si="29"/>
        <v>0</v>
      </c>
    </row>
    <row r="1877" spans="1:8" ht="13.5" x14ac:dyDescent="0.25">
      <c r="A1877" s="1"/>
      <c r="B1877" s="3">
        <v>45030</v>
      </c>
      <c r="C1877" s="4">
        <v>11.5</v>
      </c>
      <c r="D1877" s="4">
        <v>11.4885</v>
      </c>
      <c r="E1877" s="4">
        <v>0</v>
      </c>
      <c r="F1877" s="4">
        <v>0</v>
      </c>
      <c r="G1877" s="4">
        <v>0</v>
      </c>
      <c r="H1877" s="5">
        <f t="shared" si="29"/>
        <v>0</v>
      </c>
    </row>
    <row r="1878" spans="1:8" ht="13.5" x14ac:dyDescent="0.25">
      <c r="A1878" s="1"/>
      <c r="B1878" s="3">
        <v>45033</v>
      </c>
      <c r="C1878" s="4">
        <v>11.5</v>
      </c>
      <c r="D1878" s="4">
        <v>11.4885</v>
      </c>
      <c r="E1878" s="4">
        <v>0</v>
      </c>
      <c r="F1878" s="4">
        <v>0</v>
      </c>
      <c r="G1878" s="4">
        <v>0</v>
      </c>
      <c r="H1878" s="5">
        <f t="shared" si="29"/>
        <v>0</v>
      </c>
    </row>
    <row r="1879" spans="1:8" ht="13.5" x14ac:dyDescent="0.25">
      <c r="A1879" s="1"/>
      <c r="B1879" s="3">
        <v>45034</v>
      </c>
      <c r="C1879" s="4">
        <v>11.5</v>
      </c>
      <c r="D1879" s="4">
        <v>11.4885</v>
      </c>
      <c r="E1879" s="4">
        <v>0</v>
      </c>
      <c r="F1879" s="4">
        <v>0</v>
      </c>
      <c r="G1879" s="4">
        <v>0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11.5</v>
      </c>
      <c r="D1880" s="4">
        <v>11.4885</v>
      </c>
      <c r="E1880" s="4">
        <v>210</v>
      </c>
      <c r="F1880" s="4">
        <v>11.5</v>
      </c>
      <c r="G1880" s="4">
        <v>2415</v>
      </c>
      <c r="H1880" s="5">
        <f t="shared" si="29"/>
        <v>0</v>
      </c>
    </row>
    <row r="1881" spans="1:8" ht="13.5" x14ac:dyDescent="0.25">
      <c r="A1881" s="1"/>
      <c r="B1881" s="3">
        <v>45036</v>
      </c>
      <c r="C1881" s="4">
        <v>11</v>
      </c>
      <c r="D1881" s="4">
        <v>10.989000000000001</v>
      </c>
      <c r="E1881" s="4">
        <v>164</v>
      </c>
      <c r="F1881" s="4">
        <v>11</v>
      </c>
      <c r="G1881" s="4">
        <v>1804</v>
      </c>
      <c r="H1881" s="5">
        <f t="shared" si="29"/>
        <v>-4.3478260869565161E-2</v>
      </c>
    </row>
    <row r="1882" spans="1:8" ht="13.5" x14ac:dyDescent="0.25">
      <c r="A1882" s="1"/>
      <c r="B1882" s="3">
        <v>45040</v>
      </c>
      <c r="C1882" s="4">
        <v>11</v>
      </c>
      <c r="D1882" s="4">
        <v>10.989000000000001</v>
      </c>
      <c r="E1882" s="4">
        <v>0</v>
      </c>
      <c r="F1882" s="4">
        <v>0</v>
      </c>
      <c r="G1882" s="4">
        <v>0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10.52</v>
      </c>
      <c r="D1883" s="4">
        <v>10.509499999999999</v>
      </c>
      <c r="E1883" s="4">
        <v>400</v>
      </c>
      <c r="F1883" s="4">
        <v>10.52</v>
      </c>
      <c r="G1883" s="4">
        <v>4208</v>
      </c>
      <c r="H1883" s="5">
        <f t="shared" si="29"/>
        <v>-4.3634543634543776E-2</v>
      </c>
    </row>
    <row r="1884" spans="1:8" ht="13.5" x14ac:dyDescent="0.25">
      <c r="A1884" s="1"/>
      <c r="B1884" s="3">
        <v>45042</v>
      </c>
      <c r="C1884" s="4">
        <v>10.52</v>
      </c>
      <c r="D1884" s="4">
        <v>10.509499999999999</v>
      </c>
      <c r="E1884" s="4">
        <v>0</v>
      </c>
      <c r="F1884" s="4">
        <v>0</v>
      </c>
      <c r="G1884" s="4">
        <v>0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10.52</v>
      </c>
      <c r="D1885" s="4">
        <v>10.509499999999999</v>
      </c>
      <c r="E1885" s="4">
        <v>15</v>
      </c>
      <c r="F1885" s="4">
        <v>10.52</v>
      </c>
      <c r="G1885" s="4">
        <v>157.80000000000001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10.52</v>
      </c>
      <c r="D1886" s="4">
        <v>10.509499999999999</v>
      </c>
      <c r="E1886" s="4">
        <v>0</v>
      </c>
      <c r="F1886" s="4">
        <v>0</v>
      </c>
      <c r="G1886" s="4">
        <v>0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10.52</v>
      </c>
      <c r="D1887" s="4">
        <v>10.509499999999999</v>
      </c>
      <c r="E1887" s="4">
        <v>0</v>
      </c>
      <c r="F1887" s="4">
        <v>0</v>
      </c>
      <c r="G1887" s="4">
        <v>0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10.52</v>
      </c>
      <c r="D1888" s="4">
        <v>10.509499999999999</v>
      </c>
      <c r="E1888" s="4">
        <v>0</v>
      </c>
      <c r="F1888" s="4">
        <v>0</v>
      </c>
      <c r="G1888" s="4">
        <v>0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10.52</v>
      </c>
      <c r="D1889" s="4">
        <v>10.509499999999999</v>
      </c>
      <c r="E1889" s="4">
        <v>0</v>
      </c>
      <c r="F1889" s="4">
        <v>0</v>
      </c>
      <c r="G1889" s="4">
        <v>0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10.52</v>
      </c>
      <c r="D1890" s="4">
        <v>10.509499999999999</v>
      </c>
      <c r="E1890" s="4">
        <v>0</v>
      </c>
      <c r="F1890" s="4">
        <v>0</v>
      </c>
      <c r="G1890" s="4">
        <v>0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10.52</v>
      </c>
      <c r="D1891" s="4">
        <v>10.509499999999999</v>
      </c>
      <c r="E1891" s="4">
        <v>0</v>
      </c>
      <c r="F1891" s="4">
        <v>0</v>
      </c>
      <c r="G1891" s="4">
        <v>0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10.050000000000001</v>
      </c>
      <c r="D1892" s="4">
        <v>10.039999999999999</v>
      </c>
      <c r="E1892" s="4">
        <v>0</v>
      </c>
      <c r="F1892" s="4">
        <v>0</v>
      </c>
      <c r="G1892" s="4">
        <v>0</v>
      </c>
      <c r="H1892" s="5">
        <f t="shared" si="29"/>
        <v>-4.4673866501736527E-2</v>
      </c>
    </row>
    <row r="1893" spans="1:8" ht="13.5" x14ac:dyDescent="0.25">
      <c r="A1893" s="1"/>
      <c r="B1893" s="3">
        <v>45056</v>
      </c>
      <c r="C1893" s="4">
        <v>10</v>
      </c>
      <c r="D1893" s="4">
        <v>9.99</v>
      </c>
      <c r="E1893" s="4">
        <v>921</v>
      </c>
      <c r="F1893" s="4">
        <v>10</v>
      </c>
      <c r="G1893" s="4">
        <v>9210</v>
      </c>
      <c r="H1893" s="5">
        <f t="shared" si="29"/>
        <v>-4.9800796812747945E-3</v>
      </c>
    </row>
    <row r="1894" spans="1:8" ht="13.5" x14ac:dyDescent="0.25">
      <c r="A1894" s="1"/>
      <c r="B1894" s="3">
        <v>45057</v>
      </c>
      <c r="C1894" s="4">
        <v>10</v>
      </c>
      <c r="D1894" s="4">
        <v>9.99</v>
      </c>
      <c r="E1894" s="4">
        <v>0</v>
      </c>
      <c r="F1894" s="4">
        <v>0</v>
      </c>
      <c r="G1894" s="4">
        <v>0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10</v>
      </c>
      <c r="D1895" s="4">
        <v>9.99</v>
      </c>
      <c r="E1895" s="4">
        <v>360</v>
      </c>
      <c r="F1895" s="4">
        <v>10</v>
      </c>
      <c r="G1895" s="4">
        <v>3600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10</v>
      </c>
      <c r="D1896" s="4">
        <v>10</v>
      </c>
      <c r="E1896" s="4">
        <v>0</v>
      </c>
      <c r="F1896" s="4">
        <v>0</v>
      </c>
      <c r="G1896" s="4">
        <v>0</v>
      </c>
      <c r="H1896" s="5">
        <f t="shared" si="29"/>
        <v>1.0010010010009797E-3</v>
      </c>
    </row>
    <row r="1897" spans="1:8" ht="13.5" x14ac:dyDescent="0.25">
      <c r="A1897" s="1"/>
      <c r="B1897" s="3">
        <v>45062</v>
      </c>
      <c r="C1897" s="4">
        <v>10</v>
      </c>
      <c r="D1897" s="4">
        <v>10</v>
      </c>
      <c r="E1897" s="4">
        <v>0</v>
      </c>
      <c r="F1897" s="4">
        <v>0</v>
      </c>
      <c r="G1897" s="4">
        <v>0</v>
      </c>
      <c r="H1897" s="5">
        <f t="shared" si="29"/>
        <v>0</v>
      </c>
    </row>
    <row r="1898" spans="1:8" ht="13.5" x14ac:dyDescent="0.25">
      <c r="A1898" s="1"/>
      <c r="B1898" s="3">
        <v>45063</v>
      </c>
      <c r="C1898" s="4">
        <v>10</v>
      </c>
      <c r="D1898" s="4">
        <v>10</v>
      </c>
      <c r="E1898" s="4">
        <v>0</v>
      </c>
      <c r="F1898" s="4">
        <v>0</v>
      </c>
      <c r="G1898" s="4">
        <v>0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10</v>
      </c>
      <c r="D1899" s="4">
        <v>10</v>
      </c>
      <c r="E1899" s="4">
        <v>0</v>
      </c>
      <c r="F1899" s="4">
        <v>0</v>
      </c>
      <c r="G1899" s="4">
        <v>0</v>
      </c>
      <c r="H1899" s="5">
        <f t="shared" si="29"/>
        <v>0</v>
      </c>
    </row>
    <row r="1900" spans="1:8" ht="13.5" x14ac:dyDescent="0.25">
      <c r="A1900" s="1"/>
      <c r="B1900" s="3">
        <v>45065</v>
      </c>
      <c r="C1900" s="4">
        <v>10</v>
      </c>
      <c r="D1900" s="4">
        <v>10</v>
      </c>
      <c r="E1900" s="4">
        <v>20</v>
      </c>
      <c r="F1900" s="4">
        <v>10</v>
      </c>
      <c r="G1900" s="4">
        <v>200</v>
      </c>
      <c r="H1900" s="5">
        <f t="shared" si="29"/>
        <v>0</v>
      </c>
    </row>
    <row r="1901" spans="1:8" ht="13.5" x14ac:dyDescent="0.25">
      <c r="A1901" s="1"/>
      <c r="B1901" s="3">
        <v>45068</v>
      </c>
      <c r="C1901" s="4">
        <v>10</v>
      </c>
      <c r="D1901" s="4">
        <v>10</v>
      </c>
      <c r="E1901" s="4">
        <v>0</v>
      </c>
      <c r="F1901" s="4">
        <v>0</v>
      </c>
      <c r="G1901" s="4">
        <v>0</v>
      </c>
      <c r="H1901" s="5">
        <f t="shared" si="29"/>
        <v>0</v>
      </c>
    </row>
    <row r="1902" spans="1:8" ht="13.5" x14ac:dyDescent="0.25">
      <c r="A1902" s="1"/>
      <c r="B1902" s="3">
        <v>45069</v>
      </c>
      <c r="C1902" s="4">
        <v>10</v>
      </c>
      <c r="D1902" s="4">
        <v>10</v>
      </c>
      <c r="E1902" s="4">
        <v>200</v>
      </c>
      <c r="F1902" s="4">
        <v>10</v>
      </c>
      <c r="G1902" s="4">
        <v>2000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10</v>
      </c>
      <c r="D1903" s="4">
        <v>10</v>
      </c>
      <c r="E1903" s="4">
        <v>0</v>
      </c>
      <c r="F1903" s="4">
        <v>0</v>
      </c>
      <c r="G1903" s="4">
        <v>0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10</v>
      </c>
      <c r="D1904" s="4">
        <v>10</v>
      </c>
      <c r="E1904" s="4">
        <v>363</v>
      </c>
      <c r="F1904" s="4">
        <v>10</v>
      </c>
      <c r="G1904" s="4">
        <v>3630</v>
      </c>
      <c r="H1904" s="5">
        <f t="shared" si="29"/>
        <v>0</v>
      </c>
    </row>
    <row r="1905" spans="1:8" ht="13.5" x14ac:dyDescent="0.25">
      <c r="A1905" s="1"/>
      <c r="B1905" s="3">
        <v>45072</v>
      </c>
      <c r="C1905" s="4">
        <v>10</v>
      </c>
      <c r="D1905" s="4">
        <v>10</v>
      </c>
      <c r="E1905" s="4">
        <v>0</v>
      </c>
      <c r="F1905" s="4">
        <v>0</v>
      </c>
      <c r="G1905" s="4">
        <v>0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10</v>
      </c>
      <c r="D1906" s="4">
        <v>10</v>
      </c>
      <c r="E1906" s="4">
        <v>0</v>
      </c>
      <c r="F1906" s="4">
        <v>0</v>
      </c>
      <c r="G1906" s="4">
        <v>0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10</v>
      </c>
      <c r="D1907" s="4">
        <v>10</v>
      </c>
      <c r="E1907" s="4">
        <v>0</v>
      </c>
      <c r="F1907" s="4">
        <v>0</v>
      </c>
      <c r="G1907" s="4">
        <v>0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10.45</v>
      </c>
      <c r="D1908" s="4">
        <v>10.45</v>
      </c>
      <c r="E1908" s="4">
        <v>0</v>
      </c>
      <c r="F1908" s="4">
        <v>0</v>
      </c>
      <c r="G1908" s="4">
        <v>0</v>
      </c>
      <c r="H1908" s="5">
        <f t="shared" si="29"/>
        <v>4.4999999999999929E-2</v>
      </c>
    </row>
    <row r="1909" spans="1:8" ht="13.5" x14ac:dyDescent="0.25">
      <c r="A1909" s="1"/>
      <c r="B1909" s="3">
        <v>45078</v>
      </c>
      <c r="C1909" s="4">
        <v>10.92</v>
      </c>
      <c r="D1909" s="4">
        <v>10.92</v>
      </c>
      <c r="E1909" s="4">
        <v>0</v>
      </c>
      <c r="F1909" s="4">
        <v>0</v>
      </c>
      <c r="G1909" s="4">
        <v>0</v>
      </c>
      <c r="H1909" s="5">
        <f t="shared" si="29"/>
        <v>4.4976076555023989E-2</v>
      </c>
    </row>
    <row r="1910" spans="1:8" ht="13.5" x14ac:dyDescent="0.25">
      <c r="A1910" s="1"/>
      <c r="B1910" s="3">
        <v>45079</v>
      </c>
      <c r="C1910" s="4">
        <v>10.99</v>
      </c>
      <c r="D1910" s="4">
        <v>10.99</v>
      </c>
      <c r="E1910" s="4">
        <v>4</v>
      </c>
      <c r="F1910" s="4">
        <v>10.99</v>
      </c>
      <c r="G1910" s="4">
        <v>43.96</v>
      </c>
      <c r="H1910" s="5">
        <f t="shared" si="29"/>
        <v>6.4102564102564361E-3</v>
      </c>
    </row>
    <row r="1911" spans="1:8" ht="13.5" x14ac:dyDescent="0.25">
      <c r="A1911" s="1"/>
      <c r="B1911" s="3">
        <v>45082</v>
      </c>
      <c r="C1911" s="4">
        <v>10.99</v>
      </c>
      <c r="D1911" s="4">
        <v>10.99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11.29</v>
      </c>
      <c r="D1912" s="4">
        <v>11.29</v>
      </c>
      <c r="E1912" s="4">
        <v>1</v>
      </c>
      <c r="F1912" s="4">
        <v>11.29</v>
      </c>
      <c r="G1912" s="4">
        <v>11.29</v>
      </c>
      <c r="H1912" s="5">
        <f t="shared" si="29"/>
        <v>2.7297543221110002E-2</v>
      </c>
    </row>
    <row r="1913" spans="1:8" ht="13.5" x14ac:dyDescent="0.25">
      <c r="A1913" s="1"/>
      <c r="B1913" s="3">
        <v>45084</v>
      </c>
      <c r="C1913" s="4">
        <v>11.29</v>
      </c>
      <c r="D1913" s="4">
        <v>11.29</v>
      </c>
      <c r="E1913" s="4">
        <v>0</v>
      </c>
      <c r="F1913" s="4">
        <v>0</v>
      </c>
      <c r="G1913" s="4">
        <v>0</v>
      </c>
      <c r="H1913" s="5">
        <f t="shared" si="29"/>
        <v>0</v>
      </c>
    </row>
    <row r="1914" spans="1:8" ht="13.5" x14ac:dyDescent="0.25">
      <c r="A1914" s="1"/>
      <c r="B1914" s="3">
        <v>45085</v>
      </c>
      <c r="C1914" s="4">
        <v>11.29</v>
      </c>
      <c r="D1914" s="4">
        <v>11.29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11.29</v>
      </c>
      <c r="D1915" s="4">
        <v>11.29</v>
      </c>
      <c r="E1915" s="4">
        <v>0</v>
      </c>
      <c r="F1915" s="4">
        <v>0</v>
      </c>
      <c r="G1915" s="4">
        <v>0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11.3</v>
      </c>
      <c r="D1916" s="4">
        <v>11.3</v>
      </c>
      <c r="E1916" s="4">
        <v>1</v>
      </c>
      <c r="F1916" s="4">
        <v>11.3</v>
      </c>
      <c r="G1916" s="4">
        <v>11.3</v>
      </c>
      <c r="H1916" s="5">
        <f t="shared" si="29"/>
        <v>8.857395925599259E-4</v>
      </c>
    </row>
    <row r="1917" spans="1:8" ht="13.5" x14ac:dyDescent="0.25">
      <c r="A1917" s="1"/>
      <c r="B1917" s="3">
        <v>45090</v>
      </c>
      <c r="C1917" s="4">
        <v>11.3</v>
      </c>
      <c r="D1917" s="4">
        <v>11.3</v>
      </c>
      <c r="E1917" s="4">
        <v>0</v>
      </c>
      <c r="F1917" s="4">
        <v>0</v>
      </c>
      <c r="G1917" s="4">
        <v>0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10.8</v>
      </c>
      <c r="D1918" s="4">
        <v>10.8</v>
      </c>
      <c r="E1918" s="4">
        <v>0</v>
      </c>
      <c r="F1918" s="4">
        <v>0</v>
      </c>
      <c r="G1918" s="4">
        <v>0</v>
      </c>
      <c r="H1918" s="5">
        <f t="shared" si="29"/>
        <v>-4.4247787610619468E-2</v>
      </c>
    </row>
    <row r="1919" spans="1:8" ht="13.5" x14ac:dyDescent="0.25">
      <c r="A1919" s="1"/>
      <c r="B1919" s="3">
        <v>45092</v>
      </c>
      <c r="C1919" s="4">
        <v>10.32</v>
      </c>
      <c r="D1919" s="4">
        <v>10.32</v>
      </c>
      <c r="E1919" s="4">
        <v>0</v>
      </c>
      <c r="F1919" s="4">
        <v>0</v>
      </c>
      <c r="G1919" s="4">
        <v>0</v>
      </c>
      <c r="H1919" s="5">
        <f t="shared" si="29"/>
        <v>-4.4444444444444481E-2</v>
      </c>
    </row>
    <row r="1920" spans="1:8" ht="13.5" x14ac:dyDescent="0.25">
      <c r="A1920" s="1"/>
      <c r="B1920" s="3">
        <v>45093</v>
      </c>
      <c r="C1920" s="4">
        <v>10</v>
      </c>
      <c r="D1920" s="4">
        <v>10</v>
      </c>
      <c r="E1920" s="4">
        <v>310</v>
      </c>
      <c r="F1920" s="4">
        <v>10</v>
      </c>
      <c r="G1920" s="4">
        <v>3100</v>
      </c>
      <c r="H1920" s="5">
        <f t="shared" si="29"/>
        <v>-3.1007751937984523E-2</v>
      </c>
    </row>
    <row r="1921" spans="1:8" ht="13.5" x14ac:dyDescent="0.25">
      <c r="A1921" s="1"/>
      <c r="B1921" s="3">
        <v>45096</v>
      </c>
      <c r="C1921" s="4">
        <v>10</v>
      </c>
      <c r="D1921" s="4">
        <v>10</v>
      </c>
      <c r="E1921" s="4">
        <v>0</v>
      </c>
      <c r="F1921" s="4">
        <v>0</v>
      </c>
      <c r="G1921" s="4">
        <v>0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10</v>
      </c>
      <c r="D1922" s="4">
        <v>10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10</v>
      </c>
      <c r="D1923" s="4">
        <v>10</v>
      </c>
      <c r="E1923" s="4">
        <v>0</v>
      </c>
      <c r="F1923" s="4">
        <v>0</v>
      </c>
      <c r="G1923" s="4">
        <v>0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10</v>
      </c>
      <c r="D1924" s="4">
        <v>10</v>
      </c>
      <c r="E1924" s="4">
        <v>0</v>
      </c>
      <c r="F1924" s="4">
        <v>0</v>
      </c>
      <c r="G1924" s="4">
        <v>0</v>
      </c>
      <c r="H1924" s="5">
        <f t="shared" si="29"/>
        <v>0</v>
      </c>
    </row>
    <row r="1925" spans="1:8" ht="13.5" x14ac:dyDescent="0.25">
      <c r="A1925" s="1"/>
      <c r="B1925" s="3">
        <v>45100</v>
      </c>
      <c r="C1925" s="4">
        <v>10.45</v>
      </c>
      <c r="D1925" s="4">
        <v>10.45</v>
      </c>
      <c r="E1925" s="4">
        <v>0</v>
      </c>
      <c r="F1925" s="4">
        <v>0</v>
      </c>
      <c r="G1925" s="4">
        <v>0</v>
      </c>
      <c r="H1925" s="5">
        <f t="shared" si="29"/>
        <v>4.4999999999999929E-2</v>
      </c>
    </row>
    <row r="1926" spans="1:8" ht="13.5" x14ac:dyDescent="0.25">
      <c r="A1926" s="1"/>
      <c r="B1926" s="3">
        <v>45103</v>
      </c>
      <c r="C1926" s="4">
        <v>10.45</v>
      </c>
      <c r="D1926" s="4">
        <v>10.45</v>
      </c>
      <c r="E1926" s="4">
        <v>3</v>
      </c>
      <c r="F1926" s="4">
        <v>10.45</v>
      </c>
      <c r="G1926" s="4">
        <v>31.35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10.45</v>
      </c>
      <c r="D1927" s="4">
        <v>10.45</v>
      </c>
      <c r="E1927" s="4">
        <v>0</v>
      </c>
      <c r="F1927" s="4">
        <v>0</v>
      </c>
      <c r="G1927" s="4">
        <v>0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10.45</v>
      </c>
      <c r="D1928" s="4">
        <v>10.45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10.45</v>
      </c>
      <c r="D1929" s="4">
        <v>10.45</v>
      </c>
      <c r="E1929" s="4">
        <v>0</v>
      </c>
      <c r="F1929" s="4">
        <v>0</v>
      </c>
      <c r="G1929" s="4">
        <v>0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10.45</v>
      </c>
      <c r="D1930" s="4">
        <v>10.45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10.45</v>
      </c>
      <c r="D1931" s="4">
        <v>10.45</v>
      </c>
      <c r="E1931" s="4">
        <v>0</v>
      </c>
      <c r="F1931" s="4">
        <v>0</v>
      </c>
      <c r="G1931" s="4">
        <v>0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10.45</v>
      </c>
      <c r="D1932" s="4">
        <v>10.45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10.45</v>
      </c>
      <c r="D1933" s="4">
        <v>10.45</v>
      </c>
      <c r="E1933" s="4">
        <v>0</v>
      </c>
      <c r="F1933" s="4">
        <v>0</v>
      </c>
      <c r="G1933" s="4">
        <v>0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10.45</v>
      </c>
      <c r="D1934" s="4">
        <v>10.45</v>
      </c>
      <c r="E1934" s="4">
        <v>0</v>
      </c>
      <c r="F1934" s="4">
        <v>0</v>
      </c>
      <c r="G1934" s="4">
        <v>0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10.4</v>
      </c>
      <c r="D1935" s="4">
        <v>10.4</v>
      </c>
      <c r="E1935" s="4">
        <v>5</v>
      </c>
      <c r="F1935" s="4">
        <v>10.4</v>
      </c>
      <c r="G1935" s="4">
        <v>52</v>
      </c>
      <c r="H1935" s="5">
        <f t="shared" si="30"/>
        <v>-4.7846889952152093E-3</v>
      </c>
    </row>
    <row r="1936" spans="1:8" ht="13.5" x14ac:dyDescent="0.25">
      <c r="A1936" s="1"/>
      <c r="B1936" s="3">
        <v>45119</v>
      </c>
      <c r="C1936" s="4">
        <v>10.4</v>
      </c>
      <c r="D1936" s="4">
        <v>10.4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10.45</v>
      </c>
      <c r="D1937" s="4">
        <v>10.45</v>
      </c>
      <c r="E1937" s="4">
        <v>7</v>
      </c>
      <c r="F1937" s="4">
        <v>10.45</v>
      </c>
      <c r="G1937" s="4">
        <v>73.150000000000006</v>
      </c>
      <c r="H1937" s="5">
        <f t="shared" si="30"/>
        <v>4.8076923076922047E-3</v>
      </c>
    </row>
    <row r="1938" spans="1:8" ht="13.5" x14ac:dyDescent="0.25">
      <c r="A1938" s="1"/>
      <c r="B1938" s="3">
        <v>45121</v>
      </c>
      <c r="C1938" s="4">
        <v>10.45</v>
      </c>
      <c r="D1938" s="4">
        <v>10.45</v>
      </c>
      <c r="E1938" s="4">
        <v>5</v>
      </c>
      <c r="F1938" s="4">
        <v>10.45</v>
      </c>
      <c r="G1938" s="4">
        <v>52.25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10.45</v>
      </c>
      <c r="D1939" s="4">
        <v>10.45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10.45</v>
      </c>
      <c r="D1940" s="4">
        <v>10.45</v>
      </c>
      <c r="E1940" s="4">
        <v>0</v>
      </c>
      <c r="F1940" s="4">
        <v>0</v>
      </c>
      <c r="G1940" s="4">
        <v>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10.45</v>
      </c>
      <c r="D1941" s="4">
        <v>10.45</v>
      </c>
      <c r="E1941" s="4">
        <v>5</v>
      </c>
      <c r="F1941" s="4">
        <v>10.45</v>
      </c>
      <c r="G1941" s="4">
        <v>52.25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10.45</v>
      </c>
      <c r="D1942" s="4">
        <v>10.45</v>
      </c>
      <c r="E1942" s="4">
        <v>5</v>
      </c>
      <c r="F1942" s="4">
        <v>10.45</v>
      </c>
      <c r="G1942" s="4">
        <v>52.25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10.45</v>
      </c>
      <c r="D1943" s="4">
        <v>10.45</v>
      </c>
      <c r="E1943" s="4">
        <v>3</v>
      </c>
      <c r="F1943" s="4">
        <v>10.45</v>
      </c>
      <c r="G1943" s="4">
        <v>31.35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10.45</v>
      </c>
      <c r="D1944" s="4">
        <v>10.45</v>
      </c>
      <c r="E1944" s="4">
        <v>0</v>
      </c>
      <c r="F1944" s="4">
        <v>0</v>
      </c>
      <c r="G1944" s="4">
        <v>0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10.45</v>
      </c>
      <c r="D1945" s="4">
        <v>10.45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10.45</v>
      </c>
      <c r="D1946" s="4">
        <v>10.45</v>
      </c>
      <c r="E1946" s="4">
        <v>5</v>
      </c>
      <c r="F1946" s="4">
        <v>10.45</v>
      </c>
      <c r="G1946" s="4">
        <v>52.25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10.45</v>
      </c>
      <c r="D1947" s="4">
        <v>10.45</v>
      </c>
      <c r="E1947" s="4">
        <v>3</v>
      </c>
      <c r="F1947" s="4">
        <v>10.45</v>
      </c>
      <c r="G1947" s="4">
        <v>31.35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10.45</v>
      </c>
      <c r="D1948" s="4">
        <v>10.45</v>
      </c>
      <c r="E1948" s="4">
        <v>0</v>
      </c>
      <c r="F1948" s="4">
        <v>0</v>
      </c>
      <c r="G1948" s="4">
        <v>0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10.45</v>
      </c>
      <c r="D1949" s="4">
        <v>10.45</v>
      </c>
      <c r="E1949" s="4">
        <v>0</v>
      </c>
      <c r="F1949" s="4">
        <v>0</v>
      </c>
      <c r="G1949" s="4">
        <v>0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10.45</v>
      </c>
      <c r="D1950" s="4">
        <v>10.45</v>
      </c>
      <c r="E1950" s="4">
        <v>2</v>
      </c>
      <c r="F1950" s="4">
        <v>10.45</v>
      </c>
      <c r="G1950" s="4">
        <v>20.9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10.45</v>
      </c>
      <c r="D1951" s="4">
        <v>10.45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10.45</v>
      </c>
      <c r="D1952" s="4">
        <v>10.45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10.45</v>
      </c>
      <c r="D1953" s="4">
        <v>10.45</v>
      </c>
      <c r="E1953" s="4">
        <v>0</v>
      </c>
      <c r="F1953" s="4">
        <v>0</v>
      </c>
      <c r="G1953" s="4">
        <v>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10.45</v>
      </c>
      <c r="D1954" s="4">
        <v>10.45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10.45</v>
      </c>
      <c r="D1955" s="4">
        <v>10.45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10.45</v>
      </c>
      <c r="D1956" s="4">
        <v>10.45</v>
      </c>
      <c r="E1956" s="4">
        <v>0</v>
      </c>
      <c r="F1956" s="4">
        <v>0</v>
      </c>
      <c r="G1956" s="4">
        <v>0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10.45</v>
      </c>
      <c r="D1957" s="4">
        <v>10.45</v>
      </c>
      <c r="E1957" s="4">
        <v>0</v>
      </c>
      <c r="F1957" s="4">
        <v>0</v>
      </c>
      <c r="G1957" s="4">
        <v>0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10.45</v>
      </c>
      <c r="D1958" s="4">
        <v>10.45</v>
      </c>
      <c r="E1958" s="4">
        <v>0</v>
      </c>
      <c r="F1958" s="4">
        <v>0</v>
      </c>
      <c r="G1958" s="4">
        <v>0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10.45</v>
      </c>
      <c r="D1959" s="4">
        <v>10.45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10.45</v>
      </c>
      <c r="D1960" s="4">
        <v>10.45</v>
      </c>
      <c r="E1960" s="4">
        <v>0</v>
      </c>
      <c r="F1960" s="4">
        <v>0</v>
      </c>
      <c r="G1960" s="4">
        <v>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10.45</v>
      </c>
      <c r="D1961" s="4">
        <v>10.45</v>
      </c>
      <c r="E1961" s="4">
        <v>0</v>
      </c>
      <c r="F1961" s="4">
        <v>0</v>
      </c>
      <c r="G1961" s="4">
        <v>0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10.45</v>
      </c>
      <c r="D1962" s="4">
        <v>10.45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10.45</v>
      </c>
      <c r="D1963" s="4">
        <v>10.45</v>
      </c>
      <c r="E1963" s="4">
        <v>0</v>
      </c>
      <c r="F1963" s="4">
        <v>0</v>
      </c>
      <c r="G1963" s="4">
        <v>0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10.45</v>
      </c>
      <c r="D1964" s="4">
        <v>10.45</v>
      </c>
      <c r="E1964" s="4">
        <v>4</v>
      </c>
      <c r="F1964" s="4">
        <v>10.45</v>
      </c>
      <c r="G1964" s="4">
        <v>41.8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10.45</v>
      </c>
      <c r="D1965" s="4">
        <v>10.45</v>
      </c>
      <c r="E1965" s="4">
        <v>10</v>
      </c>
      <c r="F1965" s="4">
        <v>10.45</v>
      </c>
      <c r="G1965" s="4">
        <v>104.5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10.45</v>
      </c>
      <c r="D1966" s="4">
        <v>10.45</v>
      </c>
      <c r="E1966" s="4">
        <v>2</v>
      </c>
      <c r="F1966" s="4">
        <v>10.45</v>
      </c>
      <c r="G1966" s="4">
        <v>20.9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10.45</v>
      </c>
      <c r="D1967" s="4">
        <v>10.45</v>
      </c>
      <c r="E1967" s="4">
        <v>0</v>
      </c>
      <c r="F1967" s="4">
        <v>0</v>
      </c>
      <c r="G1967" s="4">
        <v>0</v>
      </c>
      <c r="H1967" s="5">
        <f t="shared" si="30"/>
        <v>0</v>
      </c>
    </row>
    <row r="1968" spans="1:8" ht="13.5" x14ac:dyDescent="0.25">
      <c r="A1968" s="1"/>
      <c r="B1968" s="3">
        <v>45167</v>
      </c>
      <c r="C1968" s="4">
        <v>10.45</v>
      </c>
      <c r="D1968" s="4">
        <v>10.45</v>
      </c>
      <c r="E1968" s="4">
        <v>0</v>
      </c>
      <c r="F1968" s="4">
        <v>0</v>
      </c>
      <c r="G1968" s="4">
        <v>0</v>
      </c>
      <c r="H1968" s="5">
        <f t="shared" si="30"/>
        <v>0</v>
      </c>
    </row>
    <row r="1969" spans="1:8" ht="13.5" x14ac:dyDescent="0.25">
      <c r="A1969" s="1"/>
      <c r="B1969" s="3">
        <v>45168</v>
      </c>
      <c r="C1969" s="4">
        <v>10.45</v>
      </c>
      <c r="D1969" s="4">
        <v>10.45</v>
      </c>
      <c r="E1969" s="4">
        <v>0</v>
      </c>
      <c r="F1969" s="4">
        <v>0</v>
      </c>
      <c r="G1969" s="4">
        <v>0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10.92</v>
      </c>
      <c r="D1970" s="4">
        <v>10.92</v>
      </c>
      <c r="E1970" s="4">
        <v>1</v>
      </c>
      <c r="F1970" s="4">
        <v>10.92</v>
      </c>
      <c r="G1970" s="4">
        <v>10.92</v>
      </c>
      <c r="H1970" s="5">
        <f t="shared" si="30"/>
        <v>4.4976076555023989E-2</v>
      </c>
    </row>
    <row r="1971" spans="1:8" ht="13.5" x14ac:dyDescent="0.25">
      <c r="A1971" s="1"/>
      <c r="B1971" s="3">
        <v>45170</v>
      </c>
      <c r="C1971" s="4">
        <v>10.92</v>
      </c>
      <c r="D1971" s="4">
        <v>10.92</v>
      </c>
      <c r="E1971" s="4">
        <v>0</v>
      </c>
      <c r="F1971" s="4">
        <v>0</v>
      </c>
      <c r="G1971" s="4">
        <v>0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10.92</v>
      </c>
      <c r="D1972" s="4">
        <v>10.92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10.92</v>
      </c>
      <c r="D1973" s="4">
        <v>10.92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10.92</v>
      </c>
      <c r="D1974" s="4">
        <v>10.92</v>
      </c>
      <c r="E1974" s="4">
        <v>0</v>
      </c>
      <c r="F1974" s="4">
        <v>0</v>
      </c>
      <c r="G1974" s="4">
        <v>0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10.92</v>
      </c>
      <c r="D1975" s="4">
        <v>10.92</v>
      </c>
      <c r="E1975" s="4">
        <v>0</v>
      </c>
      <c r="F1975" s="4">
        <v>0</v>
      </c>
      <c r="G1975" s="4">
        <v>0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10.92</v>
      </c>
      <c r="D1976" s="4">
        <v>10.92</v>
      </c>
      <c r="E1976" s="4">
        <v>0</v>
      </c>
      <c r="F1976" s="4">
        <v>0</v>
      </c>
      <c r="G1976" s="4">
        <v>0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10.92</v>
      </c>
      <c r="D1977" s="4">
        <v>10.92</v>
      </c>
      <c r="E1977" s="4">
        <v>0</v>
      </c>
      <c r="F1977" s="4">
        <v>0</v>
      </c>
      <c r="G1977" s="4">
        <v>0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10.99</v>
      </c>
      <c r="D1978" s="4">
        <v>10.99</v>
      </c>
      <c r="E1978" s="4">
        <v>1</v>
      </c>
      <c r="F1978" s="4">
        <v>10.99</v>
      </c>
      <c r="G1978" s="4">
        <v>10.99</v>
      </c>
      <c r="H1978" s="5">
        <f t="shared" si="30"/>
        <v>6.4102564102564361E-3</v>
      </c>
    </row>
    <row r="1979" spans="1:8" ht="13.5" x14ac:dyDescent="0.25">
      <c r="A1979" s="1"/>
      <c r="B1979" s="3">
        <v>45182</v>
      </c>
      <c r="C1979" s="4">
        <v>10.99</v>
      </c>
      <c r="D1979" s="4">
        <v>10.99</v>
      </c>
      <c r="E1979" s="4">
        <v>0</v>
      </c>
      <c r="F1979" s="4">
        <v>0</v>
      </c>
      <c r="G1979" s="4">
        <v>0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10.99</v>
      </c>
      <c r="D1980" s="4">
        <v>10.99</v>
      </c>
      <c r="E1980" s="4">
        <v>0</v>
      </c>
      <c r="F1980" s="4">
        <v>0</v>
      </c>
      <c r="G1980" s="4">
        <v>0</v>
      </c>
      <c r="H1980" s="5">
        <f t="shared" si="30"/>
        <v>0</v>
      </c>
    </row>
    <row r="1981" spans="1:8" ht="13.5" x14ac:dyDescent="0.25">
      <c r="A1981" s="1"/>
      <c r="B1981" s="3">
        <v>45184</v>
      </c>
      <c r="C1981" s="4">
        <v>11.48</v>
      </c>
      <c r="D1981" s="4">
        <v>11.48</v>
      </c>
      <c r="E1981" s="4">
        <v>1</v>
      </c>
      <c r="F1981" s="4">
        <v>11.48</v>
      </c>
      <c r="G1981" s="4">
        <v>11.48</v>
      </c>
      <c r="H1981" s="5">
        <f t="shared" si="30"/>
        <v>4.4585987261146515E-2</v>
      </c>
    </row>
    <row r="1982" spans="1:8" ht="13.5" x14ac:dyDescent="0.25">
      <c r="A1982" s="1"/>
      <c r="B1982" s="3">
        <v>45187</v>
      </c>
      <c r="C1982" s="4">
        <v>11.48</v>
      </c>
      <c r="D1982" s="4">
        <v>11.48</v>
      </c>
      <c r="E1982" s="4">
        <v>0</v>
      </c>
      <c r="F1982" s="4">
        <v>0</v>
      </c>
      <c r="G1982" s="4">
        <v>0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11.48</v>
      </c>
      <c r="D1983" s="4">
        <v>11.48</v>
      </c>
      <c r="E1983" s="4">
        <v>0</v>
      </c>
      <c r="F1983" s="4">
        <v>0</v>
      </c>
      <c r="G1983" s="4">
        <v>0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11.48</v>
      </c>
      <c r="D1984" s="4">
        <v>11.48</v>
      </c>
      <c r="E1984" s="4">
        <v>0</v>
      </c>
      <c r="F1984" s="4">
        <v>0</v>
      </c>
      <c r="G1984" s="4">
        <v>0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11.48</v>
      </c>
      <c r="D1985" s="4">
        <v>11.48</v>
      </c>
      <c r="E1985" s="4">
        <v>0</v>
      </c>
      <c r="F1985" s="4">
        <v>0</v>
      </c>
      <c r="G1985" s="4">
        <v>0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11.48</v>
      </c>
      <c r="D1986" s="4">
        <v>11.48</v>
      </c>
      <c r="E1986" s="4">
        <v>0</v>
      </c>
      <c r="F1986" s="4">
        <v>0</v>
      </c>
      <c r="G1986" s="4">
        <v>0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11.48</v>
      </c>
      <c r="D1987" s="4">
        <v>11.48</v>
      </c>
      <c r="E1987" s="4">
        <v>0</v>
      </c>
      <c r="F1987" s="4">
        <v>0</v>
      </c>
      <c r="G1987" s="4">
        <v>0</v>
      </c>
      <c r="H1987" s="5">
        <f t="shared" si="30"/>
        <v>0</v>
      </c>
    </row>
    <row r="1988" spans="1:8" ht="13.5" x14ac:dyDescent="0.25">
      <c r="A1988" s="1"/>
      <c r="B1988" s="3">
        <v>45195</v>
      </c>
      <c r="C1988" s="4">
        <v>11.48</v>
      </c>
      <c r="D1988" s="4">
        <v>11.48</v>
      </c>
      <c r="E1988" s="4">
        <v>0</v>
      </c>
      <c r="F1988" s="4">
        <v>0</v>
      </c>
      <c r="G1988" s="4">
        <v>0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11.48</v>
      </c>
      <c r="D1989" s="4">
        <v>11.48</v>
      </c>
      <c r="E1989" s="4">
        <v>0</v>
      </c>
      <c r="F1989" s="4">
        <v>0</v>
      </c>
      <c r="G1989" s="4">
        <v>0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11.48</v>
      </c>
      <c r="D1990" s="4">
        <v>11.48</v>
      </c>
      <c r="E1990" s="4">
        <v>0</v>
      </c>
      <c r="F1990" s="4">
        <v>0</v>
      </c>
      <c r="G1990" s="4">
        <v>0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11.48</v>
      </c>
      <c r="D1991" s="4">
        <v>11.48</v>
      </c>
      <c r="E1991" s="4">
        <v>0</v>
      </c>
      <c r="F1991" s="4">
        <v>0</v>
      </c>
      <c r="G1991" s="4">
        <v>0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11.48</v>
      </c>
      <c r="D1992" s="4">
        <v>11.48</v>
      </c>
      <c r="E1992" s="4">
        <v>0</v>
      </c>
      <c r="F1992" s="4">
        <v>0</v>
      </c>
      <c r="G1992" s="4">
        <v>0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11.48</v>
      </c>
      <c r="D1993" s="4">
        <v>11.48</v>
      </c>
      <c r="E1993" s="4">
        <v>0</v>
      </c>
      <c r="F1993" s="4">
        <v>0</v>
      </c>
      <c r="G1993" s="4">
        <v>0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11.48</v>
      </c>
      <c r="D1994" s="4">
        <v>11.48</v>
      </c>
      <c r="E1994" s="4">
        <v>0</v>
      </c>
      <c r="F1994" s="4">
        <v>0</v>
      </c>
      <c r="G1994" s="4">
        <v>0</v>
      </c>
      <c r="H1994" s="5">
        <f t="shared" si="31"/>
        <v>0</v>
      </c>
    </row>
    <row r="1995" spans="1:8" ht="13.5" x14ac:dyDescent="0.25">
      <c r="A1995" s="1"/>
      <c r="B1995" s="3">
        <v>45205</v>
      </c>
      <c r="C1995" s="4">
        <v>11.48</v>
      </c>
      <c r="D1995" s="4">
        <v>11.48</v>
      </c>
      <c r="E1995" s="4">
        <v>0</v>
      </c>
      <c r="F1995" s="4">
        <v>0</v>
      </c>
      <c r="G1995" s="4">
        <v>0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11.48</v>
      </c>
      <c r="D1996" s="4">
        <v>11.48</v>
      </c>
      <c r="E1996" s="4">
        <v>0</v>
      </c>
      <c r="F1996" s="4">
        <v>0</v>
      </c>
      <c r="G1996" s="4">
        <v>0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11.48</v>
      </c>
      <c r="D1997" s="4">
        <v>11.48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11.48</v>
      </c>
      <c r="D1998" s="4">
        <v>11.48</v>
      </c>
      <c r="E1998" s="4">
        <v>0</v>
      </c>
      <c r="F1998" s="4">
        <v>0</v>
      </c>
      <c r="G1998" s="4">
        <v>0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10.97</v>
      </c>
      <c r="D1999" s="4">
        <v>10.97</v>
      </c>
      <c r="E1999" s="4">
        <v>19</v>
      </c>
      <c r="F1999" s="4">
        <v>10.97</v>
      </c>
      <c r="G1999" s="4">
        <v>208.43</v>
      </c>
      <c r="H1999" s="5">
        <f t="shared" si="31"/>
        <v>-4.4425087108013919E-2</v>
      </c>
    </row>
    <row r="2000" spans="1:8" ht="13.5" x14ac:dyDescent="0.25">
      <c r="A2000" s="1"/>
      <c r="B2000" s="3">
        <v>45212</v>
      </c>
      <c r="C2000" s="4">
        <v>10.97</v>
      </c>
      <c r="D2000" s="4">
        <v>10.97</v>
      </c>
      <c r="E2000" s="4">
        <v>0</v>
      </c>
      <c r="F2000" s="4">
        <v>0</v>
      </c>
      <c r="G2000" s="4">
        <v>0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10.97</v>
      </c>
      <c r="D2001" s="4">
        <v>10.97</v>
      </c>
      <c r="E2001" s="4">
        <v>0</v>
      </c>
      <c r="F2001" s="4">
        <v>0</v>
      </c>
      <c r="G2001" s="4">
        <v>0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10.97</v>
      </c>
      <c r="D2002" s="4">
        <v>10.97</v>
      </c>
      <c r="E2002" s="4">
        <v>0</v>
      </c>
      <c r="F2002" s="4">
        <v>0</v>
      </c>
      <c r="G2002" s="4">
        <v>0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10.97</v>
      </c>
      <c r="D2003" s="4">
        <v>10.97</v>
      </c>
      <c r="E2003" s="4">
        <v>0</v>
      </c>
      <c r="F2003" s="4">
        <v>0</v>
      </c>
      <c r="G2003" s="4">
        <v>0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10.97</v>
      </c>
      <c r="D2004" s="4">
        <v>10.97</v>
      </c>
      <c r="E2004" s="4">
        <v>0</v>
      </c>
      <c r="F2004" s="4">
        <v>0</v>
      </c>
      <c r="G2004" s="4">
        <v>0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10.49</v>
      </c>
      <c r="D2005" s="4">
        <v>10.49</v>
      </c>
      <c r="E2005" s="4">
        <v>8</v>
      </c>
      <c r="F2005" s="4">
        <v>10.49</v>
      </c>
      <c r="G2005" s="4">
        <v>83.92</v>
      </c>
      <c r="H2005" s="5">
        <f t="shared" si="31"/>
        <v>-4.3755697356426655E-2</v>
      </c>
    </row>
    <row r="2006" spans="1:8" ht="13.5" x14ac:dyDescent="0.25">
      <c r="A2006" s="1"/>
      <c r="B2006" s="3">
        <v>45222</v>
      </c>
      <c r="C2006" s="4">
        <v>10.02</v>
      </c>
      <c r="D2006" s="4">
        <v>10.02</v>
      </c>
      <c r="E2006" s="4">
        <v>0</v>
      </c>
      <c r="F2006" s="4">
        <v>0</v>
      </c>
      <c r="G2006" s="4">
        <v>0</v>
      </c>
      <c r="H2006" s="5">
        <f t="shared" si="31"/>
        <v>-4.4804575786463359E-2</v>
      </c>
    </row>
    <row r="2007" spans="1:8" ht="13.5" x14ac:dyDescent="0.25">
      <c r="A2007" s="1"/>
      <c r="B2007" s="3">
        <v>45223</v>
      </c>
      <c r="C2007" s="4">
        <v>10.02</v>
      </c>
      <c r="D2007" s="4">
        <v>10.02</v>
      </c>
      <c r="E2007" s="4">
        <v>0</v>
      </c>
      <c r="F2007" s="4">
        <v>0</v>
      </c>
      <c r="G2007" s="4">
        <v>0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9.57</v>
      </c>
      <c r="D2008" s="4">
        <v>9.57</v>
      </c>
      <c r="E2008" s="4">
        <v>0</v>
      </c>
      <c r="F2008" s="4">
        <v>0</v>
      </c>
      <c r="G2008" s="4">
        <v>0</v>
      </c>
      <c r="H2008" s="5">
        <f t="shared" si="31"/>
        <v>-4.4910179640718494E-2</v>
      </c>
    </row>
    <row r="2009" spans="1:8" ht="13.5" x14ac:dyDescent="0.25">
      <c r="A2009" s="1"/>
      <c r="B2009" s="3">
        <v>45225</v>
      </c>
      <c r="C2009" s="4">
        <v>9.15</v>
      </c>
      <c r="D2009" s="4">
        <v>9.15</v>
      </c>
      <c r="E2009" s="4">
        <v>283</v>
      </c>
      <c r="F2009" s="4">
        <v>9.14</v>
      </c>
      <c r="G2009" s="4">
        <v>2586.62</v>
      </c>
      <c r="H2009" s="5">
        <f t="shared" si="31"/>
        <v>-4.3887147335423191E-2</v>
      </c>
    </row>
    <row r="2010" spans="1:8" ht="13.5" x14ac:dyDescent="0.25">
      <c r="A2010" s="1"/>
      <c r="B2010" s="3">
        <v>45226</v>
      </c>
      <c r="C2010" s="4">
        <v>9.15</v>
      </c>
      <c r="D2010" s="4">
        <v>9.15</v>
      </c>
      <c r="E2010" s="4">
        <v>0</v>
      </c>
      <c r="F2010" s="4">
        <v>0</v>
      </c>
      <c r="G2010" s="4">
        <v>0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9.56</v>
      </c>
      <c r="D2011" s="4">
        <v>9.56</v>
      </c>
      <c r="E2011" s="4">
        <v>0</v>
      </c>
      <c r="F2011" s="4">
        <v>0</v>
      </c>
      <c r="G2011" s="4">
        <v>0</v>
      </c>
      <c r="H2011" s="5">
        <f t="shared" si="31"/>
        <v>4.4808743169398924E-2</v>
      </c>
    </row>
    <row r="2012" spans="1:8" ht="13.5" x14ac:dyDescent="0.25">
      <c r="A2012" s="1"/>
      <c r="B2012" s="3">
        <v>45230</v>
      </c>
      <c r="C2012" s="4">
        <v>9.5500000000000007</v>
      </c>
      <c r="D2012" s="4">
        <v>9.5500000000000007</v>
      </c>
      <c r="E2012" s="4">
        <v>5</v>
      </c>
      <c r="F2012" s="4">
        <v>9.5500000000000007</v>
      </c>
      <c r="G2012" s="4">
        <v>47.75</v>
      </c>
      <c r="H2012" s="5">
        <f t="shared" si="31"/>
        <v>-1.046025104602488E-3</v>
      </c>
    </row>
    <row r="2013" spans="1:8" ht="13.5" x14ac:dyDescent="0.25">
      <c r="A2013" s="1"/>
      <c r="B2013" s="3">
        <v>45231</v>
      </c>
      <c r="C2013" s="4">
        <v>9.9700000000000006</v>
      </c>
      <c r="D2013" s="4">
        <v>9.9700000000000006</v>
      </c>
      <c r="E2013" s="4">
        <v>0</v>
      </c>
      <c r="F2013" s="4">
        <v>0</v>
      </c>
      <c r="G2013" s="4">
        <v>0</v>
      </c>
      <c r="H2013" s="5">
        <f t="shared" si="31"/>
        <v>4.3979057591623023E-2</v>
      </c>
    </row>
    <row r="2014" spans="1:8" ht="13.5" x14ac:dyDescent="0.25">
      <c r="A2014" s="1"/>
      <c r="B2014" s="3">
        <v>45232</v>
      </c>
      <c r="C2014" s="4">
        <v>9.9700000000000006</v>
      </c>
      <c r="D2014" s="4">
        <v>9.9700000000000006</v>
      </c>
      <c r="E2014" s="4">
        <v>0</v>
      </c>
      <c r="F2014" s="4">
        <v>0</v>
      </c>
      <c r="G2014" s="4">
        <v>0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9.9700000000000006</v>
      </c>
      <c r="D2015" s="4">
        <v>9.9700000000000006</v>
      </c>
      <c r="E2015" s="4">
        <v>0</v>
      </c>
      <c r="F2015" s="4">
        <v>0</v>
      </c>
      <c r="G2015" s="4">
        <v>0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9.9700000000000006</v>
      </c>
      <c r="D2016" s="4">
        <v>9.9700000000000006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9.5299999999999994</v>
      </c>
      <c r="D2017" s="4">
        <v>9.5299999999999994</v>
      </c>
      <c r="E2017" s="4">
        <v>5</v>
      </c>
      <c r="F2017" s="4">
        <v>9.5299999999999994</v>
      </c>
      <c r="G2017" s="4">
        <v>47.65</v>
      </c>
      <c r="H2017" s="5">
        <f t="shared" si="31"/>
        <v>-4.413239719157485E-2</v>
      </c>
    </row>
    <row r="2018" spans="1:8" ht="13.5" x14ac:dyDescent="0.25">
      <c r="A2018" s="1"/>
      <c r="B2018" s="3">
        <v>45238</v>
      </c>
      <c r="C2018" s="4">
        <v>9.5299999999999994</v>
      </c>
      <c r="D2018" s="4">
        <v>9.5299999999999994</v>
      </c>
      <c r="E2018" s="4">
        <v>0</v>
      </c>
      <c r="F2018" s="4">
        <v>0</v>
      </c>
      <c r="G2018" s="4">
        <v>0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9.1999999999999993</v>
      </c>
      <c r="D2019" s="4">
        <v>9.1999999999999993</v>
      </c>
      <c r="E2019" s="4">
        <v>31</v>
      </c>
      <c r="F2019" s="4">
        <v>9.1479999999999997</v>
      </c>
      <c r="G2019" s="4">
        <v>283.58800000000002</v>
      </c>
      <c r="H2019" s="5">
        <f t="shared" si="31"/>
        <v>-3.4627492130115435E-2</v>
      </c>
    </row>
    <row r="2020" spans="1:8" ht="13.5" x14ac:dyDescent="0.25">
      <c r="A2020" s="1"/>
      <c r="B2020" s="3">
        <v>45240</v>
      </c>
      <c r="C2020" s="4">
        <v>9.14</v>
      </c>
      <c r="D2020" s="4">
        <v>9.14</v>
      </c>
      <c r="E2020" s="4">
        <v>148</v>
      </c>
      <c r="F2020" s="4">
        <v>9.14</v>
      </c>
      <c r="G2020" s="4">
        <v>1352.72</v>
      </c>
      <c r="H2020" s="5">
        <f t="shared" si="31"/>
        <v>-6.5217391304346443E-3</v>
      </c>
    </row>
    <row r="2021" spans="1:8" ht="13.5" x14ac:dyDescent="0.25">
      <c r="A2021" s="1"/>
      <c r="B2021" s="3">
        <v>45243</v>
      </c>
      <c r="C2021" s="4">
        <v>9</v>
      </c>
      <c r="D2021" s="4">
        <v>9</v>
      </c>
      <c r="E2021" s="4">
        <v>78</v>
      </c>
      <c r="F2021" s="4">
        <v>9</v>
      </c>
      <c r="G2021" s="4">
        <v>702</v>
      </c>
      <c r="H2021" s="5">
        <f t="shared" si="31"/>
        <v>-1.5317286652078837E-2</v>
      </c>
    </row>
    <row r="2022" spans="1:8" ht="13.5" x14ac:dyDescent="0.25">
      <c r="A2022" s="1"/>
      <c r="B2022" s="3">
        <v>45244</v>
      </c>
      <c r="C2022" s="4">
        <v>9</v>
      </c>
      <c r="D2022" s="4">
        <v>9</v>
      </c>
      <c r="E2022" s="4">
        <v>20</v>
      </c>
      <c r="F2022" s="4">
        <v>9</v>
      </c>
      <c r="G2022" s="4">
        <v>180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9</v>
      </c>
      <c r="D2023" s="4">
        <v>9</v>
      </c>
      <c r="E2023" s="4">
        <v>3</v>
      </c>
      <c r="F2023" s="4">
        <v>9</v>
      </c>
      <c r="G2023" s="4">
        <v>27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9</v>
      </c>
      <c r="D2024" s="4">
        <v>9</v>
      </c>
      <c r="E2024" s="4">
        <v>4</v>
      </c>
      <c r="F2024" s="4">
        <v>9</v>
      </c>
      <c r="G2024" s="4">
        <v>36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9</v>
      </c>
      <c r="D2025" s="4">
        <v>9</v>
      </c>
      <c r="E2025" s="4">
        <v>0</v>
      </c>
      <c r="F2025" s="4">
        <v>0</v>
      </c>
      <c r="G2025" s="4">
        <v>0</v>
      </c>
      <c r="H2025" s="5">
        <f t="shared" si="31"/>
        <v>0</v>
      </c>
    </row>
    <row r="2026" spans="1:8" ht="13.5" x14ac:dyDescent="0.25">
      <c r="A2026" s="1"/>
      <c r="B2026" s="3">
        <v>45250</v>
      </c>
      <c r="C2026" s="4">
        <v>9</v>
      </c>
      <c r="D2026" s="4">
        <v>9</v>
      </c>
      <c r="E2026" s="4">
        <v>0</v>
      </c>
      <c r="F2026" s="4">
        <v>0</v>
      </c>
      <c r="G2026" s="4">
        <v>0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9</v>
      </c>
      <c r="D2027" s="4">
        <v>9</v>
      </c>
      <c r="E2027" s="4">
        <v>5</v>
      </c>
      <c r="F2027" s="4">
        <v>9</v>
      </c>
      <c r="G2027" s="4">
        <v>45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9</v>
      </c>
      <c r="D2028" s="4">
        <v>9</v>
      </c>
      <c r="E2028" s="4">
        <v>0</v>
      </c>
      <c r="F2028" s="4">
        <v>0</v>
      </c>
      <c r="G2028" s="4">
        <v>0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9</v>
      </c>
      <c r="D2029" s="4">
        <v>9</v>
      </c>
      <c r="E2029" s="4">
        <v>0</v>
      </c>
      <c r="F2029" s="4">
        <v>0</v>
      </c>
      <c r="G2029" s="4">
        <v>0</v>
      </c>
      <c r="H2029" s="5">
        <f t="shared" si="31"/>
        <v>0</v>
      </c>
    </row>
    <row r="2030" spans="1:8" ht="13.5" x14ac:dyDescent="0.25">
      <c r="A2030" s="1"/>
      <c r="B2030" s="3">
        <v>45254</v>
      </c>
      <c r="C2030" s="4">
        <v>8.8000000000000007</v>
      </c>
      <c r="D2030" s="4">
        <v>8.8000000000000007</v>
      </c>
      <c r="E2030" s="4">
        <v>290</v>
      </c>
      <c r="F2030" s="4">
        <v>8.8000000000000007</v>
      </c>
      <c r="G2030" s="4">
        <v>2552</v>
      </c>
      <c r="H2030" s="5">
        <f t="shared" si="31"/>
        <v>-2.2222222222222143E-2</v>
      </c>
    </row>
    <row r="2031" spans="1:8" ht="13.5" x14ac:dyDescent="0.25">
      <c r="A2031" s="1"/>
      <c r="B2031" s="3">
        <v>45257</v>
      </c>
      <c r="C2031" s="4">
        <v>8.81</v>
      </c>
      <c r="D2031" s="4">
        <v>8.81</v>
      </c>
      <c r="E2031" s="4">
        <v>5</v>
      </c>
      <c r="F2031" s="4">
        <v>8.81</v>
      </c>
      <c r="G2031" s="4">
        <v>44.05</v>
      </c>
      <c r="H2031" s="5">
        <f t="shared" si="31"/>
        <v>1.136363636363612E-3</v>
      </c>
    </row>
    <row r="2032" spans="1:8" ht="13.5" x14ac:dyDescent="0.25">
      <c r="A2032" s="1"/>
      <c r="B2032" s="3">
        <v>45258</v>
      </c>
      <c r="C2032" s="4">
        <v>8.8000000000000007</v>
      </c>
      <c r="D2032" s="4">
        <v>8.8000000000000007</v>
      </c>
      <c r="E2032" s="4">
        <v>11</v>
      </c>
      <c r="F2032" s="4">
        <v>8.8000000000000007</v>
      </c>
      <c r="G2032" s="4">
        <v>96.8</v>
      </c>
      <c r="H2032" s="5">
        <f t="shared" si="31"/>
        <v>-1.1350737797956624E-3</v>
      </c>
    </row>
    <row r="2033" spans="1:8" ht="13.5" x14ac:dyDescent="0.25">
      <c r="A2033" s="1"/>
      <c r="B2033" s="3">
        <v>45259</v>
      </c>
      <c r="C2033" s="4">
        <v>8.41</v>
      </c>
      <c r="D2033" s="4">
        <v>8.41</v>
      </c>
      <c r="E2033" s="4">
        <v>20</v>
      </c>
      <c r="F2033" s="4">
        <v>8.41</v>
      </c>
      <c r="G2033" s="4">
        <v>168.2</v>
      </c>
      <c r="H2033" s="5">
        <f t="shared" si="31"/>
        <v>-4.4318181818181882E-2</v>
      </c>
    </row>
    <row r="2034" spans="1:8" ht="13.5" x14ac:dyDescent="0.25">
      <c r="A2034" s="1"/>
      <c r="B2034" s="3">
        <v>45260</v>
      </c>
      <c r="C2034" s="4">
        <v>8.41</v>
      </c>
      <c r="D2034" s="4">
        <v>8.41</v>
      </c>
      <c r="E2034" s="4">
        <v>0</v>
      </c>
      <c r="F2034" s="4">
        <v>0</v>
      </c>
      <c r="G2034" s="4">
        <v>0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8.7799999999999994</v>
      </c>
      <c r="D2035" s="4">
        <v>8.7799999999999994</v>
      </c>
      <c r="E2035" s="4">
        <v>0</v>
      </c>
      <c r="F2035" s="4">
        <v>0</v>
      </c>
      <c r="G2035" s="4">
        <v>0</v>
      </c>
      <c r="H2035" s="5">
        <f t="shared" si="31"/>
        <v>4.3995243757431537E-2</v>
      </c>
    </row>
    <row r="2036" spans="1:8" ht="13.5" x14ac:dyDescent="0.25">
      <c r="A2036" s="1"/>
      <c r="B2036" s="3">
        <v>45264</v>
      </c>
      <c r="C2036" s="4">
        <v>8.39</v>
      </c>
      <c r="D2036" s="4">
        <v>8.39</v>
      </c>
      <c r="E2036" s="4">
        <v>2</v>
      </c>
      <c r="F2036" s="4">
        <v>8.8000000000000007</v>
      </c>
      <c r="G2036" s="4">
        <v>17.600000000000001</v>
      </c>
      <c r="H2036" s="5">
        <f t="shared" si="31"/>
        <v>-4.4419134396355218E-2</v>
      </c>
    </row>
    <row r="2037" spans="1:8" ht="13.5" x14ac:dyDescent="0.25">
      <c r="A2037" s="1"/>
      <c r="B2037" s="3">
        <v>45265</v>
      </c>
      <c r="C2037" s="4">
        <v>8.3800000000000008</v>
      </c>
      <c r="D2037" s="4">
        <v>8.3800000000000008</v>
      </c>
      <c r="E2037" s="4">
        <v>4</v>
      </c>
      <c r="F2037" s="4">
        <v>8.3800000000000008</v>
      </c>
      <c r="G2037" s="4">
        <v>33.520000000000003</v>
      </c>
      <c r="H2037" s="5">
        <f t="shared" si="31"/>
        <v>-1.1918951132300103E-3</v>
      </c>
    </row>
    <row r="2038" spans="1:8" ht="13.5" x14ac:dyDescent="0.25">
      <c r="A2038" s="1"/>
      <c r="B2038" s="3">
        <v>45266</v>
      </c>
      <c r="C2038" s="4">
        <v>8.01</v>
      </c>
      <c r="D2038" s="4">
        <v>8.01</v>
      </c>
      <c r="E2038" s="4">
        <v>113</v>
      </c>
      <c r="F2038" s="4">
        <v>8.01</v>
      </c>
      <c r="G2038" s="4">
        <v>905.13</v>
      </c>
      <c r="H2038" s="5">
        <f t="shared" si="31"/>
        <v>-4.4152744630071711E-2</v>
      </c>
    </row>
    <row r="2039" spans="1:8" ht="13.5" x14ac:dyDescent="0.25">
      <c r="A2039" s="1"/>
      <c r="B2039" s="3">
        <v>45267</v>
      </c>
      <c r="C2039" s="4">
        <v>8.01</v>
      </c>
      <c r="D2039" s="4">
        <v>8.01</v>
      </c>
      <c r="E2039" s="4">
        <v>11</v>
      </c>
      <c r="F2039" s="4">
        <v>8.01</v>
      </c>
      <c r="G2039" s="4">
        <v>88.11</v>
      </c>
      <c r="H2039" s="5">
        <f t="shared" si="31"/>
        <v>0</v>
      </c>
    </row>
    <row r="2040" spans="1:8" ht="13.5" x14ac:dyDescent="0.25">
      <c r="A2040" s="1"/>
      <c r="B2040" s="3">
        <v>45268</v>
      </c>
      <c r="C2040" s="4">
        <v>8.01</v>
      </c>
      <c r="D2040" s="4">
        <v>8.01</v>
      </c>
      <c r="E2040" s="4">
        <v>5</v>
      </c>
      <c r="F2040" s="4">
        <v>8.01</v>
      </c>
      <c r="G2040" s="4">
        <v>40.049999999999997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8.01</v>
      </c>
      <c r="D2041" s="4">
        <v>8.01</v>
      </c>
      <c r="E2041" s="4">
        <v>118</v>
      </c>
      <c r="F2041" s="4">
        <v>7.9550000000000001</v>
      </c>
      <c r="G2041" s="4">
        <v>938.69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8.01</v>
      </c>
      <c r="D2042" s="4">
        <v>8.01</v>
      </c>
      <c r="E2042" s="4">
        <v>0</v>
      </c>
      <c r="F2042" s="4">
        <v>0</v>
      </c>
      <c r="G2042" s="4">
        <v>0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8.01</v>
      </c>
      <c r="D2043" s="4">
        <v>8.01</v>
      </c>
      <c r="E2043" s="4">
        <v>0</v>
      </c>
      <c r="F2043" s="4">
        <v>0</v>
      </c>
      <c r="G2043" s="4">
        <v>0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8</v>
      </c>
      <c r="D2044" s="4">
        <v>8</v>
      </c>
      <c r="E2044" s="4">
        <v>2</v>
      </c>
      <c r="F2044" s="4">
        <v>8</v>
      </c>
      <c r="G2044" s="4">
        <v>16</v>
      </c>
      <c r="H2044" s="5">
        <f t="shared" si="31"/>
        <v>-1.248439450686615E-3</v>
      </c>
    </row>
    <row r="2045" spans="1:8" ht="13.5" x14ac:dyDescent="0.25">
      <c r="A2045" s="1"/>
      <c r="B2045" s="3">
        <v>45275</v>
      </c>
      <c r="C2045" s="4">
        <v>8</v>
      </c>
      <c r="D2045" s="4">
        <v>8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8</v>
      </c>
      <c r="D2046" s="4">
        <v>8</v>
      </c>
      <c r="E2046" s="4">
        <v>0</v>
      </c>
      <c r="F2046" s="4">
        <v>0</v>
      </c>
      <c r="G2046" s="4">
        <v>0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8</v>
      </c>
      <c r="D2047" s="4">
        <v>8</v>
      </c>
      <c r="E2047" s="4">
        <v>0</v>
      </c>
      <c r="F2047" s="4">
        <v>0</v>
      </c>
      <c r="G2047" s="4">
        <v>0</v>
      </c>
      <c r="H2047" s="5">
        <f t="shared" si="31"/>
        <v>0</v>
      </c>
    </row>
    <row r="2048" spans="1:8" ht="13.5" x14ac:dyDescent="0.25">
      <c r="A2048" s="1"/>
      <c r="B2048" s="3">
        <v>45280</v>
      </c>
      <c r="C2048" s="4">
        <v>8</v>
      </c>
      <c r="D2048" s="4">
        <v>8</v>
      </c>
      <c r="E2048" s="4">
        <v>18</v>
      </c>
      <c r="F2048" s="4">
        <v>8</v>
      </c>
      <c r="G2048" s="4">
        <v>144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8</v>
      </c>
      <c r="D2049" s="4">
        <v>8</v>
      </c>
      <c r="E2049" s="4">
        <v>26</v>
      </c>
      <c r="F2049" s="4">
        <v>8</v>
      </c>
      <c r="G2049" s="4">
        <v>208</v>
      </c>
      <c r="H2049" s="5">
        <f t="shared" si="31"/>
        <v>0</v>
      </c>
    </row>
    <row r="2050" spans="1:8" ht="13.5" x14ac:dyDescent="0.25">
      <c r="A2050" s="1"/>
      <c r="B2050" s="3">
        <v>45282</v>
      </c>
      <c r="C2050" s="4">
        <v>8</v>
      </c>
      <c r="D2050" s="4">
        <v>8</v>
      </c>
      <c r="E2050" s="4">
        <v>5</v>
      </c>
      <c r="F2050" s="4">
        <v>8</v>
      </c>
      <c r="G2050" s="4">
        <v>40</v>
      </c>
      <c r="H2050" s="5">
        <f t="shared" si="31"/>
        <v>0</v>
      </c>
    </row>
    <row r="2051" spans="1:8" ht="13.5" x14ac:dyDescent="0.25">
      <c r="A2051" s="1"/>
      <c r="B2051" s="3">
        <v>45285</v>
      </c>
      <c r="C2051" s="4">
        <v>8</v>
      </c>
      <c r="D2051" s="4">
        <v>8</v>
      </c>
      <c r="E2051" s="4">
        <v>0</v>
      </c>
      <c r="F2051" s="4">
        <v>0</v>
      </c>
      <c r="G2051" s="4">
        <v>0</v>
      </c>
      <c r="H2051" s="5">
        <f t="shared" si="31"/>
        <v>0</v>
      </c>
    </row>
    <row r="2052" spans="1:8" ht="13.5" x14ac:dyDescent="0.25">
      <c r="A2052" s="1"/>
      <c r="B2052" s="3">
        <v>45286</v>
      </c>
      <c r="C2052" s="4">
        <v>8</v>
      </c>
      <c r="D2052" s="4">
        <v>8</v>
      </c>
      <c r="E2052" s="4">
        <v>5</v>
      </c>
      <c r="F2052" s="4">
        <v>8</v>
      </c>
      <c r="G2052" s="4">
        <v>40</v>
      </c>
      <c r="H2052" s="5">
        <f t="shared" si="31"/>
        <v>0</v>
      </c>
    </row>
    <row r="2053" spans="1:8" ht="13.5" x14ac:dyDescent="0.25">
      <c r="A2053" s="1"/>
      <c r="B2053" s="3">
        <v>45287</v>
      </c>
      <c r="C2053" s="4">
        <v>7.99</v>
      </c>
      <c r="D2053" s="4">
        <v>7.99</v>
      </c>
      <c r="E2053" s="4">
        <v>9</v>
      </c>
      <c r="F2053" s="4">
        <v>7.99</v>
      </c>
      <c r="G2053" s="4">
        <v>71.91</v>
      </c>
      <c r="H2053" s="5">
        <f t="shared" si="31"/>
        <v>-1.2499999999999734E-3</v>
      </c>
    </row>
    <row r="2054" spans="1:8" ht="13.5" x14ac:dyDescent="0.25">
      <c r="A2054" s="1"/>
      <c r="B2054" s="3">
        <v>45288</v>
      </c>
      <c r="C2054" s="4">
        <v>7.99</v>
      </c>
      <c r="D2054" s="4">
        <v>7.99</v>
      </c>
      <c r="E2054" s="4">
        <v>6</v>
      </c>
      <c r="F2054" s="4">
        <v>7.99</v>
      </c>
      <c r="G2054" s="4">
        <v>47.94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7.99</v>
      </c>
      <c r="D2055" s="4">
        <v>7.99</v>
      </c>
      <c r="E2055" s="4">
        <v>5</v>
      </c>
      <c r="F2055" s="4">
        <v>7.99</v>
      </c>
      <c r="G2055" s="4">
        <v>39.950000000000003</v>
      </c>
      <c r="H2055" s="5">
        <f t="shared" ref="H2055:H2118" si="32">(D2055-D2054)/D2054</f>
        <v>0</v>
      </c>
    </row>
    <row r="2056" spans="1:8" ht="13.5" x14ac:dyDescent="0.25">
      <c r="A2056" s="1"/>
      <c r="B2056" s="3">
        <v>45293</v>
      </c>
      <c r="C2056" s="4">
        <v>7.99</v>
      </c>
      <c r="D2056" s="4">
        <v>7.99</v>
      </c>
      <c r="E2056" s="4">
        <v>0</v>
      </c>
      <c r="F2056" s="4">
        <v>0</v>
      </c>
      <c r="G2056" s="4">
        <v>0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7.99</v>
      </c>
      <c r="D2057" s="4">
        <v>7.99</v>
      </c>
      <c r="E2057" s="4">
        <v>10</v>
      </c>
      <c r="F2057" s="4">
        <v>7.99</v>
      </c>
      <c r="G2057" s="4">
        <v>79.900000000000006</v>
      </c>
      <c r="H2057" s="5">
        <f t="shared" si="32"/>
        <v>0</v>
      </c>
    </row>
    <row r="2058" spans="1:8" ht="13.5" x14ac:dyDescent="0.25">
      <c r="A2058" s="1"/>
      <c r="B2058" s="3">
        <v>45295</v>
      </c>
      <c r="C2058" s="4">
        <v>7.99</v>
      </c>
      <c r="D2058" s="4">
        <v>7.99</v>
      </c>
      <c r="E2058" s="4">
        <v>0</v>
      </c>
      <c r="F2058" s="4">
        <v>0</v>
      </c>
      <c r="G2058" s="4">
        <v>0</v>
      </c>
      <c r="H2058" s="5">
        <f t="shared" si="32"/>
        <v>0</v>
      </c>
    </row>
    <row r="2059" spans="1:8" ht="13.5" x14ac:dyDescent="0.25">
      <c r="A2059" s="1"/>
      <c r="B2059" s="3">
        <v>45296</v>
      </c>
      <c r="C2059" s="4">
        <v>7.99</v>
      </c>
      <c r="D2059" s="4">
        <v>7.99</v>
      </c>
      <c r="E2059" s="4">
        <v>0</v>
      </c>
      <c r="F2059" s="4">
        <v>0</v>
      </c>
      <c r="G2059" s="4">
        <v>0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7.99</v>
      </c>
      <c r="D2060" s="4">
        <v>7.99</v>
      </c>
      <c r="E2060" s="4">
        <v>0</v>
      </c>
      <c r="F2060" s="4">
        <v>0</v>
      </c>
      <c r="G2060" s="4">
        <v>0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8</v>
      </c>
      <c r="D2061" s="4">
        <v>8</v>
      </c>
      <c r="E2061" s="4">
        <v>19</v>
      </c>
      <c r="F2061" s="4">
        <v>8</v>
      </c>
      <c r="G2061" s="4">
        <v>152</v>
      </c>
      <c r="H2061" s="5">
        <f t="shared" si="32"/>
        <v>1.2515644555694352E-3</v>
      </c>
    </row>
    <row r="2062" spans="1:8" ht="13.5" x14ac:dyDescent="0.25">
      <c r="A2062" s="1"/>
      <c r="B2062" s="3">
        <v>45301</v>
      </c>
      <c r="C2062" s="4">
        <v>8</v>
      </c>
      <c r="D2062" s="4">
        <v>8</v>
      </c>
      <c r="E2062" s="4">
        <v>0</v>
      </c>
      <c r="F2062" s="4">
        <v>0</v>
      </c>
      <c r="G2062" s="4">
        <v>0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8</v>
      </c>
      <c r="D2063" s="4">
        <v>8</v>
      </c>
      <c r="E2063" s="4">
        <v>0</v>
      </c>
      <c r="F2063" s="4">
        <v>0</v>
      </c>
      <c r="G2063" s="4">
        <v>0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8</v>
      </c>
      <c r="D2064" s="4">
        <v>8</v>
      </c>
      <c r="E2064" s="4">
        <v>85</v>
      </c>
      <c r="F2064" s="4">
        <v>8</v>
      </c>
      <c r="G2064" s="4">
        <v>680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8</v>
      </c>
      <c r="D2065" s="4">
        <v>8</v>
      </c>
      <c r="E2065" s="4">
        <v>0</v>
      </c>
      <c r="F2065" s="4">
        <v>0</v>
      </c>
      <c r="G2065" s="4">
        <v>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8</v>
      </c>
      <c r="D2066" s="4">
        <v>8</v>
      </c>
      <c r="E2066" s="4">
        <v>0</v>
      </c>
      <c r="F2066" s="4">
        <v>0</v>
      </c>
      <c r="G2066" s="4">
        <v>0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8</v>
      </c>
      <c r="D2067" s="4">
        <v>8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8</v>
      </c>
      <c r="D2068" s="4">
        <v>8</v>
      </c>
      <c r="E2068" s="4">
        <v>0</v>
      </c>
      <c r="F2068" s="4">
        <v>0</v>
      </c>
      <c r="G2068" s="4">
        <v>0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7.9</v>
      </c>
      <c r="D2069" s="4">
        <v>7.9</v>
      </c>
      <c r="E2069" s="4">
        <v>120</v>
      </c>
      <c r="F2069" s="4">
        <v>7.9</v>
      </c>
      <c r="G2069" s="4">
        <v>948</v>
      </c>
      <c r="H2069" s="5">
        <f t="shared" si="32"/>
        <v>-1.2499999999999956E-2</v>
      </c>
    </row>
    <row r="2070" spans="1:8" ht="13.5" x14ac:dyDescent="0.25">
      <c r="A2070" s="1"/>
      <c r="B2070" s="3">
        <v>45313</v>
      </c>
      <c r="C2070" s="4">
        <v>7.9</v>
      </c>
      <c r="D2070" s="4">
        <v>7.9</v>
      </c>
      <c r="E2070" s="4">
        <v>7672</v>
      </c>
      <c r="F2070" s="4">
        <v>7.99</v>
      </c>
      <c r="G2070" s="4">
        <v>61299.28</v>
      </c>
      <c r="H2070" s="5">
        <f t="shared" si="32"/>
        <v>0</v>
      </c>
    </row>
    <row r="2071" spans="1:8" ht="13.5" x14ac:dyDescent="0.25">
      <c r="A2071" s="1"/>
      <c r="B2071" s="3">
        <v>45314</v>
      </c>
      <c r="C2071" s="4">
        <v>7.9</v>
      </c>
      <c r="D2071" s="4">
        <v>7.9</v>
      </c>
      <c r="E2071" s="4">
        <v>280</v>
      </c>
      <c r="F2071" s="4">
        <v>7.9</v>
      </c>
      <c r="G2071" s="4">
        <v>2212</v>
      </c>
      <c r="H2071" s="5">
        <f t="shared" si="32"/>
        <v>0</v>
      </c>
    </row>
    <row r="2072" spans="1:8" ht="13.5" x14ac:dyDescent="0.25">
      <c r="A2072" s="1"/>
      <c r="B2072" s="3">
        <v>45315</v>
      </c>
      <c r="C2072" s="4">
        <v>7.9</v>
      </c>
      <c r="D2072" s="4">
        <v>7.9</v>
      </c>
      <c r="E2072" s="4">
        <v>0</v>
      </c>
      <c r="F2072" s="4">
        <v>0</v>
      </c>
      <c r="G2072" s="4">
        <v>0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7.9</v>
      </c>
      <c r="D2073" s="4">
        <v>7.9</v>
      </c>
      <c r="E2073" s="4">
        <v>0</v>
      </c>
      <c r="F2073" s="4">
        <v>0</v>
      </c>
      <c r="G2073" s="4">
        <v>0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7.9</v>
      </c>
      <c r="D2074" s="4">
        <v>7.9</v>
      </c>
      <c r="E2074" s="4">
        <v>6</v>
      </c>
      <c r="F2074" s="4">
        <v>7.9</v>
      </c>
      <c r="G2074" s="4">
        <v>47.4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7.9</v>
      </c>
      <c r="D2075" s="4">
        <v>7.9</v>
      </c>
      <c r="E2075" s="4">
        <v>0</v>
      </c>
      <c r="F2075" s="4">
        <v>0</v>
      </c>
      <c r="G2075" s="4">
        <v>0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7.55</v>
      </c>
      <c r="D2076" s="4">
        <v>7.55</v>
      </c>
      <c r="E2076" s="4">
        <v>0</v>
      </c>
      <c r="F2076" s="4">
        <v>0</v>
      </c>
      <c r="G2076" s="4">
        <v>0</v>
      </c>
      <c r="H2076" s="5">
        <f t="shared" si="32"/>
        <v>-4.4303797468354493E-2</v>
      </c>
    </row>
    <row r="2077" spans="1:8" ht="13.5" x14ac:dyDescent="0.25">
      <c r="A2077" s="1"/>
      <c r="B2077" s="3">
        <v>45322</v>
      </c>
      <c r="C2077" s="4">
        <v>7.55</v>
      </c>
      <c r="D2077" s="4">
        <v>7.55</v>
      </c>
      <c r="E2077" s="4">
        <v>0</v>
      </c>
      <c r="F2077" s="4">
        <v>0</v>
      </c>
      <c r="G2077" s="4">
        <v>0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7.55</v>
      </c>
      <c r="D2078" s="4">
        <v>7.55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7.55</v>
      </c>
      <c r="D2079" s="4">
        <v>7.55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7.5</v>
      </c>
      <c r="D2080" s="4">
        <v>7.5</v>
      </c>
      <c r="E2080" s="4">
        <v>40</v>
      </c>
      <c r="F2080" s="4">
        <v>7.5</v>
      </c>
      <c r="G2080" s="4">
        <v>300</v>
      </c>
      <c r="H2080" s="5">
        <f t="shared" si="32"/>
        <v>-6.6225165562913673E-3</v>
      </c>
    </row>
    <row r="2081" spans="1:8" ht="13.5" x14ac:dyDescent="0.25">
      <c r="A2081" s="1"/>
      <c r="B2081" s="3">
        <v>45328</v>
      </c>
      <c r="C2081" s="4">
        <v>7.5</v>
      </c>
      <c r="D2081" s="4">
        <v>7.5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7.45</v>
      </c>
      <c r="D2082" s="4">
        <v>7.45</v>
      </c>
      <c r="E2082" s="4">
        <v>10</v>
      </c>
      <c r="F2082" s="4">
        <v>7.45</v>
      </c>
      <c r="G2082" s="4">
        <v>74.5</v>
      </c>
      <c r="H2082" s="5">
        <f t="shared" si="32"/>
        <v>-6.6666666666666428E-3</v>
      </c>
    </row>
    <row r="2083" spans="1:8" ht="13.5" x14ac:dyDescent="0.25">
      <c r="A2083" s="1"/>
      <c r="B2083" s="3">
        <v>45330</v>
      </c>
      <c r="C2083" s="4">
        <v>7.45</v>
      </c>
      <c r="D2083" s="4">
        <v>7.45</v>
      </c>
      <c r="E2083" s="4">
        <v>0</v>
      </c>
      <c r="F2083" s="4">
        <v>0</v>
      </c>
      <c r="G2083" s="4">
        <v>0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7.45</v>
      </c>
      <c r="D2084" s="4">
        <v>7.45</v>
      </c>
      <c r="E2084" s="4">
        <v>0</v>
      </c>
      <c r="F2084" s="4">
        <v>0</v>
      </c>
      <c r="G2084" s="4">
        <v>0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7.45</v>
      </c>
      <c r="D2085" s="4">
        <v>7.45</v>
      </c>
      <c r="E2085" s="4">
        <v>0</v>
      </c>
      <c r="F2085" s="4">
        <v>0</v>
      </c>
      <c r="G2085" s="4">
        <v>0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7.45</v>
      </c>
      <c r="D2086" s="4">
        <v>7.45</v>
      </c>
      <c r="E2086" s="4">
        <v>175</v>
      </c>
      <c r="F2086" s="4">
        <v>7.45</v>
      </c>
      <c r="G2086" s="4">
        <v>1303.75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7.45</v>
      </c>
      <c r="D2087" s="4">
        <v>7.45</v>
      </c>
      <c r="E2087" s="4">
        <v>11</v>
      </c>
      <c r="F2087" s="4">
        <v>7.45</v>
      </c>
      <c r="G2087" s="4">
        <v>81.95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7.45</v>
      </c>
      <c r="D2088" s="4">
        <v>7.45</v>
      </c>
      <c r="E2088" s="4">
        <v>0</v>
      </c>
      <c r="F2088" s="4">
        <v>0</v>
      </c>
      <c r="G2088" s="4">
        <v>0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7.45</v>
      </c>
      <c r="D2089" s="4">
        <v>7.45</v>
      </c>
      <c r="E2089" s="4">
        <v>0</v>
      </c>
      <c r="F2089" s="4">
        <v>0</v>
      </c>
      <c r="G2089" s="4">
        <v>0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7.45</v>
      </c>
      <c r="D2090" s="4">
        <v>7.45</v>
      </c>
      <c r="E2090" s="4">
        <v>0</v>
      </c>
      <c r="F2090" s="4">
        <v>0</v>
      </c>
      <c r="G2090" s="4">
        <v>0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7.45</v>
      </c>
      <c r="D2091" s="4">
        <v>7.45</v>
      </c>
      <c r="E2091" s="4">
        <v>0</v>
      </c>
      <c r="F2091" s="4">
        <v>0</v>
      </c>
      <c r="G2091" s="4">
        <v>0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7.45</v>
      </c>
      <c r="D2092" s="4">
        <v>7.45</v>
      </c>
      <c r="E2092" s="4">
        <v>0</v>
      </c>
      <c r="F2092" s="4">
        <v>0</v>
      </c>
      <c r="G2092" s="4">
        <v>0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7.45</v>
      </c>
      <c r="D2093" s="4">
        <v>7.45</v>
      </c>
      <c r="E2093" s="4">
        <v>5</v>
      </c>
      <c r="F2093" s="4">
        <v>7.45</v>
      </c>
      <c r="G2093" s="4">
        <v>37.25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7.45</v>
      </c>
      <c r="D2094" s="4">
        <v>7.45</v>
      </c>
      <c r="E2094" s="4">
        <v>0</v>
      </c>
      <c r="F2094" s="4">
        <v>0</v>
      </c>
      <c r="G2094" s="4">
        <v>0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7.45</v>
      </c>
      <c r="D2095" s="4">
        <v>7.45</v>
      </c>
      <c r="E2095" s="4">
        <v>0</v>
      </c>
      <c r="F2095" s="4">
        <v>0</v>
      </c>
      <c r="G2095" s="4">
        <v>0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7.55</v>
      </c>
      <c r="D2096" s="4">
        <v>7.55</v>
      </c>
      <c r="E2096" s="4">
        <v>147</v>
      </c>
      <c r="F2096" s="4">
        <v>7.55</v>
      </c>
      <c r="G2096" s="4">
        <v>1109.8499999999999</v>
      </c>
      <c r="H2096" s="5">
        <f t="shared" si="32"/>
        <v>1.342281879194626E-2</v>
      </c>
    </row>
    <row r="2097" spans="1:8" ht="13.5" x14ac:dyDescent="0.25">
      <c r="A2097" s="1"/>
      <c r="B2097" s="3">
        <v>45350</v>
      </c>
      <c r="C2097" s="4">
        <v>7.55</v>
      </c>
      <c r="D2097" s="4">
        <v>7.55</v>
      </c>
      <c r="E2097" s="4">
        <v>366</v>
      </c>
      <c r="F2097" s="4">
        <v>7.55</v>
      </c>
      <c r="G2097" s="4">
        <v>2763.3</v>
      </c>
      <c r="H2097" s="5">
        <f t="shared" si="32"/>
        <v>0</v>
      </c>
    </row>
    <row r="2098" spans="1:8" ht="13.5" x14ac:dyDescent="0.25">
      <c r="A2098" s="1"/>
      <c r="B2098" s="3">
        <v>45351</v>
      </c>
      <c r="C2098" s="4">
        <v>7.45</v>
      </c>
      <c r="D2098" s="4">
        <v>7.45</v>
      </c>
      <c r="E2098" s="4">
        <v>150</v>
      </c>
      <c r="F2098" s="4">
        <v>7.45</v>
      </c>
      <c r="G2098" s="4">
        <v>1117.5</v>
      </c>
      <c r="H2098" s="5">
        <f t="shared" si="32"/>
        <v>-1.3245033112582735E-2</v>
      </c>
    </row>
    <row r="2099" spans="1:8" ht="13.5" x14ac:dyDescent="0.25">
      <c r="A2099" s="1"/>
      <c r="B2099" s="3">
        <v>45352</v>
      </c>
      <c r="C2099" s="4">
        <v>7.45</v>
      </c>
      <c r="D2099" s="4">
        <v>7.45</v>
      </c>
      <c r="E2099" s="4">
        <v>164</v>
      </c>
      <c r="F2099" s="4">
        <v>7.45</v>
      </c>
      <c r="G2099" s="4">
        <v>1221.8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7.45</v>
      </c>
      <c r="D2100" s="4">
        <v>7.45</v>
      </c>
      <c r="E2100" s="4">
        <v>0</v>
      </c>
      <c r="F2100" s="4">
        <v>0</v>
      </c>
      <c r="G2100" s="4">
        <v>0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7.78</v>
      </c>
      <c r="D2101" s="4">
        <v>7.78</v>
      </c>
      <c r="E2101" s="4">
        <v>2004</v>
      </c>
      <c r="F2101" s="4">
        <v>7.12</v>
      </c>
      <c r="G2101" s="4">
        <v>14268.48</v>
      </c>
      <c r="H2101" s="5">
        <f t="shared" si="32"/>
        <v>4.4295302013422827E-2</v>
      </c>
    </row>
    <row r="2102" spans="1:8" ht="13.5" x14ac:dyDescent="0.25">
      <c r="A2102" s="1"/>
      <c r="B2102" s="3">
        <v>45357</v>
      </c>
      <c r="C2102" s="4">
        <v>7.78</v>
      </c>
      <c r="D2102" s="4">
        <v>7.78</v>
      </c>
      <c r="E2102" s="4">
        <v>0</v>
      </c>
      <c r="F2102" s="4">
        <v>0</v>
      </c>
      <c r="G2102" s="4">
        <v>0</v>
      </c>
      <c r="H2102" s="5">
        <f t="shared" si="32"/>
        <v>0</v>
      </c>
    </row>
    <row r="2103" spans="1:8" ht="13.5" x14ac:dyDescent="0.25">
      <c r="A2103" s="1"/>
      <c r="B2103" s="3">
        <v>45358</v>
      </c>
      <c r="C2103" s="4">
        <v>7.77</v>
      </c>
      <c r="D2103" s="4">
        <v>7.77</v>
      </c>
      <c r="E2103" s="4">
        <v>15</v>
      </c>
      <c r="F2103" s="4">
        <v>7.77</v>
      </c>
      <c r="G2103" s="4">
        <v>116.55</v>
      </c>
      <c r="H2103" s="5">
        <f t="shared" si="32"/>
        <v>-1.2853470437018861E-3</v>
      </c>
    </row>
    <row r="2104" spans="1:8" ht="13.5" x14ac:dyDescent="0.25">
      <c r="A2104" s="1"/>
      <c r="B2104" s="3">
        <v>45359</v>
      </c>
      <c r="C2104" s="4">
        <v>7.77</v>
      </c>
      <c r="D2104" s="4">
        <v>7.77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7.77</v>
      </c>
      <c r="D2105" s="4">
        <v>7.77</v>
      </c>
      <c r="E2105" s="4">
        <v>0</v>
      </c>
      <c r="F2105" s="4">
        <v>0</v>
      </c>
      <c r="G2105" s="4">
        <v>0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7.77</v>
      </c>
      <c r="D2106" s="4">
        <v>7.77</v>
      </c>
      <c r="E2106" s="4">
        <v>0</v>
      </c>
      <c r="F2106" s="4">
        <v>0</v>
      </c>
      <c r="G2106" s="4">
        <v>0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7.77</v>
      </c>
      <c r="D2107" s="4">
        <v>7.77</v>
      </c>
      <c r="E2107" s="4">
        <v>0</v>
      </c>
      <c r="F2107" s="4">
        <v>0</v>
      </c>
      <c r="G2107" s="4">
        <v>0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7.77</v>
      </c>
      <c r="D2108" s="4">
        <v>7.77</v>
      </c>
      <c r="E2108" s="4">
        <v>0</v>
      </c>
      <c r="F2108" s="4">
        <v>0</v>
      </c>
      <c r="G2108" s="4">
        <v>0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7.77</v>
      </c>
      <c r="D2109" s="4">
        <v>7.77</v>
      </c>
      <c r="E2109" s="4">
        <v>0</v>
      </c>
      <c r="F2109" s="4">
        <v>0</v>
      </c>
      <c r="G2109" s="4">
        <v>0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7.77</v>
      </c>
      <c r="D2110" s="4">
        <v>7.77</v>
      </c>
      <c r="E2110" s="4">
        <v>0</v>
      </c>
      <c r="F2110" s="4">
        <v>0</v>
      </c>
      <c r="G2110" s="4">
        <v>0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7.77</v>
      </c>
      <c r="D2111" s="4">
        <v>7.77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7.77</v>
      </c>
      <c r="D2112" s="4">
        <v>7.77</v>
      </c>
      <c r="E2112" s="4">
        <v>0</v>
      </c>
      <c r="F2112" s="4">
        <v>0</v>
      </c>
      <c r="G2112" s="4">
        <v>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8.11</v>
      </c>
      <c r="D2113" s="4">
        <v>8.11</v>
      </c>
      <c r="E2113" s="4">
        <v>0</v>
      </c>
      <c r="F2113" s="4">
        <v>0</v>
      </c>
      <c r="G2113" s="4">
        <v>0</v>
      </c>
      <c r="H2113" s="5">
        <f t="shared" si="32"/>
        <v>4.3758043758043742E-2</v>
      </c>
    </row>
    <row r="2114" spans="1:8" ht="13.5" x14ac:dyDescent="0.25">
      <c r="A2114" s="1"/>
      <c r="B2114" s="3">
        <v>45376</v>
      </c>
      <c r="C2114" s="4">
        <v>8.11</v>
      </c>
      <c r="D2114" s="4">
        <v>8.11</v>
      </c>
      <c r="E2114" s="4">
        <v>0</v>
      </c>
      <c r="F2114" s="4">
        <v>0</v>
      </c>
      <c r="G2114" s="4">
        <v>0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8.11</v>
      </c>
      <c r="D2115" s="4">
        <v>8.11</v>
      </c>
      <c r="E2115" s="4">
        <v>0</v>
      </c>
      <c r="F2115" s="4">
        <v>0</v>
      </c>
      <c r="G2115" s="4">
        <v>0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8.11</v>
      </c>
      <c r="D2116" s="4">
        <v>8.11</v>
      </c>
      <c r="E2116" s="4">
        <v>0</v>
      </c>
      <c r="F2116" s="4">
        <v>0</v>
      </c>
      <c r="G2116" s="4">
        <v>0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8.11</v>
      </c>
      <c r="D2117" s="4">
        <v>8.11</v>
      </c>
      <c r="E2117" s="4">
        <v>0</v>
      </c>
      <c r="F2117" s="4">
        <v>0</v>
      </c>
      <c r="G2117" s="4">
        <v>0</v>
      </c>
      <c r="H2117" s="5">
        <f t="shared" si="32"/>
        <v>0</v>
      </c>
    </row>
    <row r="2118" spans="1:8" ht="13.5" x14ac:dyDescent="0.25">
      <c r="A2118" s="1"/>
      <c r="B2118" s="3">
        <v>45380</v>
      </c>
      <c r="C2118" s="4">
        <v>7.75</v>
      </c>
      <c r="D2118" s="4">
        <v>7.75</v>
      </c>
      <c r="E2118" s="4">
        <v>2</v>
      </c>
      <c r="F2118" s="4">
        <v>7.75</v>
      </c>
      <c r="G2118" s="4">
        <v>15.5</v>
      </c>
      <c r="H2118" s="5">
        <f t="shared" si="32"/>
        <v>-4.4389642416769355E-2</v>
      </c>
    </row>
    <row r="2119" spans="1:8" ht="13.5" x14ac:dyDescent="0.25">
      <c r="A2119" s="1"/>
      <c r="B2119" s="3">
        <v>45383</v>
      </c>
      <c r="C2119" s="4">
        <v>7.75</v>
      </c>
      <c r="D2119" s="4">
        <v>7.75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7.75</v>
      </c>
      <c r="D2120" s="4">
        <v>7.75</v>
      </c>
      <c r="E2120" s="4">
        <v>15</v>
      </c>
      <c r="F2120" s="4">
        <v>7.75</v>
      </c>
      <c r="G2120" s="4">
        <v>116.25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7.75</v>
      </c>
      <c r="D2121" s="4">
        <v>7.75</v>
      </c>
      <c r="E2121" s="4">
        <v>0</v>
      </c>
      <c r="F2121" s="4">
        <v>0</v>
      </c>
      <c r="G2121" s="4">
        <v>0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7.74</v>
      </c>
      <c r="D2122" s="4">
        <v>7.74</v>
      </c>
      <c r="E2122" s="4">
        <v>8</v>
      </c>
      <c r="F2122" s="4">
        <v>7.74</v>
      </c>
      <c r="G2122" s="4">
        <v>61.92</v>
      </c>
      <c r="H2122" s="5">
        <f t="shared" si="33"/>
        <v>-1.2903225806451338E-3</v>
      </c>
    </row>
    <row r="2123" spans="1:8" ht="13.5" x14ac:dyDescent="0.25">
      <c r="A2123" s="1"/>
      <c r="B2123" s="3">
        <v>45387</v>
      </c>
      <c r="C2123" s="4">
        <v>7.4</v>
      </c>
      <c r="D2123" s="4">
        <v>7.4</v>
      </c>
      <c r="E2123" s="4">
        <v>27</v>
      </c>
      <c r="F2123" s="4">
        <v>7.4</v>
      </c>
      <c r="G2123" s="4">
        <v>199.8</v>
      </c>
      <c r="H2123" s="5">
        <f t="shared" si="33"/>
        <v>-4.3927648578811353E-2</v>
      </c>
    </row>
    <row r="2124" spans="1:8" ht="13.5" x14ac:dyDescent="0.25">
      <c r="A2124" s="1"/>
      <c r="B2124" s="3">
        <v>45390</v>
      </c>
      <c r="C2124" s="4">
        <v>7.12</v>
      </c>
      <c r="D2124" s="4">
        <v>7.12</v>
      </c>
      <c r="E2124" s="4">
        <v>462</v>
      </c>
      <c r="F2124" s="4">
        <v>7.12</v>
      </c>
      <c r="G2124" s="4">
        <v>3289.44</v>
      </c>
      <c r="H2124" s="5">
        <f t="shared" si="33"/>
        <v>-3.7837837837837868E-2</v>
      </c>
    </row>
    <row r="2125" spans="1:8" ht="13.5" x14ac:dyDescent="0.25">
      <c r="A2125" s="1"/>
      <c r="B2125" s="3">
        <v>45394</v>
      </c>
      <c r="C2125" s="4">
        <v>7.13</v>
      </c>
      <c r="D2125" s="4">
        <v>7.13</v>
      </c>
      <c r="E2125" s="4">
        <v>8</v>
      </c>
      <c r="F2125" s="4">
        <v>7.13</v>
      </c>
      <c r="G2125" s="4">
        <v>57.04</v>
      </c>
      <c r="H2125" s="5">
        <f t="shared" si="33"/>
        <v>1.4044943820224419E-3</v>
      </c>
    </row>
    <row r="2126" spans="1:8" ht="13.5" x14ac:dyDescent="0.25">
      <c r="A2126" s="1"/>
      <c r="B2126" s="3">
        <v>45397</v>
      </c>
      <c r="C2126" s="4">
        <v>7.1</v>
      </c>
      <c r="D2126" s="4">
        <v>7.1</v>
      </c>
      <c r="E2126" s="4">
        <v>544</v>
      </c>
      <c r="F2126" s="4">
        <v>7.1</v>
      </c>
      <c r="G2126" s="4">
        <v>3862.4</v>
      </c>
      <c r="H2126" s="5">
        <f t="shared" si="33"/>
        <v>-4.207573632538604E-3</v>
      </c>
    </row>
    <row r="2127" spans="1:8" ht="13.5" x14ac:dyDescent="0.25">
      <c r="A2127" s="1"/>
      <c r="B2127" s="3">
        <v>45398</v>
      </c>
      <c r="C2127" s="4">
        <v>7.09</v>
      </c>
      <c r="D2127" s="4">
        <v>7.09</v>
      </c>
      <c r="E2127" s="4">
        <v>15</v>
      </c>
      <c r="F2127" s="4">
        <v>7.09</v>
      </c>
      <c r="G2127" s="4">
        <v>106.35</v>
      </c>
      <c r="H2127" s="5">
        <f t="shared" si="33"/>
        <v>-1.4084507042253223E-3</v>
      </c>
    </row>
    <row r="2128" spans="1:8" ht="13.5" x14ac:dyDescent="0.25">
      <c r="A2128" s="1"/>
      <c r="B2128" s="3">
        <v>45399</v>
      </c>
      <c r="C2128" s="4">
        <v>6.81</v>
      </c>
      <c r="D2128" s="4">
        <v>6.81</v>
      </c>
      <c r="E2128" s="4">
        <v>779</v>
      </c>
      <c r="F2128" s="4">
        <v>6.8029999999999999</v>
      </c>
      <c r="G2128" s="4">
        <v>5299.5370000000003</v>
      </c>
      <c r="H2128" s="5">
        <f t="shared" si="33"/>
        <v>-3.9492242595204549E-2</v>
      </c>
    </row>
    <row r="2129" spans="1:8" ht="13.5" x14ac:dyDescent="0.25">
      <c r="A2129" s="1"/>
      <c r="B2129" s="3">
        <v>45400</v>
      </c>
      <c r="C2129" s="4">
        <v>6.81</v>
      </c>
      <c r="D2129" s="4">
        <v>6.81</v>
      </c>
      <c r="E2129" s="4">
        <v>0</v>
      </c>
      <c r="F2129" s="4">
        <v>0</v>
      </c>
      <c r="G2129" s="4">
        <v>0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6.8</v>
      </c>
      <c r="D2130" s="4">
        <v>6.8</v>
      </c>
      <c r="E2130" s="4">
        <v>351</v>
      </c>
      <c r="F2130" s="4">
        <v>6.8</v>
      </c>
      <c r="G2130" s="4">
        <v>2386.8000000000002</v>
      </c>
      <c r="H2130" s="5">
        <f t="shared" si="33"/>
        <v>-1.4684287812040803E-3</v>
      </c>
    </row>
    <row r="2131" spans="1:8" ht="13.5" x14ac:dyDescent="0.25">
      <c r="A2131" s="1"/>
      <c r="B2131" s="3">
        <v>45404</v>
      </c>
      <c r="C2131" s="4">
        <v>6.79</v>
      </c>
      <c r="D2131" s="4">
        <v>6.79</v>
      </c>
      <c r="E2131" s="4">
        <v>25</v>
      </c>
      <c r="F2131" s="4">
        <v>6.5209999999999999</v>
      </c>
      <c r="G2131" s="4">
        <v>163.02500000000001</v>
      </c>
      <c r="H2131" s="5">
        <f t="shared" si="33"/>
        <v>-1.4705882352940864E-3</v>
      </c>
    </row>
    <row r="2132" spans="1:8" ht="13.5" x14ac:dyDescent="0.25">
      <c r="A2132" s="1"/>
      <c r="B2132" s="3">
        <v>45405</v>
      </c>
      <c r="C2132" s="4">
        <v>6.79</v>
      </c>
      <c r="D2132" s="4">
        <v>6.79</v>
      </c>
      <c r="E2132" s="4">
        <v>0</v>
      </c>
      <c r="F2132" s="4">
        <v>0</v>
      </c>
      <c r="G2132" s="4">
        <v>0</v>
      </c>
      <c r="H2132" s="5">
        <f t="shared" si="33"/>
        <v>0</v>
      </c>
    </row>
    <row r="2133" spans="1:8" ht="13.5" x14ac:dyDescent="0.25">
      <c r="A2133" s="1"/>
      <c r="B2133" s="3">
        <v>45406</v>
      </c>
      <c r="C2133" s="4">
        <v>6.51</v>
      </c>
      <c r="D2133" s="4">
        <v>6.51</v>
      </c>
      <c r="E2133" s="4">
        <v>149</v>
      </c>
      <c r="F2133" s="4">
        <v>6.51</v>
      </c>
      <c r="G2133" s="4">
        <v>969.99</v>
      </c>
      <c r="H2133" s="5">
        <f t="shared" si="33"/>
        <v>-4.123711340206189E-2</v>
      </c>
    </row>
    <row r="2134" spans="1:8" ht="13.5" x14ac:dyDescent="0.25">
      <c r="A2134" s="1"/>
      <c r="B2134" s="3">
        <v>45407</v>
      </c>
      <c r="C2134" s="4">
        <v>6.41</v>
      </c>
      <c r="D2134" s="4">
        <v>6.41</v>
      </c>
      <c r="E2134" s="4">
        <v>600</v>
      </c>
      <c r="F2134" s="4">
        <v>6.41</v>
      </c>
      <c r="G2134" s="4">
        <v>3846</v>
      </c>
      <c r="H2134" s="5">
        <f t="shared" si="33"/>
        <v>-1.5360983102918533E-2</v>
      </c>
    </row>
    <row r="2135" spans="1:8" ht="13.5" x14ac:dyDescent="0.25">
      <c r="A2135" s="1"/>
      <c r="B2135" s="3">
        <v>45408</v>
      </c>
      <c r="C2135" s="4">
        <v>6.41</v>
      </c>
      <c r="D2135" s="4">
        <v>6.41</v>
      </c>
      <c r="E2135" s="4">
        <v>92</v>
      </c>
      <c r="F2135" s="4">
        <v>6.41</v>
      </c>
      <c r="G2135" s="4">
        <v>589.72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6.41</v>
      </c>
      <c r="D2136" s="4">
        <v>6.41</v>
      </c>
      <c r="E2136" s="4">
        <v>17</v>
      </c>
      <c r="F2136" s="4">
        <v>6.41</v>
      </c>
      <c r="G2136" s="4">
        <v>108.97</v>
      </c>
      <c r="H2136" s="5">
        <f t="shared" si="33"/>
        <v>0</v>
      </c>
    </row>
    <row r="2137" spans="1:8" ht="13.5" x14ac:dyDescent="0.25">
      <c r="A2137" s="1"/>
      <c r="B2137" s="3">
        <v>45412</v>
      </c>
      <c r="C2137" s="4">
        <v>6.41</v>
      </c>
      <c r="D2137" s="4">
        <v>6.41</v>
      </c>
      <c r="E2137" s="4">
        <v>0</v>
      </c>
      <c r="F2137" s="4">
        <v>0</v>
      </c>
      <c r="G2137" s="4">
        <v>0</v>
      </c>
      <c r="H2137" s="5">
        <f t="shared" si="33"/>
        <v>0</v>
      </c>
    </row>
    <row r="2138" spans="1:8" ht="13.5" x14ac:dyDescent="0.25">
      <c r="A2138" s="1"/>
      <c r="B2138" s="3">
        <v>45414</v>
      </c>
      <c r="C2138" s="4">
        <v>6.13</v>
      </c>
      <c r="D2138" s="4">
        <v>6.13</v>
      </c>
      <c r="E2138" s="4">
        <v>403</v>
      </c>
      <c r="F2138" s="4">
        <v>6.13</v>
      </c>
      <c r="G2138" s="4">
        <v>2470.39</v>
      </c>
      <c r="H2138" s="5">
        <f t="shared" si="33"/>
        <v>-4.3681747269890832E-2</v>
      </c>
    </row>
    <row r="2139" spans="1:8" ht="13.5" x14ac:dyDescent="0.25">
      <c r="A2139" s="1"/>
      <c r="B2139" s="3">
        <v>45415</v>
      </c>
      <c r="C2139" s="4">
        <v>5.9</v>
      </c>
      <c r="D2139" s="4">
        <v>5.9</v>
      </c>
      <c r="E2139" s="4">
        <v>200</v>
      </c>
      <c r="F2139" s="4">
        <v>5.9</v>
      </c>
      <c r="G2139" s="4">
        <v>1180</v>
      </c>
      <c r="H2139" s="5">
        <f t="shared" si="33"/>
        <v>-3.7520391517128798E-2</v>
      </c>
    </row>
    <row r="2140" spans="1:8" ht="13.5" x14ac:dyDescent="0.25">
      <c r="A2140" s="1"/>
      <c r="B2140" s="3">
        <v>45418</v>
      </c>
      <c r="C2140" s="4">
        <v>5.67</v>
      </c>
      <c r="D2140" s="4">
        <v>5.67</v>
      </c>
      <c r="E2140" s="4">
        <v>553</v>
      </c>
      <c r="F2140" s="4">
        <v>5.6920000000000002</v>
      </c>
      <c r="G2140" s="4">
        <v>3147.6759999999999</v>
      </c>
      <c r="H2140" s="5">
        <f t="shared" si="33"/>
        <v>-3.8983050847457699E-2</v>
      </c>
    </row>
    <row r="2141" spans="1:8" ht="13.5" x14ac:dyDescent="0.25">
      <c r="A2141" s="1"/>
      <c r="B2141" s="3">
        <v>45419</v>
      </c>
      <c r="C2141" s="4">
        <v>5.42</v>
      </c>
      <c r="D2141" s="4">
        <v>5.42</v>
      </c>
      <c r="E2141" s="4">
        <v>500</v>
      </c>
      <c r="F2141" s="4">
        <v>5.42</v>
      </c>
      <c r="G2141" s="4">
        <v>2710</v>
      </c>
      <c r="H2141" s="5">
        <f t="shared" si="33"/>
        <v>-4.4091710758377423E-2</v>
      </c>
    </row>
    <row r="2142" spans="1:8" ht="13.5" x14ac:dyDescent="0.25">
      <c r="A2142" s="1"/>
      <c r="B2142" s="3">
        <v>45420</v>
      </c>
      <c r="C2142" s="4">
        <v>5.42</v>
      </c>
      <c r="D2142" s="4">
        <v>5.42</v>
      </c>
      <c r="E2142" s="4">
        <v>41</v>
      </c>
      <c r="F2142" s="4">
        <v>5.2350000000000003</v>
      </c>
      <c r="G2142" s="4">
        <v>214.63499999999999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5.42</v>
      </c>
      <c r="D2143" s="4">
        <v>5.42</v>
      </c>
      <c r="E2143" s="4">
        <v>0</v>
      </c>
      <c r="F2143" s="4">
        <v>0</v>
      </c>
      <c r="G2143" s="4">
        <v>0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5.42</v>
      </c>
      <c r="D2144" s="4">
        <v>5.42</v>
      </c>
      <c r="E2144" s="4">
        <v>366</v>
      </c>
      <c r="F2144" s="4">
        <v>5.42</v>
      </c>
      <c r="G2144" s="4">
        <v>1983.72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5.44</v>
      </c>
      <c r="D2145" s="4">
        <v>5.44</v>
      </c>
      <c r="E2145" s="4">
        <v>29</v>
      </c>
      <c r="F2145" s="4">
        <v>5.44</v>
      </c>
      <c r="G2145" s="4">
        <v>157.76</v>
      </c>
      <c r="H2145" s="5">
        <f t="shared" si="33"/>
        <v>3.690036900369089E-3</v>
      </c>
    </row>
    <row r="2146" spans="1:8" ht="13.5" x14ac:dyDescent="0.25">
      <c r="A2146" s="1"/>
      <c r="B2146" s="3">
        <v>45426</v>
      </c>
      <c r="C2146" s="4">
        <v>5.44</v>
      </c>
      <c r="D2146" s="4">
        <v>5.44</v>
      </c>
      <c r="E2146" s="4">
        <v>200</v>
      </c>
      <c r="F2146" s="4">
        <v>5.44</v>
      </c>
      <c r="G2146" s="4">
        <v>1088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5.44</v>
      </c>
      <c r="D2147" s="4">
        <v>5.44</v>
      </c>
      <c r="E2147" s="4">
        <v>100</v>
      </c>
      <c r="F2147" s="4">
        <v>5.44</v>
      </c>
      <c r="G2147" s="4">
        <v>544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5.44</v>
      </c>
      <c r="D2148" s="4">
        <v>5.44</v>
      </c>
      <c r="E2148" s="4">
        <v>399</v>
      </c>
      <c r="F2148" s="4">
        <v>5.44</v>
      </c>
      <c r="G2148" s="4">
        <v>2170.56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5.24</v>
      </c>
      <c r="D2149" s="4">
        <v>5.24</v>
      </c>
      <c r="E2149" s="4">
        <v>1500</v>
      </c>
      <c r="F2149" s="4">
        <v>5.3730000000000002</v>
      </c>
      <c r="G2149" s="4">
        <v>8059.5</v>
      </c>
      <c r="H2149" s="5">
        <f t="shared" si="33"/>
        <v>-3.676470588235297E-2</v>
      </c>
    </row>
    <row r="2150" spans="1:8" ht="13.5" x14ac:dyDescent="0.25">
      <c r="A2150" s="1"/>
      <c r="B2150" s="3">
        <v>45432</v>
      </c>
      <c r="C2150" s="4">
        <v>5.24</v>
      </c>
      <c r="D2150" s="4">
        <v>5.24</v>
      </c>
      <c r="E2150" s="4">
        <v>194</v>
      </c>
      <c r="F2150" s="4">
        <v>5.24</v>
      </c>
      <c r="G2150" s="4">
        <v>1016.56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5.24</v>
      </c>
      <c r="D2151" s="4">
        <v>5.24</v>
      </c>
      <c r="E2151" s="4">
        <v>46</v>
      </c>
      <c r="F2151" s="4">
        <v>5.24</v>
      </c>
      <c r="G2151" s="4">
        <v>241.04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5.24</v>
      </c>
      <c r="D2152" s="4">
        <v>5.24</v>
      </c>
      <c r="E2152" s="4">
        <v>280</v>
      </c>
      <c r="F2152" s="4">
        <v>5.24</v>
      </c>
      <c r="G2152" s="4">
        <v>1467.2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5.24</v>
      </c>
      <c r="D2153" s="4">
        <v>5.24</v>
      </c>
      <c r="E2153" s="4">
        <v>0</v>
      </c>
      <c r="F2153" s="4">
        <v>0</v>
      </c>
      <c r="G2153" s="4">
        <v>0</v>
      </c>
      <c r="H2153" s="5">
        <f t="shared" si="33"/>
        <v>0</v>
      </c>
    </row>
    <row r="2154" spans="1:8" ht="13.5" x14ac:dyDescent="0.25">
      <c r="A2154" s="1"/>
      <c r="B2154" s="3">
        <v>45436</v>
      </c>
      <c r="C2154" s="4">
        <v>5.24</v>
      </c>
      <c r="D2154" s="4">
        <v>5.24</v>
      </c>
      <c r="E2154" s="4">
        <v>0</v>
      </c>
      <c r="F2154" s="4">
        <v>0</v>
      </c>
      <c r="G2154" s="4">
        <v>0</v>
      </c>
      <c r="H2154" s="5">
        <f t="shared" si="33"/>
        <v>0</v>
      </c>
    </row>
    <row r="2155" spans="1:8" ht="13.5" x14ac:dyDescent="0.25">
      <c r="A2155" s="1"/>
      <c r="B2155" s="3">
        <v>45439</v>
      </c>
      <c r="C2155" s="4">
        <v>5.24</v>
      </c>
      <c r="D2155" s="4">
        <v>5.24</v>
      </c>
      <c r="E2155" s="4">
        <v>1</v>
      </c>
      <c r="F2155" s="4">
        <v>5.24</v>
      </c>
      <c r="G2155" s="4">
        <v>5.24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5.44</v>
      </c>
      <c r="D2156" s="4">
        <v>5.44</v>
      </c>
      <c r="E2156" s="4">
        <v>1400</v>
      </c>
      <c r="F2156" s="4">
        <v>5.44</v>
      </c>
      <c r="G2156" s="4">
        <v>7616</v>
      </c>
      <c r="H2156" s="5">
        <f t="shared" si="33"/>
        <v>3.8167938931297746E-2</v>
      </c>
    </row>
    <row r="2157" spans="1:8" ht="13.5" x14ac:dyDescent="0.25">
      <c r="A2157" s="1"/>
      <c r="B2157" s="3">
        <v>45441</v>
      </c>
      <c r="C2157" s="4">
        <v>5.44</v>
      </c>
      <c r="D2157" s="4">
        <v>5.44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5.3</v>
      </c>
      <c r="D2158" s="4">
        <v>5.3</v>
      </c>
      <c r="E2158" s="4">
        <v>2</v>
      </c>
      <c r="F2158" s="4">
        <v>5.3</v>
      </c>
      <c r="G2158" s="4">
        <v>10.6</v>
      </c>
      <c r="H2158" s="5">
        <f t="shared" si="33"/>
        <v>-2.5735294117647162E-2</v>
      </c>
    </row>
    <row r="2159" spans="1:8" ht="13.5" x14ac:dyDescent="0.25">
      <c r="A2159" s="1"/>
      <c r="B2159" s="3">
        <v>45443</v>
      </c>
      <c r="C2159" s="4">
        <v>5.14</v>
      </c>
      <c r="D2159" s="4">
        <v>5.14</v>
      </c>
      <c r="E2159" s="4">
        <v>300</v>
      </c>
      <c r="F2159" s="4">
        <v>5.14</v>
      </c>
      <c r="G2159" s="4">
        <v>1542</v>
      </c>
      <c r="H2159" s="5">
        <f t="shared" si="33"/>
        <v>-3.0188679245283047E-2</v>
      </c>
    </row>
    <row r="2160" spans="1:8" ht="13.5" x14ac:dyDescent="0.25">
      <c r="A2160" s="1"/>
      <c r="B2160" s="3">
        <v>45446</v>
      </c>
      <c r="C2160" s="4">
        <v>5.14</v>
      </c>
      <c r="D2160" s="4">
        <v>5.14</v>
      </c>
      <c r="E2160" s="4">
        <v>0</v>
      </c>
      <c r="F2160" s="4">
        <v>0</v>
      </c>
      <c r="G2160" s="4">
        <v>0</v>
      </c>
      <c r="H2160" s="5">
        <f t="shared" si="33"/>
        <v>0</v>
      </c>
    </row>
    <row r="2161" spans="1:8" ht="13.5" x14ac:dyDescent="0.25">
      <c r="A2161" s="1"/>
      <c r="B2161" s="3">
        <v>45447</v>
      </c>
      <c r="C2161" s="4">
        <v>5.14</v>
      </c>
      <c r="D2161" s="4">
        <v>5.14</v>
      </c>
      <c r="E2161" s="4">
        <v>1000</v>
      </c>
      <c r="F2161" s="4">
        <v>5.14</v>
      </c>
      <c r="G2161" s="4">
        <v>5140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5.14</v>
      </c>
      <c r="D2162" s="4">
        <v>5.14</v>
      </c>
      <c r="E2162" s="4">
        <v>0</v>
      </c>
      <c r="F2162" s="4">
        <v>0</v>
      </c>
      <c r="G2162" s="4">
        <v>0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5.14</v>
      </c>
      <c r="D2163" s="4">
        <v>5.14</v>
      </c>
      <c r="E2163" s="4">
        <v>698</v>
      </c>
      <c r="F2163" s="4">
        <v>5.14</v>
      </c>
      <c r="G2163" s="4">
        <v>3587.72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5.01</v>
      </c>
      <c r="D2164" s="4">
        <v>5.01</v>
      </c>
      <c r="E2164" s="4">
        <v>1500</v>
      </c>
      <c r="F2164" s="4">
        <v>5.01</v>
      </c>
      <c r="G2164" s="4">
        <v>7515</v>
      </c>
      <c r="H2164" s="5">
        <f t="shared" si="33"/>
        <v>-2.5291828793774299E-2</v>
      </c>
    </row>
    <row r="2165" spans="1:8" ht="13.5" x14ac:dyDescent="0.25">
      <c r="A2165" s="1"/>
      <c r="B2165" s="3">
        <v>45453</v>
      </c>
      <c r="C2165" s="4">
        <v>5.01</v>
      </c>
      <c r="D2165" s="4">
        <v>5.01</v>
      </c>
      <c r="E2165" s="4">
        <v>1154</v>
      </c>
      <c r="F2165" s="4">
        <v>5.01</v>
      </c>
      <c r="G2165" s="4">
        <v>5781.54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5.01</v>
      </c>
      <c r="D2166" s="4">
        <v>5.01</v>
      </c>
      <c r="E2166" s="4">
        <v>0</v>
      </c>
      <c r="F2166" s="4">
        <v>0</v>
      </c>
      <c r="G2166" s="4">
        <v>0</v>
      </c>
      <c r="H2166" s="5">
        <f t="shared" si="33"/>
        <v>0</v>
      </c>
    </row>
    <row r="2167" spans="1:8" ht="13.5" x14ac:dyDescent="0.25">
      <c r="A2167" s="1"/>
      <c r="B2167" s="3">
        <v>45455</v>
      </c>
      <c r="C2167" s="4">
        <v>5</v>
      </c>
      <c r="D2167" s="4">
        <v>5</v>
      </c>
      <c r="E2167" s="4">
        <v>38</v>
      </c>
      <c r="F2167" s="4">
        <v>5</v>
      </c>
      <c r="G2167" s="4">
        <v>190</v>
      </c>
      <c r="H2167" s="5">
        <f t="shared" si="33"/>
        <v>-1.9960079840318935E-3</v>
      </c>
    </row>
    <row r="2168" spans="1:8" ht="13.5" x14ac:dyDescent="0.25">
      <c r="A2168" s="1"/>
      <c r="B2168" s="3">
        <v>45456</v>
      </c>
      <c r="C2168" s="4">
        <v>5</v>
      </c>
      <c r="D2168" s="4">
        <v>5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5.14</v>
      </c>
      <c r="D2169" s="4">
        <v>5.14</v>
      </c>
      <c r="E2169" s="4">
        <v>503</v>
      </c>
      <c r="F2169" s="4">
        <v>5.14</v>
      </c>
      <c r="G2169" s="4">
        <v>2585.42</v>
      </c>
      <c r="H2169" s="5">
        <f t="shared" si="33"/>
        <v>2.7999999999999935E-2</v>
      </c>
    </row>
    <row r="2170" spans="1:8" ht="13.5" x14ac:dyDescent="0.25">
      <c r="A2170" s="1"/>
      <c r="B2170" s="3">
        <v>45461</v>
      </c>
      <c r="C2170" s="4">
        <v>5.37</v>
      </c>
      <c r="D2170" s="4">
        <v>5.37</v>
      </c>
      <c r="E2170" s="4">
        <v>0</v>
      </c>
      <c r="F2170" s="4">
        <v>0</v>
      </c>
      <c r="G2170" s="4">
        <v>0</v>
      </c>
      <c r="H2170" s="5">
        <f t="shared" si="33"/>
        <v>4.4747081712062341E-2</v>
      </c>
    </row>
    <row r="2171" spans="1:8" ht="13.5" x14ac:dyDescent="0.25">
      <c r="A2171" s="1"/>
      <c r="B2171" s="3">
        <v>45462</v>
      </c>
      <c r="C2171" s="4">
        <v>5.35</v>
      </c>
      <c r="D2171" s="4">
        <v>5.35</v>
      </c>
      <c r="E2171" s="4">
        <v>35</v>
      </c>
      <c r="F2171" s="4">
        <v>5.35</v>
      </c>
      <c r="G2171" s="4">
        <v>187.25</v>
      </c>
      <c r="H2171" s="5">
        <f t="shared" si="33"/>
        <v>-3.7243947858473857E-3</v>
      </c>
    </row>
    <row r="2172" spans="1:8" ht="13.5" x14ac:dyDescent="0.25">
      <c r="A2172" s="1"/>
      <c r="B2172" s="3">
        <v>45463</v>
      </c>
      <c r="C2172" s="4">
        <v>5.35</v>
      </c>
      <c r="D2172" s="4">
        <v>5.35</v>
      </c>
      <c r="E2172" s="4">
        <v>0</v>
      </c>
      <c r="F2172" s="4">
        <v>0</v>
      </c>
      <c r="G2172" s="4">
        <v>0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5.5</v>
      </c>
      <c r="D2173" s="4">
        <v>5.5</v>
      </c>
      <c r="E2173" s="4">
        <v>601</v>
      </c>
      <c r="F2173" s="4">
        <v>5.4560000000000004</v>
      </c>
      <c r="G2173" s="4">
        <v>3279.056</v>
      </c>
      <c r="H2173" s="5">
        <f t="shared" si="33"/>
        <v>2.8037383177570162E-2</v>
      </c>
    </row>
    <row r="2174" spans="1:8" ht="13.5" x14ac:dyDescent="0.25">
      <c r="A2174" s="1"/>
      <c r="B2174" s="3">
        <v>45467</v>
      </c>
      <c r="C2174" s="4">
        <v>5.5</v>
      </c>
      <c r="D2174" s="4">
        <v>5.5</v>
      </c>
      <c r="E2174" s="4">
        <v>381</v>
      </c>
      <c r="F2174" s="4">
        <v>5.5</v>
      </c>
      <c r="G2174" s="4">
        <v>2095.5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5.5</v>
      </c>
      <c r="D2175" s="4">
        <v>5.5</v>
      </c>
      <c r="E2175" s="4">
        <v>1619</v>
      </c>
      <c r="F2175" s="4">
        <v>5.5</v>
      </c>
      <c r="G2175" s="4">
        <v>8904.5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5.5</v>
      </c>
      <c r="D2176" s="4">
        <v>5.5</v>
      </c>
      <c r="E2176" s="4">
        <v>2000</v>
      </c>
      <c r="F2176" s="4">
        <v>5.5</v>
      </c>
      <c r="G2176" s="4">
        <v>11000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5.5</v>
      </c>
      <c r="D2177" s="4">
        <v>5.5</v>
      </c>
      <c r="E2177" s="4">
        <v>0</v>
      </c>
      <c r="F2177" s="4">
        <v>0</v>
      </c>
      <c r="G2177" s="4">
        <v>0</v>
      </c>
      <c r="H2177" s="5">
        <f t="shared" si="33"/>
        <v>0</v>
      </c>
    </row>
    <row r="2178" spans="1:8" ht="13.5" x14ac:dyDescent="0.25">
      <c r="A2178" s="1"/>
      <c r="B2178" s="3">
        <v>45471</v>
      </c>
      <c r="C2178" s="4">
        <v>5.74</v>
      </c>
      <c r="D2178" s="4">
        <v>5.74</v>
      </c>
      <c r="E2178" s="4">
        <v>0</v>
      </c>
      <c r="F2178" s="4">
        <v>0</v>
      </c>
      <c r="G2178" s="4">
        <v>0</v>
      </c>
      <c r="H2178" s="5">
        <f t="shared" si="33"/>
        <v>4.3636363636363674E-2</v>
      </c>
    </row>
    <row r="2179" spans="1:8" ht="13.5" x14ac:dyDescent="0.25">
      <c r="A2179" s="1"/>
      <c r="B2179" s="3">
        <v>45474</v>
      </c>
      <c r="C2179" s="4">
        <v>5.99</v>
      </c>
      <c r="D2179" s="4">
        <v>5.99</v>
      </c>
      <c r="E2179" s="4">
        <v>42</v>
      </c>
      <c r="F2179" s="4">
        <v>5.99</v>
      </c>
      <c r="G2179" s="4">
        <v>251.58</v>
      </c>
      <c r="H2179" s="5">
        <f t="shared" si="33"/>
        <v>4.3554006968641111E-2</v>
      </c>
    </row>
    <row r="2180" spans="1:8" ht="13.5" x14ac:dyDescent="0.25">
      <c r="A2180" s="1"/>
      <c r="B2180" s="3">
        <v>45475</v>
      </c>
      <c r="C2180" s="4">
        <v>6.25</v>
      </c>
      <c r="D2180" s="4">
        <v>6.25</v>
      </c>
      <c r="E2180" s="4">
        <v>241</v>
      </c>
      <c r="F2180" s="4">
        <v>6.25</v>
      </c>
      <c r="G2180" s="4">
        <v>1506.25</v>
      </c>
      <c r="H2180" s="5">
        <f t="shared" si="33"/>
        <v>4.3405676126878096E-2</v>
      </c>
    </row>
    <row r="2181" spans="1:8" ht="13.5" x14ac:dyDescent="0.25">
      <c r="A2181" s="1"/>
      <c r="B2181" s="3">
        <v>45476</v>
      </c>
      <c r="C2181" s="4">
        <v>6</v>
      </c>
      <c r="D2181" s="4">
        <v>6</v>
      </c>
      <c r="E2181" s="4">
        <v>63</v>
      </c>
      <c r="F2181" s="4">
        <v>6</v>
      </c>
      <c r="G2181" s="4">
        <v>378</v>
      </c>
      <c r="H2181" s="5">
        <f t="shared" si="33"/>
        <v>-0.04</v>
      </c>
    </row>
    <row r="2182" spans="1:8" ht="13.5" x14ac:dyDescent="0.25">
      <c r="A2182" s="1"/>
      <c r="B2182" s="3">
        <v>45477</v>
      </c>
      <c r="C2182" s="4">
        <v>6</v>
      </c>
      <c r="D2182" s="4">
        <v>6</v>
      </c>
      <c r="E2182" s="4">
        <v>0</v>
      </c>
      <c r="F2182" s="4">
        <v>0</v>
      </c>
      <c r="G2182" s="4">
        <v>0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6</v>
      </c>
      <c r="D2183" s="4">
        <v>6</v>
      </c>
      <c r="E2183" s="4">
        <v>8</v>
      </c>
      <c r="F2183" s="4">
        <v>6</v>
      </c>
      <c r="G2183" s="4">
        <v>48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6</v>
      </c>
      <c r="D2184" s="4">
        <v>6</v>
      </c>
      <c r="E2184" s="4">
        <v>852</v>
      </c>
      <c r="F2184" s="4">
        <v>6</v>
      </c>
      <c r="G2184" s="4">
        <v>5112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6</v>
      </c>
      <c r="D2185" s="4">
        <v>6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6.27</v>
      </c>
      <c r="D2186" s="4">
        <v>6.27</v>
      </c>
      <c r="E2186" s="4">
        <v>363</v>
      </c>
      <c r="F2186" s="4">
        <v>6.27</v>
      </c>
      <c r="G2186" s="4">
        <v>2276.0100000000002</v>
      </c>
      <c r="H2186" s="5">
        <f t="shared" si="34"/>
        <v>4.4999999999999929E-2</v>
      </c>
    </row>
    <row r="2187" spans="1:8" ht="13.5" x14ac:dyDescent="0.25">
      <c r="A2187" s="1"/>
      <c r="B2187" s="3">
        <v>45484</v>
      </c>
      <c r="C2187" s="4">
        <v>6.27</v>
      </c>
      <c r="D2187" s="4">
        <v>6.27</v>
      </c>
      <c r="E2187" s="4">
        <v>1</v>
      </c>
      <c r="F2187" s="4">
        <v>6.27</v>
      </c>
      <c r="G2187" s="4">
        <v>6.27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6.27</v>
      </c>
      <c r="D2188" s="4">
        <v>6.27</v>
      </c>
      <c r="E2188" s="4">
        <v>0</v>
      </c>
      <c r="F2188" s="4">
        <v>0</v>
      </c>
      <c r="G2188" s="4">
        <v>0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6.45</v>
      </c>
      <c r="D2189" s="4">
        <v>6.45</v>
      </c>
      <c r="E2189" s="4">
        <v>80</v>
      </c>
      <c r="F2189" s="4">
        <v>6.45</v>
      </c>
      <c r="G2189" s="4">
        <v>516</v>
      </c>
      <c r="H2189" s="5">
        <f t="shared" si="34"/>
        <v>2.8708133971291964E-2</v>
      </c>
    </row>
    <row r="2190" spans="1:8" ht="13.5" x14ac:dyDescent="0.25">
      <c r="A2190" s="1"/>
      <c r="B2190" s="3">
        <v>45489</v>
      </c>
      <c r="C2190" s="4">
        <v>6.45</v>
      </c>
      <c r="D2190" s="4">
        <v>6.45</v>
      </c>
      <c r="E2190" s="4">
        <v>20</v>
      </c>
      <c r="F2190" s="4">
        <v>6.45</v>
      </c>
      <c r="G2190" s="4">
        <v>129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6.45</v>
      </c>
      <c r="D2191" s="4">
        <v>6.45</v>
      </c>
      <c r="E2191" s="4">
        <v>504</v>
      </c>
      <c r="F2191" s="4">
        <v>6.45</v>
      </c>
      <c r="G2191" s="4">
        <v>3250.8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6.45</v>
      </c>
      <c r="D2192" s="4">
        <v>6.45</v>
      </c>
      <c r="E2192" s="4">
        <v>2</v>
      </c>
      <c r="F2192" s="4">
        <v>6.45</v>
      </c>
      <c r="G2192" s="4">
        <v>12.9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6.45</v>
      </c>
      <c r="D2193" s="4">
        <v>6.45</v>
      </c>
      <c r="E2193" s="4">
        <v>20</v>
      </c>
      <c r="F2193" s="4">
        <v>6.45</v>
      </c>
      <c r="G2193" s="4">
        <v>129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6.45</v>
      </c>
      <c r="D2194" s="4">
        <v>6.45</v>
      </c>
      <c r="E2194" s="4">
        <v>195</v>
      </c>
      <c r="F2194" s="4">
        <v>6.45</v>
      </c>
      <c r="G2194" s="4">
        <v>1257.75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6.45</v>
      </c>
      <c r="D2195" s="4">
        <v>6.45</v>
      </c>
      <c r="E2195" s="4">
        <v>933</v>
      </c>
      <c r="F2195" s="4">
        <v>6.45</v>
      </c>
      <c r="G2195" s="4">
        <v>6017.85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6.45</v>
      </c>
      <c r="D2196" s="4">
        <v>6.45</v>
      </c>
      <c r="E2196" s="4">
        <v>150</v>
      </c>
      <c r="F2196" s="4">
        <v>6.45</v>
      </c>
      <c r="G2196" s="4">
        <v>967.5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6.45</v>
      </c>
      <c r="D2197" s="4">
        <v>6.45</v>
      </c>
      <c r="E2197" s="4">
        <v>17</v>
      </c>
      <c r="F2197" s="4">
        <v>6.45</v>
      </c>
      <c r="G2197" s="4">
        <v>109.65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6.45</v>
      </c>
      <c r="D2198" s="4">
        <v>6.45</v>
      </c>
      <c r="E2198" s="4">
        <v>0</v>
      </c>
      <c r="F2198" s="4">
        <v>0</v>
      </c>
      <c r="G2198" s="4">
        <v>0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6.5</v>
      </c>
      <c r="D2199" s="4">
        <v>6.5</v>
      </c>
      <c r="E2199" s="4">
        <v>30</v>
      </c>
      <c r="F2199" s="4">
        <v>6.5</v>
      </c>
      <c r="G2199" s="4">
        <v>195</v>
      </c>
      <c r="H2199" s="5">
        <f t="shared" si="34"/>
        <v>7.7519379844960962E-3</v>
      </c>
    </row>
    <row r="2200" spans="1:8" ht="13.5" x14ac:dyDescent="0.25">
      <c r="A2200" s="1"/>
      <c r="B2200" s="3">
        <v>45504</v>
      </c>
      <c r="C2200" s="4">
        <v>6.5</v>
      </c>
      <c r="D2200" s="4">
        <v>6.5</v>
      </c>
      <c r="E2200" s="4">
        <v>0</v>
      </c>
      <c r="F2200" s="4">
        <v>0</v>
      </c>
      <c r="G2200" s="4">
        <v>0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6.75</v>
      </c>
      <c r="D2201" s="4">
        <v>6.75</v>
      </c>
      <c r="E2201" s="4">
        <v>24</v>
      </c>
      <c r="F2201" s="4">
        <v>6.75</v>
      </c>
      <c r="G2201" s="4">
        <v>162</v>
      </c>
      <c r="H2201" s="5">
        <f t="shared" si="34"/>
        <v>3.8461538461538464E-2</v>
      </c>
    </row>
    <row r="2202" spans="1:8" ht="13.5" x14ac:dyDescent="0.25">
      <c r="A2202" s="1"/>
      <c r="B2202" s="3">
        <v>45506</v>
      </c>
      <c r="C2202" s="4">
        <v>6.5</v>
      </c>
      <c r="D2202" s="4">
        <v>6.5</v>
      </c>
      <c r="E2202" s="4">
        <v>151</v>
      </c>
      <c r="F2202" s="4">
        <v>6.5</v>
      </c>
      <c r="G2202" s="4">
        <v>981.5</v>
      </c>
      <c r="H2202" s="5">
        <f t="shared" si="34"/>
        <v>-3.7037037037037035E-2</v>
      </c>
    </row>
    <row r="2203" spans="1:8" ht="13.5" x14ac:dyDescent="0.25">
      <c r="A2203" s="1"/>
      <c r="B2203" s="3">
        <v>45509</v>
      </c>
      <c r="C2203" s="4">
        <v>6.5</v>
      </c>
      <c r="D2203" s="4">
        <v>6.5</v>
      </c>
      <c r="E2203" s="4">
        <v>24</v>
      </c>
      <c r="F2203" s="4">
        <v>6.5</v>
      </c>
      <c r="G2203" s="4">
        <v>156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6.21</v>
      </c>
      <c r="D2204" s="4">
        <v>6.21</v>
      </c>
      <c r="E2204" s="4">
        <v>45</v>
      </c>
      <c r="F2204" s="4">
        <v>6.21</v>
      </c>
      <c r="G2204" s="4">
        <v>279.45</v>
      </c>
      <c r="H2204" s="5">
        <f t="shared" si="34"/>
        <v>-4.4615384615384619E-2</v>
      </c>
    </row>
    <row r="2205" spans="1:8" ht="13.5" x14ac:dyDescent="0.25">
      <c r="A2205" s="1"/>
      <c r="B2205" s="3">
        <v>45511</v>
      </c>
      <c r="C2205" s="4">
        <v>6.4</v>
      </c>
      <c r="D2205" s="4">
        <v>6.4</v>
      </c>
      <c r="E2205" s="4">
        <v>161</v>
      </c>
      <c r="F2205" s="4">
        <v>6.4</v>
      </c>
      <c r="G2205" s="4">
        <v>1030.4000000000001</v>
      </c>
      <c r="H2205" s="5">
        <f t="shared" si="34"/>
        <v>3.059581320450892E-2</v>
      </c>
    </row>
    <row r="2206" spans="1:8" ht="13.5" x14ac:dyDescent="0.25">
      <c r="A2206" s="1"/>
      <c r="B2206" s="3">
        <v>45512</v>
      </c>
      <c r="C2206" s="4">
        <v>6.4</v>
      </c>
      <c r="D2206" s="4">
        <v>6.4</v>
      </c>
      <c r="E2206" s="4">
        <v>18</v>
      </c>
      <c r="F2206" s="4">
        <v>6.4</v>
      </c>
      <c r="G2206" s="4">
        <v>115.2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6.4</v>
      </c>
      <c r="D2207" s="4">
        <v>6.4</v>
      </c>
      <c r="E2207" s="4">
        <v>2</v>
      </c>
      <c r="F2207" s="4">
        <v>6.4</v>
      </c>
      <c r="G2207" s="4">
        <v>12.8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6.4</v>
      </c>
      <c r="D2208" s="4">
        <v>6.4</v>
      </c>
      <c r="E2208" s="4">
        <v>0</v>
      </c>
      <c r="F2208" s="4">
        <v>0</v>
      </c>
      <c r="G2208" s="4">
        <v>0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6.68</v>
      </c>
      <c r="D2209" s="4">
        <v>6.68</v>
      </c>
      <c r="E2209" s="4">
        <v>0</v>
      </c>
      <c r="F2209" s="4">
        <v>0</v>
      </c>
      <c r="G2209" s="4">
        <v>0</v>
      </c>
      <c r="H2209" s="5">
        <f t="shared" si="34"/>
        <v>4.37499999999999E-2</v>
      </c>
    </row>
    <row r="2210" spans="1:8" ht="13.5" x14ac:dyDescent="0.25">
      <c r="A2210" s="1"/>
      <c r="B2210" s="3">
        <v>45519</v>
      </c>
      <c r="C2210" s="4">
        <v>6.98</v>
      </c>
      <c r="D2210" s="4">
        <v>6.98</v>
      </c>
      <c r="E2210" s="4">
        <v>0</v>
      </c>
      <c r="F2210" s="4">
        <v>0</v>
      </c>
      <c r="G2210" s="4">
        <v>0</v>
      </c>
      <c r="H2210" s="5">
        <f t="shared" si="34"/>
        <v>4.4910179640718674E-2</v>
      </c>
    </row>
    <row r="2211" spans="1:8" ht="13.5" x14ac:dyDescent="0.25">
      <c r="A2211" s="1"/>
      <c r="B2211" s="3">
        <v>45520</v>
      </c>
      <c r="C2211" s="4">
        <v>6.99</v>
      </c>
      <c r="D2211" s="4">
        <v>6.99</v>
      </c>
      <c r="E2211" s="4">
        <v>48</v>
      </c>
      <c r="F2211" s="4">
        <v>6.99</v>
      </c>
      <c r="G2211" s="4">
        <v>335.52</v>
      </c>
      <c r="H2211" s="5">
        <f t="shared" si="34"/>
        <v>1.4326647564469608E-3</v>
      </c>
    </row>
    <row r="2212" spans="1:8" ht="13.5" x14ac:dyDescent="0.25">
      <c r="A2212" s="1"/>
      <c r="B2212" s="3">
        <v>45523</v>
      </c>
      <c r="C2212" s="4">
        <v>7</v>
      </c>
      <c r="D2212" s="4">
        <v>7</v>
      </c>
      <c r="E2212" s="4">
        <v>15</v>
      </c>
      <c r="F2212" s="4">
        <v>7</v>
      </c>
      <c r="G2212" s="4">
        <v>105</v>
      </c>
      <c r="H2212" s="5">
        <f t="shared" si="34"/>
        <v>1.4306151645207133E-3</v>
      </c>
    </row>
    <row r="2213" spans="1:8" ht="13.5" x14ac:dyDescent="0.25">
      <c r="A2213" s="1"/>
      <c r="B2213" s="3">
        <v>45524</v>
      </c>
      <c r="C2213" s="4">
        <v>7.3</v>
      </c>
      <c r="D2213" s="4">
        <v>7.3</v>
      </c>
      <c r="E2213" s="4">
        <v>46</v>
      </c>
      <c r="F2213" s="4">
        <v>7.3</v>
      </c>
      <c r="G2213" s="4">
        <v>335.8</v>
      </c>
      <c r="H2213" s="5">
        <f t="shared" si="34"/>
        <v>4.285714285714283E-2</v>
      </c>
    </row>
    <row r="2214" spans="1:8" ht="13.5" x14ac:dyDescent="0.25">
      <c r="A2214" s="1"/>
      <c r="B2214" s="3">
        <v>45525</v>
      </c>
      <c r="C2214" s="4">
        <v>7.32</v>
      </c>
      <c r="D2214" s="4">
        <v>7.32</v>
      </c>
      <c r="E2214" s="4">
        <v>115</v>
      </c>
      <c r="F2214" s="4">
        <v>7.32</v>
      </c>
      <c r="G2214" s="4">
        <v>841.8</v>
      </c>
      <c r="H2214" s="5">
        <f t="shared" si="34"/>
        <v>2.7397260273973236E-3</v>
      </c>
    </row>
    <row r="2215" spans="1:8" ht="13.5" x14ac:dyDescent="0.25">
      <c r="A2215" s="1"/>
      <c r="B2215" s="3">
        <v>45526</v>
      </c>
      <c r="C2215" s="4">
        <v>7.45</v>
      </c>
      <c r="D2215" s="4">
        <v>7.45</v>
      </c>
      <c r="E2215" s="4">
        <v>79</v>
      </c>
      <c r="F2215" s="4">
        <v>7.3529999999999998</v>
      </c>
      <c r="G2215" s="4">
        <v>580.88699999999994</v>
      </c>
      <c r="H2215" s="5">
        <f t="shared" si="34"/>
        <v>1.775956284153004E-2</v>
      </c>
    </row>
    <row r="2216" spans="1:8" ht="13.5" x14ac:dyDescent="0.25">
      <c r="A2216" s="1"/>
      <c r="B2216" s="3">
        <v>45527</v>
      </c>
      <c r="C2216" s="4">
        <v>7.45</v>
      </c>
      <c r="D2216" s="4">
        <v>7.45</v>
      </c>
      <c r="E2216" s="4">
        <v>81</v>
      </c>
      <c r="F2216" s="4">
        <v>7.45</v>
      </c>
      <c r="G2216" s="4">
        <v>603.45000000000005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7.49</v>
      </c>
      <c r="D2217" s="4">
        <v>7.49</v>
      </c>
      <c r="E2217" s="4">
        <v>21</v>
      </c>
      <c r="F2217" s="4">
        <v>7.49</v>
      </c>
      <c r="G2217" s="4">
        <v>157.29</v>
      </c>
      <c r="H2217" s="5">
        <f t="shared" si="34"/>
        <v>5.3691275167785284E-3</v>
      </c>
    </row>
    <row r="2218" spans="1:8" ht="13.5" x14ac:dyDescent="0.25">
      <c r="A2218" s="1"/>
      <c r="B2218" s="3">
        <v>45531</v>
      </c>
      <c r="C2218" s="4">
        <v>7.49</v>
      </c>
      <c r="D2218" s="4">
        <v>7.49</v>
      </c>
      <c r="E2218" s="4">
        <v>0</v>
      </c>
      <c r="F2218" s="4">
        <v>0</v>
      </c>
      <c r="G2218" s="4">
        <v>0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7.49</v>
      </c>
      <c r="D2219" s="4">
        <v>7.49</v>
      </c>
      <c r="E2219" s="4">
        <v>20</v>
      </c>
      <c r="F2219" s="4">
        <v>7.49</v>
      </c>
      <c r="G2219" s="4">
        <v>149.80000000000001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7.49</v>
      </c>
      <c r="D2220" s="4">
        <v>7.49</v>
      </c>
      <c r="E2220" s="4">
        <v>0</v>
      </c>
      <c r="F2220" s="4">
        <v>0</v>
      </c>
      <c r="G2220" s="4">
        <v>0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7.49</v>
      </c>
      <c r="D2221" s="4">
        <v>7.49</v>
      </c>
      <c r="E2221" s="4">
        <v>100</v>
      </c>
      <c r="F2221" s="4">
        <v>7.49</v>
      </c>
      <c r="G2221" s="4">
        <v>749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7.49</v>
      </c>
      <c r="D2222" s="4">
        <v>7.49</v>
      </c>
      <c r="E2222" s="4">
        <v>0</v>
      </c>
      <c r="F2222" s="4">
        <v>0</v>
      </c>
      <c r="G2222" s="4">
        <v>0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7.4</v>
      </c>
      <c r="D2223" s="4">
        <v>7.4</v>
      </c>
      <c r="E2223" s="4">
        <v>190</v>
      </c>
      <c r="F2223" s="4">
        <v>7.4</v>
      </c>
      <c r="G2223" s="4">
        <v>1406</v>
      </c>
      <c r="H2223" s="5">
        <f t="shared" si="34"/>
        <v>-1.2016021361815735E-2</v>
      </c>
    </row>
    <row r="2224" spans="1:8" ht="13.5" x14ac:dyDescent="0.25">
      <c r="A2224" s="1"/>
      <c r="B2224" s="3">
        <v>45539</v>
      </c>
      <c r="C2224" s="4">
        <v>7.4</v>
      </c>
      <c r="D2224" s="4">
        <v>7.4</v>
      </c>
      <c r="E2224" s="4">
        <v>4262</v>
      </c>
      <c r="F2224" s="4">
        <v>7.4</v>
      </c>
      <c r="G2224" s="4">
        <v>31538.799999999999</v>
      </c>
      <c r="H2224" s="5">
        <f t="shared" si="34"/>
        <v>0</v>
      </c>
    </row>
    <row r="2225" spans="1:8" ht="13.5" x14ac:dyDescent="0.25">
      <c r="A2225" s="1"/>
      <c r="B2225" s="3">
        <v>45540</v>
      </c>
      <c r="C2225" s="4">
        <v>7.4</v>
      </c>
      <c r="D2225" s="4">
        <v>7.4</v>
      </c>
      <c r="E2225" s="4">
        <v>2248</v>
      </c>
      <c r="F2225" s="4">
        <v>7.4</v>
      </c>
      <c r="G2225" s="4">
        <v>16635.2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7.7</v>
      </c>
      <c r="D2226" s="4">
        <v>7.7</v>
      </c>
      <c r="E2226" s="4">
        <v>920</v>
      </c>
      <c r="F2226" s="4">
        <v>7.6059999999999999</v>
      </c>
      <c r="G2226" s="4">
        <v>6997.52</v>
      </c>
      <c r="H2226" s="5">
        <f t="shared" si="34"/>
        <v>4.0540540540540515E-2</v>
      </c>
    </row>
    <row r="2227" spans="1:8" ht="13.5" x14ac:dyDescent="0.25">
      <c r="A2227" s="1"/>
      <c r="B2227" s="3">
        <v>45544</v>
      </c>
      <c r="C2227" s="4">
        <v>7.7</v>
      </c>
      <c r="D2227" s="4">
        <v>7.7</v>
      </c>
      <c r="E2227" s="4">
        <v>197</v>
      </c>
      <c r="F2227" s="4">
        <v>7.7009999999999996</v>
      </c>
      <c r="G2227" s="4">
        <v>1517.097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7.6</v>
      </c>
      <c r="D2228" s="4">
        <v>7.6</v>
      </c>
      <c r="E2228" s="4">
        <v>130</v>
      </c>
      <c r="F2228" s="4">
        <v>7.6</v>
      </c>
      <c r="G2228" s="4">
        <v>988</v>
      </c>
      <c r="H2228" s="5">
        <f t="shared" si="34"/>
        <v>-1.2987012987013056E-2</v>
      </c>
    </row>
    <row r="2229" spans="1:8" ht="13.5" x14ac:dyDescent="0.25">
      <c r="A2229" s="1"/>
      <c r="B2229" s="3">
        <v>45546</v>
      </c>
      <c r="C2229" s="4">
        <v>7.6</v>
      </c>
      <c r="D2229" s="4">
        <v>7.6</v>
      </c>
      <c r="E2229" s="4">
        <v>109</v>
      </c>
      <c r="F2229" s="4">
        <v>7.6</v>
      </c>
      <c r="G2229" s="4">
        <v>828.4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7.9</v>
      </c>
      <c r="D2230" s="4">
        <v>7.9</v>
      </c>
      <c r="E2230" s="4">
        <v>14</v>
      </c>
      <c r="F2230" s="4">
        <v>7.9</v>
      </c>
      <c r="G2230" s="4">
        <v>110.6</v>
      </c>
      <c r="H2230" s="5">
        <f t="shared" si="34"/>
        <v>3.9473684210526411E-2</v>
      </c>
    </row>
    <row r="2231" spans="1:8" ht="13.5" x14ac:dyDescent="0.25">
      <c r="A2231" s="1"/>
      <c r="B2231" s="3">
        <v>45548</v>
      </c>
      <c r="C2231" s="4">
        <v>7.9</v>
      </c>
      <c r="D2231" s="4">
        <v>7.9</v>
      </c>
      <c r="E2231" s="4">
        <v>0</v>
      </c>
      <c r="F2231" s="4">
        <v>0</v>
      </c>
      <c r="G2231" s="4">
        <v>0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7.9</v>
      </c>
      <c r="D2232" s="4">
        <v>7.9</v>
      </c>
      <c r="E2232" s="4">
        <v>0</v>
      </c>
      <c r="F2232" s="4">
        <v>0</v>
      </c>
      <c r="G2232" s="4">
        <v>0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7.9</v>
      </c>
      <c r="D2233" s="4">
        <v>7.9</v>
      </c>
      <c r="E2233" s="4">
        <v>0</v>
      </c>
      <c r="F2233" s="4">
        <v>0</v>
      </c>
      <c r="G2233" s="4">
        <v>0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7.55</v>
      </c>
      <c r="D2234" s="4">
        <v>7.55</v>
      </c>
      <c r="E2234" s="4">
        <v>0</v>
      </c>
      <c r="F2234" s="4">
        <v>0</v>
      </c>
      <c r="G2234" s="4">
        <v>0</v>
      </c>
      <c r="H2234" s="5">
        <f t="shared" si="34"/>
        <v>-4.4303797468354493E-2</v>
      </c>
    </row>
    <row r="2235" spans="1:8" ht="13.5" x14ac:dyDescent="0.25">
      <c r="A2235" s="1"/>
      <c r="B2235" s="3">
        <v>45554</v>
      </c>
      <c r="C2235" s="4">
        <v>7.78</v>
      </c>
      <c r="D2235" s="4">
        <v>7.78</v>
      </c>
      <c r="E2235" s="4">
        <v>838</v>
      </c>
      <c r="F2235" s="4">
        <v>7.5140000000000002</v>
      </c>
      <c r="G2235" s="4">
        <v>6296.732</v>
      </c>
      <c r="H2235" s="5">
        <f t="shared" si="34"/>
        <v>3.0463576158940454E-2</v>
      </c>
    </row>
    <row r="2236" spans="1:8" ht="13.5" x14ac:dyDescent="0.25">
      <c r="A2236" s="1"/>
      <c r="B2236" s="3">
        <v>45555</v>
      </c>
      <c r="C2236" s="4">
        <v>7.78</v>
      </c>
      <c r="D2236" s="4">
        <v>7.78</v>
      </c>
      <c r="E2236" s="4">
        <v>10</v>
      </c>
      <c r="F2236" s="4">
        <v>7.78</v>
      </c>
      <c r="G2236" s="4">
        <v>77.8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7.43</v>
      </c>
      <c r="D2237" s="4">
        <v>7.43</v>
      </c>
      <c r="E2237" s="4">
        <v>0</v>
      </c>
      <c r="F2237" s="4">
        <v>0</v>
      </c>
      <c r="G2237" s="4">
        <v>0</v>
      </c>
      <c r="H2237" s="5">
        <f t="shared" si="34"/>
        <v>-4.4987146529563052E-2</v>
      </c>
    </row>
    <row r="2238" spans="1:8" ht="13.5" x14ac:dyDescent="0.25">
      <c r="A2238" s="1"/>
      <c r="B2238" s="3">
        <v>45559</v>
      </c>
      <c r="C2238" s="4">
        <v>7.43</v>
      </c>
      <c r="D2238" s="4">
        <v>7.43</v>
      </c>
      <c r="E2238" s="4">
        <v>0</v>
      </c>
      <c r="F2238" s="4">
        <v>0</v>
      </c>
      <c r="G2238" s="4">
        <v>0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7.39</v>
      </c>
      <c r="D2239" s="4">
        <v>7.39</v>
      </c>
      <c r="E2239" s="4">
        <v>279</v>
      </c>
      <c r="F2239" s="4">
        <v>7.39</v>
      </c>
      <c r="G2239" s="4">
        <v>2061.81</v>
      </c>
      <c r="H2239" s="5">
        <f t="shared" si="34"/>
        <v>-5.3835800807537065E-3</v>
      </c>
    </row>
    <row r="2240" spans="1:8" ht="13.5" x14ac:dyDescent="0.25">
      <c r="A2240" s="1"/>
      <c r="B2240" s="3">
        <v>45561</v>
      </c>
      <c r="C2240" s="4">
        <v>7.39</v>
      </c>
      <c r="D2240" s="4">
        <v>7.39</v>
      </c>
      <c r="E2240" s="4">
        <v>0</v>
      </c>
      <c r="F2240" s="4">
        <v>0</v>
      </c>
      <c r="G2240" s="4">
        <v>0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7.39</v>
      </c>
      <c r="D2241" s="4">
        <v>7.39</v>
      </c>
      <c r="E2241" s="4">
        <v>0</v>
      </c>
      <c r="F2241" s="4">
        <v>0</v>
      </c>
      <c r="G2241" s="4">
        <v>0</v>
      </c>
      <c r="H2241" s="5">
        <f t="shared" si="34"/>
        <v>0</v>
      </c>
    </row>
    <row r="2242" spans="1:8" ht="13.5" x14ac:dyDescent="0.25">
      <c r="A2242" s="1"/>
      <c r="B2242" s="3">
        <v>45565</v>
      </c>
      <c r="C2242" s="4">
        <v>7.2</v>
      </c>
      <c r="D2242" s="4">
        <v>7.2</v>
      </c>
      <c r="E2242" s="4">
        <v>250</v>
      </c>
      <c r="F2242" s="4">
        <v>7.2</v>
      </c>
      <c r="G2242" s="4">
        <v>1800</v>
      </c>
      <c r="H2242" s="5">
        <f t="shared" si="34"/>
        <v>-2.5710419485791544E-2</v>
      </c>
    </row>
    <row r="2243" spans="1:8" ht="13.5" x14ac:dyDescent="0.25">
      <c r="A2243" s="1"/>
      <c r="B2243" s="3">
        <v>45566</v>
      </c>
      <c r="C2243" s="4">
        <v>6.92</v>
      </c>
      <c r="D2243" s="4">
        <v>6.92</v>
      </c>
      <c r="E2243" s="4">
        <v>100</v>
      </c>
      <c r="F2243" s="4">
        <v>6.92</v>
      </c>
      <c r="G2243" s="4">
        <v>692</v>
      </c>
      <c r="H2243" s="5">
        <f t="shared" si="34"/>
        <v>-3.8888888888888924E-2</v>
      </c>
    </row>
    <row r="2244" spans="1:8" ht="13.5" x14ac:dyDescent="0.25">
      <c r="A2244" s="1"/>
      <c r="B2244" s="3">
        <v>45567</v>
      </c>
      <c r="C2244" s="4">
        <v>6.71</v>
      </c>
      <c r="D2244" s="4">
        <v>6.71</v>
      </c>
      <c r="E2244" s="4">
        <v>520</v>
      </c>
      <c r="F2244" s="4">
        <v>6.7119999999999997</v>
      </c>
      <c r="G2244" s="4">
        <v>3490.24</v>
      </c>
      <c r="H2244" s="5">
        <f t="shared" si="34"/>
        <v>-3.034682080924855E-2</v>
      </c>
    </row>
    <row r="2245" spans="1:8" ht="13.5" x14ac:dyDescent="0.25">
      <c r="A2245" s="1"/>
      <c r="B2245" s="3">
        <v>45568</v>
      </c>
      <c r="C2245" s="4">
        <v>6.71</v>
      </c>
      <c r="D2245" s="4">
        <v>6.71</v>
      </c>
      <c r="E2245" s="4">
        <v>0</v>
      </c>
      <c r="F2245" s="4">
        <v>0</v>
      </c>
      <c r="G2245" s="4">
        <v>0</v>
      </c>
      <c r="H2245" s="5">
        <f t="shared" si="34"/>
        <v>0</v>
      </c>
    </row>
    <row r="2246" spans="1:8" ht="13.5" x14ac:dyDescent="0.25">
      <c r="A2246" s="1"/>
      <c r="B2246" s="3">
        <v>45569</v>
      </c>
      <c r="C2246" s="4">
        <v>6.71</v>
      </c>
      <c r="D2246" s="4">
        <v>6.71</v>
      </c>
      <c r="E2246" s="4">
        <v>0</v>
      </c>
      <c r="F2246" s="4">
        <v>0</v>
      </c>
      <c r="G2246" s="4">
        <v>0</v>
      </c>
      <c r="H2246" s="5">
        <f t="shared" si="34"/>
        <v>0</v>
      </c>
    </row>
    <row r="2247" spans="1:8" ht="13.5" x14ac:dyDescent="0.25">
      <c r="A2247" s="1"/>
      <c r="B2247" s="3">
        <v>45572</v>
      </c>
      <c r="C2247" s="4">
        <v>6.7</v>
      </c>
      <c r="D2247" s="4">
        <v>6.7</v>
      </c>
      <c r="E2247" s="4">
        <v>384</v>
      </c>
      <c r="F2247" s="4">
        <v>6.7</v>
      </c>
      <c r="G2247" s="4">
        <v>2572.8000000000002</v>
      </c>
      <c r="H2247" s="5">
        <f t="shared" ref="H2247:H2310" si="35">(D2247-D2246)/D2246</f>
        <v>-1.4903129657227701E-3</v>
      </c>
    </row>
    <row r="2248" spans="1:8" ht="13.5" x14ac:dyDescent="0.25">
      <c r="A2248" s="1"/>
      <c r="B2248" s="3">
        <v>45573</v>
      </c>
      <c r="C2248" s="4">
        <v>6.71</v>
      </c>
      <c r="D2248" s="4">
        <v>6.71</v>
      </c>
      <c r="E2248" s="4">
        <v>10</v>
      </c>
      <c r="F2248" s="4">
        <v>6.71</v>
      </c>
      <c r="G2248" s="4">
        <v>67.099999999999994</v>
      </c>
      <c r="H2248" s="5">
        <f t="shared" si="35"/>
        <v>1.492537313432804E-3</v>
      </c>
    </row>
    <row r="2249" spans="1:8" ht="13.5" x14ac:dyDescent="0.25">
      <c r="A2249" s="1"/>
      <c r="B2249" s="3">
        <v>45574</v>
      </c>
      <c r="C2249" s="4">
        <v>6.71</v>
      </c>
      <c r="D2249" s="4">
        <v>6.71</v>
      </c>
      <c r="E2249" s="4">
        <v>0</v>
      </c>
      <c r="F2249" s="4">
        <v>0</v>
      </c>
      <c r="G2249" s="4">
        <v>0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6.71</v>
      </c>
      <c r="D2250" s="4">
        <v>6.71</v>
      </c>
      <c r="E2250" s="4">
        <v>0</v>
      </c>
      <c r="F2250" s="4">
        <v>0</v>
      </c>
      <c r="G2250" s="4">
        <v>0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6.79</v>
      </c>
      <c r="D2251" s="4">
        <v>6.79</v>
      </c>
      <c r="E2251" s="4">
        <v>150</v>
      </c>
      <c r="F2251" s="4">
        <v>6.79</v>
      </c>
      <c r="G2251" s="4">
        <v>1018.5</v>
      </c>
      <c r="H2251" s="5">
        <f t="shared" si="35"/>
        <v>1.1922503725782425E-2</v>
      </c>
    </row>
    <row r="2252" spans="1:8" ht="13.5" x14ac:dyDescent="0.25">
      <c r="A2252" s="1"/>
      <c r="B2252" s="3">
        <v>45579</v>
      </c>
      <c r="C2252" s="4">
        <v>6.79</v>
      </c>
      <c r="D2252" s="4">
        <v>6.79</v>
      </c>
      <c r="E2252" s="4">
        <v>0</v>
      </c>
      <c r="F2252" s="4">
        <v>0</v>
      </c>
      <c r="G2252" s="4">
        <v>0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6.79</v>
      </c>
      <c r="D2253" s="4">
        <v>6.79</v>
      </c>
      <c r="E2253" s="4">
        <v>0</v>
      </c>
      <c r="F2253" s="4">
        <v>0</v>
      </c>
      <c r="G2253" s="4">
        <v>0</v>
      </c>
      <c r="H2253" s="5">
        <f t="shared" si="35"/>
        <v>0</v>
      </c>
    </row>
    <row r="2254" spans="1:8" ht="13.5" x14ac:dyDescent="0.25">
      <c r="A2254" s="1"/>
      <c r="B2254" s="3">
        <v>45582</v>
      </c>
      <c r="C2254" s="4">
        <v>7.09</v>
      </c>
      <c r="D2254" s="4">
        <v>7.09</v>
      </c>
      <c r="E2254" s="4">
        <v>50</v>
      </c>
      <c r="F2254" s="4">
        <v>7.09</v>
      </c>
      <c r="G2254" s="4">
        <v>354.5</v>
      </c>
      <c r="H2254" s="5">
        <f t="shared" si="35"/>
        <v>4.4182621502209106E-2</v>
      </c>
    </row>
    <row r="2255" spans="1:8" ht="13.5" x14ac:dyDescent="0.25">
      <c r="A2255" s="1"/>
      <c r="B2255" s="3">
        <v>45583</v>
      </c>
      <c r="C2255" s="4">
        <v>7.09</v>
      </c>
      <c r="D2255" s="4">
        <v>7.09</v>
      </c>
      <c r="E2255" s="4">
        <v>0</v>
      </c>
      <c r="F2255" s="4">
        <v>0</v>
      </c>
      <c r="G2255" s="4">
        <v>0</v>
      </c>
      <c r="H2255" s="5">
        <f t="shared" si="35"/>
        <v>0</v>
      </c>
    </row>
    <row r="2256" spans="1:8" ht="13.5" x14ac:dyDescent="0.25">
      <c r="A2256" s="1"/>
      <c r="B2256" s="3">
        <v>45586</v>
      </c>
      <c r="C2256" s="4">
        <v>7.09</v>
      </c>
      <c r="D2256" s="4">
        <v>7.09</v>
      </c>
      <c r="E2256" s="4">
        <v>0</v>
      </c>
      <c r="F2256" s="4">
        <v>0</v>
      </c>
      <c r="G2256" s="4">
        <v>0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7.09</v>
      </c>
      <c r="D2257" s="4">
        <v>7.09</v>
      </c>
      <c r="E2257" s="4">
        <v>201</v>
      </c>
      <c r="F2257" s="4">
        <v>7.09</v>
      </c>
      <c r="G2257" s="4">
        <v>1425.09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7.4</v>
      </c>
      <c r="D2258" s="4">
        <v>7.4</v>
      </c>
      <c r="E2258" s="4">
        <v>181</v>
      </c>
      <c r="F2258" s="4">
        <v>7.4</v>
      </c>
      <c r="G2258" s="4">
        <v>1339.4</v>
      </c>
      <c r="H2258" s="5">
        <f t="shared" si="35"/>
        <v>4.3723554301833639E-2</v>
      </c>
    </row>
    <row r="2259" spans="1:8" ht="13.5" x14ac:dyDescent="0.25">
      <c r="A2259" s="1"/>
      <c r="B2259" s="3">
        <v>45589</v>
      </c>
      <c r="C2259" s="4">
        <v>7.4</v>
      </c>
      <c r="D2259" s="4">
        <v>7.4</v>
      </c>
      <c r="E2259" s="4">
        <v>0</v>
      </c>
      <c r="F2259" s="4">
        <v>0</v>
      </c>
      <c r="G2259" s="4">
        <v>0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7.4</v>
      </c>
      <c r="D2260" s="4">
        <v>7.4</v>
      </c>
      <c r="E2260" s="4">
        <v>705</v>
      </c>
      <c r="F2260" s="4">
        <v>7.4</v>
      </c>
      <c r="G2260" s="4">
        <v>5217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7.07</v>
      </c>
      <c r="D2261" s="4">
        <v>7.07</v>
      </c>
      <c r="E2261" s="4">
        <v>9</v>
      </c>
      <c r="F2261" s="4">
        <v>7.07</v>
      </c>
      <c r="G2261" s="4">
        <v>63.63</v>
      </c>
      <c r="H2261" s="5">
        <f t="shared" si="35"/>
        <v>-4.4594594594594604E-2</v>
      </c>
    </row>
    <row r="2262" spans="1:8" ht="13.5" x14ac:dyDescent="0.25">
      <c r="A2262" s="1"/>
      <c r="B2262" s="3">
        <v>45594</v>
      </c>
      <c r="C2262" s="4">
        <v>7.07</v>
      </c>
      <c r="D2262" s="4">
        <v>7.07</v>
      </c>
      <c r="E2262" s="4">
        <v>14</v>
      </c>
      <c r="F2262" s="4">
        <v>7.07</v>
      </c>
      <c r="G2262" s="4">
        <v>98.98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7.07</v>
      </c>
      <c r="D2263" s="4">
        <v>7.07</v>
      </c>
      <c r="E2263" s="4">
        <v>0</v>
      </c>
      <c r="F2263" s="4">
        <v>0</v>
      </c>
      <c r="G2263" s="4">
        <v>0</v>
      </c>
      <c r="H2263" s="5">
        <f t="shared" si="35"/>
        <v>0</v>
      </c>
    </row>
    <row r="2264" spans="1:8" ht="13.5" x14ac:dyDescent="0.25">
      <c r="A2264" s="1"/>
      <c r="B2264" s="3">
        <v>45596</v>
      </c>
      <c r="C2264" s="4">
        <v>7.07</v>
      </c>
      <c r="D2264" s="4">
        <v>7.07</v>
      </c>
      <c r="E2264" s="4">
        <v>0</v>
      </c>
      <c r="F2264" s="4">
        <v>0</v>
      </c>
      <c r="G2264" s="4">
        <v>0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7.02</v>
      </c>
      <c r="D2265" s="4">
        <v>7.02</v>
      </c>
      <c r="E2265" s="4">
        <v>220</v>
      </c>
      <c r="F2265" s="4">
        <v>7.0190000000000001</v>
      </c>
      <c r="G2265" s="4">
        <v>1544.18</v>
      </c>
      <c r="H2265" s="5">
        <f t="shared" si="35"/>
        <v>-7.0721357850071723E-3</v>
      </c>
    </row>
    <row r="2266" spans="1:8" ht="13.5" x14ac:dyDescent="0.25">
      <c r="A2266" s="1"/>
      <c r="B2266" s="3">
        <v>45600</v>
      </c>
      <c r="C2266" s="4">
        <v>7.08</v>
      </c>
      <c r="D2266" s="4">
        <v>7.08</v>
      </c>
      <c r="E2266" s="4">
        <v>154</v>
      </c>
      <c r="F2266" s="4">
        <v>7.08</v>
      </c>
      <c r="G2266" s="4">
        <v>1090.32</v>
      </c>
      <c r="H2266" s="5">
        <f t="shared" si="35"/>
        <v>8.547008547008619E-3</v>
      </c>
    </row>
    <row r="2267" spans="1:8" ht="13.5" x14ac:dyDescent="0.25">
      <c r="A2267" s="1"/>
      <c r="B2267" s="3">
        <v>45601</v>
      </c>
      <c r="C2267" s="4">
        <v>7.39</v>
      </c>
      <c r="D2267" s="4">
        <v>7.39</v>
      </c>
      <c r="E2267" s="4">
        <v>120</v>
      </c>
      <c r="F2267" s="4">
        <v>7.3380000000000001</v>
      </c>
      <c r="G2267" s="4">
        <v>880.56</v>
      </c>
      <c r="H2267" s="5">
        <f t="shared" si="35"/>
        <v>4.378531073446322E-2</v>
      </c>
    </row>
    <row r="2268" spans="1:8" ht="13.5" x14ac:dyDescent="0.25">
      <c r="A2268" s="1"/>
      <c r="B2268" s="3">
        <v>45602</v>
      </c>
      <c r="C2268" s="4">
        <v>7.39</v>
      </c>
      <c r="D2268" s="4">
        <v>7.39</v>
      </c>
      <c r="E2268" s="4">
        <v>0</v>
      </c>
      <c r="F2268" s="4">
        <v>0</v>
      </c>
      <c r="G2268" s="4">
        <v>0</v>
      </c>
      <c r="H2268" s="5">
        <f t="shared" si="35"/>
        <v>0</v>
      </c>
    </row>
    <row r="2269" spans="1:8" ht="13.5" x14ac:dyDescent="0.25">
      <c r="A2269" s="1"/>
      <c r="B2269" s="3">
        <v>45603</v>
      </c>
      <c r="C2269" s="4">
        <v>7.39</v>
      </c>
      <c r="D2269" s="4">
        <v>7.39</v>
      </c>
      <c r="E2269" s="4">
        <v>0</v>
      </c>
      <c r="F2269" s="4">
        <v>0</v>
      </c>
      <c r="G2269" s="4">
        <v>0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7.39</v>
      </c>
      <c r="D2270" s="4">
        <v>7.39</v>
      </c>
      <c r="E2270" s="4">
        <v>0</v>
      </c>
      <c r="F2270" s="4">
        <v>0</v>
      </c>
      <c r="G2270" s="4">
        <v>0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7.5</v>
      </c>
      <c r="D2271" s="4">
        <v>7.5</v>
      </c>
      <c r="E2271" s="4">
        <v>540</v>
      </c>
      <c r="F2271" s="4">
        <v>7.5</v>
      </c>
      <c r="G2271" s="4">
        <v>4050</v>
      </c>
      <c r="H2271" s="5">
        <f t="shared" si="35"/>
        <v>1.488497970230045E-2</v>
      </c>
    </row>
    <row r="2272" spans="1:8" ht="13.5" x14ac:dyDescent="0.25">
      <c r="A2272" s="1"/>
      <c r="B2272" s="3">
        <v>45608</v>
      </c>
      <c r="C2272" s="4">
        <v>7.5</v>
      </c>
      <c r="D2272" s="4">
        <v>7.5</v>
      </c>
      <c r="E2272" s="4">
        <v>0</v>
      </c>
      <c r="F2272" s="4">
        <v>0</v>
      </c>
      <c r="G2272" s="4">
        <v>0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7.5</v>
      </c>
      <c r="D2273" s="4">
        <v>7.5</v>
      </c>
      <c r="E2273" s="4">
        <v>0</v>
      </c>
      <c r="F2273" s="4">
        <v>0</v>
      </c>
      <c r="G2273" s="4">
        <v>0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7.5</v>
      </c>
      <c r="D2274" s="4">
        <v>7.5</v>
      </c>
      <c r="E2274" s="4">
        <v>0</v>
      </c>
      <c r="F2274" s="4">
        <v>0</v>
      </c>
      <c r="G2274" s="4">
        <v>0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7.5</v>
      </c>
      <c r="D2275" s="4">
        <v>7.5</v>
      </c>
      <c r="E2275" s="4">
        <v>0</v>
      </c>
      <c r="F2275" s="4">
        <v>0</v>
      </c>
      <c r="G2275" s="4">
        <v>0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7.5</v>
      </c>
      <c r="D2276" s="4">
        <v>7.5</v>
      </c>
      <c r="E2276" s="4">
        <v>0</v>
      </c>
      <c r="F2276" s="4">
        <v>0</v>
      </c>
      <c r="G2276" s="4">
        <v>0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7.5</v>
      </c>
      <c r="D2277" s="4">
        <v>7.5</v>
      </c>
      <c r="E2277" s="4">
        <v>0</v>
      </c>
      <c r="F2277" s="4">
        <v>0</v>
      </c>
      <c r="G2277" s="4">
        <v>0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7.5</v>
      </c>
      <c r="D2278" s="4">
        <v>7.5</v>
      </c>
      <c r="E2278" s="4">
        <v>0</v>
      </c>
      <c r="F2278" s="4">
        <v>0</v>
      </c>
      <c r="G2278" s="4">
        <v>0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7.17</v>
      </c>
      <c r="D2279" s="4">
        <v>7.17</v>
      </c>
      <c r="E2279" s="4">
        <v>0</v>
      </c>
      <c r="F2279" s="4">
        <v>0</v>
      </c>
      <c r="G2279" s="4">
        <v>0</v>
      </c>
      <c r="H2279" s="5">
        <f t="shared" si="35"/>
        <v>-4.4000000000000011E-2</v>
      </c>
    </row>
    <row r="2280" spans="1:8" ht="13.5" x14ac:dyDescent="0.25">
      <c r="A2280" s="1"/>
      <c r="B2280" s="3">
        <v>45618</v>
      </c>
      <c r="C2280" s="4">
        <v>7.17</v>
      </c>
      <c r="D2280" s="4">
        <v>7.17</v>
      </c>
      <c r="E2280" s="4">
        <v>173</v>
      </c>
      <c r="F2280" s="4">
        <v>7.17</v>
      </c>
      <c r="G2280" s="4">
        <v>1240.4100000000001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7.02</v>
      </c>
      <c r="D2281" s="4">
        <v>7.02</v>
      </c>
      <c r="E2281" s="4">
        <v>125</v>
      </c>
      <c r="F2281" s="4">
        <v>7.02</v>
      </c>
      <c r="G2281" s="4">
        <v>877.5</v>
      </c>
      <c r="H2281" s="5">
        <f t="shared" si="35"/>
        <v>-2.092050209205026E-2</v>
      </c>
    </row>
    <row r="2282" spans="1:8" ht="13.5" x14ac:dyDescent="0.25">
      <c r="A2282" s="1"/>
      <c r="B2282" s="3">
        <v>45622</v>
      </c>
      <c r="C2282" s="4">
        <v>7.02</v>
      </c>
      <c r="D2282" s="4">
        <v>7.02</v>
      </c>
      <c r="E2282" s="4">
        <v>155</v>
      </c>
      <c r="F2282" s="4">
        <v>7.02</v>
      </c>
      <c r="G2282" s="4">
        <v>1088.0999999999999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7.01</v>
      </c>
      <c r="D2283" s="4">
        <v>7.01</v>
      </c>
      <c r="E2283" s="4">
        <v>125</v>
      </c>
      <c r="F2283" s="4">
        <v>7.01</v>
      </c>
      <c r="G2283" s="4">
        <v>876.25</v>
      </c>
      <c r="H2283" s="5">
        <f t="shared" si="35"/>
        <v>-1.4245014245013942E-3</v>
      </c>
    </row>
    <row r="2284" spans="1:8" ht="13.5" x14ac:dyDescent="0.25">
      <c r="A2284" s="1"/>
      <c r="B2284" s="3">
        <v>45624</v>
      </c>
      <c r="C2284" s="4">
        <v>7.01</v>
      </c>
      <c r="D2284" s="4">
        <v>7.01</v>
      </c>
      <c r="E2284" s="4">
        <v>0</v>
      </c>
      <c r="F2284" s="4">
        <v>0</v>
      </c>
      <c r="G2284" s="4">
        <v>0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7.01</v>
      </c>
      <c r="D2285" s="4">
        <v>7.01</v>
      </c>
      <c r="E2285" s="4">
        <v>19</v>
      </c>
      <c r="F2285" s="4">
        <v>7.01</v>
      </c>
      <c r="G2285" s="4">
        <v>133.19</v>
      </c>
      <c r="H2285" s="5">
        <f t="shared" si="35"/>
        <v>0</v>
      </c>
    </row>
    <row r="2286" spans="1:8" ht="13.5" x14ac:dyDescent="0.25">
      <c r="A2286" s="1"/>
      <c r="B2286" s="3">
        <v>45628</v>
      </c>
      <c r="C2286" s="4">
        <v>7.01</v>
      </c>
      <c r="D2286" s="4">
        <v>7.01</v>
      </c>
      <c r="E2286" s="4">
        <v>0</v>
      </c>
      <c r="F2286" s="4">
        <v>0</v>
      </c>
      <c r="G2286" s="4">
        <v>0</v>
      </c>
      <c r="H2286" s="5">
        <f t="shared" si="35"/>
        <v>0</v>
      </c>
    </row>
    <row r="2287" spans="1:8" ht="13.5" x14ac:dyDescent="0.25">
      <c r="A2287" s="1"/>
      <c r="B2287" s="3">
        <v>45629</v>
      </c>
      <c r="C2287" s="4">
        <v>6.99</v>
      </c>
      <c r="D2287" s="4">
        <v>6.99</v>
      </c>
      <c r="E2287" s="4">
        <v>540</v>
      </c>
      <c r="F2287" s="4">
        <v>6.99</v>
      </c>
      <c r="G2287" s="4">
        <v>3774.6</v>
      </c>
      <c r="H2287" s="5">
        <f t="shared" si="35"/>
        <v>-2.8530670470755456E-3</v>
      </c>
    </row>
    <row r="2288" spans="1:8" ht="13.5" x14ac:dyDescent="0.25">
      <c r="A2288" s="1"/>
      <c r="B2288" s="3">
        <v>45630</v>
      </c>
      <c r="C2288" s="4">
        <v>7.01</v>
      </c>
      <c r="D2288" s="4">
        <v>7.01</v>
      </c>
      <c r="E2288" s="4">
        <v>353</v>
      </c>
      <c r="F2288" s="4">
        <v>7.01</v>
      </c>
      <c r="G2288" s="4">
        <v>2474.5300000000002</v>
      </c>
      <c r="H2288" s="5">
        <f t="shared" si="35"/>
        <v>2.8612303290414267E-3</v>
      </c>
    </row>
    <row r="2289" spans="1:8" ht="13.5" x14ac:dyDescent="0.25">
      <c r="A2289" s="1"/>
      <c r="B2289" s="3">
        <v>45631</v>
      </c>
      <c r="C2289" s="4">
        <v>7.01</v>
      </c>
      <c r="D2289" s="4">
        <v>7.01</v>
      </c>
      <c r="E2289" s="4">
        <v>0</v>
      </c>
      <c r="F2289" s="4">
        <v>0</v>
      </c>
      <c r="G2289" s="4">
        <v>0</v>
      </c>
      <c r="H2289" s="5">
        <f t="shared" si="35"/>
        <v>0</v>
      </c>
    </row>
    <row r="2290" spans="1:8" ht="13.5" x14ac:dyDescent="0.25">
      <c r="A2290" s="1"/>
      <c r="B2290" s="3">
        <v>45632</v>
      </c>
      <c r="C2290" s="4">
        <v>7.01</v>
      </c>
      <c r="D2290" s="4">
        <v>7.01</v>
      </c>
      <c r="E2290" s="4">
        <v>0</v>
      </c>
      <c r="F2290" s="4">
        <v>0</v>
      </c>
      <c r="G2290" s="4">
        <v>0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7.01</v>
      </c>
      <c r="D2291" s="4">
        <v>7.01</v>
      </c>
      <c r="E2291" s="4">
        <v>0</v>
      </c>
      <c r="F2291" s="4">
        <v>0</v>
      </c>
      <c r="G2291" s="4">
        <v>0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7.01</v>
      </c>
      <c r="D2292" s="4">
        <v>7.01</v>
      </c>
      <c r="E2292" s="4">
        <v>0</v>
      </c>
      <c r="F2292" s="4">
        <v>0</v>
      </c>
      <c r="G2292" s="4">
        <v>0</v>
      </c>
      <c r="H2292" s="5">
        <f t="shared" si="35"/>
        <v>0</v>
      </c>
    </row>
    <row r="2293" spans="1:8" ht="13.5" x14ac:dyDescent="0.25">
      <c r="A2293" s="1"/>
      <c r="B2293" s="3">
        <v>45637</v>
      </c>
      <c r="C2293" s="4">
        <v>7.01</v>
      </c>
      <c r="D2293" s="4">
        <v>7.01</v>
      </c>
      <c r="E2293" s="4">
        <v>5</v>
      </c>
      <c r="F2293" s="4">
        <v>7.01</v>
      </c>
      <c r="G2293" s="4">
        <v>35.049999999999997</v>
      </c>
      <c r="H2293" s="5">
        <f t="shared" si="35"/>
        <v>0</v>
      </c>
    </row>
    <row r="2294" spans="1:8" ht="13.5" x14ac:dyDescent="0.25">
      <c r="A2294" s="1"/>
      <c r="B2294" s="3">
        <v>45638</v>
      </c>
      <c r="C2294" s="4">
        <v>7.01</v>
      </c>
      <c r="D2294" s="4">
        <v>7.01</v>
      </c>
      <c r="E2294" s="4">
        <v>0</v>
      </c>
      <c r="F2294" s="4">
        <v>0</v>
      </c>
      <c r="G2294" s="4">
        <v>0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7.01</v>
      </c>
      <c r="D2295" s="4">
        <v>7.01</v>
      </c>
      <c r="E2295" s="4">
        <v>200</v>
      </c>
      <c r="F2295" s="4">
        <v>7.01</v>
      </c>
      <c r="G2295" s="4">
        <v>1402</v>
      </c>
      <c r="H2295" s="5">
        <f t="shared" si="35"/>
        <v>0</v>
      </c>
    </row>
    <row r="2296" spans="1:8" ht="13.5" x14ac:dyDescent="0.25">
      <c r="A2296" s="1"/>
      <c r="B2296" s="3">
        <v>45642</v>
      </c>
      <c r="C2296" s="4">
        <v>7.01</v>
      </c>
      <c r="D2296" s="4">
        <v>7.01</v>
      </c>
      <c r="E2296" s="4">
        <v>0</v>
      </c>
      <c r="F2296" s="4">
        <v>0</v>
      </c>
      <c r="G2296" s="4">
        <v>0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7.01</v>
      </c>
      <c r="D2297" s="4">
        <v>7.01</v>
      </c>
      <c r="E2297" s="4">
        <v>0</v>
      </c>
      <c r="F2297" s="4">
        <v>0</v>
      </c>
      <c r="G2297" s="4">
        <v>0</v>
      </c>
      <c r="H2297" s="5">
        <f t="shared" si="35"/>
        <v>0</v>
      </c>
    </row>
    <row r="2298" spans="1:8" ht="13.5" x14ac:dyDescent="0.25">
      <c r="A2298" s="1"/>
      <c r="B2298" s="3">
        <v>45645</v>
      </c>
      <c r="C2298" s="4">
        <v>7.01</v>
      </c>
      <c r="D2298" s="4">
        <v>7.01</v>
      </c>
      <c r="E2298" s="4">
        <v>0</v>
      </c>
      <c r="F2298" s="4">
        <v>0</v>
      </c>
      <c r="G2298" s="4">
        <v>0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7.32</v>
      </c>
      <c r="D2299" s="4">
        <v>7.32</v>
      </c>
      <c r="E2299" s="4">
        <v>1</v>
      </c>
      <c r="F2299" s="4">
        <v>7.32</v>
      </c>
      <c r="G2299" s="4">
        <v>7.32</v>
      </c>
      <c r="H2299" s="5">
        <f t="shared" si="35"/>
        <v>4.4222539229671967E-2</v>
      </c>
    </row>
    <row r="2300" spans="1:8" ht="13.5" x14ac:dyDescent="0.25">
      <c r="A2300" s="1"/>
      <c r="B2300" s="3">
        <v>45649</v>
      </c>
      <c r="C2300" s="4">
        <v>7.32</v>
      </c>
      <c r="D2300" s="4">
        <v>7.32</v>
      </c>
      <c r="E2300" s="4">
        <v>0</v>
      </c>
      <c r="F2300" s="4">
        <v>0</v>
      </c>
      <c r="G2300" s="4">
        <v>0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7.32</v>
      </c>
      <c r="D2301" s="4">
        <v>7.32</v>
      </c>
      <c r="E2301" s="4">
        <v>50</v>
      </c>
      <c r="F2301" s="4">
        <v>7.32</v>
      </c>
      <c r="G2301" s="4">
        <v>366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7.32</v>
      </c>
      <c r="D2302" s="4">
        <v>7.32</v>
      </c>
      <c r="E2302" s="4">
        <v>0</v>
      </c>
      <c r="F2302" s="4">
        <v>0</v>
      </c>
      <c r="G2302" s="4">
        <v>0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7.32</v>
      </c>
      <c r="D2303" s="4">
        <v>7.32</v>
      </c>
      <c r="E2303" s="4">
        <v>100</v>
      </c>
      <c r="F2303" s="4">
        <v>7.32</v>
      </c>
      <c r="G2303" s="4">
        <v>732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7.32</v>
      </c>
      <c r="D2304" s="4">
        <v>7.32</v>
      </c>
      <c r="E2304" s="4">
        <v>0</v>
      </c>
      <c r="F2304" s="4">
        <v>0</v>
      </c>
      <c r="G2304" s="4">
        <v>0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7</v>
      </c>
      <c r="D2305" s="4">
        <v>7</v>
      </c>
      <c r="E2305" s="4">
        <v>10</v>
      </c>
      <c r="F2305" s="4">
        <v>7</v>
      </c>
      <c r="G2305" s="4">
        <v>70</v>
      </c>
      <c r="H2305" s="5">
        <f t="shared" si="35"/>
        <v>-4.3715846994535554E-2</v>
      </c>
    </row>
    <row r="2306" spans="1:8" ht="13.5" x14ac:dyDescent="0.25">
      <c r="A2306" s="1"/>
      <c r="B2306" s="3">
        <v>45657</v>
      </c>
      <c r="C2306" s="4">
        <v>6.99</v>
      </c>
      <c r="D2306" s="4">
        <v>6.99</v>
      </c>
      <c r="E2306" s="4">
        <v>327</v>
      </c>
      <c r="F2306" s="4">
        <v>6.99</v>
      </c>
      <c r="G2306" s="4">
        <v>2285.73</v>
      </c>
      <c r="H2306" s="5">
        <f t="shared" si="35"/>
        <v>-1.4285714285713982E-3</v>
      </c>
    </row>
    <row r="2307" spans="1:8" ht="13.5" x14ac:dyDescent="0.25">
      <c r="A2307" s="1"/>
      <c r="B2307" s="3">
        <v>45659</v>
      </c>
      <c r="C2307" s="4">
        <v>7</v>
      </c>
      <c r="D2307" s="4">
        <v>7</v>
      </c>
      <c r="E2307" s="4">
        <v>15</v>
      </c>
      <c r="F2307" s="4">
        <v>7</v>
      </c>
      <c r="G2307" s="4">
        <v>105</v>
      </c>
      <c r="H2307" s="5">
        <f t="shared" si="35"/>
        <v>1.4306151645207133E-3</v>
      </c>
    </row>
    <row r="2308" spans="1:8" ht="13.5" x14ac:dyDescent="0.25">
      <c r="A2308" s="1"/>
      <c r="B2308" s="3">
        <v>45660</v>
      </c>
      <c r="C2308" s="4">
        <v>7</v>
      </c>
      <c r="D2308" s="4">
        <v>7</v>
      </c>
      <c r="E2308" s="4">
        <v>168</v>
      </c>
      <c r="F2308" s="4">
        <v>7</v>
      </c>
      <c r="G2308" s="4">
        <v>1176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7</v>
      </c>
      <c r="D2309" s="4">
        <v>7</v>
      </c>
      <c r="E2309" s="4">
        <v>0</v>
      </c>
      <c r="F2309" s="4">
        <v>0</v>
      </c>
      <c r="G2309" s="4">
        <v>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7.01</v>
      </c>
      <c r="D2310" s="4">
        <v>7.01</v>
      </c>
      <c r="E2310" s="4">
        <v>410</v>
      </c>
      <c r="F2310" s="4">
        <v>7.01</v>
      </c>
      <c r="G2310" s="4">
        <v>2874.1</v>
      </c>
      <c r="H2310" s="5">
        <f t="shared" si="35"/>
        <v>1.4285714285713982E-3</v>
      </c>
    </row>
    <row r="2311" spans="1:8" ht="13.5" x14ac:dyDescent="0.25">
      <c r="A2311" s="1"/>
      <c r="B2311" s="3">
        <v>45665</v>
      </c>
      <c r="C2311" s="4">
        <v>7.01</v>
      </c>
      <c r="D2311" s="4">
        <v>7.01</v>
      </c>
      <c r="E2311" s="4">
        <v>0</v>
      </c>
      <c r="F2311" s="4">
        <v>0</v>
      </c>
      <c r="G2311" s="4">
        <v>0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7.01</v>
      </c>
      <c r="D2312" s="4">
        <v>7.01</v>
      </c>
      <c r="E2312" s="4">
        <v>0</v>
      </c>
      <c r="F2312" s="4">
        <v>0</v>
      </c>
      <c r="G2312" s="4">
        <v>0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7.01</v>
      </c>
      <c r="D2313" s="4">
        <v>7.01</v>
      </c>
      <c r="E2313" s="4">
        <v>1</v>
      </c>
      <c r="F2313" s="4">
        <v>7.01</v>
      </c>
      <c r="G2313" s="4">
        <v>7.01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7</v>
      </c>
      <c r="D2314" s="4">
        <v>7</v>
      </c>
      <c r="E2314" s="4">
        <v>363</v>
      </c>
      <c r="F2314" s="4">
        <v>7</v>
      </c>
      <c r="G2314" s="4">
        <v>2541</v>
      </c>
      <c r="H2314" s="5">
        <f t="shared" si="36"/>
        <v>-1.4265335235377728E-3</v>
      </c>
    </row>
    <row r="2315" spans="1:8" ht="13.5" x14ac:dyDescent="0.25">
      <c r="A2315" s="1"/>
      <c r="B2315" s="3">
        <v>45671</v>
      </c>
      <c r="C2315" s="4">
        <v>7.3</v>
      </c>
      <c r="D2315" s="4">
        <v>7.3</v>
      </c>
      <c r="E2315" s="4">
        <v>999</v>
      </c>
      <c r="F2315" s="4">
        <v>7.3</v>
      </c>
      <c r="G2315" s="4">
        <v>7292.7</v>
      </c>
      <c r="H2315" s="5">
        <f t="shared" si="36"/>
        <v>4.285714285714283E-2</v>
      </c>
    </row>
    <row r="2316" spans="1:8" ht="13.5" x14ac:dyDescent="0.25">
      <c r="A2316" s="1"/>
      <c r="B2316" s="3">
        <v>45672</v>
      </c>
      <c r="C2316" s="4">
        <v>7.55</v>
      </c>
      <c r="D2316" s="4">
        <v>7.55</v>
      </c>
      <c r="E2316" s="4">
        <v>241</v>
      </c>
      <c r="F2316" s="4">
        <v>7.55</v>
      </c>
      <c r="G2316" s="4">
        <v>1819.55</v>
      </c>
      <c r="H2316" s="5">
        <f t="shared" si="36"/>
        <v>3.4246575342465752E-2</v>
      </c>
    </row>
    <row r="2317" spans="1:8" ht="13.5" x14ac:dyDescent="0.25">
      <c r="A2317" s="1"/>
      <c r="B2317" s="3">
        <v>45673</v>
      </c>
      <c r="C2317" s="4">
        <v>7.55</v>
      </c>
      <c r="D2317" s="4">
        <v>7.55</v>
      </c>
      <c r="E2317" s="4">
        <v>0</v>
      </c>
      <c r="F2317" s="4">
        <v>0</v>
      </c>
      <c r="G2317" s="4">
        <v>0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7.55</v>
      </c>
      <c r="D2318" s="4">
        <v>7.55</v>
      </c>
      <c r="E2318" s="4">
        <v>0</v>
      </c>
      <c r="F2318" s="4">
        <v>0</v>
      </c>
      <c r="G2318" s="4">
        <v>0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7.55</v>
      </c>
      <c r="D2319" s="4">
        <v>7.55</v>
      </c>
      <c r="E2319" s="4">
        <v>0</v>
      </c>
      <c r="F2319" s="4">
        <v>0</v>
      </c>
      <c r="G2319" s="4">
        <v>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7.22</v>
      </c>
      <c r="D2320" s="4">
        <v>7.22</v>
      </c>
      <c r="E2320" s="4">
        <v>0</v>
      </c>
      <c r="F2320" s="4">
        <v>0</v>
      </c>
      <c r="G2320" s="4">
        <v>0</v>
      </c>
      <c r="H2320" s="5">
        <f t="shared" si="36"/>
        <v>-4.3708609271523188E-2</v>
      </c>
    </row>
    <row r="2321" spans="1:8" ht="13.5" x14ac:dyDescent="0.25">
      <c r="A2321" s="1"/>
      <c r="B2321" s="3">
        <v>45679</v>
      </c>
      <c r="C2321" s="4">
        <v>7</v>
      </c>
      <c r="D2321" s="4">
        <v>7</v>
      </c>
      <c r="E2321" s="4">
        <v>9</v>
      </c>
      <c r="F2321" s="4">
        <v>7</v>
      </c>
      <c r="G2321" s="4">
        <v>63</v>
      </c>
      <c r="H2321" s="5">
        <f t="shared" si="36"/>
        <v>-3.0470914127423789E-2</v>
      </c>
    </row>
    <row r="2322" spans="1:8" ht="13.5" x14ac:dyDescent="0.25">
      <c r="A2322" s="1"/>
      <c r="B2322" s="3">
        <v>45680</v>
      </c>
      <c r="C2322" s="4">
        <v>7</v>
      </c>
      <c r="D2322" s="4">
        <v>7</v>
      </c>
      <c r="E2322" s="4">
        <v>222</v>
      </c>
      <c r="F2322" s="4">
        <v>7</v>
      </c>
      <c r="G2322" s="4">
        <v>1554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7.01</v>
      </c>
      <c r="D2323" s="4">
        <v>7.01</v>
      </c>
      <c r="E2323" s="4">
        <v>29</v>
      </c>
      <c r="F2323" s="4">
        <v>7.01</v>
      </c>
      <c r="G2323" s="4">
        <v>203.29</v>
      </c>
      <c r="H2323" s="5">
        <f t="shared" si="36"/>
        <v>1.4285714285713982E-3</v>
      </c>
    </row>
    <row r="2324" spans="1:8" ht="13.5" x14ac:dyDescent="0.25">
      <c r="A2324" s="1"/>
      <c r="B2324" s="3">
        <v>45684</v>
      </c>
      <c r="C2324" s="4">
        <v>7</v>
      </c>
      <c r="D2324" s="4">
        <v>7</v>
      </c>
      <c r="E2324" s="4">
        <v>29</v>
      </c>
      <c r="F2324" s="4">
        <v>7</v>
      </c>
      <c r="G2324" s="4">
        <v>203</v>
      </c>
      <c r="H2324" s="5">
        <f t="shared" si="36"/>
        <v>-1.4265335235377728E-3</v>
      </c>
    </row>
    <row r="2325" spans="1:8" ht="13.5" x14ac:dyDescent="0.25">
      <c r="A2325" s="1"/>
      <c r="B2325" s="3">
        <v>45685</v>
      </c>
      <c r="C2325" s="4">
        <v>7</v>
      </c>
      <c r="D2325" s="4">
        <v>7</v>
      </c>
      <c r="E2325" s="4">
        <v>0</v>
      </c>
      <c r="F2325" s="4">
        <v>0</v>
      </c>
      <c r="G2325" s="4">
        <v>0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7</v>
      </c>
      <c r="D2326" s="4">
        <v>7</v>
      </c>
      <c r="E2326" s="4">
        <v>0</v>
      </c>
      <c r="F2326" s="4">
        <v>0</v>
      </c>
      <c r="G2326" s="4">
        <v>0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7</v>
      </c>
      <c r="D2327" s="4">
        <v>7</v>
      </c>
      <c r="E2327" s="4">
        <v>0</v>
      </c>
      <c r="F2327" s="4">
        <v>0</v>
      </c>
      <c r="G2327" s="4">
        <v>0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7</v>
      </c>
      <c r="D2328" s="4">
        <v>7</v>
      </c>
      <c r="E2328" s="4">
        <v>0</v>
      </c>
      <c r="F2328" s="4">
        <v>0</v>
      </c>
      <c r="G2328" s="4">
        <v>0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7</v>
      </c>
      <c r="D2329" s="4">
        <v>7</v>
      </c>
      <c r="E2329" s="4">
        <v>0</v>
      </c>
      <c r="F2329" s="4">
        <v>0</v>
      </c>
      <c r="G2329" s="4">
        <v>0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7</v>
      </c>
      <c r="D2330" s="4">
        <v>7</v>
      </c>
      <c r="E2330" s="4">
        <v>0</v>
      </c>
      <c r="F2330" s="4">
        <v>0</v>
      </c>
      <c r="G2330" s="4">
        <v>0</v>
      </c>
      <c r="H2330" s="5">
        <f t="shared" si="36"/>
        <v>0</v>
      </c>
    </row>
    <row r="2331" spans="1:8" ht="13.5" x14ac:dyDescent="0.25">
      <c r="A2331" s="1"/>
      <c r="B2331" s="3">
        <v>45693</v>
      </c>
      <c r="C2331" s="4">
        <v>7.01</v>
      </c>
      <c r="D2331" s="4">
        <v>7.01</v>
      </c>
      <c r="E2331" s="4">
        <v>4</v>
      </c>
      <c r="F2331" s="4">
        <v>7.01</v>
      </c>
      <c r="G2331" s="4">
        <v>28.04</v>
      </c>
      <c r="H2331" s="5">
        <f t="shared" si="36"/>
        <v>1.4285714285713982E-3</v>
      </c>
    </row>
    <row r="2332" spans="1:8" ht="13.5" x14ac:dyDescent="0.25">
      <c r="A2332" s="1"/>
      <c r="B2332" s="3">
        <v>45694</v>
      </c>
      <c r="C2332" s="4">
        <v>7.01</v>
      </c>
      <c r="D2332" s="4">
        <v>7.01</v>
      </c>
      <c r="E2332" s="4">
        <v>0</v>
      </c>
      <c r="F2332" s="4">
        <v>0</v>
      </c>
      <c r="G2332" s="4">
        <v>0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7.01</v>
      </c>
      <c r="D2333" s="4">
        <v>7.01</v>
      </c>
      <c r="E2333" s="4">
        <v>0</v>
      </c>
      <c r="F2333" s="4">
        <v>0</v>
      </c>
      <c r="G2333" s="4">
        <v>0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7.01</v>
      </c>
      <c r="D2334" s="4">
        <v>7.01</v>
      </c>
      <c r="E2334" s="4">
        <v>0</v>
      </c>
      <c r="F2334" s="4">
        <v>0</v>
      </c>
      <c r="G2334" s="4">
        <v>0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7.01</v>
      </c>
      <c r="D2335" s="4">
        <v>7.01</v>
      </c>
      <c r="E2335" s="4">
        <v>0</v>
      </c>
      <c r="F2335" s="4">
        <v>0</v>
      </c>
      <c r="G2335" s="4">
        <v>0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7.01</v>
      </c>
      <c r="D2336" s="4">
        <v>7.01</v>
      </c>
      <c r="E2336" s="4">
        <v>0</v>
      </c>
      <c r="F2336" s="4">
        <v>0</v>
      </c>
      <c r="G2336" s="4">
        <v>0</v>
      </c>
      <c r="H2336" s="5">
        <f t="shared" si="36"/>
        <v>0</v>
      </c>
    </row>
    <row r="2337" spans="1:8" ht="13.5" x14ac:dyDescent="0.25">
      <c r="A2337" s="1"/>
      <c r="B2337" s="3">
        <v>45701</v>
      </c>
      <c r="C2337" s="4">
        <v>7.01</v>
      </c>
      <c r="D2337" s="4">
        <v>7.01</v>
      </c>
      <c r="E2337" s="4">
        <v>0</v>
      </c>
      <c r="F2337" s="4">
        <v>0</v>
      </c>
      <c r="G2337" s="4">
        <v>0</v>
      </c>
      <c r="H2337" s="5">
        <f t="shared" si="36"/>
        <v>0</v>
      </c>
    </row>
    <row r="2338" spans="1:8" ht="13.5" x14ac:dyDescent="0.25">
      <c r="A2338" s="1"/>
      <c r="B2338" s="3">
        <v>45702</v>
      </c>
      <c r="C2338" s="4">
        <v>7.01</v>
      </c>
      <c r="D2338" s="4">
        <v>7.01</v>
      </c>
      <c r="E2338" s="4">
        <v>0</v>
      </c>
      <c r="F2338" s="4">
        <v>0</v>
      </c>
      <c r="G2338" s="4">
        <v>0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7</v>
      </c>
      <c r="D2339" s="4">
        <v>7</v>
      </c>
      <c r="E2339" s="4">
        <v>100</v>
      </c>
      <c r="F2339" s="4">
        <v>7</v>
      </c>
      <c r="G2339" s="4">
        <v>700</v>
      </c>
      <c r="H2339" s="5">
        <f t="shared" si="36"/>
        <v>-1.4265335235377728E-3</v>
      </c>
    </row>
    <row r="2340" spans="1:8" ht="13.5" x14ac:dyDescent="0.25">
      <c r="A2340" s="1"/>
      <c r="B2340" s="3">
        <v>45706</v>
      </c>
      <c r="C2340" s="4">
        <v>7</v>
      </c>
      <c r="D2340" s="4">
        <v>7</v>
      </c>
      <c r="E2340" s="4">
        <v>0</v>
      </c>
      <c r="F2340" s="4">
        <v>0</v>
      </c>
      <c r="G2340" s="4">
        <v>0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7</v>
      </c>
      <c r="D2341" s="4">
        <v>7</v>
      </c>
      <c r="E2341" s="4">
        <v>0</v>
      </c>
      <c r="F2341" s="4">
        <v>0</v>
      </c>
      <c r="G2341" s="4">
        <v>0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7</v>
      </c>
      <c r="D2342" s="4">
        <v>7</v>
      </c>
      <c r="E2342" s="4">
        <v>0</v>
      </c>
      <c r="F2342" s="4">
        <v>0</v>
      </c>
      <c r="G2342" s="4">
        <v>0</v>
      </c>
      <c r="H2342" s="5">
        <f t="shared" si="36"/>
        <v>0</v>
      </c>
    </row>
    <row r="2343" spans="1:8" ht="13.5" x14ac:dyDescent="0.25">
      <c r="A2343" s="1"/>
      <c r="B2343" s="3">
        <v>45709</v>
      </c>
      <c r="C2343" s="4">
        <v>7</v>
      </c>
      <c r="D2343" s="4">
        <v>7</v>
      </c>
      <c r="E2343" s="4">
        <v>0</v>
      </c>
      <c r="F2343" s="4">
        <v>0</v>
      </c>
      <c r="G2343" s="4">
        <v>0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7</v>
      </c>
      <c r="D2344" s="4">
        <v>7</v>
      </c>
      <c r="E2344" s="4">
        <v>0</v>
      </c>
      <c r="F2344" s="4">
        <v>0</v>
      </c>
      <c r="G2344" s="4">
        <v>0</v>
      </c>
      <c r="H2344" s="5">
        <f t="shared" si="36"/>
        <v>0</v>
      </c>
    </row>
    <row r="2345" spans="1:8" ht="13.5" x14ac:dyDescent="0.25">
      <c r="A2345" s="1"/>
      <c r="B2345" s="3">
        <v>45713</v>
      </c>
      <c r="C2345" s="4">
        <v>7.01</v>
      </c>
      <c r="D2345" s="4">
        <v>7.01</v>
      </c>
      <c r="E2345" s="4">
        <v>10</v>
      </c>
      <c r="F2345" s="4">
        <v>7.01</v>
      </c>
      <c r="G2345" s="4">
        <v>70.099999999999994</v>
      </c>
      <c r="H2345" s="5">
        <f t="shared" si="36"/>
        <v>1.4285714285713982E-3</v>
      </c>
    </row>
    <row r="2346" spans="1:8" ht="13.5" x14ac:dyDescent="0.25">
      <c r="A2346" s="1"/>
      <c r="B2346" s="3">
        <v>45714</v>
      </c>
      <c r="C2346" s="4">
        <v>7.1</v>
      </c>
      <c r="D2346" s="4">
        <v>7.1</v>
      </c>
      <c r="E2346" s="4">
        <v>515</v>
      </c>
      <c r="F2346" s="4">
        <v>7.1</v>
      </c>
      <c r="G2346" s="4">
        <v>3656.5</v>
      </c>
      <c r="H2346" s="5">
        <f t="shared" si="36"/>
        <v>1.2838801711840209E-2</v>
      </c>
    </row>
    <row r="2347" spans="1:8" ht="13.5" x14ac:dyDescent="0.25">
      <c r="A2347" s="1"/>
      <c r="B2347" s="3">
        <v>45715</v>
      </c>
      <c r="C2347" s="4">
        <v>6.88</v>
      </c>
      <c r="D2347" s="4">
        <v>6.88</v>
      </c>
      <c r="E2347" s="4">
        <v>416</v>
      </c>
      <c r="F2347" s="4">
        <v>6.88</v>
      </c>
      <c r="G2347" s="4">
        <v>2862.08</v>
      </c>
      <c r="H2347" s="5">
        <f t="shared" si="36"/>
        <v>-3.0985915492957712E-2</v>
      </c>
    </row>
    <row r="2348" spans="1:8" ht="13.5" x14ac:dyDescent="0.25">
      <c r="A2348" s="1"/>
      <c r="B2348" s="3">
        <v>45716</v>
      </c>
      <c r="C2348" s="4">
        <v>7.1</v>
      </c>
      <c r="D2348" s="4">
        <v>7.1</v>
      </c>
      <c r="E2348" s="4">
        <v>310</v>
      </c>
      <c r="F2348" s="4">
        <v>7.1</v>
      </c>
      <c r="G2348" s="4">
        <v>2201</v>
      </c>
      <c r="H2348" s="5">
        <f t="shared" si="36"/>
        <v>3.1976744186046478E-2</v>
      </c>
    </row>
    <row r="2349" spans="1:8" ht="13.5" x14ac:dyDescent="0.25">
      <c r="A2349" s="1"/>
      <c r="B2349" s="3">
        <v>45719</v>
      </c>
      <c r="C2349" s="4">
        <v>7.1</v>
      </c>
      <c r="D2349" s="4">
        <v>7.1</v>
      </c>
      <c r="E2349" s="4">
        <v>0</v>
      </c>
      <c r="F2349" s="4">
        <v>0</v>
      </c>
      <c r="G2349" s="4">
        <v>0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7.1</v>
      </c>
      <c r="D2350" s="4">
        <v>7.1</v>
      </c>
      <c r="E2350" s="4">
        <v>0</v>
      </c>
      <c r="F2350" s="4">
        <v>0</v>
      </c>
      <c r="G2350" s="4">
        <v>0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7.1</v>
      </c>
      <c r="D2351" s="4">
        <v>7.1</v>
      </c>
      <c r="E2351" s="4">
        <v>0</v>
      </c>
      <c r="F2351" s="4">
        <v>0</v>
      </c>
      <c r="G2351" s="4">
        <v>0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7.1</v>
      </c>
      <c r="D2352" s="4">
        <v>7.1</v>
      </c>
      <c r="E2352" s="4">
        <v>10</v>
      </c>
      <c r="F2352" s="4">
        <v>7.1</v>
      </c>
      <c r="G2352" s="4">
        <v>71</v>
      </c>
      <c r="H2352" s="5">
        <f t="shared" si="36"/>
        <v>0</v>
      </c>
    </row>
    <row r="2353" spans="1:8" ht="13.5" x14ac:dyDescent="0.25">
      <c r="A2353" s="1"/>
      <c r="B2353" s="3">
        <v>45723</v>
      </c>
      <c r="C2353" s="4">
        <v>6.89</v>
      </c>
      <c r="D2353" s="4">
        <v>6.89</v>
      </c>
      <c r="E2353" s="4">
        <v>500</v>
      </c>
      <c r="F2353" s="4">
        <v>6.89</v>
      </c>
      <c r="G2353" s="4">
        <v>3445</v>
      </c>
      <c r="H2353" s="5">
        <f t="shared" si="36"/>
        <v>-2.957746478873239E-2</v>
      </c>
    </row>
    <row r="2354" spans="1:8" ht="13.5" x14ac:dyDescent="0.25">
      <c r="A2354" s="1"/>
      <c r="B2354" s="3">
        <v>45726</v>
      </c>
      <c r="C2354" s="4">
        <v>6.9</v>
      </c>
      <c r="D2354" s="4">
        <v>6.9</v>
      </c>
      <c r="E2354" s="4">
        <v>31</v>
      </c>
      <c r="F2354" s="4">
        <v>6.8970000000000002</v>
      </c>
      <c r="G2354" s="4">
        <v>213.80699999999999</v>
      </c>
      <c r="H2354" s="5">
        <f t="shared" si="36"/>
        <v>1.4513788098694739E-3</v>
      </c>
    </row>
    <row r="2355" spans="1:8" ht="13.5" x14ac:dyDescent="0.25">
      <c r="A2355" s="1"/>
      <c r="B2355" s="3">
        <v>45727</v>
      </c>
      <c r="C2355" s="4">
        <v>6.77</v>
      </c>
      <c r="D2355" s="4">
        <v>6.77</v>
      </c>
      <c r="E2355" s="4">
        <v>701</v>
      </c>
      <c r="F2355" s="4">
        <v>6.77</v>
      </c>
      <c r="G2355" s="4">
        <v>4745.7700000000004</v>
      </c>
      <c r="H2355" s="5">
        <f t="shared" si="36"/>
        <v>-1.884057971014504E-2</v>
      </c>
    </row>
    <row r="2356" spans="1:8" ht="13.5" x14ac:dyDescent="0.25">
      <c r="A2356" s="1"/>
      <c r="B2356" s="3">
        <v>45728</v>
      </c>
      <c r="C2356" s="4">
        <v>6.77</v>
      </c>
      <c r="D2356" s="4">
        <v>6.77</v>
      </c>
      <c r="E2356" s="4">
        <v>10</v>
      </c>
      <c r="F2356" s="4">
        <v>6.77</v>
      </c>
      <c r="G2356" s="4">
        <v>67.7</v>
      </c>
      <c r="H2356" s="5">
        <f t="shared" si="36"/>
        <v>0</v>
      </c>
    </row>
    <row r="2357" spans="1:8" ht="13.5" x14ac:dyDescent="0.25">
      <c r="A2357" s="1"/>
      <c r="B2357" s="3">
        <v>45729</v>
      </c>
      <c r="C2357" s="4">
        <v>6.77</v>
      </c>
      <c r="D2357" s="4">
        <v>6.77</v>
      </c>
      <c r="E2357" s="4">
        <v>0</v>
      </c>
      <c r="F2357" s="4">
        <v>0</v>
      </c>
      <c r="G2357" s="4">
        <v>0</v>
      </c>
      <c r="H2357" s="5">
        <f t="shared" si="36"/>
        <v>0</v>
      </c>
    </row>
    <row r="2358" spans="1:8" ht="13.5" x14ac:dyDescent="0.25">
      <c r="A2358" s="1"/>
      <c r="B2358" s="3">
        <v>45730</v>
      </c>
      <c r="C2358" s="4">
        <v>6.77</v>
      </c>
      <c r="D2358" s="4">
        <v>6.77</v>
      </c>
      <c r="E2358" s="4">
        <v>0</v>
      </c>
      <c r="F2358" s="4">
        <v>0</v>
      </c>
      <c r="G2358" s="4">
        <v>0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6.77</v>
      </c>
      <c r="D2359" s="4">
        <v>6.77</v>
      </c>
      <c r="E2359" s="4">
        <v>0</v>
      </c>
      <c r="F2359" s="4">
        <v>0</v>
      </c>
      <c r="G2359" s="4">
        <v>0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6.77</v>
      </c>
      <c r="D2360" s="4">
        <v>6.77</v>
      </c>
      <c r="E2360" s="4">
        <v>0</v>
      </c>
      <c r="F2360" s="4">
        <v>0</v>
      </c>
      <c r="G2360" s="4">
        <v>0</v>
      </c>
      <c r="H2360" s="5">
        <f t="shared" si="36"/>
        <v>0</v>
      </c>
    </row>
    <row r="2361" spans="1:8" ht="13.5" x14ac:dyDescent="0.25">
      <c r="A2361" s="1"/>
      <c r="B2361" s="3">
        <v>45735</v>
      </c>
      <c r="C2361" s="4">
        <v>6.78</v>
      </c>
      <c r="D2361" s="4">
        <v>6.78</v>
      </c>
      <c r="E2361" s="4">
        <v>1</v>
      </c>
      <c r="F2361" s="4">
        <v>6.78</v>
      </c>
      <c r="G2361" s="4">
        <v>6.78</v>
      </c>
      <c r="H2361" s="5">
        <f t="shared" si="36"/>
        <v>1.4771048744461855E-3</v>
      </c>
    </row>
    <row r="2362" spans="1:8" ht="13.5" x14ac:dyDescent="0.25">
      <c r="A2362" s="1"/>
      <c r="B2362" s="3">
        <v>45737</v>
      </c>
      <c r="C2362" s="4">
        <v>6.78</v>
      </c>
      <c r="D2362" s="4">
        <v>6.78</v>
      </c>
      <c r="E2362" s="4">
        <v>0</v>
      </c>
      <c r="F2362" s="4">
        <v>0</v>
      </c>
      <c r="G2362" s="4">
        <v>0</v>
      </c>
      <c r="H2362" s="5">
        <f t="shared" si="36"/>
        <v>0</v>
      </c>
    </row>
    <row r="2363" spans="1:8" ht="13.5" x14ac:dyDescent="0.25">
      <c r="A2363" s="1"/>
      <c r="B2363" s="3">
        <v>45740</v>
      </c>
      <c r="C2363" s="4">
        <v>6.78</v>
      </c>
      <c r="D2363" s="4">
        <v>6.78</v>
      </c>
      <c r="E2363" s="4">
        <v>0</v>
      </c>
      <c r="F2363" s="4">
        <v>0</v>
      </c>
      <c r="G2363" s="4">
        <v>0</v>
      </c>
      <c r="H2363" s="5">
        <f t="shared" si="36"/>
        <v>0</v>
      </c>
    </row>
    <row r="2364" spans="1:8" ht="13.5" x14ac:dyDescent="0.25">
      <c r="A2364" s="1"/>
      <c r="B2364" s="3">
        <v>45741</v>
      </c>
      <c r="C2364" s="4">
        <v>6.78</v>
      </c>
      <c r="D2364" s="4">
        <v>6.78</v>
      </c>
      <c r="E2364" s="4">
        <v>0</v>
      </c>
      <c r="F2364" s="4">
        <v>0</v>
      </c>
      <c r="G2364" s="4">
        <v>0</v>
      </c>
      <c r="H2364" s="5">
        <f t="shared" si="36"/>
        <v>0</v>
      </c>
    </row>
    <row r="2365" spans="1:8" ht="13.5" x14ac:dyDescent="0.25">
      <c r="A2365" s="1"/>
      <c r="B2365" s="3">
        <v>45742</v>
      </c>
      <c r="C2365" s="4">
        <v>6.78</v>
      </c>
      <c r="D2365" s="4">
        <v>6.78</v>
      </c>
      <c r="E2365" s="4">
        <v>0</v>
      </c>
      <c r="F2365" s="4">
        <v>0</v>
      </c>
      <c r="G2365" s="4">
        <v>0</v>
      </c>
      <c r="H2365" s="5">
        <f t="shared" si="36"/>
        <v>0</v>
      </c>
    </row>
    <row r="2366" spans="1:8" ht="13.5" x14ac:dyDescent="0.25">
      <c r="A2366" s="1"/>
      <c r="B2366" s="3">
        <v>45743</v>
      </c>
      <c r="C2366" s="4">
        <v>6.77</v>
      </c>
      <c r="D2366" s="4">
        <v>6.77</v>
      </c>
      <c r="E2366" s="4">
        <v>80</v>
      </c>
      <c r="F2366" s="4">
        <v>6.77</v>
      </c>
      <c r="G2366" s="4">
        <v>541.6</v>
      </c>
      <c r="H2366" s="5">
        <f t="shared" si="36"/>
        <v>-1.4749262536874151E-3</v>
      </c>
    </row>
    <row r="2367" spans="1:8" ht="13.5" x14ac:dyDescent="0.25">
      <c r="A2367" s="1"/>
      <c r="B2367" s="3">
        <v>45744</v>
      </c>
      <c r="C2367" s="4">
        <v>6.77</v>
      </c>
      <c r="D2367" s="4">
        <v>6.77</v>
      </c>
      <c r="E2367" s="4">
        <v>0</v>
      </c>
      <c r="F2367" s="4">
        <v>0</v>
      </c>
      <c r="G2367" s="4">
        <v>0</v>
      </c>
      <c r="H2367" s="5">
        <f t="shared" si="36"/>
        <v>0</v>
      </c>
    </row>
    <row r="2368" spans="1:8" ht="13.5" x14ac:dyDescent="0.25">
      <c r="A2368" s="1"/>
      <c r="B2368" s="3">
        <v>45749</v>
      </c>
      <c r="C2368" s="4">
        <v>6.77</v>
      </c>
      <c r="D2368" s="4">
        <v>6.77</v>
      </c>
      <c r="E2368" s="4">
        <v>0</v>
      </c>
      <c r="F2368" s="4">
        <v>0</v>
      </c>
      <c r="G2368" s="4">
        <v>0</v>
      </c>
      <c r="H2368" s="5">
        <f t="shared" si="36"/>
        <v>0</v>
      </c>
    </row>
    <row r="2369" spans="1:8" ht="13.5" x14ac:dyDescent="0.25">
      <c r="A2369" s="1"/>
      <c r="B2369" s="3">
        <v>45750</v>
      </c>
      <c r="C2369" s="4">
        <v>6.77</v>
      </c>
      <c r="D2369" s="4">
        <v>6.77</v>
      </c>
      <c r="E2369" s="4">
        <v>0</v>
      </c>
      <c r="F2369" s="4">
        <v>0</v>
      </c>
      <c r="G2369" s="4">
        <v>0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6.77</v>
      </c>
      <c r="D2370" s="4">
        <v>6.77</v>
      </c>
      <c r="E2370" s="4">
        <v>0</v>
      </c>
      <c r="F2370" s="4">
        <v>0</v>
      </c>
      <c r="G2370" s="4">
        <v>0</v>
      </c>
      <c r="H2370" s="5">
        <f t="shared" si="36"/>
        <v>0</v>
      </c>
    </row>
    <row r="2371" spans="1:8" ht="13.5" x14ac:dyDescent="0.25">
      <c r="A2371" s="1"/>
      <c r="B2371" s="3">
        <v>45754</v>
      </c>
      <c r="C2371" s="4">
        <v>6.77</v>
      </c>
      <c r="D2371" s="4">
        <v>6.77</v>
      </c>
      <c r="E2371" s="4">
        <v>0</v>
      </c>
      <c r="F2371" s="4">
        <v>0</v>
      </c>
      <c r="G2371" s="4">
        <v>0</v>
      </c>
      <c r="H2371" s="5">
        <f t="shared" si="36"/>
        <v>0</v>
      </c>
    </row>
    <row r="2372" spans="1:8" ht="13.5" x14ac:dyDescent="0.25">
      <c r="A2372" s="1"/>
      <c r="B2372" s="3">
        <v>45755</v>
      </c>
      <c r="C2372" s="4">
        <v>6.77</v>
      </c>
      <c r="D2372" s="4">
        <v>6.77</v>
      </c>
      <c r="E2372" s="4">
        <v>0</v>
      </c>
      <c r="F2372" s="4">
        <v>0</v>
      </c>
      <c r="G2372" s="4">
        <v>0</v>
      </c>
      <c r="H2372" s="5">
        <f t="shared" si="36"/>
        <v>0</v>
      </c>
    </row>
    <row r="2373" spans="1:8" ht="13.5" x14ac:dyDescent="0.25">
      <c r="A2373" s="1"/>
      <c r="B2373" s="3">
        <v>45757</v>
      </c>
      <c r="C2373" s="4">
        <v>6.77</v>
      </c>
      <c r="D2373" s="4">
        <v>6.77</v>
      </c>
      <c r="E2373" s="4">
        <v>200</v>
      </c>
      <c r="F2373" s="4">
        <v>6.77</v>
      </c>
      <c r="G2373" s="4">
        <v>1354</v>
      </c>
      <c r="H2373" s="5">
        <f t="shared" si="36"/>
        <v>0</v>
      </c>
    </row>
    <row r="2374" spans="1:8" ht="13.5" x14ac:dyDescent="0.25">
      <c r="A2374" s="1"/>
      <c r="B2374" s="3">
        <v>45758</v>
      </c>
      <c r="C2374" s="4">
        <v>6.8</v>
      </c>
      <c r="D2374" s="4">
        <v>6.8</v>
      </c>
      <c r="E2374" s="4">
        <v>45</v>
      </c>
      <c r="F2374" s="4">
        <v>6.8</v>
      </c>
      <c r="G2374" s="4">
        <v>306</v>
      </c>
      <c r="H2374" s="5">
        <f t="shared" si="36"/>
        <v>4.4313146233382937E-3</v>
      </c>
    </row>
    <row r="2375" spans="1:8" ht="13.5" x14ac:dyDescent="0.25">
      <c r="A2375" s="1"/>
      <c r="B2375" s="3">
        <v>45761</v>
      </c>
      <c r="C2375" s="4">
        <v>6.8</v>
      </c>
      <c r="D2375" s="4">
        <v>6.8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0</v>
      </c>
    </row>
    <row r="2376" spans="1:8" ht="13.5" x14ac:dyDescent="0.25">
      <c r="A2376" s="1"/>
      <c r="B2376" s="3">
        <v>45762</v>
      </c>
      <c r="C2376" s="4">
        <v>6.8</v>
      </c>
      <c r="D2376" s="4">
        <v>6.8</v>
      </c>
      <c r="E2376" s="4">
        <v>0</v>
      </c>
      <c r="F2376" s="4">
        <v>0</v>
      </c>
      <c r="G2376" s="4">
        <v>0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6.81</v>
      </c>
      <c r="D2377" s="4">
        <v>6.81</v>
      </c>
      <c r="E2377" s="4">
        <v>387</v>
      </c>
      <c r="F2377" s="4">
        <v>6.81</v>
      </c>
      <c r="G2377" s="4">
        <v>2635.47</v>
      </c>
      <c r="H2377" s="5">
        <f t="shared" si="37"/>
        <v>1.4705882352940864E-3</v>
      </c>
    </row>
    <row r="2378" spans="1:8" ht="13.5" x14ac:dyDescent="0.25">
      <c r="A2378" s="1"/>
      <c r="B2378" s="3">
        <v>45764</v>
      </c>
      <c r="C2378" s="4">
        <v>6.81</v>
      </c>
      <c r="D2378" s="4">
        <v>6.81</v>
      </c>
      <c r="E2378" s="4">
        <v>0</v>
      </c>
      <c r="F2378" s="4">
        <v>0</v>
      </c>
      <c r="G2378" s="4">
        <v>0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7</v>
      </c>
      <c r="D2379" s="4">
        <v>7</v>
      </c>
      <c r="E2379" s="4">
        <v>366</v>
      </c>
      <c r="F2379" s="4">
        <v>6.9470000000000001</v>
      </c>
      <c r="G2379" s="4">
        <v>2542.6019999999999</v>
      </c>
      <c r="H2379" s="5">
        <f t="shared" si="37"/>
        <v>2.7900146842878181E-2</v>
      </c>
    </row>
    <row r="2380" spans="1:8" ht="13.5" x14ac:dyDescent="0.25">
      <c r="A2380" s="1"/>
      <c r="B2380" s="3">
        <v>45768</v>
      </c>
      <c r="C2380" s="4">
        <v>7.31</v>
      </c>
      <c r="D2380" s="4">
        <v>7.31</v>
      </c>
      <c r="E2380" s="4">
        <v>1</v>
      </c>
      <c r="F2380" s="4">
        <v>7.31</v>
      </c>
      <c r="G2380" s="4">
        <v>7.31</v>
      </c>
      <c r="H2380" s="5">
        <f t="shared" si="37"/>
        <v>4.4285714285714227E-2</v>
      </c>
    </row>
    <row r="2381" spans="1:8" ht="13.5" x14ac:dyDescent="0.25">
      <c r="A2381" s="1"/>
      <c r="B2381" s="3">
        <v>45769</v>
      </c>
      <c r="C2381" s="4">
        <v>7.28</v>
      </c>
      <c r="D2381" s="4">
        <v>7.28</v>
      </c>
      <c r="E2381" s="4">
        <v>150</v>
      </c>
      <c r="F2381" s="4">
        <v>7.28</v>
      </c>
      <c r="G2381" s="4">
        <v>1092</v>
      </c>
      <c r="H2381" s="5">
        <f t="shared" si="37"/>
        <v>-4.1039671682625662E-3</v>
      </c>
    </row>
    <row r="2382" spans="1:8" ht="13.5" x14ac:dyDescent="0.25">
      <c r="A2382" s="1"/>
      <c r="B2382" s="3">
        <v>45770</v>
      </c>
      <c r="C2382" s="4">
        <v>6.96</v>
      </c>
      <c r="D2382" s="4">
        <v>6.96</v>
      </c>
      <c r="E2382" s="4">
        <v>0</v>
      </c>
      <c r="F2382" s="4">
        <v>0</v>
      </c>
      <c r="G2382" s="4">
        <v>0</v>
      </c>
      <c r="H2382" s="5">
        <f t="shared" si="37"/>
        <v>-4.3956043956043994E-2</v>
      </c>
    </row>
    <row r="2383" spans="1:8" ht="13.5" x14ac:dyDescent="0.25">
      <c r="A2383" s="1"/>
      <c r="B2383" s="3">
        <v>45771</v>
      </c>
      <c r="C2383" s="4">
        <v>6.79</v>
      </c>
      <c r="D2383" s="4">
        <v>6.79</v>
      </c>
      <c r="E2383" s="4">
        <v>360</v>
      </c>
      <c r="F2383" s="4">
        <v>6.79</v>
      </c>
      <c r="G2383" s="4">
        <v>2444.4</v>
      </c>
      <c r="H2383" s="5">
        <f t="shared" si="37"/>
        <v>-2.442528735632183E-2</v>
      </c>
    </row>
    <row r="2384" spans="1:8" ht="13.5" x14ac:dyDescent="0.25">
      <c r="A2384" s="1"/>
      <c r="B2384" s="3">
        <v>45772</v>
      </c>
      <c r="C2384" s="4">
        <v>6.79</v>
      </c>
      <c r="D2384" s="4">
        <v>6.79</v>
      </c>
      <c r="E2384" s="4">
        <v>0</v>
      </c>
      <c r="F2384" s="4">
        <v>0</v>
      </c>
      <c r="G2384" s="4">
        <v>0</v>
      </c>
      <c r="H2384" s="5">
        <f t="shared" si="37"/>
        <v>0</v>
      </c>
    </row>
    <row r="2385" spans="1:8" ht="13.5" x14ac:dyDescent="0.25">
      <c r="A2385" s="1"/>
      <c r="B2385" s="3">
        <v>45775</v>
      </c>
      <c r="C2385" s="4">
        <v>6.79</v>
      </c>
      <c r="D2385" s="4">
        <v>6.79</v>
      </c>
      <c r="E2385" s="4">
        <v>0</v>
      </c>
      <c r="F2385" s="4">
        <v>0</v>
      </c>
      <c r="G2385" s="4">
        <v>0</v>
      </c>
      <c r="H2385" s="5">
        <f t="shared" si="37"/>
        <v>0</v>
      </c>
    </row>
    <row r="2386" spans="1:8" ht="13.5" x14ac:dyDescent="0.25">
      <c r="A2386" s="1"/>
      <c r="B2386" s="3">
        <v>45776</v>
      </c>
      <c r="C2386" s="4">
        <v>6.79</v>
      </c>
      <c r="D2386" s="4">
        <v>6.79</v>
      </c>
      <c r="E2386" s="4">
        <v>0</v>
      </c>
      <c r="F2386" s="4">
        <v>0</v>
      </c>
      <c r="G2386" s="4">
        <v>0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6.79</v>
      </c>
      <c r="D2387" s="4">
        <v>6.79</v>
      </c>
      <c r="E2387" s="4">
        <v>144</v>
      </c>
      <c r="F2387" s="4">
        <v>6.79</v>
      </c>
      <c r="G2387" s="4">
        <v>977.76</v>
      </c>
      <c r="H2387" s="5">
        <f t="shared" si="37"/>
        <v>0</v>
      </c>
    </row>
    <row r="2388" spans="1:8" ht="13.5" x14ac:dyDescent="0.25">
      <c r="A2388" s="1"/>
      <c r="B2388" s="3">
        <v>45779</v>
      </c>
      <c r="C2388" s="4">
        <v>6.79</v>
      </c>
      <c r="D2388" s="4">
        <v>6.79</v>
      </c>
      <c r="E2388" s="4">
        <v>0</v>
      </c>
      <c r="F2388" s="4">
        <v>0</v>
      </c>
      <c r="G2388" s="4">
        <v>0</v>
      </c>
      <c r="H2388" s="5">
        <f t="shared" si="37"/>
        <v>0</v>
      </c>
    </row>
    <row r="2389" spans="1:8" ht="13.5" x14ac:dyDescent="0.25">
      <c r="A2389" s="1"/>
      <c r="B2389" s="3">
        <v>45782</v>
      </c>
      <c r="C2389" s="4">
        <v>6.79</v>
      </c>
      <c r="D2389" s="4">
        <v>6.79</v>
      </c>
      <c r="E2389" s="4">
        <v>0</v>
      </c>
      <c r="F2389" s="4">
        <v>0</v>
      </c>
      <c r="G2389" s="4">
        <v>0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6.79</v>
      </c>
      <c r="D2390" s="4">
        <v>6.79</v>
      </c>
      <c r="E2390" s="4">
        <v>0</v>
      </c>
      <c r="F2390" s="4">
        <v>0</v>
      </c>
      <c r="G2390" s="4">
        <v>0</v>
      </c>
      <c r="H2390" s="5">
        <f t="shared" si="37"/>
        <v>0</v>
      </c>
    </row>
    <row r="2391" spans="1:8" ht="13.5" x14ac:dyDescent="0.25">
      <c r="A2391" s="1"/>
      <c r="B2391" s="3">
        <v>45784</v>
      </c>
      <c r="C2391" s="4">
        <v>6.79</v>
      </c>
      <c r="D2391" s="4">
        <v>6.79</v>
      </c>
      <c r="E2391" s="4">
        <v>0</v>
      </c>
      <c r="F2391" s="4">
        <v>0</v>
      </c>
      <c r="G2391" s="4">
        <v>0</v>
      </c>
      <c r="H2391" s="5">
        <f t="shared" si="37"/>
        <v>0</v>
      </c>
    </row>
    <row r="2392" spans="1:8" ht="13.5" x14ac:dyDescent="0.25">
      <c r="A2392" s="1"/>
      <c r="B2392" s="3">
        <v>45785</v>
      </c>
      <c r="C2392" s="4">
        <v>6.79</v>
      </c>
      <c r="D2392" s="4">
        <v>6.79</v>
      </c>
      <c r="E2392" s="4">
        <v>0</v>
      </c>
      <c r="F2392" s="4">
        <v>0</v>
      </c>
      <c r="G2392" s="4">
        <v>0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6.79</v>
      </c>
      <c r="D2393" s="4">
        <v>6.79</v>
      </c>
      <c r="E2393" s="4">
        <v>0</v>
      </c>
      <c r="F2393" s="4">
        <v>0</v>
      </c>
      <c r="G2393" s="4">
        <v>0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6.79</v>
      </c>
      <c r="D2394" s="4">
        <v>6.79</v>
      </c>
      <c r="E2394" s="4">
        <v>0</v>
      </c>
      <c r="F2394" s="4">
        <v>0</v>
      </c>
      <c r="G2394" s="4">
        <v>0</v>
      </c>
      <c r="H2394" s="5">
        <f t="shared" si="37"/>
        <v>0</v>
      </c>
    </row>
    <row r="2395" spans="1:8" ht="13.5" x14ac:dyDescent="0.25">
      <c r="A2395" s="1"/>
      <c r="B2395" s="3">
        <v>45790</v>
      </c>
      <c r="C2395" s="4">
        <v>6.79</v>
      </c>
      <c r="D2395" s="4">
        <v>6.79</v>
      </c>
      <c r="E2395" s="4">
        <v>0</v>
      </c>
      <c r="F2395" s="4">
        <v>0</v>
      </c>
      <c r="G2395" s="4">
        <v>0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6.79</v>
      </c>
      <c r="D2396" s="4">
        <v>6.79</v>
      </c>
      <c r="E2396" s="4">
        <v>0</v>
      </c>
      <c r="F2396" s="4">
        <v>0</v>
      </c>
      <c r="G2396" s="4">
        <v>0</v>
      </c>
      <c r="H2396" s="5">
        <f t="shared" si="37"/>
        <v>0</v>
      </c>
    </row>
    <row r="2397" spans="1:8" ht="13.5" x14ac:dyDescent="0.25">
      <c r="A2397" s="1"/>
      <c r="B2397" s="3">
        <v>45792</v>
      </c>
      <c r="C2397" s="4">
        <v>7.09</v>
      </c>
      <c r="D2397" s="4">
        <v>7.09</v>
      </c>
      <c r="E2397" s="4">
        <v>1</v>
      </c>
      <c r="F2397" s="4">
        <v>7.09</v>
      </c>
      <c r="G2397" s="4">
        <v>7.09</v>
      </c>
      <c r="H2397" s="5">
        <f t="shared" si="37"/>
        <v>4.4182621502209106E-2</v>
      </c>
    </row>
    <row r="2398" spans="1:8" ht="13.5" x14ac:dyDescent="0.25">
      <c r="A2398" s="1"/>
      <c r="B2398" s="3">
        <v>45793</v>
      </c>
      <c r="C2398" s="4">
        <v>7.09</v>
      </c>
      <c r="D2398" s="4">
        <v>7.09</v>
      </c>
      <c r="E2398" s="4">
        <v>0</v>
      </c>
      <c r="F2398" s="4">
        <v>0</v>
      </c>
      <c r="G2398" s="4">
        <v>0</v>
      </c>
      <c r="H2398" s="5">
        <f t="shared" si="37"/>
        <v>0</v>
      </c>
    </row>
    <row r="2399" spans="1:8" ht="13.5" x14ac:dyDescent="0.25">
      <c r="A2399" s="1"/>
      <c r="B2399" s="3">
        <v>45796</v>
      </c>
      <c r="C2399" s="4">
        <v>7.09</v>
      </c>
      <c r="D2399" s="4">
        <v>7.09</v>
      </c>
      <c r="E2399" s="4">
        <v>0</v>
      </c>
      <c r="F2399" s="4">
        <v>0</v>
      </c>
      <c r="G2399" s="4">
        <v>0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7.09</v>
      </c>
      <c r="D2400" s="4">
        <v>7.09</v>
      </c>
      <c r="E2400" s="4">
        <v>0</v>
      </c>
      <c r="F2400" s="4">
        <v>0</v>
      </c>
      <c r="G2400" s="4">
        <v>0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7.09</v>
      </c>
      <c r="D2401" s="4">
        <v>7.09</v>
      </c>
      <c r="E2401" s="4">
        <v>0</v>
      </c>
      <c r="F2401" s="4">
        <v>0</v>
      </c>
      <c r="G2401" s="4">
        <v>0</v>
      </c>
      <c r="H2401" s="5">
        <f t="shared" si="37"/>
        <v>0</v>
      </c>
    </row>
    <row r="2402" spans="1:8" ht="13.5" x14ac:dyDescent="0.25">
      <c r="A2402" s="1"/>
      <c r="B2402" s="3">
        <v>45799</v>
      </c>
      <c r="C2402" s="4">
        <v>7.09</v>
      </c>
      <c r="D2402" s="4">
        <v>7.09</v>
      </c>
      <c r="E2402" s="4">
        <v>0</v>
      </c>
      <c r="F2402" s="4">
        <v>0</v>
      </c>
      <c r="G2402" s="4">
        <v>0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7.09</v>
      </c>
      <c r="D2403" s="4">
        <v>7.09</v>
      </c>
      <c r="E2403" s="4">
        <v>0</v>
      </c>
      <c r="F2403" s="4">
        <v>0</v>
      </c>
      <c r="G2403" s="4">
        <v>0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7.09</v>
      </c>
      <c r="D2404" s="4">
        <v>7.09</v>
      </c>
      <c r="E2404" s="4">
        <v>0</v>
      </c>
      <c r="F2404" s="4">
        <v>0</v>
      </c>
      <c r="G2404" s="4">
        <v>0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7.4</v>
      </c>
      <c r="D2405" s="4">
        <v>7.4</v>
      </c>
      <c r="E2405" s="4">
        <v>40</v>
      </c>
      <c r="F2405" s="4">
        <v>7.4</v>
      </c>
      <c r="G2405" s="4">
        <v>296</v>
      </c>
      <c r="H2405" s="5">
        <f t="shared" si="37"/>
        <v>4.3723554301833639E-2</v>
      </c>
    </row>
    <row r="2406" spans="1:8" ht="13.5" x14ac:dyDescent="0.25">
      <c r="A2406" s="1"/>
      <c r="B2406" s="3">
        <v>45805</v>
      </c>
      <c r="C2406" s="4">
        <v>7.4</v>
      </c>
      <c r="D2406" s="4">
        <v>7.4</v>
      </c>
      <c r="E2406" s="4">
        <v>0</v>
      </c>
      <c r="F2406" s="4">
        <v>0</v>
      </c>
      <c r="G2406" s="4">
        <v>0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7.4</v>
      </c>
      <c r="D2407" s="4">
        <v>7.4</v>
      </c>
      <c r="E2407" s="4">
        <v>0</v>
      </c>
      <c r="F2407" s="4">
        <v>0</v>
      </c>
      <c r="G2407" s="4">
        <v>0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7.4</v>
      </c>
      <c r="D2408" s="4">
        <v>7.4</v>
      </c>
      <c r="E2408" s="4">
        <v>15</v>
      </c>
      <c r="F2408" s="4">
        <v>7.4</v>
      </c>
      <c r="G2408" s="4">
        <v>111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7.4</v>
      </c>
      <c r="D2409" s="4">
        <v>7.4</v>
      </c>
      <c r="E2409" s="4">
        <v>0</v>
      </c>
      <c r="F2409" s="4">
        <v>0</v>
      </c>
      <c r="G2409" s="4">
        <v>0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7.4</v>
      </c>
      <c r="D2410" s="4">
        <v>7.4</v>
      </c>
      <c r="E2410" s="4">
        <v>0</v>
      </c>
      <c r="F2410" s="4">
        <v>0</v>
      </c>
      <c r="G2410" s="4">
        <v>0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7.4</v>
      </c>
      <c r="D2411" s="4">
        <v>7.4</v>
      </c>
      <c r="E2411" s="4">
        <v>2050</v>
      </c>
      <c r="F2411" s="4">
        <v>7.7220000000000004</v>
      </c>
      <c r="G2411" s="4">
        <v>15830.1</v>
      </c>
      <c r="H2411" s="5">
        <f t="shared" si="37"/>
        <v>0</v>
      </c>
    </row>
    <row r="2412" spans="1:8" ht="13.5" x14ac:dyDescent="0.25">
      <c r="A2412" s="1"/>
      <c r="B2412" s="3">
        <v>45813</v>
      </c>
      <c r="C2412" s="4">
        <v>7.4</v>
      </c>
      <c r="D2412" s="4">
        <v>7.4</v>
      </c>
      <c r="E2412" s="4">
        <v>100</v>
      </c>
      <c r="F2412" s="4">
        <v>7.4</v>
      </c>
      <c r="G2412" s="4">
        <v>740</v>
      </c>
      <c r="H2412" s="5">
        <f t="shared" si="37"/>
        <v>0</v>
      </c>
    </row>
    <row r="2413" spans="1:8" ht="13.5" x14ac:dyDescent="0.25">
      <c r="A2413" s="1"/>
      <c r="B2413" s="3">
        <v>45817</v>
      </c>
      <c r="C2413" s="4">
        <v>7.4</v>
      </c>
      <c r="D2413" s="4">
        <v>7.4</v>
      </c>
      <c r="E2413" s="4">
        <v>0</v>
      </c>
      <c r="F2413" s="4">
        <v>0</v>
      </c>
      <c r="G2413" s="4">
        <v>0</v>
      </c>
      <c r="H2413" s="5">
        <f t="shared" si="37"/>
        <v>0</v>
      </c>
    </row>
    <row r="2414" spans="1:8" ht="13.5" x14ac:dyDescent="0.25">
      <c r="A2414" s="1"/>
      <c r="B2414" s="3">
        <v>45818</v>
      </c>
      <c r="C2414" s="4">
        <v>7.07</v>
      </c>
      <c r="D2414" s="4">
        <v>7.07</v>
      </c>
      <c r="E2414" s="4">
        <v>0</v>
      </c>
      <c r="F2414" s="4">
        <v>0</v>
      </c>
      <c r="G2414" s="4">
        <v>0</v>
      </c>
      <c r="H2414" s="5">
        <f t="shared" si="37"/>
        <v>-4.4594594594594604E-2</v>
      </c>
    </row>
    <row r="2415" spans="1:8" ht="13.5" x14ac:dyDescent="0.25">
      <c r="A2415" s="1"/>
      <c r="B2415" s="3">
        <v>45819</v>
      </c>
      <c r="C2415" s="4">
        <v>6.8</v>
      </c>
      <c r="D2415" s="4">
        <v>6.8</v>
      </c>
      <c r="E2415" s="4">
        <v>1040</v>
      </c>
      <c r="F2415" s="4">
        <v>6.7709999999999999</v>
      </c>
      <c r="G2415" s="4">
        <v>7041.84</v>
      </c>
      <c r="H2415" s="5">
        <f t="shared" si="37"/>
        <v>-3.8189533239038252E-2</v>
      </c>
    </row>
    <row r="2416" spans="1:8" ht="13.5" x14ac:dyDescent="0.25">
      <c r="A2416" s="1"/>
      <c r="B2416" s="3">
        <v>45820</v>
      </c>
      <c r="C2416" s="4">
        <v>6.8</v>
      </c>
      <c r="D2416" s="4">
        <v>6.8</v>
      </c>
      <c r="E2416" s="4">
        <v>0</v>
      </c>
      <c r="F2416" s="4">
        <v>0</v>
      </c>
      <c r="G2416" s="4">
        <v>0</v>
      </c>
      <c r="H2416" s="5">
        <f t="shared" si="37"/>
        <v>0</v>
      </c>
    </row>
    <row r="2417" spans="1:8" ht="13.5" x14ac:dyDescent="0.25">
      <c r="A2417" s="1"/>
      <c r="B2417" s="3">
        <v>45821</v>
      </c>
      <c r="C2417" s="4">
        <v>6.8</v>
      </c>
      <c r="D2417" s="4">
        <v>6.8</v>
      </c>
      <c r="E2417" s="4">
        <v>49</v>
      </c>
      <c r="F2417" s="4">
        <v>6.8</v>
      </c>
      <c r="G2417" s="4">
        <v>333.2</v>
      </c>
      <c r="H2417" s="5">
        <f t="shared" si="37"/>
        <v>0</v>
      </c>
    </row>
    <row r="2418" spans="1:8" ht="13.5" x14ac:dyDescent="0.25">
      <c r="A2418" s="1"/>
      <c r="B2418" s="3">
        <v>45824</v>
      </c>
      <c r="C2418" s="4">
        <v>6.8</v>
      </c>
      <c r="D2418" s="4">
        <v>6.8</v>
      </c>
      <c r="E2418" s="4">
        <v>0</v>
      </c>
      <c r="F2418" s="4">
        <v>0</v>
      </c>
      <c r="G2418" s="4">
        <v>0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6.88</v>
      </c>
      <c r="D2419" s="4">
        <v>6.88</v>
      </c>
      <c r="E2419" s="4">
        <v>451</v>
      </c>
      <c r="F2419" s="4">
        <v>6.88</v>
      </c>
      <c r="G2419" s="4">
        <v>3102.88</v>
      </c>
      <c r="H2419" s="5">
        <f t="shared" si="37"/>
        <v>1.1764705882352951E-2</v>
      </c>
    </row>
    <row r="2420" spans="1:8" ht="13.5" x14ac:dyDescent="0.25">
      <c r="A2420" s="1"/>
      <c r="B2420" s="3">
        <v>45826</v>
      </c>
      <c r="C2420" s="4">
        <v>6.87</v>
      </c>
      <c r="D2420" s="4">
        <v>6.87</v>
      </c>
      <c r="E2420" s="4">
        <v>50</v>
      </c>
      <c r="F2420" s="4">
        <v>6.87</v>
      </c>
      <c r="G2420" s="4">
        <v>343.5</v>
      </c>
      <c r="H2420" s="5">
        <f t="shared" si="37"/>
        <v>-1.4534883720929922E-3</v>
      </c>
    </row>
    <row r="2421" spans="1:8" ht="13.5" x14ac:dyDescent="0.25">
      <c r="A2421" s="1"/>
      <c r="B2421" s="3">
        <v>45827</v>
      </c>
      <c r="C2421" s="4">
        <v>6.87</v>
      </c>
      <c r="D2421" s="4">
        <v>6.87</v>
      </c>
      <c r="E2421" s="4">
        <v>0</v>
      </c>
      <c r="F2421" s="4">
        <v>0</v>
      </c>
      <c r="G2421" s="4">
        <v>0</v>
      </c>
      <c r="H2421" s="5">
        <f t="shared" si="37"/>
        <v>0</v>
      </c>
    </row>
    <row r="2422" spans="1:8" ht="13.5" x14ac:dyDescent="0.25">
      <c r="A2422" s="1"/>
      <c r="B2422" s="3">
        <v>45828</v>
      </c>
      <c r="C2422" s="4">
        <v>6.81</v>
      </c>
      <c r="D2422" s="4">
        <v>6.81</v>
      </c>
      <c r="E2422" s="4">
        <v>500</v>
      </c>
      <c r="F2422" s="4">
        <v>6.81</v>
      </c>
      <c r="G2422" s="4">
        <v>3405</v>
      </c>
      <c r="H2422" s="5">
        <f t="shared" si="37"/>
        <v>-8.733624454148544E-3</v>
      </c>
    </row>
    <row r="2423" spans="1:8" ht="13.5" x14ac:dyDescent="0.25">
      <c r="A2423" s="1"/>
      <c r="B2423" s="3">
        <v>45831</v>
      </c>
      <c r="C2423" s="4">
        <v>6.81</v>
      </c>
      <c r="D2423" s="4">
        <v>6.81</v>
      </c>
      <c r="E2423" s="4">
        <v>0</v>
      </c>
      <c r="F2423" s="4">
        <v>0</v>
      </c>
      <c r="G2423" s="4">
        <v>0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6.87</v>
      </c>
      <c r="D2424" s="4">
        <v>6.87</v>
      </c>
      <c r="E2424" s="4">
        <v>48</v>
      </c>
      <c r="F2424" s="4">
        <v>6.87</v>
      </c>
      <c r="G2424" s="4">
        <v>329.76</v>
      </c>
      <c r="H2424" s="5">
        <f t="shared" si="37"/>
        <v>8.8105726872247433E-3</v>
      </c>
    </row>
    <row r="2425" spans="1:8" ht="13.5" x14ac:dyDescent="0.25">
      <c r="A2425" s="1"/>
      <c r="B2425" s="3">
        <v>45833</v>
      </c>
      <c r="C2425" s="4">
        <v>6.87</v>
      </c>
      <c r="D2425" s="4">
        <v>6.87</v>
      </c>
      <c r="E2425" s="4">
        <v>0</v>
      </c>
      <c r="F2425" s="4">
        <v>0</v>
      </c>
      <c r="G2425" s="4">
        <v>0</v>
      </c>
      <c r="H2425" s="5">
        <f t="shared" si="37"/>
        <v>0</v>
      </c>
    </row>
    <row r="2426" spans="1:8" ht="13.5" x14ac:dyDescent="0.25">
      <c r="A2426" s="1"/>
      <c r="B2426" s="3">
        <v>45835</v>
      </c>
      <c r="C2426" s="4">
        <v>7</v>
      </c>
      <c r="D2426" s="4">
        <v>7</v>
      </c>
      <c r="E2426" s="4">
        <v>27</v>
      </c>
      <c r="F2426" s="4">
        <v>7</v>
      </c>
      <c r="G2426" s="4">
        <v>189</v>
      </c>
      <c r="H2426" s="5">
        <f t="shared" si="37"/>
        <v>1.8922852983988339E-2</v>
      </c>
    </row>
    <row r="2427" spans="1:8" ht="13.5" x14ac:dyDescent="0.25">
      <c r="A2427" s="1"/>
      <c r="B2427" s="3">
        <v>45838</v>
      </c>
      <c r="C2427" s="4">
        <v>7</v>
      </c>
      <c r="D2427" s="4">
        <v>7</v>
      </c>
      <c r="E2427" s="4">
        <v>219</v>
      </c>
      <c r="F2427" s="4">
        <v>7</v>
      </c>
      <c r="G2427" s="4">
        <v>1533</v>
      </c>
      <c r="H2427" s="5">
        <f t="shared" si="37"/>
        <v>0</v>
      </c>
    </row>
    <row r="2428" spans="1:8" ht="13.5" x14ac:dyDescent="0.25">
      <c r="A2428" s="1"/>
      <c r="B2428" s="3">
        <v>45839</v>
      </c>
      <c r="C2428" s="4">
        <v>7</v>
      </c>
      <c r="D2428" s="4">
        <v>7</v>
      </c>
      <c r="E2428" s="4">
        <v>0</v>
      </c>
      <c r="F2428" s="4">
        <v>0</v>
      </c>
      <c r="G2428" s="4">
        <v>0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6.78</v>
      </c>
      <c r="D2429" s="4">
        <v>6.78</v>
      </c>
      <c r="E2429" s="4">
        <v>260</v>
      </c>
      <c r="F2429" s="4">
        <v>6.78</v>
      </c>
      <c r="G2429" s="4">
        <v>1762.8</v>
      </c>
      <c r="H2429" s="5">
        <f t="shared" si="37"/>
        <v>-3.1428571428571396E-2</v>
      </c>
    </row>
    <row r="2430" spans="1:8" ht="13.5" x14ac:dyDescent="0.25">
      <c r="A2430" s="1"/>
      <c r="B2430" s="3">
        <v>45841</v>
      </c>
      <c r="C2430" s="4">
        <v>6.8</v>
      </c>
      <c r="D2430" s="4">
        <v>6.8</v>
      </c>
      <c r="E2430" s="4">
        <v>600</v>
      </c>
      <c r="F2430" s="4">
        <v>6.8</v>
      </c>
      <c r="G2430" s="4">
        <v>4080</v>
      </c>
      <c r="H2430" s="5">
        <f t="shared" si="37"/>
        <v>2.9498525073745683E-3</v>
      </c>
    </row>
    <row r="2431" spans="1:8" ht="13.5" x14ac:dyDescent="0.25">
      <c r="A2431" s="1"/>
      <c r="B2431" s="3">
        <v>45842</v>
      </c>
      <c r="C2431" s="4">
        <v>6.8</v>
      </c>
      <c r="D2431" s="4">
        <v>6.8</v>
      </c>
      <c r="E2431" s="4">
        <v>1</v>
      </c>
      <c r="F2431" s="4">
        <v>6.8</v>
      </c>
      <c r="G2431" s="4">
        <v>6.8</v>
      </c>
      <c r="H2431" s="5">
        <f t="shared" si="37"/>
        <v>0</v>
      </c>
    </row>
    <row r="2432" spans="1:8" ht="13.5" x14ac:dyDescent="0.25">
      <c r="A2432" s="1"/>
      <c r="B2432" s="3">
        <v>45845</v>
      </c>
      <c r="C2432" s="4">
        <v>6.8</v>
      </c>
      <c r="D2432" s="4">
        <v>6.8</v>
      </c>
      <c r="E2432" s="4">
        <v>280</v>
      </c>
      <c r="F2432" s="4">
        <v>6.7759999999999998</v>
      </c>
      <c r="G2432" s="4">
        <v>1897.28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6.81</v>
      </c>
      <c r="D2433" s="4">
        <v>6.81</v>
      </c>
      <c r="E2433" s="4">
        <v>259</v>
      </c>
      <c r="F2433" s="4">
        <v>6.81</v>
      </c>
      <c r="G2433" s="4">
        <v>1763.79</v>
      </c>
      <c r="H2433" s="5">
        <f t="shared" si="37"/>
        <v>1.4705882352940864E-3</v>
      </c>
    </row>
    <row r="2434" spans="1:8" ht="13.5" x14ac:dyDescent="0.25">
      <c r="A2434" s="1"/>
      <c r="B2434" s="3">
        <v>45847</v>
      </c>
      <c r="C2434" s="4">
        <v>6.81</v>
      </c>
      <c r="D2434" s="4">
        <v>6.81</v>
      </c>
      <c r="E2434" s="4">
        <v>0</v>
      </c>
      <c r="F2434" s="4">
        <v>0</v>
      </c>
      <c r="G2434" s="4">
        <v>0</v>
      </c>
      <c r="H2434" s="5">
        <f t="shared" si="37"/>
        <v>0</v>
      </c>
    </row>
    <row r="2435" spans="1:8" ht="13.5" x14ac:dyDescent="0.25">
      <c r="A2435" s="1"/>
      <c r="B2435" s="3">
        <v>45848</v>
      </c>
      <c r="C2435" s="4">
        <v>6.82</v>
      </c>
      <c r="D2435" s="4">
        <v>6.82</v>
      </c>
      <c r="E2435" s="4">
        <v>250</v>
      </c>
      <c r="F2435" s="4">
        <v>6.82</v>
      </c>
      <c r="G2435" s="4">
        <v>1705</v>
      </c>
      <c r="H2435" s="5">
        <f t="shared" si="37"/>
        <v>1.4684287812042108E-3</v>
      </c>
    </row>
    <row r="2436" spans="1:8" ht="13.5" x14ac:dyDescent="0.25">
      <c r="A2436" s="1"/>
      <c r="B2436" s="3">
        <v>45849</v>
      </c>
      <c r="C2436" s="4">
        <v>6.77</v>
      </c>
      <c r="D2436" s="4">
        <v>6.77</v>
      </c>
      <c r="E2436" s="4">
        <v>200</v>
      </c>
      <c r="F2436" s="4">
        <v>6.77</v>
      </c>
      <c r="G2436" s="4">
        <v>1354</v>
      </c>
      <c r="H2436" s="5">
        <f t="shared" si="37"/>
        <v>-7.3313782991203382E-3</v>
      </c>
    </row>
    <row r="2437" spans="1:8" ht="13.5" x14ac:dyDescent="0.25">
      <c r="A2437" s="1"/>
      <c r="B2437" s="3">
        <v>45852</v>
      </c>
      <c r="C2437" s="4">
        <v>7</v>
      </c>
      <c r="D2437" s="4">
        <v>7</v>
      </c>
      <c r="E2437" s="4">
        <v>3</v>
      </c>
      <c r="F2437" s="4">
        <v>7</v>
      </c>
      <c r="G2437" s="4">
        <v>21</v>
      </c>
      <c r="H2437" s="5">
        <f t="shared" si="37"/>
        <v>3.3973412112260036E-2</v>
      </c>
    </row>
    <row r="2438" spans="1:8" ht="13.5" x14ac:dyDescent="0.25">
      <c r="A2438" s="1"/>
      <c r="B2438" s="3">
        <v>45853</v>
      </c>
      <c r="C2438" s="4">
        <v>7</v>
      </c>
      <c r="D2438" s="4">
        <v>7</v>
      </c>
      <c r="E2438" s="4">
        <v>1</v>
      </c>
      <c r="F2438" s="4">
        <v>7</v>
      </c>
      <c r="G2438" s="4">
        <v>7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7</v>
      </c>
      <c r="D2439" s="4">
        <v>7</v>
      </c>
      <c r="E2439" s="4">
        <v>0</v>
      </c>
      <c r="F2439" s="4">
        <v>0</v>
      </c>
      <c r="G2439" s="4">
        <v>0</v>
      </c>
      <c r="H2439" s="5">
        <f t="shared" ref="H2439:H2502" si="38">(D2439-D2438)/D2438</f>
        <v>0</v>
      </c>
    </row>
    <row r="2440" spans="1:8" ht="13.5" x14ac:dyDescent="0.25">
      <c r="A2440" s="1"/>
      <c r="B2440" s="3">
        <v>45855</v>
      </c>
      <c r="C2440" s="4">
        <v>7</v>
      </c>
      <c r="D2440" s="4">
        <v>7</v>
      </c>
      <c r="E2440" s="4">
        <v>0</v>
      </c>
      <c r="F2440" s="4">
        <v>0</v>
      </c>
      <c r="G2440" s="4">
        <v>0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7</v>
      </c>
      <c r="D2441" s="4">
        <v>7</v>
      </c>
      <c r="E2441" s="4">
        <v>0</v>
      </c>
      <c r="F2441" s="4">
        <v>0</v>
      </c>
      <c r="G2441" s="4">
        <v>0</v>
      </c>
      <c r="H2441" s="5">
        <f t="shared" si="38"/>
        <v>0</v>
      </c>
    </row>
    <row r="2442" spans="1:8" ht="13.5" x14ac:dyDescent="0.25">
      <c r="A2442" s="1"/>
      <c r="B2442" s="3">
        <v>45859</v>
      </c>
      <c r="C2442" s="4">
        <v>7</v>
      </c>
      <c r="D2442" s="4">
        <v>7</v>
      </c>
      <c r="E2442" s="4">
        <v>0</v>
      </c>
      <c r="F2442" s="4">
        <v>0</v>
      </c>
      <c r="G2442" s="4">
        <v>0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7</v>
      </c>
      <c r="D2443" s="4">
        <v>7</v>
      </c>
      <c r="E2443" s="4">
        <v>2</v>
      </c>
      <c r="F2443" s="4">
        <v>7</v>
      </c>
      <c r="G2443" s="4">
        <v>14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6.78</v>
      </c>
      <c r="D2444" s="4">
        <v>6.78</v>
      </c>
      <c r="E2444" s="4">
        <v>70</v>
      </c>
      <c r="F2444" s="4">
        <v>6.78</v>
      </c>
      <c r="G2444" s="4">
        <v>474.6</v>
      </c>
      <c r="H2444" s="5">
        <f t="shared" si="38"/>
        <v>-3.1428571428571396E-2</v>
      </c>
    </row>
    <row r="2445" spans="1:8" ht="13.5" x14ac:dyDescent="0.25">
      <c r="A2445" s="1"/>
      <c r="B2445" s="3">
        <v>45862</v>
      </c>
      <c r="C2445" s="4">
        <v>6.78</v>
      </c>
      <c r="D2445" s="4">
        <v>6.78</v>
      </c>
      <c r="E2445" s="4">
        <v>0</v>
      </c>
      <c r="F2445" s="4">
        <v>0</v>
      </c>
      <c r="G2445" s="4">
        <v>0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7.05</v>
      </c>
      <c r="D2446" s="4">
        <v>7.05</v>
      </c>
      <c r="E2446" s="4">
        <v>1451</v>
      </c>
      <c r="F2446" s="4">
        <v>7.016</v>
      </c>
      <c r="G2446" s="4">
        <v>10180.216</v>
      </c>
      <c r="H2446" s="5">
        <f t="shared" si="38"/>
        <v>3.9823008849557459E-2</v>
      </c>
    </row>
    <row r="2447" spans="1:8" ht="13.5" x14ac:dyDescent="0.25">
      <c r="A2447" s="1"/>
      <c r="B2447" s="3">
        <v>45867</v>
      </c>
      <c r="C2447" s="4">
        <v>7.06</v>
      </c>
      <c r="D2447" s="4">
        <v>7.06</v>
      </c>
      <c r="E2447" s="4">
        <v>1422</v>
      </c>
      <c r="F2447" s="4">
        <v>7.06</v>
      </c>
      <c r="G2447" s="4">
        <v>10039.32</v>
      </c>
      <c r="H2447" s="5">
        <f t="shared" si="38"/>
        <v>1.4184397163120265E-3</v>
      </c>
    </row>
    <row r="2448" spans="1:8" ht="13.5" x14ac:dyDescent="0.25">
      <c r="A2448" s="1"/>
      <c r="B2448" s="3">
        <v>45868</v>
      </c>
      <c r="C2448" s="4">
        <v>7.07</v>
      </c>
      <c r="D2448" s="4">
        <v>7.07</v>
      </c>
      <c r="E2448" s="4">
        <v>57</v>
      </c>
      <c r="F2448" s="4">
        <v>7.07</v>
      </c>
      <c r="G2448" s="4">
        <v>402.99</v>
      </c>
      <c r="H2448" s="5">
        <f t="shared" si="38"/>
        <v>1.4164305949009456E-3</v>
      </c>
    </row>
    <row r="2449" spans="1:8" ht="13.5" x14ac:dyDescent="0.25">
      <c r="A2449" s="1"/>
      <c r="B2449" s="3">
        <v>45869</v>
      </c>
      <c r="C2449" s="4">
        <v>7.07</v>
      </c>
      <c r="D2449" s="4">
        <v>7.07</v>
      </c>
      <c r="E2449" s="4">
        <v>0</v>
      </c>
      <c r="F2449" s="4">
        <v>0</v>
      </c>
      <c r="G2449" s="4">
        <v>0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7.33</v>
      </c>
      <c r="D2450" s="4">
        <v>7.33</v>
      </c>
      <c r="E2450" s="4">
        <v>3</v>
      </c>
      <c r="F2450" s="4">
        <v>7.33</v>
      </c>
      <c r="G2450" s="4">
        <v>21.99</v>
      </c>
      <c r="H2450" s="5">
        <f t="shared" si="38"/>
        <v>3.677510608203674E-2</v>
      </c>
    </row>
    <row r="2451" spans="1:8" ht="13.5" x14ac:dyDescent="0.25">
      <c r="A2451" s="1"/>
      <c r="B2451" s="3">
        <v>45873</v>
      </c>
      <c r="C2451" s="4">
        <v>7.01</v>
      </c>
      <c r="D2451" s="4">
        <v>7.01</v>
      </c>
      <c r="E2451" s="4">
        <v>284</v>
      </c>
      <c r="F2451" s="4">
        <v>7.01</v>
      </c>
      <c r="G2451" s="4">
        <v>1990.84</v>
      </c>
      <c r="H2451" s="5">
        <f t="shared" si="38"/>
        <v>-4.3656207366985028E-2</v>
      </c>
    </row>
    <row r="2452" spans="1:8" ht="13.5" x14ac:dyDescent="0.25">
      <c r="A2452" s="1"/>
      <c r="B2452" s="3">
        <v>45874</v>
      </c>
      <c r="C2452" s="4">
        <v>7.02</v>
      </c>
      <c r="D2452" s="4">
        <v>7.02</v>
      </c>
      <c r="E2452" s="4">
        <v>1035</v>
      </c>
      <c r="F2452" s="4">
        <v>7.02</v>
      </c>
      <c r="G2452" s="4">
        <v>7265.7</v>
      </c>
      <c r="H2452" s="5">
        <f t="shared" si="38"/>
        <v>1.4265335235377728E-3</v>
      </c>
    </row>
    <row r="2453" spans="1:8" ht="13.5" x14ac:dyDescent="0.25">
      <c r="A2453" s="1"/>
      <c r="B2453" s="3">
        <v>45875</v>
      </c>
      <c r="C2453" s="4">
        <v>7.02</v>
      </c>
      <c r="D2453" s="4">
        <v>7.02</v>
      </c>
      <c r="E2453" s="4">
        <v>0</v>
      </c>
      <c r="F2453" s="4">
        <v>0</v>
      </c>
      <c r="G2453" s="4">
        <v>0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7.33</v>
      </c>
      <c r="D2454" s="4">
        <v>7.33</v>
      </c>
      <c r="E2454" s="4">
        <v>0</v>
      </c>
      <c r="F2454" s="4">
        <v>0</v>
      </c>
      <c r="G2454" s="4">
        <v>0</v>
      </c>
      <c r="H2454" s="5">
        <f t="shared" si="38"/>
        <v>4.4159544159544234E-2</v>
      </c>
    </row>
    <row r="2455" spans="1:8" ht="13.5" x14ac:dyDescent="0.25">
      <c r="A2455" s="1"/>
      <c r="B2455" s="3">
        <v>45877</v>
      </c>
      <c r="C2455" s="4">
        <v>7.34</v>
      </c>
      <c r="D2455" s="4">
        <v>7.34</v>
      </c>
      <c r="E2455" s="4">
        <v>945</v>
      </c>
      <c r="F2455" s="4">
        <v>7.34</v>
      </c>
      <c r="G2455" s="4">
        <v>6936.3</v>
      </c>
      <c r="H2455" s="5">
        <f t="shared" si="38"/>
        <v>1.364256480218252E-3</v>
      </c>
    </row>
    <row r="2456" spans="1:8" ht="13.5" x14ac:dyDescent="0.25">
      <c r="A2456" s="1"/>
      <c r="B2456" s="3">
        <v>45880</v>
      </c>
      <c r="C2456" s="4">
        <v>7.66</v>
      </c>
      <c r="D2456" s="4">
        <v>7.66</v>
      </c>
      <c r="E2456" s="4">
        <v>25</v>
      </c>
      <c r="F2456" s="4">
        <v>7.66</v>
      </c>
      <c r="G2456" s="4">
        <v>191.5</v>
      </c>
      <c r="H2456" s="5">
        <f t="shared" si="38"/>
        <v>4.3596730245231648E-2</v>
      </c>
    </row>
    <row r="2457" spans="1:8" ht="13.5" x14ac:dyDescent="0.25">
      <c r="A2457" s="1"/>
      <c r="B2457" s="3">
        <v>45881</v>
      </c>
      <c r="C2457" s="4">
        <v>7.77</v>
      </c>
      <c r="D2457" s="4">
        <v>7.77</v>
      </c>
      <c r="E2457" s="4">
        <v>75</v>
      </c>
      <c r="F2457" s="4">
        <v>7.7329999999999997</v>
      </c>
      <c r="G2457" s="4">
        <v>579.97500000000002</v>
      </c>
      <c r="H2457" s="5">
        <f t="shared" si="38"/>
        <v>1.4360313315926819E-2</v>
      </c>
    </row>
    <row r="2458" spans="1:8" ht="13.5" x14ac:dyDescent="0.25">
      <c r="A2458" s="1"/>
      <c r="B2458" s="3">
        <v>45883</v>
      </c>
      <c r="C2458" s="4">
        <v>7.77</v>
      </c>
      <c r="D2458" s="4">
        <v>7.77</v>
      </c>
      <c r="E2458" s="4">
        <v>0</v>
      </c>
      <c r="F2458" s="4">
        <v>0</v>
      </c>
      <c r="G2458" s="4">
        <v>0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7.88</v>
      </c>
      <c r="D2459" s="4">
        <v>7.88</v>
      </c>
      <c r="E2459" s="4">
        <v>60</v>
      </c>
      <c r="F2459" s="4">
        <v>7.88</v>
      </c>
      <c r="G2459" s="4">
        <v>472.8</v>
      </c>
      <c r="H2459" s="5">
        <f t="shared" si="38"/>
        <v>1.4157014157014199E-2</v>
      </c>
    </row>
    <row r="2460" spans="1:8" ht="13.5" x14ac:dyDescent="0.25">
      <c r="A2460" s="1"/>
      <c r="B2460" s="3">
        <v>45887</v>
      </c>
      <c r="C2460" s="4">
        <v>7.88</v>
      </c>
      <c r="D2460" s="4">
        <v>7.88</v>
      </c>
      <c r="E2460" s="4">
        <v>0</v>
      </c>
      <c r="F2460" s="4">
        <v>0</v>
      </c>
      <c r="G2460" s="4">
        <v>0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7.88</v>
      </c>
      <c r="D2461" s="4">
        <v>7.88</v>
      </c>
      <c r="E2461" s="4">
        <v>0</v>
      </c>
      <c r="F2461" s="4">
        <v>0</v>
      </c>
      <c r="G2461" s="4">
        <v>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7.88</v>
      </c>
      <c r="D2462" s="4">
        <v>7.88</v>
      </c>
      <c r="E2462" s="4">
        <v>26</v>
      </c>
      <c r="F2462" s="4">
        <v>7.88</v>
      </c>
      <c r="G2462" s="4">
        <v>204.88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7.88</v>
      </c>
      <c r="D2463" s="4">
        <v>7.88</v>
      </c>
      <c r="E2463" s="4">
        <v>2</v>
      </c>
      <c r="F2463" s="4">
        <v>7.88</v>
      </c>
      <c r="G2463" s="4">
        <v>15.76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7.88</v>
      </c>
      <c r="D2464" s="4">
        <v>7.88</v>
      </c>
      <c r="E2464" s="4">
        <v>0</v>
      </c>
      <c r="F2464" s="4">
        <v>0</v>
      </c>
      <c r="G2464" s="4">
        <v>0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7.88</v>
      </c>
      <c r="D2465" s="4">
        <v>7.88</v>
      </c>
      <c r="E2465" s="4">
        <v>0</v>
      </c>
      <c r="F2465" s="4">
        <v>0</v>
      </c>
      <c r="G2465" s="4">
        <v>0</v>
      </c>
      <c r="H2465" s="5">
        <f t="shared" si="38"/>
        <v>0</v>
      </c>
    </row>
    <row r="2466" spans="1:8" ht="13.5" x14ac:dyDescent="0.25">
      <c r="A2466" s="1"/>
      <c r="B2466" s="3">
        <v>45895</v>
      </c>
      <c r="C2466" s="4">
        <v>7.9</v>
      </c>
      <c r="D2466" s="4">
        <v>7.9</v>
      </c>
      <c r="E2466" s="4">
        <v>11</v>
      </c>
      <c r="F2466" s="4">
        <v>7.9</v>
      </c>
      <c r="G2466" s="4">
        <v>86.9</v>
      </c>
      <c r="H2466" s="5">
        <f t="shared" si="38"/>
        <v>2.5380710659899065E-3</v>
      </c>
    </row>
    <row r="2467" spans="1:8" ht="13.5" x14ac:dyDescent="0.25">
      <c r="A2467" s="1"/>
      <c r="B2467" s="3">
        <v>45896</v>
      </c>
      <c r="C2467" s="4">
        <v>7.9</v>
      </c>
      <c r="D2467" s="4">
        <v>7.9</v>
      </c>
      <c r="E2467" s="4">
        <v>300</v>
      </c>
      <c r="F2467" s="4">
        <v>7.9</v>
      </c>
      <c r="G2467" s="4">
        <v>2370</v>
      </c>
      <c r="H2467" s="5">
        <f t="shared" si="38"/>
        <v>0</v>
      </c>
    </row>
    <row r="2468" spans="1:8" ht="13.5" x14ac:dyDescent="0.25">
      <c r="A2468" s="1"/>
      <c r="B2468" s="3">
        <v>45897</v>
      </c>
      <c r="C2468" s="4">
        <v>7.9</v>
      </c>
      <c r="D2468" s="4">
        <v>7.9</v>
      </c>
      <c r="E2468" s="4">
        <v>15</v>
      </c>
      <c r="F2468" s="4">
        <v>7.9</v>
      </c>
      <c r="G2468" s="4">
        <v>118.5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7.9</v>
      </c>
      <c r="D2469" s="4">
        <v>7.9</v>
      </c>
      <c r="E2469" s="4">
        <v>0</v>
      </c>
      <c r="F2469" s="4">
        <v>0</v>
      </c>
      <c r="G2469" s="4">
        <v>0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7.9</v>
      </c>
      <c r="D2470" s="4">
        <v>7.9</v>
      </c>
      <c r="E2470" s="4">
        <v>0</v>
      </c>
      <c r="F2470" s="4">
        <v>0</v>
      </c>
      <c r="G2470" s="4">
        <v>0</v>
      </c>
      <c r="H2470" s="5">
        <f t="shared" si="38"/>
        <v>0</v>
      </c>
    </row>
    <row r="2471" spans="1:8" ht="13.5" x14ac:dyDescent="0.25">
      <c r="A2471" s="1"/>
      <c r="B2471" s="3">
        <v>45902</v>
      </c>
      <c r="C2471" s="4">
        <v>7.9</v>
      </c>
      <c r="D2471" s="4">
        <v>7.9</v>
      </c>
      <c r="E2471" s="4">
        <v>0</v>
      </c>
      <c r="F2471" s="4">
        <v>0</v>
      </c>
      <c r="G2471" s="4">
        <v>0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7.9</v>
      </c>
      <c r="D2472" s="4">
        <v>7.9</v>
      </c>
      <c r="E2472" s="4">
        <v>0</v>
      </c>
      <c r="F2472" s="4">
        <v>0</v>
      </c>
      <c r="G2472" s="4">
        <v>0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7.89</v>
      </c>
      <c r="D2473" s="4">
        <v>7.89</v>
      </c>
      <c r="E2473" s="4">
        <v>65</v>
      </c>
      <c r="F2473" s="4">
        <v>7.89</v>
      </c>
      <c r="G2473" s="4">
        <v>512.85</v>
      </c>
      <c r="H2473" s="5">
        <f t="shared" si="38"/>
        <v>-1.265822784810212E-3</v>
      </c>
    </row>
    <row r="2474" spans="1:8" ht="13.5" x14ac:dyDescent="0.25">
      <c r="A2474" s="1"/>
      <c r="B2474" s="3">
        <v>45908</v>
      </c>
      <c r="C2474" s="4">
        <v>7.89</v>
      </c>
      <c r="D2474" s="4">
        <v>7.89</v>
      </c>
      <c r="E2474" s="4">
        <v>240</v>
      </c>
      <c r="F2474" s="4">
        <v>7.89</v>
      </c>
      <c r="G2474" s="4">
        <v>1893.6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7.9</v>
      </c>
      <c r="D2475" s="4">
        <v>7.9</v>
      </c>
      <c r="E2475" s="4">
        <v>8</v>
      </c>
      <c r="F2475" s="4">
        <v>7.9</v>
      </c>
      <c r="G2475" s="4">
        <v>63.2</v>
      </c>
      <c r="H2475" s="5">
        <f t="shared" si="38"/>
        <v>1.2674271229405165E-3</v>
      </c>
    </row>
    <row r="2476" spans="1:8" ht="13.5" x14ac:dyDescent="0.25">
      <c r="A2476" s="1"/>
      <c r="B2476" s="3">
        <v>45910</v>
      </c>
      <c r="C2476" s="4">
        <v>7.89</v>
      </c>
      <c r="D2476" s="4">
        <v>7.89</v>
      </c>
      <c r="E2476" s="4">
        <v>95</v>
      </c>
      <c r="F2476" s="4">
        <v>7.89</v>
      </c>
      <c r="G2476" s="4">
        <v>749.55</v>
      </c>
      <c r="H2476" s="5">
        <f t="shared" si="38"/>
        <v>-1.265822784810212E-3</v>
      </c>
    </row>
    <row r="2477" spans="1:8" ht="13.5" x14ac:dyDescent="0.25">
      <c r="A2477" s="1"/>
      <c r="B2477" s="3">
        <v>45911</v>
      </c>
      <c r="C2477" s="4">
        <v>7.9</v>
      </c>
      <c r="D2477" s="4">
        <v>7.9</v>
      </c>
      <c r="E2477" s="4">
        <v>42</v>
      </c>
      <c r="F2477" s="4">
        <v>7.9</v>
      </c>
      <c r="G2477" s="4">
        <v>331.8</v>
      </c>
      <c r="H2477" s="5">
        <f t="shared" si="38"/>
        <v>1.2674271229405165E-3</v>
      </c>
    </row>
    <row r="2478" spans="1:8" ht="13.5" x14ac:dyDescent="0.25">
      <c r="A2478" s="1"/>
      <c r="B2478" s="3">
        <v>45912</v>
      </c>
      <c r="C2478" s="4">
        <v>7.9</v>
      </c>
      <c r="D2478" s="4">
        <v>7.9</v>
      </c>
      <c r="E2478" s="4">
        <v>0</v>
      </c>
      <c r="F2478" s="4">
        <v>0</v>
      </c>
      <c r="G2478" s="4">
        <v>0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7.9</v>
      </c>
      <c r="D2479" s="4">
        <v>7.9</v>
      </c>
      <c r="E2479" s="4">
        <v>35</v>
      </c>
      <c r="F2479" s="4">
        <v>7.9</v>
      </c>
      <c r="G2479" s="4">
        <v>276.5</v>
      </c>
      <c r="H2479" s="5">
        <f t="shared" si="38"/>
        <v>0</v>
      </c>
    </row>
    <row r="2480" spans="1:8" ht="13.5" x14ac:dyDescent="0.25">
      <c r="A2480" s="1"/>
      <c r="B2480" s="3">
        <v>45916</v>
      </c>
      <c r="C2480" s="4">
        <v>7.9</v>
      </c>
      <c r="D2480" s="4">
        <v>7.9</v>
      </c>
      <c r="E2480" s="4">
        <v>0</v>
      </c>
      <c r="F2480" s="4">
        <v>0</v>
      </c>
      <c r="G2480" s="4">
        <v>0</v>
      </c>
      <c r="H2480" s="5">
        <f t="shared" si="38"/>
        <v>0</v>
      </c>
    </row>
    <row r="2481" spans="1:8" ht="13.5" x14ac:dyDescent="0.25">
      <c r="A2481" s="1"/>
      <c r="B2481" s="3">
        <v>45917</v>
      </c>
      <c r="C2481" s="4">
        <v>7.9</v>
      </c>
      <c r="D2481" s="4">
        <v>7.9</v>
      </c>
      <c r="E2481" s="4">
        <v>0</v>
      </c>
      <c r="F2481" s="4">
        <v>0</v>
      </c>
      <c r="G2481" s="4">
        <v>0</v>
      </c>
      <c r="H2481" s="5">
        <f t="shared" si="38"/>
        <v>0</v>
      </c>
    </row>
    <row r="2482" spans="1:8" ht="13.5" x14ac:dyDescent="0.25">
      <c r="A2482" s="1"/>
      <c r="B2482" s="3">
        <v>45918</v>
      </c>
      <c r="C2482" s="4">
        <v>7.9</v>
      </c>
      <c r="D2482" s="4">
        <v>7.9</v>
      </c>
      <c r="E2482" s="4">
        <v>0</v>
      </c>
      <c r="F2482" s="4">
        <v>0</v>
      </c>
      <c r="G2482" s="4">
        <v>0</v>
      </c>
      <c r="H2482" s="5">
        <f t="shared" si="38"/>
        <v>0</v>
      </c>
    </row>
    <row r="2483" spans="1:8" ht="13.5" x14ac:dyDescent="0.25">
      <c r="A2483" s="1"/>
      <c r="B2483" s="3">
        <v>45919</v>
      </c>
      <c r="C2483" s="4">
        <v>7.95</v>
      </c>
      <c r="D2483" s="4">
        <v>7.95</v>
      </c>
      <c r="E2483" s="4">
        <v>1187</v>
      </c>
      <c r="F2483" s="4">
        <v>7.95</v>
      </c>
      <c r="G2483" s="4">
        <v>9436.65</v>
      </c>
      <c r="H2483" s="5">
        <f t="shared" si="38"/>
        <v>6.3291139240506103E-3</v>
      </c>
    </row>
    <row r="2484" spans="1:8" ht="13.5" x14ac:dyDescent="0.25">
      <c r="A2484" s="1"/>
      <c r="B2484" s="3">
        <v>45922</v>
      </c>
      <c r="C2484" s="4">
        <v>8.23</v>
      </c>
      <c r="D2484" s="4">
        <v>8.23</v>
      </c>
      <c r="E2484" s="4">
        <v>1835</v>
      </c>
      <c r="F2484" s="4">
        <v>8.23</v>
      </c>
      <c r="G2484" s="4">
        <v>15102.05</v>
      </c>
      <c r="H2484" s="5">
        <f t="shared" si="38"/>
        <v>3.5220125786163556E-2</v>
      </c>
    </row>
    <row r="2485" spans="1:8" ht="13.5" x14ac:dyDescent="0.25">
      <c r="A2485" s="1"/>
      <c r="B2485" s="3">
        <v>45923</v>
      </c>
      <c r="C2485" s="4">
        <v>8.41</v>
      </c>
      <c r="D2485" s="4">
        <v>8.41</v>
      </c>
      <c r="E2485" s="4">
        <v>834</v>
      </c>
      <c r="F2485" s="4">
        <v>8.4009999999999998</v>
      </c>
      <c r="G2485" s="4">
        <v>7006.4340000000002</v>
      </c>
      <c r="H2485" s="5">
        <f t="shared" si="38"/>
        <v>2.1871202916160352E-2</v>
      </c>
    </row>
    <row r="2486" spans="1:8" ht="13.5" x14ac:dyDescent="0.25">
      <c r="A2486" s="1"/>
      <c r="B2486" s="3">
        <v>45924</v>
      </c>
      <c r="C2486" s="4">
        <v>8.7799999999999994</v>
      </c>
      <c r="D2486" s="4">
        <v>8.7799999999999994</v>
      </c>
      <c r="E2486" s="4">
        <v>0</v>
      </c>
      <c r="F2486" s="4">
        <v>0</v>
      </c>
      <c r="G2486" s="4">
        <v>0</v>
      </c>
      <c r="H2486" s="5">
        <f t="shared" si="38"/>
        <v>4.3995243757431537E-2</v>
      </c>
    </row>
    <row r="2487" spans="1:8" ht="13.5" x14ac:dyDescent="0.25">
      <c r="A2487" s="1"/>
      <c r="B2487" s="3">
        <v>45925</v>
      </c>
      <c r="C2487" s="4">
        <v>9.17</v>
      </c>
      <c r="D2487" s="4">
        <v>9.17</v>
      </c>
      <c r="E2487" s="4">
        <v>0</v>
      </c>
      <c r="F2487" s="4">
        <v>0</v>
      </c>
      <c r="G2487" s="4">
        <v>0</v>
      </c>
      <c r="H2487" s="5">
        <f t="shared" si="38"/>
        <v>4.441913439635542E-2</v>
      </c>
    </row>
    <row r="2488" spans="1:8" ht="13.5" x14ac:dyDescent="0.25">
      <c r="A2488" s="1"/>
      <c r="B2488" s="3">
        <v>45926</v>
      </c>
      <c r="C2488" s="4">
        <v>9.1</v>
      </c>
      <c r="D2488" s="4">
        <v>9.1</v>
      </c>
      <c r="E2488" s="4">
        <v>1253</v>
      </c>
      <c r="F2488" s="4">
        <v>9.0310000000000006</v>
      </c>
      <c r="G2488" s="4">
        <v>11315.843000000001</v>
      </c>
      <c r="H2488" s="5">
        <f t="shared" si="38"/>
        <v>-7.6335877862595729E-3</v>
      </c>
    </row>
    <row r="2489" spans="1:8" ht="13.5" x14ac:dyDescent="0.25">
      <c r="A2489" s="1"/>
      <c r="B2489" s="3">
        <v>45929</v>
      </c>
      <c r="C2489" s="4">
        <v>9.48</v>
      </c>
      <c r="D2489" s="4">
        <v>9.48</v>
      </c>
      <c r="E2489" s="4">
        <v>761</v>
      </c>
      <c r="F2489" s="4">
        <v>9.484</v>
      </c>
      <c r="G2489" s="4">
        <v>7217.3239999999996</v>
      </c>
      <c r="H2489" s="5">
        <f t="shared" si="38"/>
        <v>4.1758241758241846E-2</v>
      </c>
    </row>
    <row r="2490" spans="1:8" ht="13.5" x14ac:dyDescent="0.25">
      <c r="A2490" s="1"/>
      <c r="B2490" s="3">
        <v>45930</v>
      </c>
      <c r="C2490" s="4">
        <v>9.9</v>
      </c>
      <c r="D2490" s="4">
        <v>9.9</v>
      </c>
      <c r="E2490" s="4">
        <v>190</v>
      </c>
      <c r="F2490" s="4">
        <v>9.9</v>
      </c>
      <c r="G2490" s="4">
        <v>1881</v>
      </c>
      <c r="H2490" s="5">
        <f t="shared" si="38"/>
        <v>4.4303797468354424E-2</v>
      </c>
    </row>
    <row r="2491" spans="1:8" ht="13.5" x14ac:dyDescent="0.25">
      <c r="A2491" s="1"/>
      <c r="B2491" s="3">
        <v>45931</v>
      </c>
      <c r="C2491" s="4">
        <v>9.4700000000000006</v>
      </c>
      <c r="D2491" s="4">
        <v>9.4700000000000006</v>
      </c>
      <c r="E2491" s="4">
        <v>10</v>
      </c>
      <c r="F2491" s="4">
        <v>9.4700000000000006</v>
      </c>
      <c r="G2491" s="4">
        <v>94.7</v>
      </c>
      <c r="H2491" s="5">
        <f t="shared" si="38"/>
        <v>-4.3434343434343402E-2</v>
      </c>
    </row>
    <row r="2492" spans="1:8" ht="13.5" x14ac:dyDescent="0.25">
      <c r="A2492" s="1"/>
      <c r="B2492" s="3">
        <v>45932</v>
      </c>
      <c r="C2492" s="4">
        <v>9.4700000000000006</v>
      </c>
      <c r="D2492" s="4">
        <v>9.4700000000000006</v>
      </c>
      <c r="E2492" s="4">
        <v>10</v>
      </c>
      <c r="F2492" s="4">
        <v>9.4700000000000006</v>
      </c>
      <c r="G2492" s="4">
        <v>94.7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9.48</v>
      </c>
      <c r="D2493" s="4">
        <v>9.48</v>
      </c>
      <c r="E2493" s="4">
        <v>1100</v>
      </c>
      <c r="F2493" s="4">
        <v>9.48</v>
      </c>
      <c r="G2493" s="4">
        <v>10428</v>
      </c>
      <c r="H2493" s="5">
        <f t="shared" si="38"/>
        <v>1.0559662090812868E-3</v>
      </c>
    </row>
    <row r="2494" spans="1:8" ht="13.5" x14ac:dyDescent="0.25">
      <c r="A2494" s="1"/>
      <c r="B2494" s="3">
        <v>45936</v>
      </c>
      <c r="C2494" s="4">
        <v>9.9</v>
      </c>
      <c r="D2494" s="4">
        <v>9.9</v>
      </c>
      <c r="E2494" s="4">
        <v>20</v>
      </c>
      <c r="F2494" s="4">
        <v>9.66</v>
      </c>
      <c r="G2494" s="4">
        <v>193.2</v>
      </c>
      <c r="H2494" s="5">
        <f t="shared" si="38"/>
        <v>4.4303797468354424E-2</v>
      </c>
    </row>
    <row r="2495" spans="1:8" ht="13.5" x14ac:dyDescent="0.25">
      <c r="A2495" s="1"/>
      <c r="B2495" s="3">
        <v>45937</v>
      </c>
      <c r="C2495" s="4">
        <v>9.98</v>
      </c>
      <c r="D2495" s="4">
        <v>9.98</v>
      </c>
      <c r="E2495" s="4">
        <v>240</v>
      </c>
      <c r="F2495" s="4">
        <v>9.8800000000000008</v>
      </c>
      <c r="G2495" s="4">
        <v>2371.1999999999998</v>
      </c>
      <c r="H2495" s="5">
        <f t="shared" si="38"/>
        <v>8.0808080808080877E-3</v>
      </c>
    </row>
    <row r="2496" spans="1:8" ht="13.5" x14ac:dyDescent="0.25">
      <c r="A2496" s="1"/>
      <c r="B2496" s="3">
        <v>45938</v>
      </c>
      <c r="C2496" s="4">
        <v>9.98</v>
      </c>
      <c r="D2496" s="4">
        <v>9.98</v>
      </c>
      <c r="E2496" s="4">
        <v>0</v>
      </c>
      <c r="F2496" s="4">
        <v>0</v>
      </c>
      <c r="G2496" s="4">
        <v>0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10.42</v>
      </c>
      <c r="D2497" s="4">
        <v>10.42</v>
      </c>
      <c r="E2497" s="4">
        <v>717</v>
      </c>
      <c r="F2497" s="4">
        <v>10.24</v>
      </c>
      <c r="G2497" s="4">
        <v>7342.08</v>
      </c>
      <c r="H2497" s="5">
        <f t="shared" si="38"/>
        <v>4.4088176352705358E-2</v>
      </c>
    </row>
    <row r="2498" spans="1:11" ht="13.5" x14ac:dyDescent="0.25">
      <c r="A2498" s="1"/>
      <c r="B2498" s="3">
        <v>45940</v>
      </c>
      <c r="C2498" s="4">
        <v>10.49</v>
      </c>
      <c r="D2498" s="4">
        <v>10.49</v>
      </c>
      <c r="E2498" s="4">
        <v>290</v>
      </c>
      <c r="F2498" s="4">
        <v>10.442</v>
      </c>
      <c r="G2498" s="4">
        <v>3028.18</v>
      </c>
      <c r="H2498" s="5">
        <f t="shared" si="38"/>
        <v>6.7178502879078972E-3</v>
      </c>
    </row>
    <row r="2499" spans="1:11" ht="13.5" x14ac:dyDescent="0.25">
      <c r="A2499" s="1"/>
      <c r="B2499" s="3">
        <v>45943</v>
      </c>
      <c r="C2499" s="4">
        <v>10.49</v>
      </c>
      <c r="D2499" s="4">
        <v>10.49</v>
      </c>
      <c r="E2499" s="4">
        <v>0</v>
      </c>
      <c r="F2499" s="4">
        <v>0</v>
      </c>
      <c r="G2499" s="4">
        <v>0</v>
      </c>
      <c r="H2499" s="5">
        <f t="shared" si="38"/>
        <v>0</v>
      </c>
    </row>
    <row r="2500" spans="1:11" ht="13.5" x14ac:dyDescent="0.25">
      <c r="A2500" s="1"/>
      <c r="B2500" s="3">
        <v>45944</v>
      </c>
      <c r="C2500" s="4">
        <v>10.69</v>
      </c>
      <c r="D2500" s="4">
        <v>10.69</v>
      </c>
      <c r="E2500" s="4">
        <v>680</v>
      </c>
      <c r="F2500" s="4">
        <v>10.686999999999999</v>
      </c>
      <c r="G2500" s="4">
        <v>7267.16</v>
      </c>
      <c r="H2500" s="5">
        <f t="shared" si="38"/>
        <v>1.9065776930409846E-2</v>
      </c>
    </row>
    <row r="2501" spans="1:11" ht="13.5" x14ac:dyDescent="0.25">
      <c r="A2501" s="1"/>
      <c r="B2501" s="3">
        <v>45946</v>
      </c>
      <c r="C2501" s="4">
        <v>10.88</v>
      </c>
      <c r="D2501" s="4">
        <v>10.88</v>
      </c>
      <c r="E2501" s="4">
        <v>65</v>
      </c>
      <c r="F2501" s="4">
        <v>10.772</v>
      </c>
      <c r="G2501" s="4">
        <v>700.18</v>
      </c>
      <c r="H2501" s="5">
        <f t="shared" si="38"/>
        <v>1.7773620205799933E-2</v>
      </c>
    </row>
    <row r="2502" spans="1:11" ht="13.5" x14ac:dyDescent="0.25">
      <c r="A2502" s="1"/>
      <c r="B2502" s="3">
        <v>45947</v>
      </c>
      <c r="C2502" s="4">
        <v>10.99</v>
      </c>
      <c r="D2502" s="4">
        <v>10.99</v>
      </c>
      <c r="E2502" s="4">
        <v>613</v>
      </c>
      <c r="F2502" s="4">
        <v>10.99</v>
      </c>
      <c r="G2502" s="4">
        <v>6736.87</v>
      </c>
      <c r="H2502" s="5">
        <f t="shared" si="38"/>
        <v>1.0110294117647006E-2</v>
      </c>
    </row>
    <row r="2503" spans="1:11" ht="13.5" x14ac:dyDescent="0.25">
      <c r="A2503" s="1"/>
      <c r="B2503" s="3">
        <v>45950</v>
      </c>
      <c r="C2503" s="4">
        <v>10.5</v>
      </c>
      <c r="D2503" s="4">
        <v>10.5</v>
      </c>
      <c r="E2503" s="4">
        <v>324</v>
      </c>
      <c r="F2503" s="4">
        <v>10.504</v>
      </c>
      <c r="G2503" s="4">
        <v>3403.2959999999998</v>
      </c>
      <c r="H2503" s="5">
        <f t="shared" ref="H2503:H2511" si="39">(D2503-D2502)/D2502</f>
        <v>-4.4585987261146515E-2</v>
      </c>
    </row>
    <row r="2504" spans="1:11" ht="13.5" x14ac:dyDescent="0.25">
      <c r="A2504" s="1"/>
      <c r="B2504" s="3">
        <v>45951</v>
      </c>
      <c r="C2504" s="4">
        <v>10.029999999999999</v>
      </c>
      <c r="D2504" s="4">
        <v>10.029999999999999</v>
      </c>
      <c r="E2504" s="4">
        <v>40</v>
      </c>
      <c r="F2504" s="4">
        <v>10.44</v>
      </c>
      <c r="G2504" s="4">
        <v>417.6</v>
      </c>
      <c r="H2504" s="5">
        <f t="shared" si="39"/>
        <v>-4.4761904761904822E-2</v>
      </c>
    </row>
    <row r="2505" spans="1:11" ht="13.5" x14ac:dyDescent="0.25">
      <c r="A2505" s="1"/>
      <c r="B2505" s="3">
        <v>45952</v>
      </c>
      <c r="C2505" s="4">
        <v>9.58</v>
      </c>
      <c r="D2505" s="4">
        <v>9.58</v>
      </c>
      <c r="E2505" s="4">
        <v>0</v>
      </c>
      <c r="F2505" s="4">
        <v>0</v>
      </c>
      <c r="G2505" s="4">
        <v>0</v>
      </c>
      <c r="H2505" s="5">
        <f t="shared" si="39"/>
        <v>-4.4865403788634031E-2</v>
      </c>
    </row>
    <row r="2506" spans="1:11" ht="13.5" x14ac:dyDescent="0.25">
      <c r="A2506" s="1"/>
      <c r="B2506" s="3">
        <v>45953</v>
      </c>
      <c r="C2506" s="4">
        <v>9.48</v>
      </c>
      <c r="D2506" s="4">
        <v>9.48</v>
      </c>
      <c r="E2506" s="4">
        <v>607</v>
      </c>
      <c r="F2506" s="4">
        <v>9.48</v>
      </c>
      <c r="G2506" s="4">
        <v>5754.36</v>
      </c>
      <c r="H2506" s="5">
        <f t="shared" si="39"/>
        <v>-1.0438413361169066E-2</v>
      </c>
    </row>
    <row r="2507" spans="1:11" ht="13.5" x14ac:dyDescent="0.25">
      <c r="A2507" s="1"/>
      <c r="B2507" s="3">
        <v>45954</v>
      </c>
      <c r="C2507" s="4">
        <v>9.06</v>
      </c>
      <c r="D2507" s="4">
        <v>9.06</v>
      </c>
      <c r="E2507" s="4">
        <v>0</v>
      </c>
      <c r="F2507" s="4">
        <v>0</v>
      </c>
      <c r="G2507" s="4">
        <v>0</v>
      </c>
      <c r="H2507" s="5">
        <f t="shared" si="39"/>
        <v>-4.4303797468354424E-2</v>
      </c>
    </row>
    <row r="2508" spans="1:11" ht="13.5" x14ac:dyDescent="0.25">
      <c r="A2508" s="1"/>
      <c r="B2508" s="3">
        <v>45957</v>
      </c>
      <c r="C2508" s="4">
        <v>8.66</v>
      </c>
      <c r="D2508" s="4">
        <v>8.66</v>
      </c>
      <c r="E2508" s="4">
        <v>1057</v>
      </c>
      <c r="F2508" s="4">
        <v>8.9</v>
      </c>
      <c r="G2508" s="4">
        <v>9407.2999999999993</v>
      </c>
      <c r="H2508" s="5">
        <f t="shared" si="39"/>
        <v>-4.4150110375275976E-2</v>
      </c>
    </row>
    <row r="2509" spans="1:11" ht="13.5" x14ac:dyDescent="0.25">
      <c r="A2509" s="1"/>
      <c r="B2509" s="3">
        <v>45958</v>
      </c>
      <c r="C2509" s="4">
        <v>8.3000000000000007</v>
      </c>
      <c r="D2509" s="4">
        <v>8.3000000000000007</v>
      </c>
      <c r="E2509" s="4">
        <v>1620</v>
      </c>
      <c r="F2509" s="4">
        <v>8.3000000000000007</v>
      </c>
      <c r="G2509" s="4">
        <v>13446</v>
      </c>
      <c r="H2509" s="5">
        <f t="shared" si="39"/>
        <v>-4.1570438799076147E-2</v>
      </c>
    </row>
    <row r="2510" spans="1:11" ht="13.5" x14ac:dyDescent="0.25">
      <c r="A2510" s="1"/>
      <c r="B2510" s="3">
        <v>45959</v>
      </c>
      <c r="C2510" s="4">
        <v>8.3000000000000007</v>
      </c>
      <c r="D2510" s="4">
        <v>8.3000000000000007</v>
      </c>
      <c r="E2510" s="4">
        <v>2066</v>
      </c>
      <c r="F2510" s="4">
        <v>8.3000000000000007</v>
      </c>
      <c r="G2510" s="4">
        <v>17147.8</v>
      </c>
      <c r="H2510" s="5">
        <f t="shared" si="39"/>
        <v>0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8.3000000000000007</v>
      </c>
      <c r="D2511" s="4">
        <v>8.3000000000000007</v>
      </c>
      <c r="E2511" s="4">
        <v>0</v>
      </c>
      <c r="F2511" s="4">
        <v>0</v>
      </c>
      <c r="G2511" s="4">
        <v>0</v>
      </c>
      <c r="H2511" s="5">
        <f t="shared" si="39"/>
        <v>0</v>
      </c>
      <c r="I2511" s="12">
        <v>15777070</v>
      </c>
      <c r="J2511" s="8">
        <f>I2511*D2511</f>
        <v>130949681.00000001</v>
      </c>
      <c r="K2511" s="9">
        <f>SUM(E2307:E2511)/205</f>
        <v>171.01463414634145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C6E3DE-DF52-4E26-9340-44E1D8C5C8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930512-B5FE-41AD-B69F-2A163C46929D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825c0b43-6af9-4148-8ec1-c95941059438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A7F4680-8681-44D7-931F-A5ECD4A9EE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2025-11-04T19:43:10Z</dcterms:created>
  <dcterms:modified xsi:type="dcterms:W3CDTF">2025-11-05T05:37:30Z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