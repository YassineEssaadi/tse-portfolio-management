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4723B183-7048-4C6E-8D64-D6AF98C1AD09}" xr6:coauthVersionLast="47" xr6:coauthVersionMax="47" xr10:uidLastSave="{00000000-0000-0000-0000-000000000000}"/>
  <bookViews>
    <workbookView xWindow="28680" yWindow="-120" windowWidth="24240" windowHeight="13020" xr2:uid="{7617C0E7-AFA3-41F8-8D91-A44281BC03E9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<sst xmlns="http://schemas.openxmlformats.org/spreadsheetml/2006/main" count="16" uniqueCount="16">
  <si>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BTE (ADP),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</si>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</sst>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84EE-D276-4361-95A0-57399F49EE58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17.52</v>
      </c>
      <c r="D5" s="4">
        <v>17.484999999999999</v>
      </c>
      <c r="E5" s="4">
        <v>442</v>
      </c>
      <c r="F5" s="4"/>
      <c r="G5" s="4"/>
      <c r="H5" s="1"/>
    </row>
    <row r="6" spans="1:11" ht="13.5" x14ac:dyDescent="0.25">
      <c r="A6" s="1"/>
      <c r="B6" s="3">
        <v>42311</v>
      </c>
      <c r="C6" s="4">
        <v>17.53</v>
      </c>
      <c r="D6" s="4">
        <v>17.494900000000001</v>
      </c>
      <c r="E6" s="4">
        <v>200</v>
      </c>
      <c r="F6" s="4"/>
      <c r="G6" s="4"/>
      <c r="H6" s="5">
        <f>(D6-D5)/D5</f>
        <v>5.6619959965695146E-4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17.5</v>
      </c>
      <c r="D7" s="4">
        <v>17.465</v>
      </c>
      <c r="E7" s="4">
        <v>50</v>
      </c>
      <c r="F7" s="4"/>
      <c r="G7" s="4"/>
      <c r="H7" s="5">
        <f t="shared" ref="H7:H70" si="0">(D7-D6)/D6</f>
        <v>-1.709069500254438E-3</v>
      </c>
    </row>
    <row r="8" spans="1:11" ht="13.5" x14ac:dyDescent="0.25">
      <c r="A8" s="1"/>
      <c r="B8" s="3">
        <v>42313</v>
      </c>
      <c r="C8" s="4">
        <v>18.02</v>
      </c>
      <c r="D8" s="4">
        <v>17.984000000000002</v>
      </c>
      <c r="E8" s="4">
        <v>0</v>
      </c>
      <c r="F8" s="4"/>
      <c r="G8" s="4"/>
      <c r="H8" s="5">
        <f t="shared" si="0"/>
        <v>2.9716576009161288E-2</v>
      </c>
      <c r="J8" t="s">
        <v>9</v>
      </c>
      <c r="K8" s="6">
        <f>AVERAGE(H6:H2511)</f>
        <v>-4.1902054321494116E-4</v>
      </c>
    </row>
    <row r="9" spans="1:11" ht="13.5" x14ac:dyDescent="0.25">
      <c r="A9" s="1"/>
      <c r="B9" s="3">
        <v>42314</v>
      </c>
      <c r="C9" s="4">
        <v>17.52</v>
      </c>
      <c r="D9" s="4">
        <v>17.484999999999999</v>
      </c>
      <c r="E9" s="4">
        <v>100</v>
      </c>
      <c r="F9" s="4"/>
      <c r="G9" s="4"/>
      <c r="H9" s="5">
        <f t="shared" si="0"/>
        <v>-2.7746886120996569E-2</v>
      </c>
      <c r="J9" t="s">
        <v>10</v>
      </c>
      <c r="K9" s="6">
        <f>K8*K6</f>
        <v>-0.10559317689016517</v>
      </c>
    </row>
    <row r="10" spans="1:11" ht="13.5" x14ac:dyDescent="0.25">
      <c r="A10" s="1"/>
      <c r="B10" s="3">
        <v>42317</v>
      </c>
      <c r="C10" s="4">
        <v>17.52</v>
      </c>
      <c r="D10" s="4">
        <v>17.484999999999999</v>
      </c>
      <c r="E10" s="4">
        <v>0</v>
      </c>
      <c r="F10" s="4"/>
      <c r="G10" s="4"/>
      <c r="H10" s="5">
        <f t="shared" si="0"/>
        <v>0</v>
      </c>
      <c r="J10" t="s">
        <v>11</v>
      </c>
      <c r="K10" s="6">
        <f>STDEV(H6:H2511)</f>
        <v>2.0404996743071595E-2</v>
      </c>
    </row>
    <row r="11" spans="1:11" ht="13.5" x14ac:dyDescent="0.25">
      <c r="A11" s="1"/>
      <c r="B11" s="3">
        <v>42318</v>
      </c>
      <c r="C11" s="4">
        <v>17.05</v>
      </c>
      <c r="D11" s="4">
        <v>17.015899999999998</v>
      </c>
      <c r="E11" s="4">
        <v>530</v>
      </c>
      <c r="F11" s="4"/>
      <c r="G11" s="4"/>
      <c r="H11" s="5">
        <f t="shared" si="0"/>
        <v>-2.6828710323134171E-2</v>
      </c>
      <c r="J11" t="s">
        <v>12</v>
      </c>
      <c r="K11" s="6">
        <f>K10*SQRT(K6)</f>
        <v>0.32391928131150227</v>
      </c>
    </row>
    <row r="12" spans="1:11" ht="13.5" x14ac:dyDescent="0.25">
      <c r="A12" s="1"/>
      <c r="B12" s="3">
        <v>42319</v>
      </c>
      <c r="C12" s="4">
        <v>17</v>
      </c>
      <c r="D12" s="4">
        <v>16.966000000000001</v>
      </c>
      <c r="E12" s="4">
        <v>460</v>
      </c>
      <c r="F12" s="4"/>
      <c r="G12" s="4"/>
      <c r="H12" s="5">
        <f t="shared" si="0"/>
        <v>-2.9325513196479407E-3</v>
      </c>
    </row>
    <row r="13" spans="1:11" ht="13.5" x14ac:dyDescent="0.25">
      <c r="A13" s="1"/>
      <c r="B13" s="3">
        <v>42320</v>
      </c>
      <c r="C13" s="4">
        <v>17</v>
      </c>
      <c r="D13" s="4">
        <v>16.966000000000001</v>
      </c>
      <c r="E13" s="4">
        <v>400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16.52</v>
      </c>
      <c r="D14" s="4">
        <v>16.486999999999998</v>
      </c>
      <c r="E14" s="4">
        <v>447</v>
      </c>
      <c r="F14" s="4"/>
      <c r="G14" s="4"/>
      <c r="H14" s="5">
        <f t="shared" si="0"/>
        <v>-2.8232936461157768E-2</v>
      </c>
    </row>
    <row r="15" spans="1:11" ht="13.5" x14ac:dyDescent="0.25">
      <c r="A15" s="1"/>
      <c r="B15" s="3">
        <v>42324</v>
      </c>
      <c r="C15" s="4">
        <v>16.52</v>
      </c>
      <c r="D15" s="4">
        <v>16.486999999999998</v>
      </c>
      <c r="E15" s="4">
        <v>0</v>
      </c>
      <c r="F15" s="4"/>
      <c r="G15" s="4"/>
      <c r="H15" s="5">
        <f t="shared" si="0"/>
        <v>0</v>
      </c>
    </row>
    <row r="16" spans="1:11" ht="13.5" x14ac:dyDescent="0.25">
      <c r="A16" s="1"/>
      <c r="B16" s="3">
        <v>42325</v>
      </c>
      <c r="C16" s="4">
        <v>16.52</v>
      </c>
      <c r="D16" s="4">
        <v>16.486999999999998</v>
      </c>
      <c r="E16" s="4">
        <v>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16.52</v>
      </c>
      <c r="D17" s="4">
        <v>16.486999999999998</v>
      </c>
      <c r="E17" s="4">
        <v>0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17.010000000000002</v>
      </c>
      <c r="D18" s="4">
        <v>16.975999999999999</v>
      </c>
      <c r="E18" s="4">
        <v>0</v>
      </c>
      <c r="F18" s="4"/>
      <c r="G18" s="4"/>
      <c r="H18" s="5">
        <f t="shared" si="0"/>
        <v>2.9659731909989738E-2</v>
      </c>
    </row>
    <row r="19" spans="1:8" ht="13.5" x14ac:dyDescent="0.25">
      <c r="A19" s="1"/>
      <c r="B19" s="3">
        <v>42328</v>
      </c>
      <c r="C19" s="4">
        <v>17.059999999999999</v>
      </c>
      <c r="D19" s="4">
        <v>17.0259</v>
      </c>
      <c r="E19" s="4">
        <v>509</v>
      </c>
      <c r="F19" s="4"/>
      <c r="G19" s="4"/>
      <c r="H19" s="5">
        <f t="shared" si="0"/>
        <v>2.9394439208294621E-3</v>
      </c>
    </row>
    <row r="20" spans="1:8" ht="13.5" x14ac:dyDescent="0.25">
      <c r="A20" s="1"/>
      <c r="B20" s="3">
        <v>42331</v>
      </c>
      <c r="C20" s="4">
        <v>17.059999999999999</v>
      </c>
      <c r="D20" s="4">
        <v>17.0259</v>
      </c>
      <c r="E20" s="4">
        <v>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17.059999999999999</v>
      </c>
      <c r="D21" s="4">
        <v>17.0259</v>
      </c>
      <c r="E21" s="4">
        <v>0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17.07</v>
      </c>
      <c r="D22" s="4">
        <v>17.035900000000002</v>
      </c>
      <c r="E22" s="4">
        <v>2333</v>
      </c>
      <c r="F22" s="4"/>
      <c r="G22" s="4"/>
      <c r="H22" s="5">
        <f t="shared" si="0"/>
        <v>5.8734046364665384E-4</v>
      </c>
    </row>
    <row r="23" spans="1:8" ht="13.5" x14ac:dyDescent="0.25">
      <c r="A23" s="1"/>
      <c r="B23" s="3">
        <v>42334</v>
      </c>
      <c r="C23" s="4">
        <v>17.07</v>
      </c>
      <c r="D23" s="4">
        <v>17.035900000000002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17.059999999999999</v>
      </c>
      <c r="D24" s="4">
        <v>17.0259</v>
      </c>
      <c r="E24" s="4">
        <v>280</v>
      </c>
      <c r="F24" s="4"/>
      <c r="G24" s="4"/>
      <c r="H24" s="5">
        <f t="shared" si="0"/>
        <v>-5.8699569732163033E-4</v>
      </c>
    </row>
    <row r="25" spans="1:8" ht="13.5" x14ac:dyDescent="0.25">
      <c r="A25" s="1"/>
      <c r="B25" s="3">
        <v>42338</v>
      </c>
      <c r="C25" s="4">
        <v>17</v>
      </c>
      <c r="D25" s="4">
        <v>16.966000000000001</v>
      </c>
      <c r="E25" s="4">
        <v>200</v>
      </c>
      <c r="F25" s="4"/>
      <c r="G25" s="4"/>
      <c r="H25" s="5">
        <f t="shared" si="0"/>
        <v>-3.5181693772428448E-3</v>
      </c>
    </row>
    <row r="26" spans="1:8" ht="13.5" x14ac:dyDescent="0.25">
      <c r="A26" s="1"/>
      <c r="B26" s="3">
        <v>42339</v>
      </c>
      <c r="C26" s="4">
        <v>17</v>
      </c>
      <c r="D26" s="4">
        <v>16.966000000000001</v>
      </c>
      <c r="E26" s="4">
        <v>0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17.05</v>
      </c>
      <c r="D27" s="4">
        <v>17.015899999999998</v>
      </c>
      <c r="E27" s="4">
        <v>350</v>
      </c>
      <c r="F27" s="4"/>
      <c r="G27" s="4"/>
      <c r="H27" s="5">
        <f t="shared" si="0"/>
        <v>2.9411764705880813E-3</v>
      </c>
    </row>
    <row r="28" spans="1:8" ht="13.5" x14ac:dyDescent="0.25">
      <c r="A28" s="1"/>
      <c r="B28" s="3">
        <v>42341</v>
      </c>
      <c r="C28" s="4">
        <v>17.05</v>
      </c>
      <c r="D28" s="4">
        <v>17.015899999999998</v>
      </c>
      <c r="E28" s="4">
        <v>0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17.05</v>
      </c>
      <c r="D29" s="4">
        <v>17.015899999999998</v>
      </c>
      <c r="E29" s="4">
        <v>0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17.059999999999999</v>
      </c>
      <c r="D30" s="4">
        <v>17.0259</v>
      </c>
      <c r="E30" s="4">
        <v>150</v>
      </c>
      <c r="F30" s="4"/>
      <c r="G30" s="4"/>
      <c r="H30" s="5">
        <f t="shared" si="0"/>
        <v>5.8768563520011073E-4</v>
      </c>
    </row>
    <row r="31" spans="1:8" ht="13.5" x14ac:dyDescent="0.25">
      <c r="A31" s="1"/>
      <c r="B31" s="3">
        <v>42346</v>
      </c>
      <c r="C31" s="4">
        <v>17.079999999999998</v>
      </c>
      <c r="D31" s="4">
        <v>17.0458</v>
      </c>
      <c r="E31" s="4">
        <v>517</v>
      </c>
      <c r="F31" s="4"/>
      <c r="G31" s="4"/>
      <c r="H31" s="5">
        <f t="shared" si="0"/>
        <v>1.1688075226566471E-3</v>
      </c>
    </row>
    <row r="32" spans="1:8" ht="13.5" x14ac:dyDescent="0.25">
      <c r="A32" s="1"/>
      <c r="B32" s="3">
        <v>42347</v>
      </c>
      <c r="C32" s="4">
        <v>17.059999999999999</v>
      </c>
      <c r="D32" s="4">
        <v>17.0259</v>
      </c>
      <c r="E32" s="4">
        <v>1084</v>
      </c>
      <c r="F32" s="4"/>
      <c r="G32" s="4"/>
      <c r="H32" s="5">
        <f t="shared" si="0"/>
        <v>-1.1674430064883906E-3</v>
      </c>
    </row>
    <row r="33" spans="1:8" ht="13.5" x14ac:dyDescent="0.25">
      <c r="A33" s="1"/>
      <c r="B33" s="3">
        <v>42348</v>
      </c>
      <c r="C33" s="4">
        <v>17.059999999999999</v>
      </c>
      <c r="D33" s="4">
        <v>17.0259</v>
      </c>
      <c r="E33" s="4">
        <v>440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17</v>
      </c>
      <c r="D34" s="4">
        <v>16.966000000000001</v>
      </c>
      <c r="E34" s="4">
        <v>309</v>
      </c>
      <c r="F34" s="4"/>
      <c r="G34" s="4"/>
      <c r="H34" s="5">
        <f t="shared" si="0"/>
        <v>-3.5181693772428448E-3</v>
      </c>
    </row>
    <row r="35" spans="1:8" ht="13.5" x14ac:dyDescent="0.25">
      <c r="A35" s="1"/>
      <c r="B35" s="3">
        <v>42352</v>
      </c>
      <c r="C35" s="4">
        <v>17.05</v>
      </c>
      <c r="D35" s="4">
        <v>17.015899999999998</v>
      </c>
      <c r="E35" s="4">
        <v>180</v>
      </c>
      <c r="F35" s="4"/>
      <c r="G35" s="4"/>
      <c r="H35" s="5">
        <f t="shared" si="0"/>
        <v>2.9411764705880813E-3</v>
      </c>
    </row>
    <row r="36" spans="1:8" ht="13.5" x14ac:dyDescent="0.25">
      <c r="A36" s="1"/>
      <c r="B36" s="3">
        <v>42353</v>
      </c>
      <c r="C36" s="4">
        <v>17.010000000000002</v>
      </c>
      <c r="D36" s="4">
        <v>16.975999999999999</v>
      </c>
      <c r="E36" s="4">
        <v>900</v>
      </c>
      <c r="F36" s="4"/>
      <c r="G36" s="4"/>
      <c r="H36" s="5">
        <f t="shared" si="0"/>
        <v>-2.3448656844480388E-3</v>
      </c>
    </row>
    <row r="37" spans="1:8" ht="13.5" x14ac:dyDescent="0.25">
      <c r="A37" s="1"/>
      <c r="B37" s="3">
        <v>42354</v>
      </c>
      <c r="C37" s="4">
        <v>17.149999999999999</v>
      </c>
      <c r="D37" s="4">
        <v>17.1157</v>
      </c>
      <c r="E37" s="4">
        <v>152</v>
      </c>
      <c r="F37" s="4"/>
      <c r="G37" s="4"/>
      <c r="H37" s="5">
        <f t="shared" si="0"/>
        <v>8.2292648444864079E-3</v>
      </c>
    </row>
    <row r="38" spans="1:8" ht="13.5" x14ac:dyDescent="0.25">
      <c r="A38" s="1"/>
      <c r="B38" s="3">
        <v>42355</v>
      </c>
      <c r="C38" s="4">
        <v>17.010000000000002</v>
      </c>
      <c r="D38" s="4">
        <v>16.975999999999999</v>
      </c>
      <c r="E38" s="4">
        <v>175</v>
      </c>
      <c r="F38" s="4"/>
      <c r="G38" s="4"/>
      <c r="H38" s="5">
        <f t="shared" si="0"/>
        <v>-8.1620967883289184E-3</v>
      </c>
    </row>
    <row r="39" spans="1:8" ht="13.5" x14ac:dyDescent="0.25">
      <c r="A39" s="1"/>
      <c r="B39" s="3">
        <v>42356</v>
      </c>
      <c r="C39" s="4">
        <v>17.010000000000002</v>
      </c>
      <c r="D39" s="4">
        <v>16.975999999999999</v>
      </c>
      <c r="E39" s="4">
        <v>100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17.059999999999999</v>
      </c>
      <c r="D40" s="4">
        <v>17.0259</v>
      </c>
      <c r="E40" s="4">
        <v>2000</v>
      </c>
      <c r="F40" s="4"/>
      <c r="G40" s="4"/>
      <c r="H40" s="5">
        <f t="shared" si="0"/>
        <v>2.9394439208294621E-3</v>
      </c>
    </row>
    <row r="41" spans="1:8" ht="13.5" x14ac:dyDescent="0.25">
      <c r="A41" s="1"/>
      <c r="B41" s="3">
        <v>42360</v>
      </c>
      <c r="C41" s="4">
        <v>17.649999999999999</v>
      </c>
      <c r="D41" s="4">
        <v>17.614699999999999</v>
      </c>
      <c r="E41" s="4">
        <v>820</v>
      </c>
      <c r="F41" s="4"/>
      <c r="G41" s="4"/>
      <c r="H41" s="5">
        <f t="shared" si="0"/>
        <v>3.4582606499509519E-2</v>
      </c>
    </row>
    <row r="42" spans="1:8" ht="13.5" x14ac:dyDescent="0.25">
      <c r="A42" s="1"/>
      <c r="B42" s="3">
        <v>42361</v>
      </c>
      <c r="C42" s="4">
        <v>17.63</v>
      </c>
      <c r="D42" s="4">
        <v>17.5947</v>
      </c>
      <c r="E42" s="4">
        <v>833</v>
      </c>
      <c r="F42" s="4"/>
      <c r="G42" s="4"/>
      <c r="H42" s="5">
        <f t="shared" si="0"/>
        <v>-1.1354153065337232E-3</v>
      </c>
    </row>
    <row r="43" spans="1:8" ht="13.5" x14ac:dyDescent="0.25">
      <c r="A43" s="1"/>
      <c r="B43" s="3">
        <v>42363</v>
      </c>
      <c r="C43" s="4">
        <v>18.149999999999999</v>
      </c>
      <c r="D43" s="4">
        <v>18.113700000000001</v>
      </c>
      <c r="E43" s="4">
        <v>116</v>
      </c>
      <c r="F43" s="4"/>
      <c r="G43" s="4"/>
      <c r="H43" s="5">
        <f t="shared" si="0"/>
        <v>2.949751913928637E-2</v>
      </c>
    </row>
    <row r="44" spans="1:8" ht="13.5" x14ac:dyDescent="0.25">
      <c r="A44" s="1"/>
      <c r="B44" s="3">
        <v>42366</v>
      </c>
      <c r="C44" s="4">
        <v>17.7</v>
      </c>
      <c r="D44" s="4">
        <v>17.6646</v>
      </c>
      <c r="E44" s="4">
        <v>730</v>
      </c>
      <c r="F44" s="4"/>
      <c r="G44" s="4"/>
      <c r="H44" s="5">
        <f t="shared" si="0"/>
        <v>-2.479338842975214E-2</v>
      </c>
    </row>
    <row r="45" spans="1:8" ht="13.5" x14ac:dyDescent="0.25">
      <c r="A45" s="1"/>
      <c r="B45" s="3">
        <v>42367</v>
      </c>
      <c r="C45" s="4">
        <v>18.13</v>
      </c>
      <c r="D45" s="4">
        <v>18.093699999999998</v>
      </c>
      <c r="E45" s="4">
        <v>1238</v>
      </c>
      <c r="F45" s="4"/>
      <c r="G45" s="4"/>
      <c r="H45" s="5">
        <f t="shared" si="0"/>
        <v>2.4291520894897039E-2</v>
      </c>
    </row>
    <row r="46" spans="1:8" ht="13.5" x14ac:dyDescent="0.25">
      <c r="A46" s="1"/>
      <c r="B46" s="3">
        <v>42368</v>
      </c>
      <c r="C46" s="4">
        <v>18.100000000000001</v>
      </c>
      <c r="D46" s="4">
        <v>18.063800000000001</v>
      </c>
      <c r="E46" s="4">
        <v>200</v>
      </c>
      <c r="F46" s="4"/>
      <c r="G46" s="4"/>
      <c r="H46" s="5">
        <f t="shared" si="0"/>
        <v>-1.6525088843076772E-3</v>
      </c>
    </row>
    <row r="47" spans="1:8" ht="13.5" x14ac:dyDescent="0.25">
      <c r="A47" s="1"/>
      <c r="B47" s="3">
        <v>42369</v>
      </c>
      <c r="C47" s="4">
        <v>17.63</v>
      </c>
      <c r="D47" s="4">
        <v>17.5947</v>
      </c>
      <c r="E47" s="4">
        <v>53</v>
      </c>
      <c r="F47" s="4"/>
      <c r="G47" s="4"/>
      <c r="H47" s="5">
        <f t="shared" si="0"/>
        <v>-2.5969065202227713E-2</v>
      </c>
    </row>
    <row r="48" spans="1:8" ht="13.5" x14ac:dyDescent="0.25">
      <c r="A48" s="1"/>
      <c r="B48" s="3">
        <v>42373</v>
      </c>
      <c r="C48" s="4">
        <v>18.149999999999999</v>
      </c>
      <c r="D48" s="4">
        <v>18.113700000000001</v>
      </c>
      <c r="E48" s="4">
        <v>681</v>
      </c>
      <c r="F48" s="4"/>
      <c r="G48" s="4"/>
      <c r="H48" s="5">
        <f t="shared" si="0"/>
        <v>2.949751913928637E-2</v>
      </c>
    </row>
    <row r="49" spans="1:8" ht="13.5" x14ac:dyDescent="0.25">
      <c r="A49" s="1"/>
      <c r="B49" s="3">
        <v>42374</v>
      </c>
      <c r="C49" s="4">
        <v>18.95</v>
      </c>
      <c r="D49" s="4">
        <v>18.912099999999999</v>
      </c>
      <c r="E49" s="4">
        <v>240</v>
      </c>
      <c r="F49" s="4"/>
      <c r="G49" s="4"/>
      <c r="H49" s="5">
        <f t="shared" si="0"/>
        <v>4.4077134986225744E-2</v>
      </c>
    </row>
    <row r="50" spans="1:8" ht="13.5" x14ac:dyDescent="0.25">
      <c r="A50" s="1"/>
      <c r="B50" s="3">
        <v>42375</v>
      </c>
      <c r="C50" s="4">
        <v>19.98</v>
      </c>
      <c r="D50" s="4">
        <v>19.940000000000001</v>
      </c>
      <c r="E50" s="4">
        <v>1487</v>
      </c>
      <c r="F50" s="4"/>
      <c r="G50" s="4"/>
      <c r="H50" s="5">
        <f t="shared" si="0"/>
        <v>5.4351446957239154E-2</v>
      </c>
    </row>
    <row r="51" spans="1:8" ht="13.5" x14ac:dyDescent="0.25">
      <c r="A51" s="1"/>
      <c r="B51" s="3">
        <v>42376</v>
      </c>
      <c r="C51" s="4">
        <v>20.61</v>
      </c>
      <c r="D51" s="4">
        <v>20.5688</v>
      </c>
      <c r="E51" s="4">
        <v>588</v>
      </c>
      <c r="F51" s="4"/>
      <c r="G51" s="4"/>
      <c r="H51" s="5">
        <f t="shared" si="0"/>
        <v>3.1534603811434213E-2</v>
      </c>
    </row>
    <row r="52" spans="1:8" ht="13.5" x14ac:dyDescent="0.25">
      <c r="A52" s="1"/>
      <c r="B52" s="3">
        <v>42377</v>
      </c>
      <c r="C52" s="4">
        <v>21.85</v>
      </c>
      <c r="D52" s="4">
        <v>21.8063</v>
      </c>
      <c r="E52" s="4">
        <v>1932</v>
      </c>
      <c r="F52" s="4"/>
      <c r="G52" s="4"/>
      <c r="H52" s="5">
        <f t="shared" si="0"/>
        <v>6.0163937614250748E-2</v>
      </c>
    </row>
    <row r="53" spans="1:8" ht="13.5" x14ac:dyDescent="0.25">
      <c r="A53" s="1"/>
      <c r="B53" s="3">
        <v>42380</v>
      </c>
      <c r="C53" s="4">
        <v>21.85</v>
      </c>
      <c r="D53" s="4">
        <v>21.8063</v>
      </c>
      <c r="E53" s="4">
        <v>1500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21.85</v>
      </c>
      <c r="D54" s="4">
        <v>21.8063</v>
      </c>
      <c r="E54" s="4">
        <v>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22.39</v>
      </c>
      <c r="D55" s="4">
        <v>22.345199999999998</v>
      </c>
      <c r="E55" s="4">
        <v>100</v>
      </c>
      <c r="F55" s="4"/>
      <c r="G55" s="4"/>
      <c r="H55" s="5">
        <f t="shared" si="0"/>
        <v>2.4713041643928506E-2</v>
      </c>
    </row>
    <row r="56" spans="1:8" ht="13.5" x14ac:dyDescent="0.25">
      <c r="A56" s="1"/>
      <c r="B56" s="3">
        <v>42384</v>
      </c>
      <c r="C56" s="4">
        <v>21.8</v>
      </c>
      <c r="D56" s="4">
        <v>21.756399999999999</v>
      </c>
      <c r="E56" s="4">
        <v>300</v>
      </c>
      <c r="F56" s="4"/>
      <c r="G56" s="4"/>
      <c r="H56" s="5">
        <f t="shared" si="0"/>
        <v>-2.635017811431534E-2</v>
      </c>
    </row>
    <row r="57" spans="1:8" ht="13.5" x14ac:dyDescent="0.25">
      <c r="A57" s="1"/>
      <c r="B57" s="3">
        <v>42387</v>
      </c>
      <c r="C57" s="4">
        <v>21.72</v>
      </c>
      <c r="D57" s="4">
        <v>21.676600000000001</v>
      </c>
      <c r="E57" s="4">
        <v>950</v>
      </c>
      <c r="F57" s="4"/>
      <c r="G57" s="4"/>
      <c r="H57" s="5">
        <f t="shared" si="0"/>
        <v>-3.6678862311778954E-3</v>
      </c>
    </row>
    <row r="58" spans="1:8" ht="13.5" x14ac:dyDescent="0.25">
      <c r="A58" s="1"/>
      <c r="B58" s="3">
        <v>42388</v>
      </c>
      <c r="C58" s="4">
        <v>21.69</v>
      </c>
      <c r="D58" s="4">
        <v>21.646599999999999</v>
      </c>
      <c r="E58" s="4">
        <v>50</v>
      </c>
      <c r="F58" s="4"/>
      <c r="G58" s="4"/>
      <c r="H58" s="5">
        <f t="shared" si="0"/>
        <v>-1.3839808826107938E-3</v>
      </c>
    </row>
    <row r="59" spans="1:8" ht="13.5" x14ac:dyDescent="0.25">
      <c r="A59" s="1"/>
      <c r="B59" s="3">
        <v>42389</v>
      </c>
      <c r="C59" s="4">
        <v>21.69</v>
      </c>
      <c r="D59" s="4">
        <v>21.646599999999999</v>
      </c>
      <c r="E59" s="4">
        <v>0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21.64</v>
      </c>
      <c r="D60" s="4">
        <v>21.596699999999998</v>
      </c>
      <c r="E60" s="4">
        <v>550</v>
      </c>
      <c r="F60" s="4"/>
      <c r="G60" s="4"/>
      <c r="H60" s="5">
        <f t="shared" si="0"/>
        <v>-2.3052119039480077E-3</v>
      </c>
    </row>
    <row r="61" spans="1:8" ht="13.5" x14ac:dyDescent="0.25">
      <c r="A61" s="1"/>
      <c r="B61" s="3">
        <v>42391</v>
      </c>
      <c r="C61" s="4">
        <v>20.37</v>
      </c>
      <c r="D61" s="4">
        <v>20.3293</v>
      </c>
      <c r="E61" s="4">
        <v>1800</v>
      </c>
      <c r="F61" s="4"/>
      <c r="G61" s="4"/>
      <c r="H61" s="5">
        <f t="shared" si="0"/>
        <v>-5.8684891673264836E-2</v>
      </c>
    </row>
    <row r="62" spans="1:8" ht="13.5" x14ac:dyDescent="0.25">
      <c r="A62" s="1"/>
      <c r="B62" s="3">
        <v>42394</v>
      </c>
      <c r="C62" s="4">
        <v>19.46</v>
      </c>
      <c r="D62" s="4">
        <v>19.421099999999999</v>
      </c>
      <c r="E62" s="4">
        <v>0</v>
      </c>
      <c r="F62" s="4"/>
      <c r="G62" s="4"/>
      <c r="H62" s="5">
        <f t="shared" si="0"/>
        <v>-4.4674435420796625E-2</v>
      </c>
    </row>
    <row r="63" spans="1:8" ht="13.5" x14ac:dyDescent="0.25">
      <c r="A63" s="1"/>
      <c r="B63" s="3">
        <v>42395</v>
      </c>
      <c r="C63" s="4">
        <v>19.440000000000001</v>
      </c>
      <c r="D63" s="4">
        <v>19.4011</v>
      </c>
      <c r="E63" s="4">
        <v>1250</v>
      </c>
      <c r="F63" s="4"/>
      <c r="G63" s="4"/>
      <c r="H63" s="5">
        <f t="shared" si="0"/>
        <v>-1.0298077863766509E-3</v>
      </c>
    </row>
    <row r="64" spans="1:8" ht="13.5" x14ac:dyDescent="0.25">
      <c r="A64" s="1"/>
      <c r="B64" s="3">
        <v>42396</v>
      </c>
      <c r="C64" s="4">
        <v>19.48</v>
      </c>
      <c r="D64" s="4">
        <v>19.440999999999999</v>
      </c>
      <c r="E64" s="4">
        <v>992</v>
      </c>
      <c r="F64" s="4"/>
      <c r="G64" s="4"/>
      <c r="H64" s="5">
        <f t="shared" si="0"/>
        <v>2.0565844204709725E-3</v>
      </c>
    </row>
    <row r="65" spans="1:8" ht="13.5" x14ac:dyDescent="0.25">
      <c r="A65" s="1"/>
      <c r="B65" s="3">
        <v>42397</v>
      </c>
      <c r="C65" s="4">
        <v>18.95</v>
      </c>
      <c r="D65" s="4">
        <v>18.912099999999999</v>
      </c>
      <c r="E65" s="4">
        <v>1128</v>
      </c>
      <c r="F65" s="4"/>
      <c r="G65" s="4"/>
      <c r="H65" s="5">
        <f t="shared" si="0"/>
        <v>-2.7205390669204268E-2</v>
      </c>
    </row>
    <row r="66" spans="1:8" ht="13.5" x14ac:dyDescent="0.25">
      <c r="A66" s="1"/>
      <c r="B66" s="3">
        <v>42398</v>
      </c>
      <c r="C66" s="4">
        <v>19.46</v>
      </c>
      <c r="D66" s="4">
        <v>19.421099999999999</v>
      </c>
      <c r="E66" s="4">
        <v>150</v>
      </c>
      <c r="F66" s="4"/>
      <c r="G66" s="4"/>
      <c r="H66" s="5">
        <f t="shared" si="0"/>
        <v>2.6913986283913494E-2</v>
      </c>
    </row>
    <row r="67" spans="1:8" ht="13.5" x14ac:dyDescent="0.25">
      <c r="A67" s="1"/>
      <c r="B67" s="3">
        <v>42401</v>
      </c>
      <c r="C67" s="4">
        <v>19.46</v>
      </c>
      <c r="D67" s="4">
        <v>19.421099999999999</v>
      </c>
      <c r="E67" s="4">
        <v>0</v>
      </c>
      <c r="F67" s="4"/>
      <c r="G67" s="4"/>
      <c r="H67" s="5">
        <f t="shared" si="0"/>
        <v>0</v>
      </c>
    </row>
    <row r="68" spans="1:8" ht="13.5" x14ac:dyDescent="0.25">
      <c r="A68" s="1"/>
      <c r="B68" s="3">
        <v>42402</v>
      </c>
      <c r="C68" s="4">
        <v>19.46</v>
      </c>
      <c r="D68" s="4">
        <v>19.421099999999999</v>
      </c>
      <c r="E68" s="4">
        <v>0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18.88</v>
      </c>
      <c r="D69" s="4">
        <v>18.842199999999998</v>
      </c>
      <c r="E69" s="4">
        <v>200</v>
      </c>
      <c r="F69" s="4"/>
      <c r="G69" s="4"/>
      <c r="H69" s="5">
        <f t="shared" si="0"/>
        <v>-2.9807786376672838E-2</v>
      </c>
    </row>
    <row r="70" spans="1:8" ht="13.5" x14ac:dyDescent="0.25">
      <c r="A70" s="1"/>
      <c r="B70" s="3">
        <v>42404</v>
      </c>
      <c r="C70" s="4">
        <v>18.899999999999999</v>
      </c>
      <c r="D70" s="4">
        <v>18.862200000000001</v>
      </c>
      <c r="E70" s="4">
        <v>1100</v>
      </c>
      <c r="F70" s="4"/>
      <c r="G70" s="4"/>
      <c r="H70" s="5">
        <f t="shared" si="0"/>
        <v>1.0614471770813987E-3</v>
      </c>
    </row>
    <row r="71" spans="1:8" ht="13.5" x14ac:dyDescent="0.25">
      <c r="A71" s="1"/>
      <c r="B71" s="3">
        <v>42405</v>
      </c>
      <c r="C71" s="4">
        <v>18.37</v>
      </c>
      <c r="D71" s="4">
        <v>18.333300000000001</v>
      </c>
      <c r="E71" s="4">
        <v>177</v>
      </c>
      <c r="F71" s="4"/>
      <c r="G71" s="4"/>
      <c r="H71" s="5">
        <f t="shared" ref="H71:H134" si="1">(D71-D70)/D70</f>
        <v>-2.8040207398924839E-2</v>
      </c>
    </row>
    <row r="72" spans="1:8" ht="13.5" x14ac:dyDescent="0.25">
      <c r="A72" s="1"/>
      <c r="B72" s="3">
        <v>42408</v>
      </c>
      <c r="C72" s="4">
        <v>18.37</v>
      </c>
      <c r="D72" s="4">
        <v>18.333300000000001</v>
      </c>
      <c r="E72" s="4">
        <v>27</v>
      </c>
      <c r="F72" s="4"/>
      <c r="G72" s="4"/>
      <c r="H72" s="5">
        <f t="shared" si="1"/>
        <v>0</v>
      </c>
    </row>
    <row r="73" spans="1:8" ht="13.5" x14ac:dyDescent="0.25">
      <c r="A73" s="1"/>
      <c r="B73" s="3">
        <v>42409</v>
      </c>
      <c r="C73" s="4">
        <v>18.39</v>
      </c>
      <c r="D73" s="4">
        <v>18.353200000000001</v>
      </c>
      <c r="E73" s="4">
        <v>1023</v>
      </c>
      <c r="F73" s="4"/>
      <c r="G73" s="4"/>
      <c r="H73" s="5">
        <f t="shared" si="1"/>
        <v>1.0854565190118422E-3</v>
      </c>
    </row>
    <row r="74" spans="1:8" ht="13.5" x14ac:dyDescent="0.25">
      <c r="A74" s="1"/>
      <c r="B74" s="3">
        <v>42410</v>
      </c>
      <c r="C74" s="4">
        <v>18.899999999999999</v>
      </c>
      <c r="D74" s="4">
        <v>18.862200000000001</v>
      </c>
      <c r="E74" s="4">
        <v>1980</v>
      </c>
      <c r="F74" s="4"/>
      <c r="G74" s="4"/>
      <c r="H74" s="5">
        <f t="shared" si="1"/>
        <v>2.7733583244338878E-2</v>
      </c>
    </row>
    <row r="75" spans="1:8" ht="13.5" x14ac:dyDescent="0.25">
      <c r="A75" s="1"/>
      <c r="B75" s="3">
        <v>42411</v>
      </c>
      <c r="C75" s="4">
        <v>18.899999999999999</v>
      </c>
      <c r="D75" s="4">
        <v>18.862200000000001</v>
      </c>
      <c r="E75" s="4">
        <v>2642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18.36</v>
      </c>
      <c r="D76" s="4">
        <v>18.3233</v>
      </c>
      <c r="E76" s="4">
        <v>1002</v>
      </c>
      <c r="F76" s="4"/>
      <c r="G76" s="4"/>
      <c r="H76" s="5">
        <f t="shared" si="1"/>
        <v>-2.8570368249727057E-2</v>
      </c>
    </row>
    <row r="77" spans="1:8" ht="13.5" x14ac:dyDescent="0.25">
      <c r="A77" s="1"/>
      <c r="B77" s="3">
        <v>42415</v>
      </c>
      <c r="C77" s="4">
        <v>18.36</v>
      </c>
      <c r="D77" s="4">
        <v>18.3233</v>
      </c>
      <c r="E77" s="4">
        <v>1040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17.829999999999998</v>
      </c>
      <c r="D78" s="4">
        <v>17.7943</v>
      </c>
      <c r="E78" s="4">
        <v>1075</v>
      </c>
      <c r="F78" s="4"/>
      <c r="G78" s="4"/>
      <c r="H78" s="5">
        <f t="shared" si="1"/>
        <v>-2.8870345407213761E-2</v>
      </c>
    </row>
    <row r="79" spans="1:8" ht="13.5" x14ac:dyDescent="0.25">
      <c r="A79" s="1"/>
      <c r="B79" s="3">
        <v>42417</v>
      </c>
      <c r="C79" s="4">
        <v>18.54</v>
      </c>
      <c r="D79" s="4">
        <v>18.5029</v>
      </c>
      <c r="E79" s="4">
        <v>1006</v>
      </c>
      <c r="F79" s="4"/>
      <c r="G79" s="4"/>
      <c r="H79" s="5">
        <f t="shared" si="1"/>
        <v>3.9821740669765071E-2</v>
      </c>
    </row>
    <row r="80" spans="1:8" ht="13.5" x14ac:dyDescent="0.25">
      <c r="A80" s="1"/>
      <c r="B80" s="3">
        <v>42418</v>
      </c>
      <c r="C80" s="4">
        <v>19.57</v>
      </c>
      <c r="D80" s="4">
        <v>19.530899999999999</v>
      </c>
      <c r="E80" s="4">
        <v>2066</v>
      </c>
      <c r="F80" s="4"/>
      <c r="G80" s="4"/>
      <c r="H80" s="5">
        <f t="shared" si="1"/>
        <v>5.5558858341124832E-2</v>
      </c>
    </row>
    <row r="81" spans="1:8" ht="13.5" x14ac:dyDescent="0.25">
      <c r="A81" s="1"/>
      <c r="B81" s="3">
        <v>42419</v>
      </c>
      <c r="C81" s="4">
        <v>19.98</v>
      </c>
      <c r="D81" s="4">
        <v>19.940000000000001</v>
      </c>
      <c r="E81" s="4">
        <v>2319</v>
      </c>
      <c r="F81" s="4"/>
      <c r="G81" s="4"/>
      <c r="H81" s="5">
        <f t="shared" si="1"/>
        <v>2.0946295357612926E-2</v>
      </c>
    </row>
    <row r="82" spans="1:8" ht="13.5" x14ac:dyDescent="0.25">
      <c r="A82" s="1"/>
      <c r="B82" s="3">
        <v>42422</v>
      </c>
      <c r="C82" s="4">
        <v>19.95</v>
      </c>
      <c r="D82" s="4">
        <v>19.9101</v>
      </c>
      <c r="E82" s="4">
        <v>115</v>
      </c>
      <c r="F82" s="4"/>
      <c r="G82" s="4"/>
      <c r="H82" s="5">
        <f t="shared" si="1"/>
        <v>-1.499498495486528E-3</v>
      </c>
    </row>
    <row r="83" spans="1:8" ht="13.5" x14ac:dyDescent="0.25">
      <c r="A83" s="1"/>
      <c r="B83" s="3">
        <v>42423</v>
      </c>
      <c r="C83" s="4">
        <v>19.95</v>
      </c>
      <c r="D83" s="4">
        <v>19.9101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19.95</v>
      </c>
      <c r="D84" s="4">
        <v>19.9101</v>
      </c>
      <c r="E84" s="4">
        <v>0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19.95</v>
      </c>
      <c r="D85" s="4">
        <v>19.9101</v>
      </c>
      <c r="E85" s="4">
        <v>0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19.95</v>
      </c>
      <c r="D86" s="4">
        <v>19.9101</v>
      </c>
      <c r="E86" s="4">
        <v>0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19.059999999999999</v>
      </c>
      <c r="D87" s="4">
        <v>19.021899999999999</v>
      </c>
      <c r="E87" s="4">
        <v>550</v>
      </c>
      <c r="F87" s="4"/>
      <c r="G87" s="4"/>
      <c r="H87" s="5">
        <f t="shared" si="1"/>
        <v>-4.4610524306758943E-2</v>
      </c>
    </row>
    <row r="88" spans="1:8" ht="13.5" x14ac:dyDescent="0.25">
      <c r="A88" s="1"/>
      <c r="B88" s="3">
        <v>42430</v>
      </c>
      <c r="C88" s="4">
        <v>18.989999999999998</v>
      </c>
      <c r="D88" s="4">
        <v>18.952000000000002</v>
      </c>
      <c r="E88" s="4">
        <v>440</v>
      </c>
      <c r="F88" s="4"/>
      <c r="G88" s="4"/>
      <c r="H88" s="5">
        <f t="shared" si="1"/>
        <v>-3.6747117795802192E-3</v>
      </c>
    </row>
    <row r="89" spans="1:8" ht="13.5" x14ac:dyDescent="0.25">
      <c r="A89" s="1"/>
      <c r="B89" s="3">
        <v>42431</v>
      </c>
      <c r="C89" s="4">
        <v>18.989999999999998</v>
      </c>
      <c r="D89" s="4">
        <v>18.952000000000002</v>
      </c>
      <c r="E89" s="4">
        <v>150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18.989999999999998</v>
      </c>
      <c r="D90" s="4">
        <v>18.952000000000002</v>
      </c>
      <c r="E90" s="4">
        <v>26</v>
      </c>
      <c r="F90" s="4"/>
      <c r="G90" s="4"/>
      <c r="H90" s="5">
        <f t="shared" si="1"/>
        <v>0</v>
      </c>
    </row>
    <row r="91" spans="1:8" ht="13.5" x14ac:dyDescent="0.25">
      <c r="A91" s="1"/>
      <c r="B91" s="3">
        <v>42433</v>
      </c>
      <c r="C91" s="4">
        <v>18.989999999999998</v>
      </c>
      <c r="D91" s="4">
        <v>18.952000000000002</v>
      </c>
      <c r="E91" s="4">
        <v>0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18.43</v>
      </c>
      <c r="D92" s="4">
        <v>18.3931</v>
      </c>
      <c r="E92" s="4">
        <v>210</v>
      </c>
      <c r="F92" s="4"/>
      <c r="G92" s="4"/>
      <c r="H92" s="5">
        <f t="shared" si="1"/>
        <v>-2.9490291262135988E-2</v>
      </c>
    </row>
    <row r="93" spans="1:8" ht="13.5" x14ac:dyDescent="0.25">
      <c r="A93" s="1"/>
      <c r="B93" s="3">
        <v>42437</v>
      </c>
      <c r="C93" s="4">
        <v>18.43</v>
      </c>
      <c r="D93" s="4">
        <v>18.3931</v>
      </c>
      <c r="E93" s="4">
        <v>0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42438</v>
      </c>
      <c r="C94" s="4">
        <v>18.43</v>
      </c>
      <c r="D94" s="4">
        <v>18.3931</v>
      </c>
      <c r="E94" s="4">
        <v>77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18.440000000000001</v>
      </c>
      <c r="D95" s="4">
        <v>18.403099999999998</v>
      </c>
      <c r="E95" s="4">
        <v>51</v>
      </c>
      <c r="F95" s="4"/>
      <c r="G95" s="4"/>
      <c r="H95" s="5">
        <f t="shared" si="1"/>
        <v>5.4368214167258434E-4</v>
      </c>
    </row>
    <row r="96" spans="1:8" ht="13.5" x14ac:dyDescent="0.25">
      <c r="A96" s="1"/>
      <c r="B96" s="3">
        <v>42440</v>
      </c>
      <c r="C96" s="4">
        <v>18.989999999999998</v>
      </c>
      <c r="D96" s="4">
        <v>18.952000000000002</v>
      </c>
      <c r="E96" s="4">
        <v>150</v>
      </c>
      <c r="F96" s="4"/>
      <c r="G96" s="4"/>
      <c r="H96" s="5">
        <f t="shared" si="1"/>
        <v>2.9826496622851764E-2</v>
      </c>
    </row>
    <row r="97" spans="1:8" ht="13.5" x14ac:dyDescent="0.25">
      <c r="A97" s="1"/>
      <c r="B97" s="3">
        <v>42443</v>
      </c>
      <c r="C97" s="4">
        <v>18.989999999999998</v>
      </c>
      <c r="D97" s="4">
        <v>18.952000000000002</v>
      </c>
      <c r="E97" s="4">
        <v>36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42444</v>
      </c>
      <c r="C98" s="4">
        <v>18.440000000000001</v>
      </c>
      <c r="D98" s="4">
        <v>18.403099999999998</v>
      </c>
      <c r="E98" s="4">
        <v>53</v>
      </c>
      <c r="F98" s="4"/>
      <c r="G98" s="4"/>
      <c r="H98" s="5">
        <f t="shared" si="1"/>
        <v>-2.896264246517535E-2</v>
      </c>
    </row>
    <row r="99" spans="1:8" ht="13.5" x14ac:dyDescent="0.25">
      <c r="A99" s="1"/>
      <c r="B99" s="3">
        <v>42445</v>
      </c>
      <c r="C99" s="4">
        <v>18.440000000000001</v>
      </c>
      <c r="D99" s="4">
        <v>18.403099999999998</v>
      </c>
      <c r="E99" s="4">
        <v>537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42446</v>
      </c>
      <c r="C100" s="4">
        <v>18.440000000000001</v>
      </c>
      <c r="D100" s="4">
        <v>18.403099999999998</v>
      </c>
      <c r="E100" s="4">
        <v>0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18</v>
      </c>
      <c r="D101" s="4">
        <v>17.963999999999999</v>
      </c>
      <c r="E101" s="4">
        <v>11</v>
      </c>
      <c r="F101" s="4"/>
      <c r="G101" s="4"/>
      <c r="H101" s="5">
        <f t="shared" si="1"/>
        <v>-2.3860110524857217E-2</v>
      </c>
    </row>
    <row r="102" spans="1:8" ht="13.5" x14ac:dyDescent="0.25">
      <c r="A102" s="1"/>
      <c r="B102" s="3">
        <v>42450</v>
      </c>
      <c r="C102" s="4">
        <v>18</v>
      </c>
      <c r="D102" s="4">
        <v>17.963999999999999</v>
      </c>
      <c r="E102" s="4">
        <v>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18</v>
      </c>
      <c r="D103" s="4">
        <v>17.963999999999999</v>
      </c>
      <c r="E103" s="4">
        <v>0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18</v>
      </c>
      <c r="D104" s="4">
        <v>17.963999999999999</v>
      </c>
      <c r="E104" s="4">
        <v>349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18</v>
      </c>
      <c r="D105" s="4">
        <v>17.963999999999999</v>
      </c>
      <c r="E105" s="4">
        <v>100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17.850000000000001</v>
      </c>
      <c r="D106" s="4">
        <v>17.814299999999999</v>
      </c>
      <c r="E106" s="4">
        <v>259</v>
      </c>
      <c r="F106" s="4"/>
      <c r="G106" s="4"/>
      <c r="H106" s="5">
        <f t="shared" si="1"/>
        <v>-8.3333333333332933E-3</v>
      </c>
    </row>
    <row r="107" spans="1:8" ht="13.5" x14ac:dyDescent="0.25">
      <c r="A107" s="1"/>
      <c r="B107" s="3">
        <v>42457</v>
      </c>
      <c r="C107" s="4">
        <v>17.850000000000001</v>
      </c>
      <c r="D107" s="4">
        <v>17.814299999999999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17.850000000000001</v>
      </c>
      <c r="D108" s="4">
        <v>17.814299999999999</v>
      </c>
      <c r="E108" s="4">
        <v>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17.850000000000001</v>
      </c>
      <c r="D109" s="4">
        <v>17.814299999999999</v>
      </c>
      <c r="E109" s="4">
        <v>0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17.07</v>
      </c>
      <c r="D110" s="4">
        <v>17.035900000000002</v>
      </c>
      <c r="E110" s="4">
        <v>140</v>
      </c>
      <c r="F110" s="4"/>
      <c r="G110" s="4"/>
      <c r="H110" s="5">
        <f t="shared" si="1"/>
        <v>-4.3695233604463708E-2</v>
      </c>
    </row>
    <row r="111" spans="1:8" ht="13.5" x14ac:dyDescent="0.25">
      <c r="A111" s="1"/>
      <c r="B111" s="3">
        <v>42461</v>
      </c>
      <c r="C111" s="4">
        <v>17.579999999999998</v>
      </c>
      <c r="D111" s="4">
        <v>17.544799999999999</v>
      </c>
      <c r="E111" s="4">
        <v>0</v>
      </c>
      <c r="F111" s="4"/>
      <c r="G111" s="4"/>
      <c r="H111" s="5">
        <f t="shared" si="1"/>
        <v>2.9872211036692922E-2</v>
      </c>
    </row>
    <row r="112" spans="1:8" ht="13.5" x14ac:dyDescent="0.25">
      <c r="A112" s="1"/>
      <c r="B112" s="3">
        <v>42464</v>
      </c>
      <c r="C112" s="4">
        <v>17.579999999999998</v>
      </c>
      <c r="D112" s="4">
        <v>17.544799999999999</v>
      </c>
      <c r="E112" s="4">
        <v>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17.5</v>
      </c>
      <c r="D113" s="4">
        <v>17.465</v>
      </c>
      <c r="E113" s="4">
        <v>81</v>
      </c>
      <c r="F113" s="4"/>
      <c r="G113" s="4"/>
      <c r="H113" s="5">
        <f t="shared" si="1"/>
        <v>-4.5483562081071755E-3</v>
      </c>
    </row>
    <row r="114" spans="1:8" ht="13.5" x14ac:dyDescent="0.25">
      <c r="A114" s="1"/>
      <c r="B114" s="3">
        <v>42466</v>
      </c>
      <c r="C114" s="4">
        <v>17.5</v>
      </c>
      <c r="D114" s="4">
        <v>17.465</v>
      </c>
      <c r="E114" s="4">
        <v>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17.5</v>
      </c>
      <c r="D115" s="4">
        <v>17.465</v>
      </c>
      <c r="E115" s="4">
        <v>0</v>
      </c>
      <c r="F115" s="4"/>
      <c r="G115" s="4"/>
      <c r="H115" s="5">
        <f t="shared" si="1"/>
        <v>0</v>
      </c>
    </row>
    <row r="116" spans="1:8" ht="13.5" x14ac:dyDescent="0.25">
      <c r="A116" s="1"/>
      <c r="B116" s="3">
        <v>42468</v>
      </c>
      <c r="C116" s="4">
        <v>17.5</v>
      </c>
      <c r="D116" s="4">
        <v>17.465</v>
      </c>
      <c r="E116" s="4">
        <v>50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17.5</v>
      </c>
      <c r="D117" s="4">
        <v>17.465</v>
      </c>
      <c r="E117" s="4">
        <v>50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16.98</v>
      </c>
      <c r="D118" s="4">
        <v>16.946000000000002</v>
      </c>
      <c r="E118" s="4">
        <v>671</v>
      </c>
      <c r="F118" s="4"/>
      <c r="G118" s="4"/>
      <c r="H118" s="5">
        <f t="shared" si="1"/>
        <v>-2.9716576009161087E-2</v>
      </c>
    </row>
    <row r="119" spans="1:8" ht="13.5" x14ac:dyDescent="0.25">
      <c r="A119" s="1"/>
      <c r="B119" s="3">
        <v>42473</v>
      </c>
      <c r="C119" s="4">
        <v>16.52</v>
      </c>
      <c r="D119" s="4">
        <v>16.486999999999998</v>
      </c>
      <c r="E119" s="4">
        <v>150</v>
      </c>
      <c r="F119" s="4"/>
      <c r="G119" s="4"/>
      <c r="H119" s="5">
        <f t="shared" si="1"/>
        <v>-2.7086038003068757E-2</v>
      </c>
    </row>
    <row r="120" spans="1:8" ht="13.5" x14ac:dyDescent="0.25">
      <c r="A120" s="1"/>
      <c r="B120" s="3">
        <v>42474</v>
      </c>
      <c r="C120" s="4">
        <v>16.52</v>
      </c>
      <c r="D120" s="4">
        <v>16.486999999999998</v>
      </c>
      <c r="E120" s="4">
        <v>310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42475</v>
      </c>
      <c r="C121" s="4">
        <v>16.52</v>
      </c>
      <c r="D121" s="4">
        <v>16.486999999999998</v>
      </c>
      <c r="E121" s="4">
        <v>218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16.52</v>
      </c>
      <c r="D122" s="4">
        <v>16.486999999999998</v>
      </c>
      <c r="E122" s="4">
        <v>50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16.52</v>
      </c>
      <c r="D123" s="4">
        <v>16.486999999999998</v>
      </c>
      <c r="E123" s="4">
        <v>0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16.52</v>
      </c>
      <c r="D124" s="4">
        <v>16.486999999999998</v>
      </c>
      <c r="E124" s="4">
        <v>4842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16.5</v>
      </c>
      <c r="D125" s="4">
        <v>16.466999999999999</v>
      </c>
      <c r="E125" s="4">
        <v>600</v>
      </c>
      <c r="F125" s="4"/>
      <c r="G125" s="4"/>
      <c r="H125" s="5">
        <f t="shared" si="1"/>
        <v>-1.2130769697337039E-3</v>
      </c>
    </row>
    <row r="126" spans="1:8" ht="13.5" x14ac:dyDescent="0.25">
      <c r="A126" s="1"/>
      <c r="B126" s="3">
        <v>42482</v>
      </c>
      <c r="C126" s="4">
        <v>15.99</v>
      </c>
      <c r="D126" s="4">
        <v>15.958</v>
      </c>
      <c r="E126" s="4">
        <v>500</v>
      </c>
      <c r="F126" s="4"/>
      <c r="G126" s="4"/>
      <c r="H126" s="5">
        <f t="shared" si="1"/>
        <v>-3.091030545940357E-2</v>
      </c>
    </row>
    <row r="127" spans="1:8" ht="13.5" x14ac:dyDescent="0.25">
      <c r="A127" s="1"/>
      <c r="B127" s="3">
        <v>42485</v>
      </c>
      <c r="C127" s="4">
        <v>15.06</v>
      </c>
      <c r="D127" s="4">
        <v>15.0299</v>
      </c>
      <c r="E127" s="4">
        <v>1765</v>
      </c>
      <c r="F127" s="4"/>
      <c r="G127" s="4"/>
      <c r="H127" s="5">
        <f t="shared" si="1"/>
        <v>-5.8158917157538577E-2</v>
      </c>
    </row>
    <row r="128" spans="1:8" ht="13.5" x14ac:dyDescent="0.25">
      <c r="A128" s="1"/>
      <c r="B128" s="3">
        <v>42486</v>
      </c>
      <c r="C128" s="4">
        <v>15.51</v>
      </c>
      <c r="D128" s="4">
        <v>15.478999999999999</v>
      </c>
      <c r="E128" s="4">
        <v>0</v>
      </c>
      <c r="F128" s="4"/>
      <c r="G128" s="4"/>
      <c r="H128" s="5">
        <f t="shared" si="1"/>
        <v>2.9880438326269611E-2</v>
      </c>
    </row>
    <row r="129" spans="1:8" ht="13.5" x14ac:dyDescent="0.25">
      <c r="A129" s="1"/>
      <c r="B129" s="3">
        <v>42487</v>
      </c>
      <c r="C129" s="4">
        <v>16.170000000000002</v>
      </c>
      <c r="D129" s="4">
        <v>16.137699999999999</v>
      </c>
      <c r="E129" s="4">
        <v>404</v>
      </c>
      <c r="F129" s="4"/>
      <c r="G129" s="4"/>
      <c r="H129" s="5">
        <f t="shared" si="1"/>
        <v>4.2554428580657645E-2</v>
      </c>
    </row>
    <row r="130" spans="1:8" ht="13.5" x14ac:dyDescent="0.25">
      <c r="A130" s="1"/>
      <c r="B130" s="3">
        <v>42488</v>
      </c>
      <c r="C130" s="4">
        <v>16.649999999999999</v>
      </c>
      <c r="D130" s="4">
        <v>16.616700000000002</v>
      </c>
      <c r="E130" s="4">
        <v>279</v>
      </c>
      <c r="F130" s="4"/>
      <c r="G130" s="4"/>
      <c r="H130" s="5">
        <f t="shared" si="1"/>
        <v>2.9682048866939079E-2</v>
      </c>
    </row>
    <row r="131" spans="1:8" ht="13.5" x14ac:dyDescent="0.25">
      <c r="A131" s="1"/>
      <c r="B131" s="3">
        <v>42489</v>
      </c>
      <c r="C131" s="4">
        <v>16.649999999999999</v>
      </c>
      <c r="D131" s="4">
        <v>16.616700000000002</v>
      </c>
      <c r="E131" s="4">
        <v>321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42492</v>
      </c>
      <c r="C132" s="4">
        <v>16.649999999999999</v>
      </c>
      <c r="D132" s="4">
        <v>16.616700000000002</v>
      </c>
      <c r="E132" s="4">
        <v>563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17.13</v>
      </c>
      <c r="D133" s="4">
        <v>17.095700000000001</v>
      </c>
      <c r="E133" s="4">
        <v>100</v>
      </c>
      <c r="F133" s="4"/>
      <c r="G133" s="4"/>
      <c r="H133" s="5">
        <f t="shared" si="1"/>
        <v>2.8826421611992704E-2</v>
      </c>
    </row>
    <row r="134" spans="1:8" ht="13.5" x14ac:dyDescent="0.25">
      <c r="A134" s="1"/>
      <c r="B134" s="3">
        <v>42494</v>
      </c>
      <c r="C134" s="4">
        <v>17.64</v>
      </c>
      <c r="D134" s="4">
        <v>17.604700000000001</v>
      </c>
      <c r="E134" s="4">
        <v>1</v>
      </c>
      <c r="F134" s="4"/>
      <c r="G134" s="4"/>
      <c r="H134" s="5">
        <f t="shared" si="1"/>
        <v>2.9773568792152431E-2</v>
      </c>
    </row>
    <row r="135" spans="1:8" ht="13.5" x14ac:dyDescent="0.25">
      <c r="A135" s="1"/>
      <c r="B135" s="3">
        <v>42495</v>
      </c>
      <c r="C135" s="4">
        <v>16.850000000000001</v>
      </c>
      <c r="D135" s="4">
        <v>16.816299999999998</v>
      </c>
      <c r="E135" s="4">
        <v>0</v>
      </c>
      <c r="F135" s="4"/>
      <c r="G135" s="4"/>
      <c r="H135" s="5">
        <f t="shared" ref="H135:H198" si="2">(D135-D134)/D134</f>
        <v>-4.4783495316591752E-2</v>
      </c>
    </row>
    <row r="136" spans="1:8" ht="13.5" x14ac:dyDescent="0.25">
      <c r="A136" s="1"/>
      <c r="B136" s="3">
        <v>42496</v>
      </c>
      <c r="C136" s="4">
        <v>16.649999999999999</v>
      </c>
      <c r="D136" s="4">
        <v>16.616700000000002</v>
      </c>
      <c r="E136" s="4">
        <v>256</v>
      </c>
      <c r="F136" s="4"/>
      <c r="G136" s="4"/>
      <c r="H136" s="5">
        <f t="shared" si="2"/>
        <v>-1.1869436201780218E-2</v>
      </c>
    </row>
    <row r="137" spans="1:8" ht="13.5" x14ac:dyDescent="0.25">
      <c r="A137" s="1"/>
      <c r="B137" s="3">
        <v>42499</v>
      </c>
      <c r="C137" s="4">
        <v>16.16</v>
      </c>
      <c r="D137" s="4">
        <v>16.127700000000001</v>
      </c>
      <c r="E137" s="4">
        <v>250</v>
      </c>
      <c r="F137" s="4"/>
      <c r="G137" s="4"/>
      <c r="H137" s="5">
        <f t="shared" si="2"/>
        <v>-2.9428225821011435E-2</v>
      </c>
    </row>
    <row r="138" spans="1:8" ht="13.5" x14ac:dyDescent="0.25">
      <c r="A138" s="1"/>
      <c r="B138" s="3">
        <v>42500</v>
      </c>
      <c r="C138" s="4">
        <v>16.170000000000002</v>
      </c>
      <c r="D138" s="4">
        <v>16.137699999999999</v>
      </c>
      <c r="E138" s="4">
        <v>43</v>
      </c>
      <c r="F138" s="4"/>
      <c r="G138" s="4"/>
      <c r="H138" s="5">
        <f t="shared" si="2"/>
        <v>6.2005121623033728E-4</v>
      </c>
    </row>
    <row r="139" spans="1:8" ht="13.5" x14ac:dyDescent="0.25">
      <c r="A139" s="1"/>
      <c r="B139" s="3">
        <v>42501</v>
      </c>
      <c r="C139" s="4">
        <v>16.2</v>
      </c>
      <c r="D139" s="4">
        <v>16.1676</v>
      </c>
      <c r="E139" s="4">
        <v>44</v>
      </c>
      <c r="F139" s="4"/>
      <c r="G139" s="4"/>
      <c r="H139" s="5">
        <f t="shared" si="2"/>
        <v>1.8528043029676703E-3</v>
      </c>
    </row>
    <row r="140" spans="1:8" ht="13.5" x14ac:dyDescent="0.25">
      <c r="A140" s="1"/>
      <c r="B140" s="3">
        <v>42502</v>
      </c>
      <c r="C140" s="4">
        <v>16.2</v>
      </c>
      <c r="D140" s="4">
        <v>16.1676</v>
      </c>
      <c r="E140" s="4">
        <v>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15.87</v>
      </c>
      <c r="D141" s="4">
        <v>15.8383</v>
      </c>
      <c r="E141" s="4">
        <v>35</v>
      </c>
      <c r="F141" s="4"/>
      <c r="G141" s="4"/>
      <c r="H141" s="5">
        <f t="shared" si="2"/>
        <v>-2.0367896286399956E-2</v>
      </c>
    </row>
    <row r="142" spans="1:8" ht="13.5" x14ac:dyDescent="0.25">
      <c r="A142" s="1"/>
      <c r="B142" s="3">
        <v>42506</v>
      </c>
      <c r="C142" s="4">
        <v>16</v>
      </c>
      <c r="D142" s="4">
        <v>15.968</v>
      </c>
      <c r="E142" s="4">
        <v>49</v>
      </c>
      <c r="F142" s="4"/>
      <c r="G142" s="4"/>
      <c r="H142" s="5">
        <f t="shared" si="2"/>
        <v>8.1890101841737874E-3</v>
      </c>
    </row>
    <row r="143" spans="1:8" ht="13.5" x14ac:dyDescent="0.25">
      <c r="A143" s="1"/>
      <c r="B143" s="3">
        <v>42507</v>
      </c>
      <c r="C143" s="4">
        <v>16.48</v>
      </c>
      <c r="D143" s="4">
        <v>16.446999999999999</v>
      </c>
      <c r="E143" s="4">
        <v>27</v>
      </c>
      <c r="F143" s="4"/>
      <c r="G143" s="4"/>
      <c r="H143" s="5">
        <f t="shared" si="2"/>
        <v>2.999749498997991E-2</v>
      </c>
    </row>
    <row r="144" spans="1:8" ht="13.5" x14ac:dyDescent="0.25">
      <c r="A144" s="1"/>
      <c r="B144" s="3">
        <v>42508</v>
      </c>
      <c r="C144" s="4">
        <v>16.48</v>
      </c>
      <c r="D144" s="4">
        <v>16.446999999999999</v>
      </c>
      <c r="E144" s="4">
        <v>0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42509</v>
      </c>
      <c r="C145" s="4">
        <v>17.010000000000002</v>
      </c>
      <c r="D145" s="4">
        <v>16.975999999999999</v>
      </c>
      <c r="E145" s="4">
        <v>1715</v>
      </c>
      <c r="F145" s="4"/>
      <c r="G145" s="4"/>
      <c r="H145" s="5">
        <f t="shared" si="2"/>
        <v>3.2163920471818562E-2</v>
      </c>
    </row>
    <row r="146" spans="1:8" ht="13.5" x14ac:dyDescent="0.25">
      <c r="A146" s="1"/>
      <c r="B146" s="3">
        <v>42510</v>
      </c>
      <c r="C146" s="4">
        <v>17.98</v>
      </c>
      <c r="D146" s="4">
        <v>17.943999999999999</v>
      </c>
      <c r="E146" s="4">
        <v>700</v>
      </c>
      <c r="F146" s="4"/>
      <c r="G146" s="4"/>
      <c r="H146" s="5">
        <f t="shared" si="2"/>
        <v>5.7021677662582468E-2</v>
      </c>
    </row>
    <row r="147" spans="1:8" ht="13.5" x14ac:dyDescent="0.25">
      <c r="A147" s="1"/>
      <c r="B147" s="3">
        <v>42513</v>
      </c>
      <c r="C147" s="4">
        <v>18</v>
      </c>
      <c r="D147" s="4">
        <v>17.963999999999999</v>
      </c>
      <c r="E147" s="4">
        <v>200</v>
      </c>
      <c r="F147" s="4"/>
      <c r="G147" s="4"/>
      <c r="H147" s="5">
        <f t="shared" si="2"/>
        <v>1.1145786892554376E-3</v>
      </c>
    </row>
    <row r="148" spans="1:8" ht="13.5" x14ac:dyDescent="0.25">
      <c r="A148" s="1"/>
      <c r="B148" s="3">
        <v>42514</v>
      </c>
      <c r="C148" s="4">
        <v>18</v>
      </c>
      <c r="D148" s="4">
        <v>17.963999999999999</v>
      </c>
      <c r="E148" s="4">
        <v>1475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42515</v>
      </c>
      <c r="C149" s="4">
        <v>18</v>
      </c>
      <c r="D149" s="4">
        <v>17.963999999999999</v>
      </c>
      <c r="E149" s="4">
        <v>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18</v>
      </c>
      <c r="D150" s="4">
        <v>17.963999999999999</v>
      </c>
      <c r="E150" s="4">
        <v>40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17.46</v>
      </c>
      <c r="D151" s="4">
        <v>17.4251</v>
      </c>
      <c r="E151" s="4">
        <v>6</v>
      </c>
      <c r="F151" s="4"/>
      <c r="G151" s="4"/>
      <c r="H151" s="5">
        <f t="shared" si="2"/>
        <v>-2.9998886662213214E-2</v>
      </c>
    </row>
    <row r="152" spans="1:8" ht="13.5" x14ac:dyDescent="0.25">
      <c r="A152" s="1"/>
      <c r="B152" s="3">
        <v>42520</v>
      </c>
      <c r="C152" s="4">
        <v>17.600000000000001</v>
      </c>
      <c r="D152" s="4">
        <v>17.564800000000002</v>
      </c>
      <c r="E152" s="4">
        <v>14</v>
      </c>
      <c r="F152" s="4"/>
      <c r="G152" s="4"/>
      <c r="H152" s="5">
        <f t="shared" si="2"/>
        <v>8.0171706331671703E-3</v>
      </c>
    </row>
    <row r="153" spans="1:8" ht="13.5" x14ac:dyDescent="0.25">
      <c r="A153" s="1"/>
      <c r="B153" s="3">
        <v>42521</v>
      </c>
      <c r="C153" s="4">
        <v>17.47</v>
      </c>
      <c r="D153" s="4">
        <v>17.435099999999998</v>
      </c>
      <c r="E153" s="4">
        <v>260</v>
      </c>
      <c r="F153" s="4"/>
      <c r="G153" s="4"/>
      <c r="H153" s="5">
        <f t="shared" si="2"/>
        <v>-7.3840863545274211E-3</v>
      </c>
    </row>
    <row r="154" spans="1:8" ht="13.5" x14ac:dyDescent="0.25">
      <c r="A154" s="1"/>
      <c r="B154" s="3">
        <v>42522</v>
      </c>
      <c r="C154" s="4">
        <v>17.47</v>
      </c>
      <c r="D154" s="4">
        <v>17.435099999999998</v>
      </c>
      <c r="E154" s="4">
        <v>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17.47</v>
      </c>
      <c r="D155" s="4">
        <v>17.435099999999998</v>
      </c>
      <c r="E155" s="4">
        <v>0</v>
      </c>
      <c r="F155" s="4"/>
      <c r="G155" s="4"/>
      <c r="H155" s="5">
        <f t="shared" si="2"/>
        <v>0</v>
      </c>
    </row>
    <row r="156" spans="1:8" ht="13.5" x14ac:dyDescent="0.25">
      <c r="A156" s="1"/>
      <c r="B156" s="3">
        <v>42524</v>
      </c>
      <c r="C156" s="4">
        <v>16.77</v>
      </c>
      <c r="D156" s="4">
        <v>16.736499999999999</v>
      </c>
      <c r="E156" s="4">
        <v>131</v>
      </c>
      <c r="F156" s="4"/>
      <c r="G156" s="4"/>
      <c r="H156" s="5">
        <f t="shared" si="2"/>
        <v>-4.0068597254962639E-2</v>
      </c>
    </row>
    <row r="157" spans="1:8" ht="13.5" x14ac:dyDescent="0.25">
      <c r="A157" s="1"/>
      <c r="B157" s="3">
        <v>42527</v>
      </c>
      <c r="C157" s="4">
        <v>16.77</v>
      </c>
      <c r="D157" s="4">
        <v>16.736499999999999</v>
      </c>
      <c r="E157" s="4">
        <v>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17.27</v>
      </c>
      <c r="D158" s="4">
        <v>17.235499999999998</v>
      </c>
      <c r="E158" s="4">
        <v>0</v>
      </c>
      <c r="F158" s="4"/>
      <c r="G158" s="4"/>
      <c r="H158" s="5">
        <f t="shared" si="2"/>
        <v>2.9815074836435265E-2</v>
      </c>
    </row>
    <row r="159" spans="1:8" ht="13.5" x14ac:dyDescent="0.25">
      <c r="A159" s="1"/>
      <c r="B159" s="3">
        <v>42529</v>
      </c>
      <c r="C159" s="4">
        <v>16.77</v>
      </c>
      <c r="D159" s="4">
        <v>16.736499999999999</v>
      </c>
      <c r="E159" s="4">
        <v>570</v>
      </c>
      <c r="F159" s="4"/>
      <c r="G159" s="4"/>
      <c r="H159" s="5">
        <f t="shared" si="2"/>
        <v>-2.8951872588552627E-2</v>
      </c>
    </row>
    <row r="160" spans="1:8" ht="13.5" x14ac:dyDescent="0.25">
      <c r="A160" s="1"/>
      <c r="B160" s="3">
        <v>42530</v>
      </c>
      <c r="C160" s="4">
        <v>16.61</v>
      </c>
      <c r="D160" s="4">
        <v>16.576799999999999</v>
      </c>
      <c r="E160" s="4">
        <v>150</v>
      </c>
      <c r="F160" s="4"/>
      <c r="G160" s="4"/>
      <c r="H160" s="5">
        <f t="shared" si="2"/>
        <v>-9.5420189406387745E-3</v>
      </c>
    </row>
    <row r="161" spans="1:8" ht="13.5" x14ac:dyDescent="0.25">
      <c r="A161" s="1"/>
      <c r="B161" s="3">
        <v>42531</v>
      </c>
      <c r="C161" s="4">
        <v>16.52</v>
      </c>
      <c r="D161" s="4">
        <v>16.486999999999998</v>
      </c>
      <c r="E161" s="4">
        <v>500</v>
      </c>
      <c r="F161" s="4"/>
      <c r="G161" s="4"/>
      <c r="H161" s="5">
        <f t="shared" si="2"/>
        <v>-5.4172095941315774E-3</v>
      </c>
    </row>
    <row r="162" spans="1:8" ht="13.5" x14ac:dyDescent="0.25">
      <c r="A162" s="1"/>
      <c r="B162" s="3">
        <v>42534</v>
      </c>
      <c r="C162" s="4">
        <v>16.04</v>
      </c>
      <c r="D162" s="4">
        <v>16.007899999999999</v>
      </c>
      <c r="E162" s="4">
        <v>250</v>
      </c>
      <c r="F162" s="4"/>
      <c r="G162" s="4"/>
      <c r="H162" s="5">
        <f t="shared" si="2"/>
        <v>-2.9059258809971435E-2</v>
      </c>
    </row>
    <row r="163" spans="1:8" ht="13.5" x14ac:dyDescent="0.25">
      <c r="A163" s="1"/>
      <c r="B163" s="3">
        <v>42535</v>
      </c>
      <c r="C163" s="4">
        <v>16.010000000000002</v>
      </c>
      <c r="D163" s="4">
        <v>15.978</v>
      </c>
      <c r="E163" s="4">
        <v>250</v>
      </c>
      <c r="F163" s="4"/>
      <c r="G163" s="4"/>
      <c r="H163" s="5">
        <f t="shared" si="2"/>
        <v>-1.8678277600434532E-3</v>
      </c>
    </row>
    <row r="164" spans="1:8" ht="13.5" x14ac:dyDescent="0.25">
      <c r="A164" s="1"/>
      <c r="B164" s="3">
        <v>42536</v>
      </c>
      <c r="C164" s="4">
        <v>16.489999999999998</v>
      </c>
      <c r="D164" s="4">
        <v>16.457000000000001</v>
      </c>
      <c r="E164" s="4">
        <v>40</v>
      </c>
      <c r="F164" s="4"/>
      <c r="G164" s="4"/>
      <c r="H164" s="5">
        <f t="shared" si="2"/>
        <v>2.9978720741018962E-2</v>
      </c>
    </row>
    <row r="165" spans="1:8" ht="13.5" x14ac:dyDescent="0.25">
      <c r="A165" s="1"/>
      <c r="B165" s="3">
        <v>42537</v>
      </c>
      <c r="C165" s="4">
        <v>16.2</v>
      </c>
      <c r="D165" s="4">
        <v>16.1676</v>
      </c>
      <c r="E165" s="4">
        <v>766</v>
      </c>
      <c r="F165" s="4"/>
      <c r="G165" s="4"/>
      <c r="H165" s="5">
        <f t="shared" si="2"/>
        <v>-1.7585222093941821E-2</v>
      </c>
    </row>
    <row r="166" spans="1:8" ht="13.5" x14ac:dyDescent="0.25">
      <c r="A166" s="1"/>
      <c r="B166" s="3">
        <v>42538</v>
      </c>
      <c r="C166" s="4">
        <v>16.100000000000001</v>
      </c>
      <c r="D166" s="4">
        <v>16.067799999999998</v>
      </c>
      <c r="E166" s="4">
        <v>7</v>
      </c>
      <c r="F166" s="4"/>
      <c r="G166" s="4"/>
      <c r="H166" s="5">
        <f t="shared" si="2"/>
        <v>-6.1728395061729563E-3</v>
      </c>
    </row>
    <row r="167" spans="1:8" ht="13.5" x14ac:dyDescent="0.25">
      <c r="A167" s="1"/>
      <c r="B167" s="3">
        <v>42541</v>
      </c>
      <c r="C167" s="4">
        <v>16.03</v>
      </c>
      <c r="D167" s="4">
        <v>15.9979</v>
      </c>
      <c r="E167" s="4">
        <v>3</v>
      </c>
      <c r="F167" s="4"/>
      <c r="G167" s="4"/>
      <c r="H167" s="5">
        <f t="shared" si="2"/>
        <v>-4.3503155379080363E-3</v>
      </c>
    </row>
    <row r="168" spans="1:8" ht="13.5" x14ac:dyDescent="0.25">
      <c r="A168" s="1"/>
      <c r="B168" s="3">
        <v>42542</v>
      </c>
      <c r="C168" s="4">
        <v>16.03</v>
      </c>
      <c r="D168" s="4">
        <v>15.9979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16.03</v>
      </c>
      <c r="D169" s="4">
        <v>15.9979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16.100000000000001</v>
      </c>
      <c r="D170" s="4">
        <v>16.067799999999998</v>
      </c>
      <c r="E170" s="4">
        <v>331</v>
      </c>
      <c r="F170" s="4"/>
      <c r="G170" s="4"/>
      <c r="H170" s="5">
        <f t="shared" si="2"/>
        <v>4.369323473705845E-3</v>
      </c>
    </row>
    <row r="171" spans="1:8" ht="13.5" x14ac:dyDescent="0.25">
      <c r="A171" s="1"/>
      <c r="B171" s="3">
        <v>42545</v>
      </c>
      <c r="C171" s="4">
        <v>16.100000000000001</v>
      </c>
      <c r="D171" s="4">
        <v>16.067799999999998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16.09</v>
      </c>
      <c r="D172" s="4">
        <v>16.0578</v>
      </c>
      <c r="E172" s="4">
        <v>56</v>
      </c>
      <c r="F172" s="4"/>
      <c r="G172" s="4"/>
      <c r="H172" s="5">
        <f t="shared" si="2"/>
        <v>-6.2236273789803283E-4</v>
      </c>
    </row>
    <row r="173" spans="1:8" ht="13.5" x14ac:dyDescent="0.25">
      <c r="A173" s="1"/>
      <c r="B173" s="3">
        <v>42549</v>
      </c>
      <c r="C173" s="4">
        <v>16</v>
      </c>
      <c r="D173" s="4">
        <v>15.968</v>
      </c>
      <c r="E173" s="4">
        <v>2000</v>
      </c>
      <c r="F173" s="4"/>
      <c r="G173" s="4"/>
      <c r="H173" s="5">
        <f t="shared" si="2"/>
        <v>-5.5922978241104209E-3</v>
      </c>
    </row>
    <row r="174" spans="1:8" ht="13.5" x14ac:dyDescent="0.25">
      <c r="A174" s="1"/>
      <c r="B174" s="3">
        <v>42550</v>
      </c>
      <c r="C174" s="4">
        <v>16</v>
      </c>
      <c r="D174" s="4">
        <v>15.968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16.100000000000001</v>
      </c>
      <c r="D175" s="4">
        <v>16.067799999999998</v>
      </c>
      <c r="E175" s="4">
        <v>165</v>
      </c>
      <c r="F175" s="4"/>
      <c r="G175" s="4"/>
      <c r="H175" s="5">
        <f t="shared" si="2"/>
        <v>6.2499999999998954E-3</v>
      </c>
    </row>
    <row r="176" spans="1:8" ht="13.5" x14ac:dyDescent="0.25">
      <c r="A176" s="1"/>
      <c r="B176" s="3">
        <v>42552</v>
      </c>
      <c r="C176" s="4">
        <v>16.100000000000001</v>
      </c>
      <c r="D176" s="4">
        <v>16.067799999999998</v>
      </c>
      <c r="E176" s="4">
        <v>0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16.100000000000001</v>
      </c>
      <c r="D177" s="4">
        <v>16.067799999999998</v>
      </c>
      <c r="E177" s="4">
        <v>0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16.100000000000001</v>
      </c>
      <c r="D178" s="4">
        <v>16.067799999999998</v>
      </c>
      <c r="E178" s="4">
        <v>436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16.100000000000001</v>
      </c>
      <c r="D179" s="4">
        <v>16.067799999999998</v>
      </c>
      <c r="E179" s="4">
        <v>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16.100000000000001</v>
      </c>
      <c r="D180" s="4">
        <v>16.067799999999998</v>
      </c>
      <c r="E180" s="4">
        <v>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16.579999999999998</v>
      </c>
      <c r="D181" s="4">
        <v>16.546800000000001</v>
      </c>
      <c r="E181" s="4">
        <v>0</v>
      </c>
      <c r="F181" s="4"/>
      <c r="G181" s="4"/>
      <c r="H181" s="5">
        <f t="shared" si="2"/>
        <v>2.9811175145321875E-2</v>
      </c>
    </row>
    <row r="182" spans="1:8" ht="13.5" x14ac:dyDescent="0.25">
      <c r="A182" s="1"/>
      <c r="B182" s="3">
        <v>42565</v>
      </c>
      <c r="C182" s="4">
        <v>16.579999999999998</v>
      </c>
      <c r="D182" s="4">
        <v>16.546800000000001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16.100000000000001</v>
      </c>
      <c r="D183" s="4">
        <v>16.067799999999998</v>
      </c>
      <c r="E183" s="4">
        <v>125</v>
      </c>
      <c r="F183" s="4"/>
      <c r="G183" s="4"/>
      <c r="H183" s="5">
        <f t="shared" si="2"/>
        <v>-2.8948195421471385E-2</v>
      </c>
    </row>
    <row r="184" spans="1:8" ht="13.5" x14ac:dyDescent="0.25">
      <c r="A184" s="1"/>
      <c r="B184" s="3">
        <v>42569</v>
      </c>
      <c r="C184" s="4">
        <v>16.100000000000001</v>
      </c>
      <c r="D184" s="4">
        <v>16.067799999999998</v>
      </c>
      <c r="E184" s="4">
        <v>2412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16.100000000000001</v>
      </c>
      <c r="D185" s="4">
        <v>16.067799999999998</v>
      </c>
      <c r="E185" s="4">
        <v>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16.11</v>
      </c>
      <c r="D186" s="4">
        <v>16.0778</v>
      </c>
      <c r="E186" s="4">
        <v>2465</v>
      </c>
      <c r="F186" s="4"/>
      <c r="G186" s="4"/>
      <c r="H186" s="5">
        <f t="shared" si="2"/>
        <v>6.2236273789825389E-4</v>
      </c>
    </row>
    <row r="187" spans="1:8" ht="13.5" x14ac:dyDescent="0.25">
      <c r="A187" s="1"/>
      <c r="B187" s="3">
        <v>42572</v>
      </c>
      <c r="C187" s="4">
        <v>16.11</v>
      </c>
      <c r="D187" s="4">
        <v>16.0778</v>
      </c>
      <c r="E187" s="4">
        <v>1876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16.11</v>
      </c>
      <c r="D188" s="4">
        <v>16.0778</v>
      </c>
      <c r="E188" s="4">
        <v>0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16.11</v>
      </c>
      <c r="D189" s="4">
        <v>16.0778</v>
      </c>
      <c r="E189" s="4">
        <v>200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16.11</v>
      </c>
      <c r="D190" s="4">
        <v>16.0778</v>
      </c>
      <c r="E190" s="4">
        <v>307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16.59</v>
      </c>
      <c r="D191" s="4">
        <v>16.556799999999999</v>
      </c>
      <c r="E191" s="4">
        <v>1</v>
      </c>
      <c r="F191" s="4"/>
      <c r="G191" s="4"/>
      <c r="H191" s="5">
        <f t="shared" si="2"/>
        <v>2.9792633320479121E-2</v>
      </c>
    </row>
    <row r="192" spans="1:8" ht="13.5" x14ac:dyDescent="0.25">
      <c r="A192" s="1"/>
      <c r="B192" s="3">
        <v>42580</v>
      </c>
      <c r="C192" s="4">
        <v>16.59</v>
      </c>
      <c r="D192" s="4">
        <v>16.556799999999999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16.59</v>
      </c>
      <c r="D193" s="4">
        <v>16.556799999999999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16.59</v>
      </c>
      <c r="D194" s="4">
        <v>16.556799999999999</v>
      </c>
      <c r="E194" s="4">
        <v>298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16.600000000000001</v>
      </c>
      <c r="D195" s="4">
        <v>16.566800000000001</v>
      </c>
      <c r="E195" s="4">
        <v>114</v>
      </c>
      <c r="F195" s="4"/>
      <c r="G195" s="4"/>
      <c r="H195" s="5">
        <f t="shared" si="2"/>
        <v>6.0398144569008289E-4</v>
      </c>
    </row>
    <row r="196" spans="1:8" ht="13.5" x14ac:dyDescent="0.25">
      <c r="A196" s="1"/>
      <c r="B196" s="3">
        <v>42586</v>
      </c>
      <c r="C196" s="4">
        <v>16.7</v>
      </c>
      <c r="D196" s="4">
        <v>16.666599999999999</v>
      </c>
      <c r="E196" s="4">
        <v>345</v>
      </c>
      <c r="F196" s="4"/>
      <c r="G196" s="4"/>
      <c r="H196" s="5">
        <f t="shared" si="2"/>
        <v>6.0240963855420675E-3</v>
      </c>
    </row>
    <row r="197" spans="1:8" ht="13.5" x14ac:dyDescent="0.25">
      <c r="A197" s="1"/>
      <c r="B197" s="3">
        <v>42587</v>
      </c>
      <c r="C197" s="4">
        <v>16.899999999999999</v>
      </c>
      <c r="D197" s="4">
        <v>16.866199999999999</v>
      </c>
      <c r="E197" s="4">
        <v>390</v>
      </c>
      <c r="F197" s="4"/>
      <c r="G197" s="4"/>
      <c r="H197" s="5">
        <f t="shared" si="2"/>
        <v>1.1976047904191631E-2</v>
      </c>
    </row>
    <row r="198" spans="1:8" ht="13.5" x14ac:dyDescent="0.25">
      <c r="A198" s="1"/>
      <c r="B198" s="3">
        <v>42590</v>
      </c>
      <c r="C198" s="4">
        <v>17</v>
      </c>
      <c r="D198" s="4">
        <v>16.966000000000001</v>
      </c>
      <c r="E198" s="4">
        <v>9168</v>
      </c>
      <c r="F198" s="4"/>
      <c r="G198" s="4"/>
      <c r="H198" s="5">
        <f t="shared" si="2"/>
        <v>5.9171597633137212E-3</v>
      </c>
    </row>
    <row r="199" spans="1:8" ht="13.5" x14ac:dyDescent="0.25">
      <c r="A199" s="1"/>
      <c r="B199" s="3">
        <v>42591</v>
      </c>
      <c r="C199" s="4">
        <v>17</v>
      </c>
      <c r="D199" s="4">
        <v>16.966000000000001</v>
      </c>
      <c r="E199" s="4">
        <v>109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17</v>
      </c>
      <c r="D200" s="4">
        <v>16.966000000000001</v>
      </c>
      <c r="E200" s="4">
        <v>259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17.29</v>
      </c>
      <c r="D201" s="4">
        <v>17.255400000000002</v>
      </c>
      <c r="E201" s="4">
        <v>191</v>
      </c>
      <c r="F201" s="4"/>
      <c r="G201" s="4"/>
      <c r="H201" s="5">
        <f t="shared" si="3"/>
        <v>1.7057644701167073E-2</v>
      </c>
    </row>
    <row r="202" spans="1:8" ht="13.5" x14ac:dyDescent="0.25">
      <c r="A202" s="1"/>
      <c r="B202" s="3">
        <v>42594</v>
      </c>
      <c r="C202" s="4">
        <v>17.39</v>
      </c>
      <c r="D202" s="4">
        <v>17.3552</v>
      </c>
      <c r="E202" s="4">
        <v>287</v>
      </c>
      <c r="F202" s="4"/>
      <c r="G202" s="4"/>
      <c r="H202" s="5">
        <f t="shared" si="3"/>
        <v>5.7836966978452153E-3</v>
      </c>
    </row>
    <row r="203" spans="1:8" ht="13.5" x14ac:dyDescent="0.25">
      <c r="A203" s="1"/>
      <c r="B203" s="3">
        <v>42597</v>
      </c>
      <c r="C203" s="4">
        <v>17.399999999999999</v>
      </c>
      <c r="D203" s="4">
        <v>17.365200000000002</v>
      </c>
      <c r="E203" s="4">
        <v>130</v>
      </c>
      <c r="F203" s="4"/>
      <c r="G203" s="4"/>
      <c r="H203" s="5">
        <f t="shared" si="3"/>
        <v>5.7619618327657204E-4</v>
      </c>
    </row>
    <row r="204" spans="1:8" ht="13.5" x14ac:dyDescent="0.25">
      <c r="A204" s="1"/>
      <c r="B204" s="3">
        <v>42598</v>
      </c>
      <c r="C204" s="4">
        <v>17.3</v>
      </c>
      <c r="D204" s="4">
        <v>17.2654</v>
      </c>
      <c r="E204" s="4">
        <v>25</v>
      </c>
      <c r="F204" s="4"/>
      <c r="G204" s="4"/>
      <c r="H204" s="5">
        <f t="shared" si="3"/>
        <v>-5.7471264367817175E-3</v>
      </c>
    </row>
    <row r="205" spans="1:8" ht="13.5" x14ac:dyDescent="0.25">
      <c r="A205" s="1"/>
      <c r="B205" s="3">
        <v>42599</v>
      </c>
      <c r="C205" s="4">
        <v>17.3</v>
      </c>
      <c r="D205" s="4">
        <v>17.2654</v>
      </c>
      <c r="E205" s="4">
        <v>1000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17.399999999999999</v>
      </c>
      <c r="D206" s="4">
        <v>17.365200000000002</v>
      </c>
      <c r="E206" s="4">
        <v>3238</v>
      </c>
      <c r="F206" s="4"/>
      <c r="G206" s="4"/>
      <c r="H206" s="5">
        <f t="shared" si="3"/>
        <v>5.7803468208093576E-3</v>
      </c>
    </row>
    <row r="207" spans="1:8" ht="13.5" x14ac:dyDescent="0.25">
      <c r="A207" s="1"/>
      <c r="B207" s="3">
        <v>42601</v>
      </c>
      <c r="C207" s="4">
        <v>17.8</v>
      </c>
      <c r="D207" s="4">
        <v>17.764399999999998</v>
      </c>
      <c r="E207" s="4">
        <v>252</v>
      </c>
      <c r="F207" s="4"/>
      <c r="G207" s="4"/>
      <c r="H207" s="5">
        <f t="shared" si="3"/>
        <v>2.2988505747126256E-2</v>
      </c>
    </row>
    <row r="208" spans="1:8" ht="13.5" x14ac:dyDescent="0.25">
      <c r="A208" s="1"/>
      <c r="B208" s="3">
        <v>42604</v>
      </c>
      <c r="C208" s="4">
        <v>18.87</v>
      </c>
      <c r="D208" s="4">
        <v>18.8323</v>
      </c>
      <c r="E208" s="4">
        <v>1778</v>
      </c>
      <c r="F208" s="4"/>
      <c r="G208" s="4"/>
      <c r="H208" s="5">
        <f t="shared" si="3"/>
        <v>6.0114611244961931E-2</v>
      </c>
    </row>
    <row r="209" spans="1:8" ht="13.5" x14ac:dyDescent="0.25">
      <c r="A209" s="1"/>
      <c r="B209" s="3">
        <v>42605</v>
      </c>
      <c r="C209" s="4">
        <v>18.8</v>
      </c>
      <c r="D209" s="4">
        <v>18.7624</v>
      </c>
      <c r="E209" s="4">
        <v>100</v>
      </c>
      <c r="F209" s="4"/>
      <c r="G209" s="4"/>
      <c r="H209" s="5">
        <f t="shared" si="3"/>
        <v>-3.7117080760183576E-3</v>
      </c>
    </row>
    <row r="210" spans="1:8" ht="13.5" x14ac:dyDescent="0.25">
      <c r="A210" s="1"/>
      <c r="B210" s="3">
        <v>42606</v>
      </c>
      <c r="C210" s="4">
        <v>18.8</v>
      </c>
      <c r="D210" s="4">
        <v>18.7624</v>
      </c>
      <c r="E210" s="4">
        <v>500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19.36</v>
      </c>
      <c r="D211" s="4">
        <v>19.321300000000001</v>
      </c>
      <c r="E211" s="4">
        <v>1</v>
      </c>
      <c r="F211" s="4"/>
      <c r="G211" s="4"/>
      <c r="H211" s="5">
        <f t="shared" si="3"/>
        <v>2.9788300004263916E-2</v>
      </c>
    </row>
    <row r="212" spans="1:8" ht="13.5" x14ac:dyDescent="0.25">
      <c r="A212" s="1"/>
      <c r="B212" s="3">
        <v>42608</v>
      </c>
      <c r="C212" s="4">
        <v>19.5</v>
      </c>
      <c r="D212" s="4">
        <v>19.460999999999999</v>
      </c>
      <c r="E212" s="4">
        <v>500</v>
      </c>
      <c r="F212" s="4"/>
      <c r="G212" s="4"/>
      <c r="H212" s="5">
        <f t="shared" si="3"/>
        <v>7.2303623462188216E-3</v>
      </c>
    </row>
    <row r="213" spans="1:8" ht="13.5" x14ac:dyDescent="0.25">
      <c r="A213" s="1"/>
      <c r="B213" s="3">
        <v>42611</v>
      </c>
      <c r="C213" s="4">
        <v>19.5</v>
      </c>
      <c r="D213" s="4">
        <v>19.460999999999999</v>
      </c>
      <c r="E213" s="4">
        <v>1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19.5</v>
      </c>
      <c r="D214" s="4">
        <v>19.460999999999999</v>
      </c>
      <c r="E214" s="4">
        <v>14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19.5</v>
      </c>
      <c r="D215" s="4">
        <v>19.460999999999999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20</v>
      </c>
      <c r="D216" s="4">
        <v>19.96</v>
      </c>
      <c r="E216" s="4">
        <v>29</v>
      </c>
      <c r="F216" s="4"/>
      <c r="G216" s="4"/>
      <c r="H216" s="5">
        <f t="shared" si="3"/>
        <v>2.5641025641025762E-2</v>
      </c>
    </row>
    <row r="217" spans="1:8" ht="13.5" x14ac:dyDescent="0.25">
      <c r="A217" s="1"/>
      <c r="B217" s="3">
        <v>42615</v>
      </c>
      <c r="C217" s="4">
        <v>20</v>
      </c>
      <c r="D217" s="4">
        <v>19.96</v>
      </c>
      <c r="E217" s="4">
        <v>350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19.98</v>
      </c>
      <c r="D218" s="4">
        <v>19.940000000000001</v>
      </c>
      <c r="E218" s="4">
        <v>190</v>
      </c>
      <c r="F218" s="4"/>
      <c r="G218" s="4"/>
      <c r="H218" s="5">
        <f t="shared" si="3"/>
        <v>-1.0020040080160107E-3</v>
      </c>
    </row>
    <row r="219" spans="1:8" ht="13.5" x14ac:dyDescent="0.25">
      <c r="A219" s="1"/>
      <c r="B219" s="3">
        <v>42619</v>
      </c>
      <c r="C219" s="4">
        <v>20</v>
      </c>
      <c r="D219" s="4">
        <v>19.96</v>
      </c>
      <c r="E219" s="4">
        <v>200</v>
      </c>
      <c r="F219" s="4"/>
      <c r="G219" s="4"/>
      <c r="H219" s="5">
        <f t="shared" si="3"/>
        <v>1.0030090270812223E-3</v>
      </c>
    </row>
    <row r="220" spans="1:8" ht="13.5" x14ac:dyDescent="0.25">
      <c r="A220" s="1"/>
      <c r="B220" s="3">
        <v>42620</v>
      </c>
      <c r="C220" s="4">
        <v>19.989999999999998</v>
      </c>
      <c r="D220" s="4">
        <v>19.95</v>
      </c>
      <c r="E220" s="4">
        <v>368</v>
      </c>
      <c r="F220" s="4"/>
      <c r="G220" s="4"/>
      <c r="H220" s="5">
        <f t="shared" si="3"/>
        <v>-5.0100200400809438E-4</v>
      </c>
    </row>
    <row r="221" spans="1:8" ht="13.5" x14ac:dyDescent="0.25">
      <c r="A221" s="1"/>
      <c r="B221" s="3">
        <v>42621</v>
      </c>
      <c r="C221" s="4">
        <v>19.11</v>
      </c>
      <c r="D221" s="4">
        <v>19.0718</v>
      </c>
      <c r="E221" s="4">
        <v>767</v>
      </c>
      <c r="F221" s="4"/>
      <c r="G221" s="4"/>
      <c r="H221" s="5">
        <f t="shared" si="3"/>
        <v>-4.4020050125313265E-2</v>
      </c>
    </row>
    <row r="222" spans="1:8" ht="13.5" x14ac:dyDescent="0.25">
      <c r="A222" s="1"/>
      <c r="B222" s="3">
        <v>42622</v>
      </c>
      <c r="C222" s="4">
        <v>19.100000000000001</v>
      </c>
      <c r="D222" s="4">
        <v>19.061800000000002</v>
      </c>
      <c r="E222" s="4">
        <v>369</v>
      </c>
      <c r="F222" s="4"/>
      <c r="G222" s="4"/>
      <c r="H222" s="5">
        <f t="shared" si="3"/>
        <v>-5.2433435753300743E-4</v>
      </c>
    </row>
    <row r="223" spans="1:8" ht="13.5" x14ac:dyDescent="0.25">
      <c r="A223" s="1"/>
      <c r="B223" s="3">
        <v>42627</v>
      </c>
      <c r="C223" s="4">
        <v>19.100000000000001</v>
      </c>
      <c r="D223" s="4">
        <v>19.061800000000002</v>
      </c>
      <c r="E223" s="4">
        <v>369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18.25</v>
      </c>
      <c r="D224" s="4">
        <v>18.2135</v>
      </c>
      <c r="E224" s="4">
        <v>0</v>
      </c>
      <c r="F224" s="4"/>
      <c r="G224" s="4"/>
      <c r="H224" s="5">
        <f t="shared" si="3"/>
        <v>-4.4502617801047216E-2</v>
      </c>
    </row>
    <row r="225" spans="1:8" ht="13.5" x14ac:dyDescent="0.25">
      <c r="A225" s="1"/>
      <c r="B225" s="3">
        <v>42629</v>
      </c>
      <c r="C225" s="4">
        <v>18.489999999999998</v>
      </c>
      <c r="D225" s="4">
        <v>18.452999999999999</v>
      </c>
      <c r="E225" s="4">
        <v>2014</v>
      </c>
      <c r="F225" s="4"/>
      <c r="G225" s="4"/>
      <c r="H225" s="5">
        <f t="shared" si="3"/>
        <v>1.3149586844922701E-2</v>
      </c>
    </row>
    <row r="226" spans="1:8" ht="13.5" x14ac:dyDescent="0.25">
      <c r="A226" s="1"/>
      <c r="B226" s="3">
        <v>42632</v>
      </c>
      <c r="C226" s="4">
        <v>18.489999999999998</v>
      </c>
      <c r="D226" s="4">
        <v>18.452999999999999</v>
      </c>
      <c r="E226" s="4">
        <v>1600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18.489999999999998</v>
      </c>
      <c r="D227" s="4">
        <v>18.452999999999999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18.489999999999998</v>
      </c>
      <c r="D228" s="4">
        <v>18.452999999999999</v>
      </c>
      <c r="E228" s="4">
        <v>650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18.489999999999998</v>
      </c>
      <c r="D229" s="4">
        <v>18.452999999999999</v>
      </c>
      <c r="E229" s="4">
        <v>0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18.489999999999998</v>
      </c>
      <c r="D230" s="4">
        <v>18.452999999999999</v>
      </c>
      <c r="E230" s="4">
        <v>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18.489999999999998</v>
      </c>
      <c r="D231" s="4">
        <v>18.452999999999999</v>
      </c>
      <c r="E231" s="4">
        <v>0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18.489999999999998</v>
      </c>
      <c r="D232" s="4">
        <v>18.452999999999999</v>
      </c>
      <c r="E232" s="4">
        <v>0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18.8</v>
      </c>
      <c r="D233" s="4">
        <v>18.7624</v>
      </c>
      <c r="E233" s="4">
        <v>53</v>
      </c>
      <c r="F233" s="4"/>
      <c r="G233" s="4"/>
      <c r="H233" s="5">
        <f t="shared" si="3"/>
        <v>1.6766921367799281E-2</v>
      </c>
    </row>
    <row r="234" spans="1:8" ht="13.5" x14ac:dyDescent="0.25">
      <c r="A234" s="1"/>
      <c r="B234" s="3">
        <v>42642</v>
      </c>
      <c r="C234" s="4">
        <v>18.010000000000002</v>
      </c>
      <c r="D234" s="4">
        <v>17.974</v>
      </c>
      <c r="E234" s="4">
        <v>3</v>
      </c>
      <c r="F234" s="4"/>
      <c r="G234" s="4"/>
      <c r="H234" s="5">
        <f t="shared" si="3"/>
        <v>-4.2020210634033987E-2</v>
      </c>
    </row>
    <row r="235" spans="1:8" ht="13.5" x14ac:dyDescent="0.25">
      <c r="A235" s="1"/>
      <c r="B235" s="3">
        <v>42643</v>
      </c>
      <c r="C235" s="4">
        <v>18.690000000000001</v>
      </c>
      <c r="D235" s="4">
        <v>18.6526</v>
      </c>
      <c r="E235" s="4">
        <v>14</v>
      </c>
      <c r="F235" s="4"/>
      <c r="G235" s="4"/>
      <c r="H235" s="5">
        <f t="shared" si="3"/>
        <v>3.7754534327361713E-2</v>
      </c>
    </row>
    <row r="236" spans="1:8" ht="13.5" x14ac:dyDescent="0.25">
      <c r="A236" s="1"/>
      <c r="B236" s="3">
        <v>42647</v>
      </c>
      <c r="C236" s="4">
        <v>18.7</v>
      </c>
      <c r="D236" s="4">
        <v>18.662600000000001</v>
      </c>
      <c r="E236" s="4">
        <v>27</v>
      </c>
      <c r="F236" s="4"/>
      <c r="G236" s="4"/>
      <c r="H236" s="5">
        <f t="shared" si="3"/>
        <v>5.3611828913939952E-4</v>
      </c>
    </row>
    <row r="237" spans="1:8" ht="13.5" x14ac:dyDescent="0.25">
      <c r="A237" s="1"/>
      <c r="B237" s="3">
        <v>42648</v>
      </c>
      <c r="C237" s="4">
        <v>19.260000000000002</v>
      </c>
      <c r="D237" s="4">
        <v>19.221499999999999</v>
      </c>
      <c r="E237" s="4">
        <v>0</v>
      </c>
      <c r="F237" s="4"/>
      <c r="G237" s="4"/>
      <c r="H237" s="5">
        <f t="shared" si="3"/>
        <v>2.9947595726211657E-2</v>
      </c>
    </row>
    <row r="238" spans="1:8" ht="13.5" x14ac:dyDescent="0.25">
      <c r="A238" s="1"/>
      <c r="B238" s="3">
        <v>42649</v>
      </c>
      <c r="C238" s="4">
        <v>19.260000000000002</v>
      </c>
      <c r="D238" s="4">
        <v>19.221499999999999</v>
      </c>
      <c r="E238" s="4">
        <v>25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19.8</v>
      </c>
      <c r="D239" s="4">
        <v>19.760400000000001</v>
      </c>
      <c r="E239" s="4">
        <v>35</v>
      </c>
      <c r="F239" s="4"/>
      <c r="G239" s="4"/>
      <c r="H239" s="5">
        <f t="shared" si="3"/>
        <v>2.803631350310859E-2</v>
      </c>
    </row>
    <row r="240" spans="1:8" ht="13.5" x14ac:dyDescent="0.25">
      <c r="A240" s="1"/>
      <c r="B240" s="3">
        <v>42653</v>
      </c>
      <c r="C240" s="4">
        <v>19.8</v>
      </c>
      <c r="D240" s="4">
        <v>19.760400000000001</v>
      </c>
      <c r="E240" s="4">
        <v>12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19.79</v>
      </c>
      <c r="D241" s="4">
        <v>19.750399999999999</v>
      </c>
      <c r="E241" s="4">
        <v>12</v>
      </c>
      <c r="F241" s="4"/>
      <c r="G241" s="4"/>
      <c r="H241" s="5">
        <f t="shared" si="3"/>
        <v>-5.0606263031120638E-4</v>
      </c>
    </row>
    <row r="242" spans="1:8" ht="13.5" x14ac:dyDescent="0.25">
      <c r="A242" s="1"/>
      <c r="B242" s="3">
        <v>42655</v>
      </c>
      <c r="C242" s="4">
        <v>19.79</v>
      </c>
      <c r="D242" s="4">
        <v>19.750399999999999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19.79</v>
      </c>
      <c r="D243" s="4">
        <v>19.750399999999999</v>
      </c>
      <c r="E243" s="4">
        <v>0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19.59</v>
      </c>
      <c r="D244" s="4">
        <v>19.550799999999999</v>
      </c>
      <c r="E244" s="4">
        <v>10</v>
      </c>
      <c r="F244" s="4"/>
      <c r="G244" s="4"/>
      <c r="H244" s="5">
        <f t="shared" si="3"/>
        <v>-1.010612443292289E-2</v>
      </c>
    </row>
    <row r="245" spans="1:8" ht="13.5" x14ac:dyDescent="0.25">
      <c r="A245" s="1"/>
      <c r="B245" s="3">
        <v>42660</v>
      </c>
      <c r="C245" s="4">
        <v>19.7</v>
      </c>
      <c r="D245" s="4">
        <v>19.660599999999999</v>
      </c>
      <c r="E245" s="4">
        <v>1</v>
      </c>
      <c r="F245" s="4"/>
      <c r="G245" s="4"/>
      <c r="H245" s="5">
        <f t="shared" si="3"/>
        <v>5.6161384700370272E-3</v>
      </c>
    </row>
    <row r="246" spans="1:8" ht="13.5" x14ac:dyDescent="0.25">
      <c r="A246" s="1"/>
      <c r="B246" s="3">
        <v>42661</v>
      </c>
      <c r="C246" s="4">
        <v>19.7</v>
      </c>
      <c r="D246" s="4">
        <v>19.660599999999999</v>
      </c>
      <c r="E246" s="4">
        <v>0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19.7</v>
      </c>
      <c r="D247" s="4">
        <v>19.660599999999999</v>
      </c>
      <c r="E247" s="4">
        <v>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19.7</v>
      </c>
      <c r="D248" s="4">
        <v>19.660599999999999</v>
      </c>
      <c r="E248" s="4">
        <v>0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19.649999999999999</v>
      </c>
      <c r="D249" s="4">
        <v>19.610700000000001</v>
      </c>
      <c r="E249" s="4">
        <v>14</v>
      </c>
      <c r="F249" s="4"/>
      <c r="G249" s="4"/>
      <c r="H249" s="5">
        <f t="shared" si="3"/>
        <v>-2.5380710659897152E-3</v>
      </c>
    </row>
    <row r="250" spans="1:8" ht="13.5" x14ac:dyDescent="0.25">
      <c r="A250" s="1"/>
      <c r="B250" s="3">
        <v>42667</v>
      </c>
      <c r="C250" s="4">
        <v>19.8</v>
      </c>
      <c r="D250" s="4">
        <v>19.760400000000001</v>
      </c>
      <c r="E250" s="4">
        <v>517</v>
      </c>
      <c r="F250" s="4"/>
      <c r="G250" s="4"/>
      <c r="H250" s="5">
        <f t="shared" si="3"/>
        <v>7.6335877862595044E-3</v>
      </c>
    </row>
    <row r="251" spans="1:8" ht="13.5" x14ac:dyDescent="0.25">
      <c r="A251" s="1"/>
      <c r="B251" s="3">
        <v>42668</v>
      </c>
      <c r="C251" s="4">
        <v>19.87</v>
      </c>
      <c r="D251" s="4">
        <v>19.830300000000001</v>
      </c>
      <c r="E251" s="4">
        <v>6</v>
      </c>
      <c r="F251" s="4"/>
      <c r="G251" s="4"/>
      <c r="H251" s="5">
        <f t="shared" si="3"/>
        <v>3.5373777858748057E-3</v>
      </c>
    </row>
    <row r="252" spans="1:8" ht="13.5" x14ac:dyDescent="0.25">
      <c r="A252" s="1"/>
      <c r="B252" s="3">
        <v>42669</v>
      </c>
      <c r="C252" s="4">
        <v>19.600000000000001</v>
      </c>
      <c r="D252" s="4">
        <v>19.5608</v>
      </c>
      <c r="E252" s="4">
        <v>37</v>
      </c>
      <c r="F252" s="4"/>
      <c r="G252" s="4"/>
      <c r="H252" s="5">
        <f t="shared" si="3"/>
        <v>-1.3590313812700802E-2</v>
      </c>
    </row>
    <row r="253" spans="1:8" ht="13.5" x14ac:dyDescent="0.25">
      <c r="A253" s="1"/>
      <c r="B253" s="3">
        <v>42670</v>
      </c>
      <c r="C253" s="4">
        <v>19.600000000000001</v>
      </c>
      <c r="D253" s="4">
        <v>19.5608</v>
      </c>
      <c r="E253" s="4">
        <v>0</v>
      </c>
      <c r="F253" s="4"/>
      <c r="G253" s="4"/>
      <c r="H253" s="5">
        <f t="shared" si="3"/>
        <v>0</v>
      </c>
    </row>
    <row r="254" spans="1:8" ht="13.5" x14ac:dyDescent="0.25">
      <c r="A254" s="1"/>
      <c r="B254" s="3">
        <v>42671</v>
      </c>
      <c r="C254" s="4">
        <v>19.600000000000001</v>
      </c>
      <c r="D254" s="4">
        <v>19.5608</v>
      </c>
      <c r="E254" s="4">
        <v>797</v>
      </c>
      <c r="F254" s="4"/>
      <c r="G254" s="4"/>
      <c r="H254" s="5">
        <f t="shared" si="3"/>
        <v>0</v>
      </c>
    </row>
    <row r="255" spans="1:8" ht="13.5" x14ac:dyDescent="0.25">
      <c r="A255" s="1"/>
      <c r="B255" s="3">
        <v>42674</v>
      </c>
      <c r="C255" s="4">
        <v>19.600000000000001</v>
      </c>
      <c r="D255" s="4">
        <v>19.5608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19.600000000000001</v>
      </c>
      <c r="D256" s="4">
        <v>19.5608</v>
      </c>
      <c r="E256" s="4">
        <v>984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19.600000000000001</v>
      </c>
      <c r="D257" s="4">
        <v>19.5608</v>
      </c>
      <c r="E257" s="4">
        <v>400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19.600000000000001</v>
      </c>
      <c r="D258" s="4">
        <v>19.5608</v>
      </c>
      <c r="E258" s="4">
        <v>0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18.72</v>
      </c>
      <c r="D259" s="4">
        <v>18.682600000000001</v>
      </c>
      <c r="E259" s="4">
        <v>115</v>
      </c>
      <c r="F259" s="4"/>
      <c r="G259" s="4"/>
      <c r="H259" s="5">
        <f t="shared" si="3"/>
        <v>-4.4895914277534643E-2</v>
      </c>
    </row>
    <row r="260" spans="1:8" ht="13.5" x14ac:dyDescent="0.25">
      <c r="A260" s="1"/>
      <c r="B260" s="3">
        <v>42681</v>
      </c>
      <c r="C260" s="4">
        <v>19.28</v>
      </c>
      <c r="D260" s="4">
        <v>19.241399999999999</v>
      </c>
      <c r="E260" s="4">
        <v>0</v>
      </c>
      <c r="F260" s="4"/>
      <c r="G260" s="4"/>
      <c r="H260" s="5">
        <f t="shared" si="3"/>
        <v>2.9910183807392864E-2</v>
      </c>
    </row>
    <row r="261" spans="1:8" ht="13.5" x14ac:dyDescent="0.25">
      <c r="A261" s="1"/>
      <c r="B261" s="3">
        <v>42682</v>
      </c>
      <c r="C261" s="4">
        <v>19.28</v>
      </c>
      <c r="D261" s="4">
        <v>19.241399999999999</v>
      </c>
      <c r="E261" s="4">
        <v>11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19.5</v>
      </c>
      <c r="D262" s="4">
        <v>19.460999999999999</v>
      </c>
      <c r="E262" s="4">
        <v>2001</v>
      </c>
      <c r="F262" s="4"/>
      <c r="G262" s="4"/>
      <c r="H262" s="5">
        <f t="shared" si="3"/>
        <v>1.1412890953880685E-2</v>
      </c>
    </row>
    <row r="263" spans="1:8" ht="13.5" x14ac:dyDescent="0.25">
      <c r="A263" s="1"/>
      <c r="B263" s="3">
        <v>42684</v>
      </c>
      <c r="C263" s="4">
        <v>19.5</v>
      </c>
      <c r="D263" s="4">
        <v>19.460999999999999</v>
      </c>
      <c r="E263" s="4">
        <v>10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19.5</v>
      </c>
      <c r="D264" s="4">
        <v>19.460999999999999</v>
      </c>
      <c r="E264" s="4">
        <v>20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19.5</v>
      </c>
      <c r="D265" s="4">
        <v>19.460999999999999</v>
      </c>
      <c r="E265" s="4">
        <v>0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19.5</v>
      </c>
      <c r="D266" s="4">
        <v>19.460999999999999</v>
      </c>
      <c r="E266" s="4">
        <v>0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19.5</v>
      </c>
      <c r="D267" s="4">
        <v>19.460999999999999</v>
      </c>
      <c r="E267" s="4">
        <v>0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18.63</v>
      </c>
      <c r="D268" s="4">
        <v>18.592700000000001</v>
      </c>
      <c r="E268" s="4">
        <v>1020</v>
      </c>
      <c r="F268" s="4"/>
      <c r="G268" s="4"/>
      <c r="H268" s="5">
        <f t="shared" si="4"/>
        <v>-4.4617440008221466E-2</v>
      </c>
    </row>
    <row r="269" spans="1:8" ht="13.5" x14ac:dyDescent="0.25">
      <c r="A269" s="1"/>
      <c r="B269" s="3">
        <v>42692</v>
      </c>
      <c r="C269" s="4">
        <v>18.63</v>
      </c>
      <c r="D269" s="4">
        <v>18.592700000000001</v>
      </c>
      <c r="E269" s="4">
        <v>17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18.63</v>
      </c>
      <c r="D270" s="4">
        <v>18.592700000000001</v>
      </c>
      <c r="E270" s="4">
        <v>100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18.63</v>
      </c>
      <c r="D271" s="4">
        <v>18.592700000000001</v>
      </c>
      <c r="E271" s="4">
        <v>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18.63</v>
      </c>
      <c r="D272" s="4">
        <v>18.592700000000001</v>
      </c>
      <c r="E272" s="4">
        <v>0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18.63</v>
      </c>
      <c r="D273" s="4">
        <v>18.592700000000001</v>
      </c>
      <c r="E273" s="4">
        <v>0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18.63</v>
      </c>
      <c r="D274" s="4">
        <v>18.592700000000001</v>
      </c>
      <c r="E274" s="4">
        <v>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18.63</v>
      </c>
      <c r="D275" s="4">
        <v>18.592700000000001</v>
      </c>
      <c r="E275" s="4">
        <v>0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18.63</v>
      </c>
      <c r="D276" s="4">
        <v>18.592700000000001</v>
      </c>
      <c r="E276" s="4">
        <v>0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18.63</v>
      </c>
      <c r="D277" s="4">
        <v>18.592700000000001</v>
      </c>
      <c r="E277" s="4">
        <v>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18.63</v>
      </c>
      <c r="D278" s="4">
        <v>18.592700000000001</v>
      </c>
      <c r="E278" s="4">
        <v>0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18.63</v>
      </c>
      <c r="D279" s="4">
        <v>18.592700000000001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18.63</v>
      </c>
      <c r="D280" s="4">
        <v>18.592700000000001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18.63</v>
      </c>
      <c r="D281" s="4">
        <v>18.592700000000001</v>
      </c>
      <c r="E281" s="4">
        <v>0</v>
      </c>
      <c r="F281" s="4"/>
      <c r="G281" s="4"/>
      <c r="H281" s="5">
        <f t="shared" si="4"/>
        <v>0</v>
      </c>
    </row>
    <row r="282" spans="1:8" ht="13.5" x14ac:dyDescent="0.25">
      <c r="A282" s="1"/>
      <c r="B282" s="3">
        <v>42711</v>
      </c>
      <c r="C282" s="4">
        <v>18.57</v>
      </c>
      <c r="D282" s="4">
        <v>18.532900000000001</v>
      </c>
      <c r="E282" s="4">
        <v>2684</v>
      </c>
      <c r="F282" s="4"/>
      <c r="G282" s="4"/>
      <c r="H282" s="5">
        <f t="shared" si="4"/>
        <v>-3.2163160810425159E-3</v>
      </c>
    </row>
    <row r="283" spans="1:8" ht="13.5" x14ac:dyDescent="0.25">
      <c r="A283" s="1"/>
      <c r="B283" s="3">
        <v>42712</v>
      </c>
      <c r="C283" s="4">
        <v>18.57</v>
      </c>
      <c r="D283" s="4">
        <v>18.532900000000001</v>
      </c>
      <c r="E283" s="4">
        <v>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18.57</v>
      </c>
      <c r="D284" s="4">
        <v>18.532900000000001</v>
      </c>
      <c r="E284" s="4">
        <v>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18.57</v>
      </c>
      <c r="D285" s="4">
        <v>18.532900000000001</v>
      </c>
      <c r="E285" s="4">
        <v>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18.57</v>
      </c>
      <c r="D286" s="4">
        <v>18.532900000000001</v>
      </c>
      <c r="E286" s="4">
        <v>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18.57</v>
      </c>
      <c r="D287" s="4">
        <v>18.532900000000001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18.5</v>
      </c>
      <c r="D288" s="4">
        <v>18.463000000000001</v>
      </c>
      <c r="E288" s="4">
        <v>100</v>
      </c>
      <c r="F288" s="4"/>
      <c r="G288" s="4"/>
      <c r="H288" s="5">
        <f t="shared" si="4"/>
        <v>-3.7716709203632734E-3</v>
      </c>
    </row>
    <row r="289" spans="1:8" ht="13.5" x14ac:dyDescent="0.25">
      <c r="A289" s="1"/>
      <c r="B289" s="3">
        <v>42723</v>
      </c>
      <c r="C289" s="4">
        <v>18.5</v>
      </c>
      <c r="D289" s="4">
        <v>18.463000000000001</v>
      </c>
      <c r="E289" s="4">
        <v>100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18.5</v>
      </c>
      <c r="D290" s="4">
        <v>18.463000000000001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18.5</v>
      </c>
      <c r="D291" s="4">
        <v>18.463000000000001</v>
      </c>
      <c r="E291" s="4">
        <v>0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18.5</v>
      </c>
      <c r="D292" s="4">
        <v>18.463000000000001</v>
      </c>
      <c r="E292" s="4">
        <v>0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17.8</v>
      </c>
      <c r="D293" s="4">
        <v>17.764399999999998</v>
      </c>
      <c r="E293" s="4">
        <v>3</v>
      </c>
      <c r="F293" s="4"/>
      <c r="G293" s="4"/>
      <c r="H293" s="5">
        <f t="shared" si="4"/>
        <v>-3.7837837837837972E-2</v>
      </c>
    </row>
    <row r="294" spans="1:8" ht="13.5" x14ac:dyDescent="0.25">
      <c r="A294" s="1"/>
      <c r="B294" s="3">
        <v>42730</v>
      </c>
      <c r="C294" s="4">
        <v>17</v>
      </c>
      <c r="D294" s="4">
        <v>16.966000000000001</v>
      </c>
      <c r="E294" s="4">
        <v>206</v>
      </c>
      <c r="F294" s="4"/>
      <c r="G294" s="4"/>
      <c r="H294" s="5">
        <f t="shared" si="4"/>
        <v>-4.4943820224718954E-2</v>
      </c>
    </row>
    <row r="295" spans="1:8" ht="13.5" x14ac:dyDescent="0.25">
      <c r="A295" s="1"/>
      <c r="B295" s="3">
        <v>42731</v>
      </c>
      <c r="C295" s="4">
        <v>16.239999999999998</v>
      </c>
      <c r="D295" s="4">
        <v>16.2075</v>
      </c>
      <c r="E295" s="4">
        <v>0</v>
      </c>
      <c r="F295" s="4"/>
      <c r="G295" s="4"/>
      <c r="H295" s="5">
        <f t="shared" si="4"/>
        <v>-4.4707061181185989E-2</v>
      </c>
    </row>
    <row r="296" spans="1:8" ht="13.5" x14ac:dyDescent="0.25">
      <c r="A296" s="1"/>
      <c r="B296" s="3">
        <v>42732</v>
      </c>
      <c r="C296" s="4">
        <v>15.51</v>
      </c>
      <c r="D296" s="4">
        <v>15.478999999999999</v>
      </c>
      <c r="E296" s="4">
        <v>0</v>
      </c>
      <c r="F296" s="4"/>
      <c r="G296" s="4"/>
      <c r="H296" s="5">
        <f t="shared" si="4"/>
        <v>-4.4948326392102445E-2</v>
      </c>
    </row>
    <row r="297" spans="1:8" ht="13.5" x14ac:dyDescent="0.25">
      <c r="A297" s="1"/>
      <c r="B297" s="3">
        <v>42733</v>
      </c>
      <c r="C297" s="4">
        <v>15.5</v>
      </c>
      <c r="D297" s="4">
        <v>15.468999999999999</v>
      </c>
      <c r="E297" s="4">
        <v>2816</v>
      </c>
      <c r="F297" s="4"/>
      <c r="G297" s="4"/>
      <c r="H297" s="5">
        <f t="shared" si="4"/>
        <v>-6.4603656566960318E-4</v>
      </c>
    </row>
    <row r="298" spans="1:8" ht="13.5" x14ac:dyDescent="0.25">
      <c r="A298" s="1"/>
      <c r="B298" s="3">
        <v>42734</v>
      </c>
      <c r="C298" s="4">
        <v>15.5</v>
      </c>
      <c r="D298" s="4">
        <v>15.468999999999999</v>
      </c>
      <c r="E298" s="4">
        <v>65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15.6</v>
      </c>
      <c r="D299" s="4">
        <v>15.5688</v>
      </c>
      <c r="E299" s="4">
        <v>117</v>
      </c>
      <c r="F299" s="4"/>
      <c r="G299" s="4"/>
      <c r="H299" s="5">
        <f t="shared" si="4"/>
        <v>6.4516129032258143E-3</v>
      </c>
    </row>
    <row r="300" spans="1:8" ht="13.5" x14ac:dyDescent="0.25">
      <c r="A300" s="1"/>
      <c r="B300" s="3">
        <v>42738</v>
      </c>
      <c r="C300" s="4">
        <v>15.6</v>
      </c>
      <c r="D300" s="4">
        <v>15.5688</v>
      </c>
      <c r="E300" s="4">
        <v>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16.059999999999999</v>
      </c>
      <c r="D301" s="4">
        <v>16.027899999999999</v>
      </c>
      <c r="E301" s="4">
        <v>1396</v>
      </c>
      <c r="F301" s="4"/>
      <c r="G301" s="4"/>
      <c r="H301" s="5">
        <f t="shared" si="4"/>
        <v>2.9488464107702547E-2</v>
      </c>
    </row>
    <row r="302" spans="1:8" ht="13.5" x14ac:dyDescent="0.25">
      <c r="A302" s="1"/>
      <c r="B302" s="3">
        <v>42740</v>
      </c>
      <c r="C302" s="4">
        <v>16.059999999999999</v>
      </c>
      <c r="D302" s="4">
        <v>16.027899999999999</v>
      </c>
      <c r="E302" s="4">
        <v>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16.059999999999999</v>
      </c>
      <c r="D303" s="4">
        <v>16.027899999999999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16</v>
      </c>
      <c r="D304" s="4">
        <v>15.968</v>
      </c>
      <c r="E304" s="4">
        <v>500</v>
      </c>
      <c r="F304" s="4"/>
      <c r="G304" s="4"/>
      <c r="H304" s="5">
        <f t="shared" si="4"/>
        <v>-3.7372331996081182E-3</v>
      </c>
    </row>
    <row r="305" spans="1:8" ht="13.5" x14ac:dyDescent="0.25">
      <c r="A305" s="1"/>
      <c r="B305" s="3">
        <v>42745</v>
      </c>
      <c r="C305" s="4">
        <v>16</v>
      </c>
      <c r="D305" s="4">
        <v>15.968</v>
      </c>
      <c r="E305" s="4">
        <v>502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16</v>
      </c>
      <c r="D306" s="4">
        <v>15.968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16</v>
      </c>
      <c r="D307" s="4">
        <v>15.968</v>
      </c>
      <c r="E307" s="4">
        <v>0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16</v>
      </c>
      <c r="D308" s="4">
        <v>15.968</v>
      </c>
      <c r="E308" s="4">
        <v>938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16</v>
      </c>
      <c r="D309" s="4">
        <v>15.968</v>
      </c>
      <c r="E309" s="4">
        <v>0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16</v>
      </c>
      <c r="D310" s="4">
        <v>15.968</v>
      </c>
      <c r="E310" s="4">
        <v>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16</v>
      </c>
      <c r="D311" s="4">
        <v>15.968</v>
      </c>
      <c r="E311" s="4">
        <v>320</v>
      </c>
      <c r="F311" s="4"/>
      <c r="G311" s="4"/>
      <c r="H311" s="5">
        <f t="shared" si="4"/>
        <v>0</v>
      </c>
    </row>
    <row r="312" spans="1:8" ht="13.5" x14ac:dyDescent="0.25">
      <c r="A312" s="1"/>
      <c r="B312" s="3">
        <v>42754</v>
      </c>
      <c r="C312" s="4">
        <v>16</v>
      </c>
      <c r="D312" s="4">
        <v>15.968</v>
      </c>
      <c r="E312" s="4">
        <v>150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16</v>
      </c>
      <c r="D313" s="4">
        <v>15.968</v>
      </c>
      <c r="E313" s="4">
        <v>0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16</v>
      </c>
      <c r="D314" s="4">
        <v>15.968</v>
      </c>
      <c r="E314" s="4">
        <v>175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15.9</v>
      </c>
      <c r="D315" s="4">
        <v>15.8682</v>
      </c>
      <c r="E315" s="4">
        <v>500</v>
      </c>
      <c r="F315" s="4"/>
      <c r="G315" s="4"/>
      <c r="H315" s="5">
        <f t="shared" si="4"/>
        <v>-6.2500000000000073E-3</v>
      </c>
    </row>
    <row r="316" spans="1:8" ht="13.5" x14ac:dyDescent="0.25">
      <c r="A316" s="1"/>
      <c r="B316" s="3">
        <v>42760</v>
      </c>
      <c r="C316" s="4">
        <v>15.7</v>
      </c>
      <c r="D316" s="4">
        <v>15.6686</v>
      </c>
      <c r="E316" s="4">
        <v>170</v>
      </c>
      <c r="F316" s="4"/>
      <c r="G316" s="4"/>
      <c r="H316" s="5">
        <f t="shared" si="4"/>
        <v>-1.2578616352201272E-2</v>
      </c>
    </row>
    <row r="317" spans="1:8" ht="13.5" x14ac:dyDescent="0.25">
      <c r="A317" s="1"/>
      <c r="B317" s="3">
        <v>42761</v>
      </c>
      <c r="C317" s="4">
        <v>15.7</v>
      </c>
      <c r="D317" s="4">
        <v>15.6686</v>
      </c>
      <c r="E317" s="4">
        <v>450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15.7</v>
      </c>
      <c r="D318" s="4">
        <v>15.6686</v>
      </c>
      <c r="E318" s="4">
        <v>125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15.7</v>
      </c>
      <c r="D319" s="4">
        <v>15.6686</v>
      </c>
      <c r="E319" s="4">
        <v>200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15.65</v>
      </c>
      <c r="D320" s="4">
        <v>15.6187</v>
      </c>
      <c r="E320" s="4">
        <v>1500</v>
      </c>
      <c r="F320" s="4"/>
      <c r="G320" s="4"/>
      <c r="H320" s="5">
        <f t="shared" si="4"/>
        <v>-3.1847133757961252E-3</v>
      </c>
    </row>
    <row r="321" spans="1:8" ht="13.5" x14ac:dyDescent="0.25">
      <c r="A321" s="1"/>
      <c r="B321" s="3">
        <v>42767</v>
      </c>
      <c r="C321" s="4">
        <v>15.9</v>
      </c>
      <c r="D321" s="4">
        <v>15.8682</v>
      </c>
      <c r="E321" s="4">
        <v>100</v>
      </c>
      <c r="F321" s="4"/>
      <c r="G321" s="4"/>
      <c r="H321" s="5">
        <f t="shared" si="4"/>
        <v>1.5974440894568651E-2</v>
      </c>
    </row>
    <row r="322" spans="1:8" ht="13.5" x14ac:dyDescent="0.25">
      <c r="A322" s="1"/>
      <c r="B322" s="3">
        <v>42768</v>
      </c>
      <c r="C322" s="4">
        <v>15.89</v>
      </c>
      <c r="D322" s="4">
        <v>15.8582</v>
      </c>
      <c r="E322" s="4">
        <v>100</v>
      </c>
      <c r="F322" s="4"/>
      <c r="G322" s="4"/>
      <c r="H322" s="5">
        <f t="shared" si="4"/>
        <v>-6.3019120001006959E-4</v>
      </c>
    </row>
    <row r="323" spans="1:8" ht="13.5" x14ac:dyDescent="0.25">
      <c r="A323" s="1"/>
      <c r="B323" s="3">
        <v>42769</v>
      </c>
      <c r="C323" s="4">
        <v>15.89</v>
      </c>
      <c r="D323" s="4">
        <v>15.8582</v>
      </c>
      <c r="E323" s="4">
        <v>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15.89</v>
      </c>
      <c r="D324" s="4">
        <v>15.8582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15.89</v>
      </c>
      <c r="D325" s="4">
        <v>15.8582</v>
      </c>
      <c r="E325" s="4">
        <v>151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15.89</v>
      </c>
      <c r="D326" s="4">
        <v>15.8582</v>
      </c>
      <c r="E326" s="4">
        <v>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15.85</v>
      </c>
      <c r="D327" s="4">
        <v>15.818300000000001</v>
      </c>
      <c r="E327" s="4">
        <v>50</v>
      </c>
      <c r="F327" s="4"/>
      <c r="G327" s="4"/>
      <c r="H327" s="5">
        <f t="shared" ref="H327:H390" si="5">(D327-D326)/D326</f>
        <v>-2.5160484796508671E-3</v>
      </c>
    </row>
    <row r="328" spans="1:8" ht="13.5" x14ac:dyDescent="0.25">
      <c r="A328" s="1"/>
      <c r="B328" s="3">
        <v>42776</v>
      </c>
      <c r="C328" s="4">
        <v>15.9</v>
      </c>
      <c r="D328" s="4">
        <v>15.8682</v>
      </c>
      <c r="E328" s="4">
        <v>1400</v>
      </c>
      <c r="F328" s="4"/>
      <c r="G328" s="4"/>
      <c r="H328" s="5">
        <f t="shared" si="5"/>
        <v>3.154574132492061E-3</v>
      </c>
    </row>
    <row r="329" spans="1:8" ht="13.5" x14ac:dyDescent="0.25">
      <c r="A329" s="1"/>
      <c r="B329" s="3">
        <v>42779</v>
      </c>
      <c r="C329" s="4">
        <v>15.9</v>
      </c>
      <c r="D329" s="4">
        <v>15.8682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15.8</v>
      </c>
      <c r="D330" s="4">
        <v>15.7684</v>
      </c>
      <c r="E330" s="4">
        <v>1101</v>
      </c>
      <c r="F330" s="4"/>
      <c r="G330" s="4"/>
      <c r="H330" s="5">
        <f t="shared" si="5"/>
        <v>-6.2893081761006362E-3</v>
      </c>
    </row>
    <row r="331" spans="1:8" ht="13.5" x14ac:dyDescent="0.25">
      <c r="A331" s="1"/>
      <c r="B331" s="3">
        <v>42781</v>
      </c>
      <c r="C331" s="4">
        <v>15.7</v>
      </c>
      <c r="D331" s="4">
        <v>15.6686</v>
      </c>
      <c r="E331" s="4">
        <v>331</v>
      </c>
      <c r="F331" s="4"/>
      <c r="G331" s="4"/>
      <c r="H331" s="5">
        <f t="shared" si="5"/>
        <v>-6.3291139240506398E-3</v>
      </c>
    </row>
    <row r="332" spans="1:8" ht="13.5" x14ac:dyDescent="0.25">
      <c r="A332" s="1"/>
      <c r="B332" s="3">
        <v>42782</v>
      </c>
      <c r="C332" s="4">
        <v>15.69</v>
      </c>
      <c r="D332" s="4">
        <v>15.6586</v>
      </c>
      <c r="E332" s="4">
        <v>103</v>
      </c>
      <c r="F332" s="4"/>
      <c r="G332" s="4"/>
      <c r="H332" s="5">
        <f t="shared" si="5"/>
        <v>-6.3821911338599404E-4</v>
      </c>
    </row>
    <row r="333" spans="1:8" ht="13.5" x14ac:dyDescent="0.25">
      <c r="A333" s="1"/>
      <c r="B333" s="3">
        <v>42783</v>
      </c>
      <c r="C333" s="4">
        <v>15.67</v>
      </c>
      <c r="D333" s="4">
        <v>15.6387</v>
      </c>
      <c r="E333" s="4">
        <v>178</v>
      </c>
      <c r="F333" s="4"/>
      <c r="G333" s="4"/>
      <c r="H333" s="5">
        <f t="shared" si="5"/>
        <v>-1.2708671273293786E-3</v>
      </c>
    </row>
    <row r="334" spans="1:8" ht="13.5" x14ac:dyDescent="0.25">
      <c r="A334" s="1"/>
      <c r="B334" s="3">
        <v>42786</v>
      </c>
      <c r="C334" s="4">
        <v>15.67</v>
      </c>
      <c r="D334" s="4">
        <v>15.6387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16.3</v>
      </c>
      <c r="D335" s="4">
        <v>16.267399999999999</v>
      </c>
      <c r="E335" s="4">
        <v>2</v>
      </c>
      <c r="F335" s="4"/>
      <c r="G335" s="4"/>
      <c r="H335" s="5">
        <f t="shared" si="5"/>
        <v>4.0201551279837738E-2</v>
      </c>
    </row>
    <row r="336" spans="1:8" ht="13.5" x14ac:dyDescent="0.25">
      <c r="A336" s="1"/>
      <c r="B336" s="3">
        <v>42788</v>
      </c>
      <c r="C336" s="4">
        <v>16.3</v>
      </c>
      <c r="D336" s="4">
        <v>16.267399999999999</v>
      </c>
      <c r="E336" s="4">
        <v>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15.9</v>
      </c>
      <c r="D337" s="4">
        <v>15.8682</v>
      </c>
      <c r="E337" s="4">
        <v>60</v>
      </c>
      <c r="F337" s="4"/>
      <c r="G337" s="4"/>
      <c r="H337" s="5">
        <f t="shared" si="5"/>
        <v>-2.4539877300613418E-2</v>
      </c>
    </row>
    <row r="338" spans="1:8" ht="13.5" x14ac:dyDescent="0.25">
      <c r="A338" s="1"/>
      <c r="B338" s="3">
        <v>42790</v>
      </c>
      <c r="C338" s="4">
        <v>16</v>
      </c>
      <c r="D338" s="4">
        <v>15.968</v>
      </c>
      <c r="E338" s="4">
        <v>6</v>
      </c>
      <c r="F338" s="4"/>
      <c r="G338" s="4"/>
      <c r="H338" s="5">
        <f t="shared" si="5"/>
        <v>6.2893081761006362E-3</v>
      </c>
    </row>
    <row r="339" spans="1:8" ht="13.5" x14ac:dyDescent="0.25">
      <c r="A339" s="1"/>
      <c r="B339" s="3">
        <v>42793</v>
      </c>
      <c r="C339" s="4">
        <v>16</v>
      </c>
      <c r="D339" s="4">
        <v>15.968</v>
      </c>
      <c r="E339" s="4">
        <v>50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16.02</v>
      </c>
      <c r="D340" s="4">
        <v>15.988</v>
      </c>
      <c r="E340" s="4">
        <v>571</v>
      </c>
      <c r="F340" s="4"/>
      <c r="G340" s="4"/>
      <c r="H340" s="5">
        <f t="shared" si="5"/>
        <v>1.2525050100200134E-3</v>
      </c>
    </row>
    <row r="341" spans="1:8" ht="13.5" x14ac:dyDescent="0.25">
      <c r="A341" s="1"/>
      <c r="B341" s="3">
        <v>42795</v>
      </c>
      <c r="C341" s="4">
        <v>16.3</v>
      </c>
      <c r="D341" s="4">
        <v>16.267399999999999</v>
      </c>
      <c r="E341" s="4">
        <v>293</v>
      </c>
      <c r="F341" s="4"/>
      <c r="G341" s="4"/>
      <c r="H341" s="5">
        <f t="shared" si="5"/>
        <v>1.7475606705028707E-2</v>
      </c>
    </row>
    <row r="342" spans="1:8" ht="13.5" x14ac:dyDescent="0.25">
      <c r="A342" s="1"/>
      <c r="B342" s="3">
        <v>42796</v>
      </c>
      <c r="C342" s="4">
        <v>16.3</v>
      </c>
      <c r="D342" s="4">
        <v>16.267399999999999</v>
      </c>
      <c r="E342" s="4">
        <v>210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16.5</v>
      </c>
      <c r="D343" s="4">
        <v>16.466999999999999</v>
      </c>
      <c r="E343" s="4">
        <v>151</v>
      </c>
      <c r="F343" s="4"/>
      <c r="G343" s="4"/>
      <c r="H343" s="5">
        <f t="shared" si="5"/>
        <v>1.2269938650306763E-2</v>
      </c>
    </row>
    <row r="344" spans="1:8" ht="13.5" x14ac:dyDescent="0.25">
      <c r="A344" s="1"/>
      <c r="B344" s="3">
        <v>42800</v>
      </c>
      <c r="C344" s="4">
        <v>16.5</v>
      </c>
      <c r="D344" s="4">
        <v>16.466999999999999</v>
      </c>
      <c r="E344" s="4">
        <v>20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16.399999999999999</v>
      </c>
      <c r="D345" s="4">
        <v>16.3672</v>
      </c>
      <c r="E345" s="4">
        <v>100</v>
      </c>
      <c r="F345" s="4"/>
      <c r="G345" s="4"/>
      <c r="H345" s="5">
        <f t="shared" si="5"/>
        <v>-6.06060606060596E-3</v>
      </c>
    </row>
    <row r="346" spans="1:8" ht="13.5" x14ac:dyDescent="0.25">
      <c r="A346" s="1"/>
      <c r="B346" s="3">
        <v>42802</v>
      </c>
      <c r="C346" s="4">
        <v>16.399999999999999</v>
      </c>
      <c r="D346" s="4">
        <v>16.3672</v>
      </c>
      <c r="E346" s="4">
        <v>500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16.399999999999999</v>
      </c>
      <c r="D347" s="4">
        <v>16.3672</v>
      </c>
      <c r="E347" s="4">
        <v>17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16.399999999999999</v>
      </c>
      <c r="D348" s="4">
        <v>16.3672</v>
      </c>
      <c r="E348" s="4">
        <v>10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16.399999999999999</v>
      </c>
      <c r="D349" s="4">
        <v>16.3672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15.67</v>
      </c>
      <c r="D350" s="4">
        <v>15.6387</v>
      </c>
      <c r="E350" s="4">
        <v>0</v>
      </c>
      <c r="F350" s="4"/>
      <c r="G350" s="4"/>
      <c r="H350" s="5">
        <f t="shared" si="5"/>
        <v>-4.4509751209736569E-2</v>
      </c>
    </row>
    <row r="351" spans="1:8" ht="13.5" x14ac:dyDescent="0.25">
      <c r="A351" s="1"/>
      <c r="B351" s="3">
        <v>42809</v>
      </c>
      <c r="C351" s="4">
        <v>15.86</v>
      </c>
      <c r="D351" s="4">
        <v>15.8283</v>
      </c>
      <c r="E351" s="4">
        <v>1403</v>
      </c>
      <c r="F351" s="4"/>
      <c r="G351" s="4"/>
      <c r="H351" s="5">
        <f t="shared" si="5"/>
        <v>1.2123769878570497E-2</v>
      </c>
    </row>
    <row r="352" spans="1:8" ht="13.5" x14ac:dyDescent="0.25">
      <c r="A352" s="1"/>
      <c r="B352" s="3">
        <v>42810</v>
      </c>
      <c r="C352" s="4">
        <v>15.86</v>
      </c>
      <c r="D352" s="4">
        <v>15.8283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16.3</v>
      </c>
      <c r="D353" s="4">
        <v>16.267399999999999</v>
      </c>
      <c r="E353" s="4">
        <v>40</v>
      </c>
      <c r="F353" s="4"/>
      <c r="G353" s="4"/>
      <c r="H353" s="5">
        <f t="shared" si="5"/>
        <v>2.7741450440034496E-2</v>
      </c>
    </row>
    <row r="354" spans="1:8" ht="13.5" x14ac:dyDescent="0.25">
      <c r="A354" s="1"/>
      <c r="B354" s="3">
        <v>42815</v>
      </c>
      <c r="C354" s="4">
        <v>15.85</v>
      </c>
      <c r="D354" s="4">
        <v>15.818300000000001</v>
      </c>
      <c r="E354" s="4">
        <v>20</v>
      </c>
      <c r="F354" s="4"/>
      <c r="G354" s="4"/>
      <c r="H354" s="5">
        <f t="shared" si="5"/>
        <v>-2.7607361963190052E-2</v>
      </c>
    </row>
    <row r="355" spans="1:8" ht="13.5" x14ac:dyDescent="0.25">
      <c r="A355" s="1"/>
      <c r="B355" s="3">
        <v>42816</v>
      </c>
      <c r="C355" s="4">
        <v>16.39</v>
      </c>
      <c r="D355" s="4">
        <v>16.357199999999999</v>
      </c>
      <c r="E355" s="4">
        <v>22</v>
      </c>
      <c r="F355" s="4"/>
      <c r="G355" s="4"/>
      <c r="H355" s="5">
        <f t="shared" si="5"/>
        <v>3.4068136272544972E-2</v>
      </c>
    </row>
    <row r="356" spans="1:8" ht="13.5" x14ac:dyDescent="0.25">
      <c r="A356" s="1"/>
      <c r="B356" s="3">
        <v>42817</v>
      </c>
      <c r="C356" s="4">
        <v>16.39</v>
      </c>
      <c r="D356" s="4">
        <v>16.357199999999999</v>
      </c>
      <c r="E356" s="4">
        <v>13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16.399999999999999</v>
      </c>
      <c r="D357" s="4">
        <v>16.3672</v>
      </c>
      <c r="E357" s="4">
        <v>20</v>
      </c>
      <c r="F357" s="4"/>
      <c r="G357" s="4"/>
      <c r="H357" s="5">
        <f t="shared" si="5"/>
        <v>6.1135157606445872E-4</v>
      </c>
    </row>
    <row r="358" spans="1:8" ht="13.5" x14ac:dyDescent="0.25">
      <c r="A358" s="1"/>
      <c r="B358" s="3">
        <v>42821</v>
      </c>
      <c r="C358" s="4">
        <v>16.399999999999999</v>
      </c>
      <c r="D358" s="4">
        <v>16.3672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16.46</v>
      </c>
      <c r="D359" s="4">
        <v>16.427099999999999</v>
      </c>
      <c r="E359" s="4">
        <v>45</v>
      </c>
      <c r="F359" s="4"/>
      <c r="G359" s="4"/>
      <c r="H359" s="5">
        <f t="shared" si="5"/>
        <v>3.6597585414731263E-3</v>
      </c>
    </row>
    <row r="360" spans="1:8" ht="13.5" x14ac:dyDescent="0.25">
      <c r="A360" s="1"/>
      <c r="B360" s="3">
        <v>42823</v>
      </c>
      <c r="C360" s="4">
        <v>16.45</v>
      </c>
      <c r="D360" s="4">
        <v>16.417100000000001</v>
      </c>
      <c r="E360" s="4">
        <v>10</v>
      </c>
      <c r="F360" s="4"/>
      <c r="G360" s="4"/>
      <c r="H360" s="5">
        <f t="shared" si="5"/>
        <v>-6.0875017501555427E-4</v>
      </c>
    </row>
    <row r="361" spans="1:8" ht="13.5" x14ac:dyDescent="0.25">
      <c r="A361" s="1"/>
      <c r="B361" s="3">
        <v>42824</v>
      </c>
      <c r="C361" s="4">
        <v>16.45</v>
      </c>
      <c r="D361" s="4">
        <v>16.417100000000001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16.45</v>
      </c>
      <c r="D362" s="4">
        <v>16.417100000000001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16.45</v>
      </c>
      <c r="D363" s="4">
        <v>16.417100000000001</v>
      </c>
      <c r="E363" s="4">
        <v>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16.28</v>
      </c>
      <c r="D364" s="4">
        <v>16.247399999999999</v>
      </c>
      <c r="E364" s="4">
        <v>10</v>
      </c>
      <c r="F364" s="4"/>
      <c r="G364" s="4"/>
      <c r="H364" s="5">
        <f t="shared" si="5"/>
        <v>-1.0336782988469486E-2</v>
      </c>
    </row>
    <row r="365" spans="1:8" ht="13.5" x14ac:dyDescent="0.25">
      <c r="A365" s="1"/>
      <c r="B365" s="3">
        <v>42830</v>
      </c>
      <c r="C365" s="4">
        <v>16</v>
      </c>
      <c r="D365" s="4">
        <v>15.968</v>
      </c>
      <c r="E365" s="4">
        <v>300</v>
      </c>
      <c r="F365" s="4"/>
      <c r="G365" s="4"/>
      <c r="H365" s="5">
        <f t="shared" si="5"/>
        <v>-1.7196597609463606E-2</v>
      </c>
    </row>
    <row r="366" spans="1:8" ht="13.5" x14ac:dyDescent="0.25">
      <c r="A366" s="1"/>
      <c r="B366" s="3">
        <v>42831</v>
      </c>
      <c r="C366" s="4">
        <v>16</v>
      </c>
      <c r="D366" s="4">
        <v>15.968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16</v>
      </c>
      <c r="D367" s="4">
        <v>15.968</v>
      </c>
      <c r="E367" s="4">
        <v>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16</v>
      </c>
      <c r="D368" s="4">
        <v>15.968</v>
      </c>
      <c r="E368" s="4">
        <v>0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16</v>
      </c>
      <c r="D369" s="4">
        <v>15.968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16</v>
      </c>
      <c r="D370" s="4">
        <v>15.968</v>
      </c>
      <c r="E370" s="4">
        <v>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16</v>
      </c>
      <c r="D371" s="4">
        <v>15.968</v>
      </c>
      <c r="E371" s="4">
        <v>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15.52</v>
      </c>
      <c r="D372" s="4">
        <v>15.489000000000001</v>
      </c>
      <c r="E372" s="4">
        <v>3</v>
      </c>
      <c r="F372" s="4"/>
      <c r="G372" s="4"/>
      <c r="H372" s="5">
        <f t="shared" si="5"/>
        <v>-2.999749498997991E-2</v>
      </c>
    </row>
    <row r="373" spans="1:8" ht="13.5" x14ac:dyDescent="0.25">
      <c r="A373" s="1"/>
      <c r="B373" s="3">
        <v>42842</v>
      </c>
      <c r="C373" s="4">
        <v>15.6</v>
      </c>
      <c r="D373" s="4">
        <v>15.5688</v>
      </c>
      <c r="E373" s="4">
        <v>20</v>
      </c>
      <c r="F373" s="4"/>
      <c r="G373" s="4"/>
      <c r="H373" s="5">
        <f t="shared" si="5"/>
        <v>5.1520433856284305E-3</v>
      </c>
    </row>
    <row r="374" spans="1:8" ht="13.5" x14ac:dyDescent="0.25">
      <c r="A374" s="1"/>
      <c r="B374" s="3">
        <v>42843</v>
      </c>
      <c r="C374" s="4">
        <v>15.6</v>
      </c>
      <c r="D374" s="4">
        <v>15.5688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15.5</v>
      </c>
      <c r="D375" s="4">
        <v>15.468999999999999</v>
      </c>
      <c r="E375" s="4">
        <v>865</v>
      </c>
      <c r="F375" s="4"/>
      <c r="G375" s="4"/>
      <c r="H375" s="5">
        <f t="shared" si="5"/>
        <v>-6.4102564102564178E-3</v>
      </c>
    </row>
    <row r="376" spans="1:8" ht="13.5" x14ac:dyDescent="0.25">
      <c r="A376" s="1"/>
      <c r="B376" s="3">
        <v>42845</v>
      </c>
      <c r="C376" s="4">
        <v>15.5</v>
      </c>
      <c r="D376" s="4">
        <v>15.468999999999999</v>
      </c>
      <c r="E376" s="4">
        <v>1251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15.5</v>
      </c>
      <c r="D377" s="4">
        <v>15.468999999999999</v>
      </c>
      <c r="E377" s="4">
        <v>600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15.5</v>
      </c>
      <c r="D378" s="4">
        <v>15.468999999999999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15.5</v>
      </c>
      <c r="D379" s="4">
        <v>15.468999999999999</v>
      </c>
      <c r="E379" s="4">
        <v>0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15.94</v>
      </c>
      <c r="D380" s="4">
        <v>15.908099999999999</v>
      </c>
      <c r="E380" s="4">
        <v>100</v>
      </c>
      <c r="F380" s="4"/>
      <c r="G380" s="4"/>
      <c r="H380" s="5">
        <f t="shared" si="5"/>
        <v>2.8385803865796099E-2</v>
      </c>
    </row>
    <row r="381" spans="1:8" ht="13.5" x14ac:dyDescent="0.25">
      <c r="A381" s="1"/>
      <c r="B381" s="3">
        <v>42852</v>
      </c>
      <c r="C381" s="4">
        <v>15.94</v>
      </c>
      <c r="D381" s="4">
        <v>15.908099999999999</v>
      </c>
      <c r="E381" s="4">
        <v>20</v>
      </c>
      <c r="F381" s="4"/>
      <c r="G381" s="4"/>
      <c r="H381" s="5">
        <f t="shared" si="5"/>
        <v>0</v>
      </c>
    </row>
    <row r="382" spans="1:8" ht="13.5" x14ac:dyDescent="0.25">
      <c r="A382" s="1"/>
      <c r="B382" s="3">
        <v>42853</v>
      </c>
      <c r="C382" s="4">
        <v>15.94</v>
      </c>
      <c r="D382" s="4">
        <v>15.908099999999999</v>
      </c>
      <c r="E382" s="4">
        <v>0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16</v>
      </c>
      <c r="D383" s="4">
        <v>15.968</v>
      </c>
      <c r="E383" s="4">
        <v>3</v>
      </c>
      <c r="F383" s="4"/>
      <c r="G383" s="4"/>
      <c r="H383" s="5">
        <f t="shared" si="5"/>
        <v>3.765377386362968E-3</v>
      </c>
    </row>
    <row r="384" spans="1:8" ht="13.5" x14ac:dyDescent="0.25">
      <c r="A384" s="1"/>
      <c r="B384" s="3">
        <v>42858</v>
      </c>
      <c r="C384" s="4">
        <v>16</v>
      </c>
      <c r="D384" s="4">
        <v>15.968</v>
      </c>
      <c r="E384" s="4">
        <v>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16</v>
      </c>
      <c r="D385" s="4">
        <v>15.968</v>
      </c>
      <c r="E385" s="4">
        <v>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16</v>
      </c>
      <c r="D386" s="4">
        <v>15.968</v>
      </c>
      <c r="E386" s="4">
        <v>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16</v>
      </c>
      <c r="D387" s="4">
        <v>15.968</v>
      </c>
      <c r="E387" s="4">
        <v>80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16</v>
      </c>
      <c r="D388" s="4">
        <v>15.968</v>
      </c>
      <c r="E388" s="4">
        <v>0</v>
      </c>
      <c r="F388" s="4"/>
      <c r="G388" s="4"/>
      <c r="H388" s="5">
        <f t="shared" si="5"/>
        <v>0</v>
      </c>
    </row>
    <row r="389" spans="1:8" ht="13.5" x14ac:dyDescent="0.25">
      <c r="A389" s="1"/>
      <c r="B389" s="3">
        <v>42865</v>
      </c>
      <c r="C389" s="4">
        <v>16</v>
      </c>
      <c r="D389" s="4">
        <v>15.968</v>
      </c>
      <c r="E389" s="4">
        <v>160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16.3</v>
      </c>
      <c r="D390" s="4">
        <v>16.267399999999999</v>
      </c>
      <c r="E390" s="4">
        <v>500</v>
      </c>
      <c r="F390" s="4"/>
      <c r="G390" s="4"/>
      <c r="H390" s="5">
        <f t="shared" si="5"/>
        <v>1.8749999999999909E-2</v>
      </c>
    </row>
    <row r="391" spans="1:8" ht="13.5" x14ac:dyDescent="0.25">
      <c r="A391" s="1"/>
      <c r="B391" s="3">
        <v>42867</v>
      </c>
      <c r="C391" s="4">
        <v>16.3</v>
      </c>
      <c r="D391" s="4">
        <v>16.267399999999999</v>
      </c>
      <c r="E391" s="4">
        <v>0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16.190000000000001</v>
      </c>
      <c r="D392" s="4">
        <v>16.157599999999999</v>
      </c>
      <c r="E392" s="4">
        <v>25</v>
      </c>
      <c r="F392" s="4"/>
      <c r="G392" s="4"/>
      <c r="H392" s="5">
        <f t="shared" si="6"/>
        <v>-6.7496957104392777E-3</v>
      </c>
    </row>
    <row r="393" spans="1:8" ht="13.5" x14ac:dyDescent="0.25">
      <c r="A393" s="1"/>
      <c r="B393" s="3">
        <v>42871</v>
      </c>
      <c r="C393" s="4">
        <v>16.2</v>
      </c>
      <c r="D393" s="4">
        <v>16.1676</v>
      </c>
      <c r="E393" s="4">
        <v>470</v>
      </c>
      <c r="F393" s="4"/>
      <c r="G393" s="4"/>
      <c r="H393" s="5">
        <f t="shared" si="6"/>
        <v>6.1890379759379881E-4</v>
      </c>
    </row>
    <row r="394" spans="1:8" ht="13.5" x14ac:dyDescent="0.25">
      <c r="A394" s="1"/>
      <c r="B394" s="3">
        <v>42872</v>
      </c>
      <c r="C394" s="4">
        <v>16</v>
      </c>
      <c r="D394" s="4">
        <v>15.968</v>
      </c>
      <c r="E394" s="4">
        <v>153</v>
      </c>
      <c r="F394" s="4"/>
      <c r="G394" s="4"/>
      <c r="H394" s="5">
        <f t="shared" si="6"/>
        <v>-1.2345679012345692E-2</v>
      </c>
    </row>
    <row r="395" spans="1:8" ht="13.5" x14ac:dyDescent="0.25">
      <c r="A395" s="1"/>
      <c r="B395" s="3">
        <v>42873</v>
      </c>
      <c r="C395" s="4">
        <v>16</v>
      </c>
      <c r="D395" s="4">
        <v>15.968</v>
      </c>
      <c r="E395" s="4">
        <v>0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16</v>
      </c>
      <c r="D396" s="4">
        <v>15.968</v>
      </c>
      <c r="E396" s="4">
        <v>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16</v>
      </c>
      <c r="D397" s="4">
        <v>15.968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16</v>
      </c>
      <c r="D398" s="4">
        <v>15.968</v>
      </c>
      <c r="E398" s="4">
        <v>0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16</v>
      </c>
      <c r="D399" s="4">
        <v>15.968</v>
      </c>
      <c r="E399" s="4">
        <v>0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16</v>
      </c>
      <c r="D400" s="4">
        <v>15.968</v>
      </c>
      <c r="E400" s="4">
        <v>875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16</v>
      </c>
      <c r="D401" s="4">
        <v>15.968</v>
      </c>
      <c r="E401" s="4">
        <v>539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16</v>
      </c>
      <c r="D402" s="4">
        <v>15.968</v>
      </c>
      <c r="E402" s="4">
        <v>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15.52</v>
      </c>
      <c r="D403" s="4">
        <v>15.489000000000001</v>
      </c>
      <c r="E403" s="4">
        <v>0</v>
      </c>
      <c r="F403" s="4"/>
      <c r="G403" s="4"/>
      <c r="H403" s="5">
        <f t="shared" si="6"/>
        <v>-2.999749498997991E-2</v>
      </c>
    </row>
    <row r="404" spans="1:8" ht="13.5" x14ac:dyDescent="0.25">
      <c r="A404" s="1"/>
      <c r="B404" s="3">
        <v>42886</v>
      </c>
      <c r="C404" s="4">
        <v>14.86</v>
      </c>
      <c r="D404" s="4">
        <v>14.830299999999999</v>
      </c>
      <c r="E404" s="4">
        <v>4</v>
      </c>
      <c r="F404" s="4"/>
      <c r="G404" s="4"/>
      <c r="H404" s="5">
        <f t="shared" si="6"/>
        <v>-4.2526954612951216E-2</v>
      </c>
    </row>
    <row r="405" spans="1:8" ht="13.5" x14ac:dyDescent="0.25">
      <c r="A405" s="1"/>
      <c r="B405" s="3">
        <v>42887</v>
      </c>
      <c r="C405" s="4">
        <v>14.86</v>
      </c>
      <c r="D405" s="4">
        <v>14.830299999999999</v>
      </c>
      <c r="E405" s="4">
        <v>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14.86</v>
      </c>
      <c r="D406" s="4">
        <v>14.830299999999999</v>
      </c>
      <c r="E406" s="4">
        <v>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14.86</v>
      </c>
      <c r="D407" s="4">
        <v>14.830299999999999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15.3</v>
      </c>
      <c r="D408" s="4">
        <v>15.269399999999999</v>
      </c>
      <c r="E408" s="4">
        <v>66</v>
      </c>
      <c r="F408" s="4"/>
      <c r="G408" s="4"/>
      <c r="H408" s="5">
        <f t="shared" si="6"/>
        <v>2.9608301922415585E-2</v>
      </c>
    </row>
    <row r="409" spans="1:8" ht="13.5" x14ac:dyDescent="0.25">
      <c r="A409" s="1"/>
      <c r="B409" s="3">
        <v>42893</v>
      </c>
      <c r="C409" s="4">
        <v>15.3</v>
      </c>
      <c r="D409" s="4">
        <v>15.269399999999999</v>
      </c>
      <c r="E409" s="4">
        <v>20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15.5</v>
      </c>
      <c r="D410" s="4">
        <v>15.468999999999999</v>
      </c>
      <c r="E410" s="4">
        <v>65</v>
      </c>
      <c r="F410" s="4"/>
      <c r="G410" s="4"/>
      <c r="H410" s="5">
        <f t="shared" si="6"/>
        <v>1.3071895424836617E-2</v>
      </c>
    </row>
    <row r="411" spans="1:8" ht="13.5" x14ac:dyDescent="0.25">
      <c r="A411" s="1"/>
      <c r="B411" s="3">
        <v>42895</v>
      </c>
      <c r="C411" s="4">
        <v>15.3</v>
      </c>
      <c r="D411" s="4">
        <v>15.269399999999999</v>
      </c>
      <c r="E411" s="4">
        <v>100</v>
      </c>
      <c r="F411" s="4"/>
      <c r="G411" s="4"/>
      <c r="H411" s="5">
        <f t="shared" si="6"/>
        <v>-1.2903225806451629E-2</v>
      </c>
    </row>
    <row r="412" spans="1:8" ht="13.5" x14ac:dyDescent="0.25">
      <c r="A412" s="1"/>
      <c r="B412" s="3">
        <v>42898</v>
      </c>
      <c r="C412" s="4">
        <v>15.3</v>
      </c>
      <c r="D412" s="4">
        <v>15.269399999999999</v>
      </c>
      <c r="E412" s="4">
        <v>0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15.2</v>
      </c>
      <c r="D413" s="4">
        <v>15.169600000000001</v>
      </c>
      <c r="E413" s="4">
        <v>50</v>
      </c>
      <c r="F413" s="4"/>
      <c r="G413" s="4"/>
      <c r="H413" s="5">
        <f t="shared" si="6"/>
        <v>-6.5359477124181916E-3</v>
      </c>
    </row>
    <row r="414" spans="1:8" ht="13.5" x14ac:dyDescent="0.25">
      <c r="A414" s="1"/>
      <c r="B414" s="3">
        <v>42900</v>
      </c>
      <c r="C414" s="4">
        <v>15.2</v>
      </c>
      <c r="D414" s="4">
        <v>15.169600000000001</v>
      </c>
      <c r="E414" s="4">
        <v>0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15.2</v>
      </c>
      <c r="D415" s="4">
        <v>15.169600000000001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15.2</v>
      </c>
      <c r="D416" s="4">
        <v>15.169600000000001</v>
      </c>
      <c r="E416" s="4">
        <v>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15.2</v>
      </c>
      <c r="D417" s="4">
        <v>15.169600000000001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15.2</v>
      </c>
      <c r="D418" s="4">
        <v>15.169600000000001</v>
      </c>
      <c r="E418" s="4">
        <v>369</v>
      </c>
      <c r="F418" s="4"/>
      <c r="G418" s="4"/>
      <c r="H418" s="5">
        <f t="shared" si="6"/>
        <v>0</v>
      </c>
    </row>
    <row r="419" spans="1:8" ht="13.5" x14ac:dyDescent="0.25">
      <c r="A419" s="1"/>
      <c r="B419" s="3">
        <v>42907</v>
      </c>
      <c r="C419" s="4">
        <v>15</v>
      </c>
      <c r="D419" s="4">
        <v>14.97</v>
      </c>
      <c r="E419" s="4">
        <v>20</v>
      </c>
      <c r="F419" s="4"/>
      <c r="G419" s="4"/>
      <c r="H419" s="5">
        <f t="shared" si="6"/>
        <v>-1.3157894736842118E-2</v>
      </c>
    </row>
    <row r="420" spans="1:8" ht="13.5" x14ac:dyDescent="0.25">
      <c r="A420" s="1"/>
      <c r="B420" s="3">
        <v>42908</v>
      </c>
      <c r="C420" s="4">
        <v>15.3</v>
      </c>
      <c r="D420" s="4">
        <v>15.269399999999999</v>
      </c>
      <c r="E420" s="4">
        <v>100</v>
      </c>
      <c r="F420" s="4"/>
      <c r="G420" s="4"/>
      <c r="H420" s="5">
        <f t="shared" si="6"/>
        <v>1.9999999999999903E-2</v>
      </c>
    </row>
    <row r="421" spans="1:8" ht="13.5" x14ac:dyDescent="0.25">
      <c r="A421" s="1"/>
      <c r="B421" s="3">
        <v>42909</v>
      </c>
      <c r="C421" s="4">
        <v>15</v>
      </c>
      <c r="D421" s="4">
        <v>14.97</v>
      </c>
      <c r="E421" s="4">
        <v>133</v>
      </c>
      <c r="F421" s="4"/>
      <c r="G421" s="4"/>
      <c r="H421" s="5">
        <f t="shared" si="6"/>
        <v>-1.9607843137254808E-2</v>
      </c>
    </row>
    <row r="422" spans="1:8" ht="13.5" x14ac:dyDescent="0.25">
      <c r="A422" s="1"/>
      <c r="B422" s="3">
        <v>42914</v>
      </c>
      <c r="C422" s="4">
        <v>15</v>
      </c>
      <c r="D422" s="4">
        <v>14.97</v>
      </c>
      <c r="E422" s="4">
        <v>3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15</v>
      </c>
      <c r="D423" s="4">
        <v>14.97</v>
      </c>
      <c r="E423" s="4">
        <v>14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15.25</v>
      </c>
      <c r="D424" s="4">
        <v>15.2195</v>
      </c>
      <c r="E424" s="4">
        <v>100</v>
      </c>
      <c r="F424" s="4"/>
      <c r="G424" s="4"/>
      <c r="H424" s="5">
        <f t="shared" si="6"/>
        <v>1.6666666666666625E-2</v>
      </c>
    </row>
    <row r="425" spans="1:8" ht="13.5" x14ac:dyDescent="0.25">
      <c r="A425" s="1"/>
      <c r="B425" s="3">
        <v>42919</v>
      </c>
      <c r="C425" s="4">
        <v>15.25</v>
      </c>
      <c r="D425" s="4">
        <v>15.2195</v>
      </c>
      <c r="E425" s="4">
        <v>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14.89</v>
      </c>
      <c r="D426" s="4">
        <v>14.860200000000001</v>
      </c>
      <c r="E426" s="4">
        <v>225</v>
      </c>
      <c r="F426" s="4"/>
      <c r="G426" s="4"/>
      <c r="H426" s="5">
        <f t="shared" si="6"/>
        <v>-2.3607871480666204E-2</v>
      </c>
    </row>
    <row r="427" spans="1:8" ht="13.5" x14ac:dyDescent="0.25">
      <c r="A427" s="1"/>
      <c r="B427" s="3">
        <v>42921</v>
      </c>
      <c r="C427" s="4">
        <v>14.89</v>
      </c>
      <c r="D427" s="4">
        <v>14.860200000000001</v>
      </c>
      <c r="E427" s="4">
        <v>53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14.89</v>
      </c>
      <c r="D428" s="4">
        <v>14.860200000000001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15.3</v>
      </c>
      <c r="D429" s="4">
        <v>15.269399999999999</v>
      </c>
      <c r="E429" s="4">
        <v>55</v>
      </c>
      <c r="F429" s="4"/>
      <c r="G429" s="4"/>
      <c r="H429" s="5">
        <f t="shared" si="6"/>
        <v>2.7536641498768416E-2</v>
      </c>
    </row>
    <row r="430" spans="1:8" ht="13.5" x14ac:dyDescent="0.25">
      <c r="A430" s="1"/>
      <c r="B430" s="3">
        <v>42926</v>
      </c>
      <c r="C430" s="4">
        <v>15.3</v>
      </c>
      <c r="D430" s="4">
        <v>15.269399999999999</v>
      </c>
      <c r="E430" s="4">
        <v>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15.3</v>
      </c>
      <c r="D431" s="4">
        <v>15.269399999999999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15.3</v>
      </c>
      <c r="D432" s="4">
        <v>15.269399999999999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15.3</v>
      </c>
      <c r="D433" s="4">
        <v>15.269399999999999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15.3</v>
      </c>
      <c r="D434" s="4">
        <v>15.269399999999999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15.3</v>
      </c>
      <c r="D435" s="4">
        <v>15.269399999999999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15.3</v>
      </c>
      <c r="D436" s="4">
        <v>15.269399999999999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15.3</v>
      </c>
      <c r="D437" s="4">
        <v>15.269399999999999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15.3</v>
      </c>
      <c r="D438" s="4">
        <v>15.269399999999999</v>
      </c>
      <c r="E438" s="4">
        <v>75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15.29</v>
      </c>
      <c r="D439" s="4">
        <v>15.259399999999999</v>
      </c>
      <c r="E439" s="4">
        <v>792</v>
      </c>
      <c r="F439" s="4"/>
      <c r="G439" s="4"/>
      <c r="H439" s="5">
        <f t="shared" si="6"/>
        <v>-6.5490458040262146E-4</v>
      </c>
    </row>
    <row r="440" spans="1:8" ht="13.5" x14ac:dyDescent="0.25">
      <c r="A440" s="1"/>
      <c r="B440" s="3">
        <v>42940</v>
      </c>
      <c r="C440" s="4">
        <v>15.29</v>
      </c>
      <c r="D440" s="4">
        <v>15.259399999999999</v>
      </c>
      <c r="E440" s="4">
        <v>0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15.29</v>
      </c>
      <c r="D441" s="4">
        <v>15.259399999999999</v>
      </c>
      <c r="E441" s="4">
        <v>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15.13</v>
      </c>
      <c r="D442" s="4">
        <v>15.0997</v>
      </c>
      <c r="E442" s="4">
        <v>10</v>
      </c>
      <c r="F442" s="4"/>
      <c r="G442" s="4"/>
      <c r="H442" s="5">
        <f t="shared" si="6"/>
        <v>-1.0465680170910985E-2</v>
      </c>
    </row>
    <row r="443" spans="1:8" ht="13.5" x14ac:dyDescent="0.25">
      <c r="A443" s="1"/>
      <c r="B443" s="3">
        <v>42944</v>
      </c>
      <c r="C443" s="4">
        <v>15.13</v>
      </c>
      <c r="D443" s="4">
        <v>15.0997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15.13</v>
      </c>
      <c r="D444" s="4">
        <v>15.0997</v>
      </c>
      <c r="E444" s="4">
        <v>20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15.15</v>
      </c>
      <c r="D445" s="4">
        <v>15.1197</v>
      </c>
      <c r="E445" s="4">
        <v>732</v>
      </c>
      <c r="F445" s="4"/>
      <c r="G445" s="4"/>
      <c r="H445" s="5">
        <f t="shared" si="6"/>
        <v>1.3245296264163906E-3</v>
      </c>
    </row>
    <row r="446" spans="1:8" ht="13.5" x14ac:dyDescent="0.25">
      <c r="A446" s="1"/>
      <c r="B446" s="3">
        <v>42949</v>
      </c>
      <c r="C446" s="4">
        <v>15.15</v>
      </c>
      <c r="D446" s="4">
        <v>15.1197</v>
      </c>
      <c r="E446" s="4">
        <v>10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15.14</v>
      </c>
      <c r="D447" s="4">
        <v>15.1097</v>
      </c>
      <c r="E447" s="4">
        <v>32</v>
      </c>
      <c r="F447" s="4"/>
      <c r="G447" s="4"/>
      <c r="H447" s="5">
        <f t="shared" si="6"/>
        <v>-6.6138878416898393E-4</v>
      </c>
    </row>
    <row r="448" spans="1:8" ht="13.5" x14ac:dyDescent="0.25">
      <c r="A448" s="1"/>
      <c r="B448" s="3">
        <v>42951</v>
      </c>
      <c r="C448" s="4">
        <v>15.14</v>
      </c>
      <c r="D448" s="4">
        <v>15.1097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15.29</v>
      </c>
      <c r="D449" s="4">
        <v>15.259399999999999</v>
      </c>
      <c r="E449" s="4">
        <v>200</v>
      </c>
      <c r="F449" s="4"/>
      <c r="G449" s="4"/>
      <c r="H449" s="5">
        <f t="shared" si="6"/>
        <v>9.9075428367207344E-3</v>
      </c>
    </row>
    <row r="450" spans="1:8" ht="13.5" x14ac:dyDescent="0.25">
      <c r="A450" s="1"/>
      <c r="B450" s="3">
        <v>42955</v>
      </c>
      <c r="C450" s="4">
        <v>15.29</v>
      </c>
      <c r="D450" s="4">
        <v>15.259399999999999</v>
      </c>
      <c r="E450" s="4">
        <v>200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15.29</v>
      </c>
      <c r="D451" s="4">
        <v>15.259399999999999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15.29</v>
      </c>
      <c r="D452" s="4">
        <v>15.259399999999999</v>
      </c>
      <c r="E452" s="4">
        <v>172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15.3</v>
      </c>
      <c r="D453" s="4">
        <v>15.269399999999999</v>
      </c>
      <c r="E453" s="4">
        <v>737</v>
      </c>
      <c r="F453" s="4"/>
      <c r="G453" s="4"/>
      <c r="H453" s="5">
        <f t="shared" si="6"/>
        <v>6.5533376148471027E-4</v>
      </c>
    </row>
    <row r="454" spans="1:8" ht="13.5" x14ac:dyDescent="0.25">
      <c r="A454" s="1"/>
      <c r="B454" s="3">
        <v>42961</v>
      </c>
      <c r="C454" s="4">
        <v>15.3</v>
      </c>
      <c r="D454" s="4">
        <v>15.269399999999999</v>
      </c>
      <c r="E454" s="4">
        <v>450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15.3</v>
      </c>
      <c r="D455" s="4">
        <v>15.269399999999999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15.3</v>
      </c>
      <c r="D456" s="4">
        <v>15.269399999999999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15.3</v>
      </c>
      <c r="D457" s="4">
        <v>15.269399999999999</v>
      </c>
      <c r="E457" s="4">
        <v>190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15.3</v>
      </c>
      <c r="D458" s="4">
        <v>15.269399999999999</v>
      </c>
      <c r="E458" s="4">
        <v>650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15.3</v>
      </c>
      <c r="D459" s="4">
        <v>15.269399999999999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15.3</v>
      </c>
      <c r="D460" s="4">
        <v>15.269399999999999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15.3</v>
      </c>
      <c r="D461" s="4">
        <v>15.269399999999999</v>
      </c>
      <c r="E461" s="4">
        <v>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15.15</v>
      </c>
      <c r="D462" s="4">
        <v>15.1197</v>
      </c>
      <c r="E462" s="4">
        <v>7</v>
      </c>
      <c r="F462" s="4"/>
      <c r="G462" s="4"/>
      <c r="H462" s="5">
        <f t="shared" si="7"/>
        <v>-9.803921568627404E-3</v>
      </c>
    </row>
    <row r="463" spans="1:8" ht="13.5" x14ac:dyDescent="0.25">
      <c r="A463" s="1"/>
      <c r="B463" s="3">
        <v>42972</v>
      </c>
      <c r="C463" s="4">
        <v>15.15</v>
      </c>
      <c r="D463" s="4">
        <v>15.1197</v>
      </c>
      <c r="E463" s="4">
        <v>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15.11</v>
      </c>
      <c r="D464" s="4">
        <v>15.079800000000001</v>
      </c>
      <c r="E464" s="4">
        <v>44</v>
      </c>
      <c r="F464" s="4"/>
      <c r="G464" s="4"/>
      <c r="H464" s="5">
        <f t="shared" si="7"/>
        <v>-2.6389412488342615E-3</v>
      </c>
    </row>
    <row r="465" spans="1:8" ht="13.5" x14ac:dyDescent="0.25">
      <c r="A465" s="1"/>
      <c r="B465" s="3">
        <v>42976</v>
      </c>
      <c r="C465" s="4">
        <v>15.11</v>
      </c>
      <c r="D465" s="4">
        <v>15.079800000000001</v>
      </c>
      <c r="E465" s="4">
        <v>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15.11</v>
      </c>
      <c r="D466" s="4">
        <v>15.079800000000001</v>
      </c>
      <c r="E466" s="4">
        <v>0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15.3</v>
      </c>
      <c r="D467" s="4">
        <v>15.269399999999999</v>
      </c>
      <c r="E467" s="4">
        <v>100</v>
      </c>
      <c r="F467" s="4"/>
      <c r="G467" s="4"/>
      <c r="H467" s="5">
        <f t="shared" si="7"/>
        <v>1.257311104921807E-2</v>
      </c>
    </row>
    <row r="468" spans="1:8" ht="13.5" x14ac:dyDescent="0.25">
      <c r="A468" s="1"/>
      <c r="B468" s="3">
        <v>42982</v>
      </c>
      <c r="C468" s="4">
        <v>15.3</v>
      </c>
      <c r="D468" s="4">
        <v>15.269399999999999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15.3</v>
      </c>
      <c r="D469" s="4">
        <v>15.269399999999999</v>
      </c>
      <c r="E469" s="4">
        <v>5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15.3</v>
      </c>
      <c r="D470" s="4">
        <v>15.269399999999999</v>
      </c>
      <c r="E470" s="4">
        <v>0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15.3</v>
      </c>
      <c r="D471" s="4">
        <v>15.269399999999999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15.3</v>
      </c>
      <c r="D472" s="4">
        <v>15.269399999999999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15.3</v>
      </c>
      <c r="D473" s="4">
        <v>15.269399999999999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15.3</v>
      </c>
      <c r="D474" s="4">
        <v>15.269399999999999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15.3</v>
      </c>
      <c r="D475" s="4">
        <v>15.269399999999999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14.87</v>
      </c>
      <c r="D476" s="4">
        <v>14.840299999999999</v>
      </c>
      <c r="E476" s="4">
        <v>92</v>
      </c>
      <c r="F476" s="4"/>
      <c r="G476" s="4"/>
      <c r="H476" s="5">
        <f t="shared" si="7"/>
        <v>-2.8101955545077086E-2</v>
      </c>
    </row>
    <row r="477" spans="1:8" ht="13.5" x14ac:dyDescent="0.25">
      <c r="A477" s="1"/>
      <c r="B477" s="3">
        <v>42993</v>
      </c>
      <c r="C477" s="4">
        <v>14.86</v>
      </c>
      <c r="D477" s="4">
        <v>14.830299999999999</v>
      </c>
      <c r="E477" s="4">
        <v>11</v>
      </c>
      <c r="F477" s="4"/>
      <c r="G477" s="4"/>
      <c r="H477" s="5">
        <f t="shared" si="7"/>
        <v>-6.7384082532022849E-4</v>
      </c>
    </row>
    <row r="478" spans="1:8" ht="13.5" x14ac:dyDescent="0.25">
      <c r="A478" s="1"/>
      <c r="B478" s="3">
        <v>42996</v>
      </c>
      <c r="C478" s="4">
        <v>14.86</v>
      </c>
      <c r="D478" s="4">
        <v>14.830299999999999</v>
      </c>
      <c r="E478" s="4">
        <v>0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14.86</v>
      </c>
      <c r="D479" s="4">
        <v>14.830299999999999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14.86</v>
      </c>
      <c r="D480" s="4">
        <v>14.830299999999999</v>
      </c>
      <c r="E480" s="4">
        <v>68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14.42</v>
      </c>
      <c r="D481" s="4">
        <v>14.3912</v>
      </c>
      <c r="E481" s="4">
        <v>4</v>
      </c>
      <c r="F481" s="4"/>
      <c r="G481" s="4"/>
      <c r="H481" s="5">
        <f t="shared" si="7"/>
        <v>-2.9608301922415585E-2</v>
      </c>
    </row>
    <row r="482" spans="1:8" ht="13.5" x14ac:dyDescent="0.25">
      <c r="A482" s="1"/>
      <c r="B482" s="3">
        <v>43003</v>
      </c>
      <c r="C482" s="4">
        <v>14.43</v>
      </c>
      <c r="D482" s="4">
        <v>14.4011</v>
      </c>
      <c r="E482" s="4">
        <v>50</v>
      </c>
      <c r="F482" s="4"/>
      <c r="G482" s="4"/>
      <c r="H482" s="5">
        <f t="shared" si="7"/>
        <v>6.879203957974332E-4</v>
      </c>
    </row>
    <row r="483" spans="1:8" ht="13.5" x14ac:dyDescent="0.25">
      <c r="A483" s="1"/>
      <c r="B483" s="3">
        <v>43004</v>
      </c>
      <c r="C483" s="4">
        <v>14.43</v>
      </c>
      <c r="D483" s="4">
        <v>14.4011</v>
      </c>
      <c r="E483" s="4">
        <v>501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14</v>
      </c>
      <c r="D484" s="4">
        <v>13.972</v>
      </c>
      <c r="E484" s="4">
        <v>756</v>
      </c>
      <c r="F484" s="4"/>
      <c r="G484" s="4"/>
      <c r="H484" s="5">
        <f t="shared" si="7"/>
        <v>-2.9796335002187337E-2</v>
      </c>
    </row>
    <row r="485" spans="1:8" ht="13.5" x14ac:dyDescent="0.25">
      <c r="A485" s="1"/>
      <c r="B485" s="3">
        <v>43006</v>
      </c>
      <c r="C485" s="4">
        <v>14.42</v>
      </c>
      <c r="D485" s="4">
        <v>14.3912</v>
      </c>
      <c r="E485" s="4">
        <v>10</v>
      </c>
      <c r="F485" s="4"/>
      <c r="G485" s="4"/>
      <c r="H485" s="5">
        <f t="shared" si="7"/>
        <v>3.0002862868594334E-2</v>
      </c>
    </row>
    <row r="486" spans="1:8" ht="13.5" x14ac:dyDescent="0.25">
      <c r="A486" s="1"/>
      <c r="B486" s="3">
        <v>43007</v>
      </c>
      <c r="C486" s="4">
        <v>14.42</v>
      </c>
      <c r="D486" s="4">
        <v>14.3912</v>
      </c>
      <c r="E486" s="4">
        <v>3440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14.42</v>
      </c>
      <c r="D487" s="4">
        <v>14.3912</v>
      </c>
      <c r="E487" s="4">
        <v>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14.87</v>
      </c>
      <c r="D488" s="4">
        <v>14.840299999999999</v>
      </c>
      <c r="E488" s="4">
        <v>1</v>
      </c>
      <c r="F488" s="4"/>
      <c r="G488" s="4"/>
      <c r="H488" s="5">
        <f t="shared" si="7"/>
        <v>3.1206570682083469E-2</v>
      </c>
    </row>
    <row r="489" spans="1:8" ht="13.5" x14ac:dyDescent="0.25">
      <c r="A489" s="1"/>
      <c r="B489" s="3">
        <v>43012</v>
      </c>
      <c r="C489" s="4">
        <v>14.87</v>
      </c>
      <c r="D489" s="4">
        <v>14.840299999999999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14.43</v>
      </c>
      <c r="D490" s="4">
        <v>14.4011</v>
      </c>
      <c r="E490" s="4">
        <v>0</v>
      </c>
      <c r="F490" s="4"/>
      <c r="G490" s="4"/>
      <c r="H490" s="5">
        <f t="shared" si="7"/>
        <v>-2.959508904806504E-2</v>
      </c>
    </row>
    <row r="491" spans="1:8" ht="13.5" x14ac:dyDescent="0.25">
      <c r="A491" s="1"/>
      <c r="B491" s="3">
        <v>43014</v>
      </c>
      <c r="C491" s="4">
        <v>14</v>
      </c>
      <c r="D491" s="4">
        <v>13.972</v>
      </c>
      <c r="E491" s="4">
        <v>500</v>
      </c>
      <c r="F491" s="4"/>
      <c r="G491" s="4"/>
      <c r="H491" s="5">
        <f t="shared" si="7"/>
        <v>-2.9796335002187337E-2</v>
      </c>
    </row>
    <row r="492" spans="1:8" ht="13.5" x14ac:dyDescent="0.25">
      <c r="A492" s="1"/>
      <c r="B492" s="3">
        <v>43017</v>
      </c>
      <c r="C492" s="4">
        <v>14.2</v>
      </c>
      <c r="D492" s="4">
        <v>14.1716</v>
      </c>
      <c r="E492" s="4">
        <v>600</v>
      </c>
      <c r="F492" s="4"/>
      <c r="G492" s="4"/>
      <c r="H492" s="5">
        <f t="shared" si="7"/>
        <v>1.4285714285714303E-2</v>
      </c>
    </row>
    <row r="493" spans="1:8" ht="13.5" x14ac:dyDescent="0.25">
      <c r="A493" s="1"/>
      <c r="B493" s="3">
        <v>43018</v>
      </c>
      <c r="C493" s="4">
        <v>14.19</v>
      </c>
      <c r="D493" s="4">
        <v>14.1616</v>
      </c>
      <c r="E493" s="4">
        <v>500</v>
      </c>
      <c r="F493" s="4"/>
      <c r="G493" s="4"/>
      <c r="H493" s="5">
        <f t="shared" si="7"/>
        <v>-7.0563662536338786E-4</v>
      </c>
    </row>
    <row r="494" spans="1:8" ht="13.5" x14ac:dyDescent="0.25">
      <c r="A494" s="1"/>
      <c r="B494" s="3">
        <v>43019</v>
      </c>
      <c r="C494" s="4">
        <v>14</v>
      </c>
      <c r="D494" s="4">
        <v>13.972</v>
      </c>
      <c r="E494" s="4">
        <v>1135</v>
      </c>
      <c r="F494" s="4"/>
      <c r="G494" s="4"/>
      <c r="H494" s="5">
        <f t="shared" si="7"/>
        <v>-1.3388317704214244E-2</v>
      </c>
    </row>
    <row r="495" spans="1:8" ht="13.5" x14ac:dyDescent="0.25">
      <c r="A495" s="1"/>
      <c r="B495" s="3">
        <v>43020</v>
      </c>
      <c r="C495" s="4">
        <v>14</v>
      </c>
      <c r="D495" s="4">
        <v>13.972</v>
      </c>
      <c r="E495" s="4">
        <v>205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14.17</v>
      </c>
      <c r="D496" s="4">
        <v>14.1417</v>
      </c>
      <c r="E496" s="4">
        <v>150</v>
      </c>
      <c r="F496" s="4"/>
      <c r="G496" s="4"/>
      <c r="H496" s="5">
        <f t="shared" si="7"/>
        <v>1.2145720011451519E-2</v>
      </c>
    </row>
    <row r="497" spans="1:8" ht="13.5" x14ac:dyDescent="0.25">
      <c r="A497" s="1"/>
      <c r="B497" s="3">
        <v>43024</v>
      </c>
      <c r="C497" s="4">
        <v>14</v>
      </c>
      <c r="D497" s="4">
        <v>13.972</v>
      </c>
      <c r="E497" s="4">
        <v>1877</v>
      </c>
      <c r="F497" s="4"/>
      <c r="G497" s="4"/>
      <c r="H497" s="5">
        <f t="shared" si="7"/>
        <v>-1.1999971714857522E-2</v>
      </c>
    </row>
    <row r="498" spans="1:8" ht="13.5" x14ac:dyDescent="0.25">
      <c r="A498" s="1"/>
      <c r="B498" s="3">
        <v>43025</v>
      </c>
      <c r="C498" s="4">
        <v>14.62</v>
      </c>
      <c r="D498" s="4">
        <v>14.5908</v>
      </c>
      <c r="E498" s="4">
        <v>1878</v>
      </c>
      <c r="F498" s="4"/>
      <c r="G498" s="4"/>
      <c r="H498" s="5">
        <f t="shared" si="7"/>
        <v>4.4288577154308638E-2</v>
      </c>
    </row>
    <row r="499" spans="1:8" ht="13.5" x14ac:dyDescent="0.25">
      <c r="A499" s="1"/>
      <c r="B499" s="3">
        <v>43026</v>
      </c>
      <c r="C499" s="4">
        <v>15.27</v>
      </c>
      <c r="D499" s="4">
        <v>15.2395</v>
      </c>
      <c r="E499" s="4">
        <v>0</v>
      </c>
      <c r="F499" s="4"/>
      <c r="G499" s="4"/>
      <c r="H499" s="5">
        <f t="shared" si="7"/>
        <v>4.4459522438797042E-2</v>
      </c>
    </row>
    <row r="500" spans="1:8" ht="13.5" x14ac:dyDescent="0.25">
      <c r="A500" s="1"/>
      <c r="B500" s="3">
        <v>43027</v>
      </c>
      <c r="C500" s="4">
        <v>15.21</v>
      </c>
      <c r="D500" s="4">
        <v>15.179600000000001</v>
      </c>
      <c r="E500" s="4">
        <v>3933</v>
      </c>
      <c r="F500" s="4"/>
      <c r="G500" s="4"/>
      <c r="H500" s="5">
        <f t="shared" si="7"/>
        <v>-3.9305751501032809E-3</v>
      </c>
    </row>
    <row r="501" spans="1:8" ht="13.5" x14ac:dyDescent="0.25">
      <c r="A501" s="1"/>
      <c r="B501" s="3">
        <v>43028</v>
      </c>
      <c r="C501" s="4">
        <v>15.24</v>
      </c>
      <c r="D501" s="4">
        <v>15.2095</v>
      </c>
      <c r="E501" s="4">
        <v>2637</v>
      </c>
      <c r="F501" s="4"/>
      <c r="G501" s="4"/>
      <c r="H501" s="5">
        <f t="shared" si="7"/>
        <v>1.9697488734880756E-3</v>
      </c>
    </row>
    <row r="502" spans="1:8" ht="13.5" x14ac:dyDescent="0.25">
      <c r="A502" s="1"/>
      <c r="B502" s="3">
        <v>43031</v>
      </c>
      <c r="C502" s="4">
        <v>15.24</v>
      </c>
      <c r="D502" s="4">
        <v>15.2095</v>
      </c>
      <c r="E502" s="4">
        <v>500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15.24</v>
      </c>
      <c r="D503" s="4">
        <v>15.2095</v>
      </c>
      <c r="E503" s="4">
        <v>800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14.8</v>
      </c>
      <c r="D504" s="4">
        <v>14.7704</v>
      </c>
      <c r="E504" s="4">
        <v>1548</v>
      </c>
      <c r="F504" s="4"/>
      <c r="G504" s="4"/>
      <c r="H504" s="5">
        <f t="shared" si="7"/>
        <v>-2.8870114073440929E-2</v>
      </c>
    </row>
    <row r="505" spans="1:8" ht="13.5" x14ac:dyDescent="0.25">
      <c r="A505" s="1"/>
      <c r="B505" s="3">
        <v>43034</v>
      </c>
      <c r="C505" s="4">
        <v>14.79</v>
      </c>
      <c r="D505" s="4">
        <v>14.760400000000001</v>
      </c>
      <c r="E505" s="4">
        <v>1581</v>
      </c>
      <c r="F505" s="4"/>
      <c r="G505" s="4"/>
      <c r="H505" s="5">
        <f t="shared" si="7"/>
        <v>-6.7702973514595312E-4</v>
      </c>
    </row>
    <row r="506" spans="1:8" ht="13.5" x14ac:dyDescent="0.25">
      <c r="A506" s="1"/>
      <c r="B506" s="3">
        <v>43035</v>
      </c>
      <c r="C506" s="4">
        <v>14.79</v>
      </c>
      <c r="D506" s="4">
        <v>14.760400000000001</v>
      </c>
      <c r="E506" s="4">
        <v>609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14.79</v>
      </c>
      <c r="D507" s="4">
        <v>14.760400000000001</v>
      </c>
      <c r="E507" s="4">
        <v>6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14.9</v>
      </c>
      <c r="D508" s="4">
        <v>14.870200000000001</v>
      </c>
      <c r="E508" s="4">
        <v>500</v>
      </c>
      <c r="F508" s="4"/>
      <c r="G508" s="4"/>
      <c r="H508" s="5">
        <f t="shared" si="7"/>
        <v>7.4388227961301786E-3</v>
      </c>
    </row>
    <row r="509" spans="1:8" ht="13.5" x14ac:dyDescent="0.25">
      <c r="A509" s="1"/>
      <c r="B509" s="3">
        <v>43040</v>
      </c>
      <c r="C509" s="4">
        <v>15</v>
      </c>
      <c r="D509" s="4">
        <v>14.97</v>
      </c>
      <c r="E509" s="4">
        <v>100</v>
      </c>
      <c r="F509" s="4"/>
      <c r="G509" s="4"/>
      <c r="H509" s="5">
        <f t="shared" si="7"/>
        <v>6.7114093959731612E-3</v>
      </c>
    </row>
    <row r="510" spans="1:8" ht="13.5" x14ac:dyDescent="0.25">
      <c r="A510" s="1"/>
      <c r="B510" s="3">
        <v>43041</v>
      </c>
      <c r="C510" s="4">
        <v>14.78</v>
      </c>
      <c r="D510" s="4">
        <v>14.750400000000001</v>
      </c>
      <c r="E510" s="4">
        <v>450</v>
      </c>
      <c r="F510" s="4"/>
      <c r="G510" s="4"/>
      <c r="H510" s="5">
        <f t="shared" si="7"/>
        <v>-1.4669338677354695E-2</v>
      </c>
    </row>
    <row r="511" spans="1:8" ht="13.5" x14ac:dyDescent="0.25">
      <c r="A511" s="1"/>
      <c r="B511" s="3">
        <v>43042</v>
      </c>
      <c r="C511" s="4">
        <v>14.5</v>
      </c>
      <c r="D511" s="4">
        <v>14.471</v>
      </c>
      <c r="E511" s="4">
        <v>64</v>
      </c>
      <c r="F511" s="4"/>
      <c r="G511" s="4"/>
      <c r="H511" s="5">
        <f t="shared" si="7"/>
        <v>-1.8941859203818252E-2</v>
      </c>
    </row>
    <row r="512" spans="1:8" ht="13.5" x14ac:dyDescent="0.25">
      <c r="A512" s="1"/>
      <c r="B512" s="3">
        <v>43045</v>
      </c>
      <c r="C512" s="4">
        <v>14.5</v>
      </c>
      <c r="D512" s="4">
        <v>14.471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14.4</v>
      </c>
      <c r="D513" s="4">
        <v>14.3712</v>
      </c>
      <c r="E513" s="4">
        <v>390</v>
      </c>
      <c r="F513" s="4"/>
      <c r="G513" s="4"/>
      <c r="H513" s="5">
        <f t="shared" si="7"/>
        <v>-6.8965517241379387E-3</v>
      </c>
    </row>
    <row r="514" spans="1:8" ht="13.5" x14ac:dyDescent="0.25">
      <c r="A514" s="1"/>
      <c r="B514" s="3">
        <v>43047</v>
      </c>
      <c r="C514" s="4">
        <v>14.4</v>
      </c>
      <c r="D514" s="4">
        <v>14.3712</v>
      </c>
      <c r="E514" s="4">
        <v>726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14.4</v>
      </c>
      <c r="D515" s="4">
        <v>14.3712</v>
      </c>
      <c r="E515" s="4">
        <v>110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14.4</v>
      </c>
      <c r="D516" s="4">
        <v>14.3712</v>
      </c>
      <c r="E516" s="4">
        <v>446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14.2</v>
      </c>
      <c r="D517" s="4">
        <v>14.1716</v>
      </c>
      <c r="E517" s="4">
        <v>1014</v>
      </c>
      <c r="F517" s="4"/>
      <c r="G517" s="4"/>
      <c r="H517" s="5">
        <f t="shared" si="7"/>
        <v>-1.3888888888888904E-2</v>
      </c>
    </row>
    <row r="518" spans="1:8" ht="13.5" x14ac:dyDescent="0.25">
      <c r="A518" s="1"/>
      <c r="B518" s="3">
        <v>43053</v>
      </c>
      <c r="C518" s="4">
        <v>14.2</v>
      </c>
      <c r="D518" s="4">
        <v>14.1716</v>
      </c>
      <c r="E518" s="4">
        <v>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14.51</v>
      </c>
      <c r="D519" s="4">
        <v>14.481</v>
      </c>
      <c r="E519" s="4">
        <v>10</v>
      </c>
      <c r="F519" s="4"/>
      <c r="G519" s="4"/>
      <c r="H519" s="5">
        <f t="shared" ref="H519:H582" si="8">(D519-D518)/D518</f>
        <v>2.1832397188743694E-2</v>
      </c>
    </row>
    <row r="520" spans="1:8" ht="13.5" x14ac:dyDescent="0.25">
      <c r="A520" s="1"/>
      <c r="B520" s="3">
        <v>43055</v>
      </c>
      <c r="C520" s="4">
        <v>14.51</v>
      </c>
      <c r="D520" s="4">
        <v>14.481</v>
      </c>
      <c r="E520" s="4">
        <v>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14.51</v>
      </c>
      <c r="D521" s="4">
        <v>14.481</v>
      </c>
      <c r="E521" s="4">
        <v>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14.5</v>
      </c>
      <c r="D522" s="4">
        <v>14.471</v>
      </c>
      <c r="E522" s="4">
        <v>9</v>
      </c>
      <c r="F522" s="4"/>
      <c r="G522" s="4"/>
      <c r="H522" s="5">
        <f t="shared" si="8"/>
        <v>-6.905600441958281E-4</v>
      </c>
    </row>
    <row r="523" spans="1:8" ht="13.5" x14ac:dyDescent="0.25">
      <c r="A523" s="1"/>
      <c r="B523" s="3">
        <v>43060</v>
      </c>
      <c r="C523" s="4">
        <v>14.08</v>
      </c>
      <c r="D523" s="4">
        <v>14.0518</v>
      </c>
      <c r="E523" s="4">
        <v>6</v>
      </c>
      <c r="F523" s="4"/>
      <c r="G523" s="4"/>
      <c r="H523" s="5">
        <f t="shared" si="8"/>
        <v>-2.8968281390366942E-2</v>
      </c>
    </row>
    <row r="524" spans="1:8" ht="13.5" x14ac:dyDescent="0.25">
      <c r="A524" s="1"/>
      <c r="B524" s="3">
        <v>43061</v>
      </c>
      <c r="C524" s="4">
        <v>14.4</v>
      </c>
      <c r="D524" s="4">
        <v>14.3712</v>
      </c>
      <c r="E524" s="4">
        <v>5</v>
      </c>
      <c r="F524" s="4"/>
      <c r="G524" s="4"/>
      <c r="H524" s="5">
        <f t="shared" si="8"/>
        <v>2.2730184033362268E-2</v>
      </c>
    </row>
    <row r="525" spans="1:8" ht="13.5" x14ac:dyDescent="0.25">
      <c r="A525" s="1"/>
      <c r="B525" s="3">
        <v>43062</v>
      </c>
      <c r="C525" s="4">
        <v>14.4</v>
      </c>
      <c r="D525" s="4">
        <v>14.3712</v>
      </c>
      <c r="E525" s="4">
        <v>0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14.4</v>
      </c>
      <c r="D526" s="4">
        <v>14.3712</v>
      </c>
      <c r="E526" s="4">
        <v>0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14.39</v>
      </c>
      <c r="D527" s="4">
        <v>14.3612</v>
      </c>
      <c r="E527" s="4">
        <v>500</v>
      </c>
      <c r="F527" s="4"/>
      <c r="G527" s="4"/>
      <c r="H527" s="5">
        <f t="shared" si="8"/>
        <v>-6.9583611667778519E-4</v>
      </c>
    </row>
    <row r="528" spans="1:8" ht="13.5" x14ac:dyDescent="0.25">
      <c r="A528" s="1"/>
      <c r="B528" s="3">
        <v>43067</v>
      </c>
      <c r="C528" s="4">
        <v>14.39</v>
      </c>
      <c r="D528" s="4">
        <v>14.3612</v>
      </c>
      <c r="E528" s="4">
        <v>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14.39</v>
      </c>
      <c r="D529" s="4">
        <v>14.3612</v>
      </c>
      <c r="E529" s="4">
        <v>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14.39</v>
      </c>
      <c r="D530" s="4">
        <v>14.3612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14.39</v>
      </c>
      <c r="D531" s="4">
        <v>14.3612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14</v>
      </c>
      <c r="D532" s="4">
        <v>13.972</v>
      </c>
      <c r="E532" s="4">
        <v>502</v>
      </c>
      <c r="F532" s="4"/>
      <c r="G532" s="4"/>
      <c r="H532" s="5">
        <f t="shared" si="8"/>
        <v>-2.7100799376096749E-2</v>
      </c>
    </row>
    <row r="533" spans="1:8" ht="13.5" x14ac:dyDescent="0.25">
      <c r="A533" s="1"/>
      <c r="B533" s="3">
        <v>43075</v>
      </c>
      <c r="C533" s="4">
        <v>14.83</v>
      </c>
      <c r="D533" s="4">
        <v>14.8003</v>
      </c>
      <c r="E533" s="4">
        <v>3111</v>
      </c>
      <c r="F533" s="4"/>
      <c r="G533" s="4"/>
      <c r="H533" s="5">
        <f t="shared" si="8"/>
        <v>5.9282851417119989E-2</v>
      </c>
    </row>
    <row r="534" spans="1:8" ht="13.5" x14ac:dyDescent="0.25">
      <c r="A534" s="1"/>
      <c r="B534" s="3">
        <v>43076</v>
      </c>
      <c r="C534" s="4">
        <v>15.49</v>
      </c>
      <c r="D534" s="4">
        <v>15.459</v>
      </c>
      <c r="E534" s="4">
        <v>0</v>
      </c>
      <c r="F534" s="4"/>
      <c r="G534" s="4"/>
      <c r="H534" s="5">
        <f t="shared" si="8"/>
        <v>4.4505854611055155E-2</v>
      </c>
    </row>
    <row r="535" spans="1:8" ht="13.5" x14ac:dyDescent="0.25">
      <c r="A535" s="1"/>
      <c r="B535" s="3">
        <v>43077</v>
      </c>
      <c r="C535" s="4">
        <v>16.420000000000002</v>
      </c>
      <c r="D535" s="4">
        <v>16.3872</v>
      </c>
      <c r="E535" s="4">
        <v>1254</v>
      </c>
      <c r="F535" s="4"/>
      <c r="G535" s="4"/>
      <c r="H535" s="5">
        <f t="shared" si="8"/>
        <v>6.0042693576557372E-2</v>
      </c>
    </row>
    <row r="536" spans="1:8" ht="13.5" x14ac:dyDescent="0.25">
      <c r="A536" s="1"/>
      <c r="B536" s="3">
        <v>43080</v>
      </c>
      <c r="C536" s="4">
        <v>16.96</v>
      </c>
      <c r="D536" s="4">
        <v>16.926100000000002</v>
      </c>
      <c r="E536" s="4">
        <v>476</v>
      </c>
      <c r="F536" s="4"/>
      <c r="G536" s="4"/>
      <c r="H536" s="5">
        <f t="shared" si="8"/>
        <v>3.2885422768990535E-2</v>
      </c>
    </row>
    <row r="537" spans="1:8" ht="13.5" x14ac:dyDescent="0.25">
      <c r="A537" s="1"/>
      <c r="B537" s="3">
        <v>43081</v>
      </c>
      <c r="C537" s="4">
        <v>16.440000000000001</v>
      </c>
      <c r="D537" s="4">
        <v>16.4071</v>
      </c>
      <c r="E537" s="4">
        <v>112</v>
      </c>
      <c r="F537" s="4"/>
      <c r="G537" s="4"/>
      <c r="H537" s="5">
        <f t="shared" si="8"/>
        <v>-3.0662704344178626E-2</v>
      </c>
    </row>
    <row r="538" spans="1:8" ht="13.5" x14ac:dyDescent="0.25">
      <c r="A538" s="1"/>
      <c r="B538" s="3">
        <v>43082</v>
      </c>
      <c r="C538" s="4">
        <v>16.89</v>
      </c>
      <c r="D538" s="4">
        <v>16.856200000000001</v>
      </c>
      <c r="E538" s="4">
        <v>100</v>
      </c>
      <c r="F538" s="4"/>
      <c r="G538" s="4"/>
      <c r="H538" s="5">
        <f t="shared" si="8"/>
        <v>2.7372296140085781E-2</v>
      </c>
    </row>
    <row r="539" spans="1:8" ht="13.5" x14ac:dyDescent="0.25">
      <c r="A539" s="1"/>
      <c r="B539" s="3">
        <v>43083</v>
      </c>
      <c r="C539" s="4">
        <v>16.89</v>
      </c>
      <c r="D539" s="4">
        <v>16.856200000000001</v>
      </c>
      <c r="E539" s="4">
        <v>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16.89</v>
      </c>
      <c r="D540" s="4">
        <v>16.856200000000001</v>
      </c>
      <c r="E540" s="4">
        <v>1</v>
      </c>
      <c r="F540" s="4"/>
      <c r="G540" s="4"/>
      <c r="H540" s="5">
        <f t="shared" si="8"/>
        <v>0</v>
      </c>
    </row>
    <row r="541" spans="1:8" ht="13.5" x14ac:dyDescent="0.25">
      <c r="A541" s="1"/>
      <c r="B541" s="3">
        <v>43087</v>
      </c>
      <c r="C541" s="4">
        <v>16.39</v>
      </c>
      <c r="D541" s="4">
        <v>16.357199999999999</v>
      </c>
      <c r="E541" s="4">
        <v>50</v>
      </c>
      <c r="F541" s="4"/>
      <c r="G541" s="4"/>
      <c r="H541" s="5">
        <f t="shared" si="8"/>
        <v>-2.9603350695886516E-2</v>
      </c>
    </row>
    <row r="542" spans="1:8" ht="13.5" x14ac:dyDescent="0.25">
      <c r="A542" s="1"/>
      <c r="B542" s="3">
        <v>43088</v>
      </c>
      <c r="C542" s="4">
        <v>16.39</v>
      </c>
      <c r="D542" s="4">
        <v>16.357199999999999</v>
      </c>
      <c r="E542" s="4">
        <v>0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15.9</v>
      </c>
      <c r="D543" s="4">
        <v>15.8682</v>
      </c>
      <c r="E543" s="4">
        <v>0</v>
      </c>
      <c r="F543" s="4"/>
      <c r="G543" s="4"/>
      <c r="H543" s="5">
        <f t="shared" si="8"/>
        <v>-2.9895092069547297E-2</v>
      </c>
    </row>
    <row r="544" spans="1:8" ht="13.5" x14ac:dyDescent="0.25">
      <c r="A544" s="1"/>
      <c r="B544" s="3">
        <v>43090</v>
      </c>
      <c r="C544" s="4">
        <v>15.73</v>
      </c>
      <c r="D544" s="4">
        <v>15.698499999999999</v>
      </c>
      <c r="E544" s="4">
        <v>918</v>
      </c>
      <c r="F544" s="4"/>
      <c r="G544" s="4"/>
      <c r="H544" s="5">
        <f t="shared" si="8"/>
        <v>-1.0694344664171148E-2</v>
      </c>
    </row>
    <row r="545" spans="1:8" ht="13.5" x14ac:dyDescent="0.25">
      <c r="A545" s="1"/>
      <c r="B545" s="3">
        <v>43091</v>
      </c>
      <c r="C545" s="4">
        <v>15.74</v>
      </c>
      <c r="D545" s="4">
        <v>15.708500000000001</v>
      </c>
      <c r="E545" s="4">
        <v>58</v>
      </c>
      <c r="F545" s="4"/>
      <c r="G545" s="4"/>
      <c r="H545" s="5">
        <f t="shared" si="8"/>
        <v>6.3700353536972091E-4</v>
      </c>
    </row>
    <row r="546" spans="1:8" ht="13.5" x14ac:dyDescent="0.25">
      <c r="A546" s="1"/>
      <c r="B546" s="3">
        <v>43094</v>
      </c>
      <c r="C546" s="4">
        <v>15.5</v>
      </c>
      <c r="D546" s="4">
        <v>15.468999999999999</v>
      </c>
      <c r="E546" s="4">
        <v>1</v>
      </c>
      <c r="F546" s="4"/>
      <c r="G546" s="4"/>
      <c r="H546" s="5">
        <f t="shared" si="8"/>
        <v>-1.5246522583314853E-2</v>
      </c>
    </row>
    <row r="547" spans="1:8" ht="13.5" x14ac:dyDescent="0.25">
      <c r="A547" s="1"/>
      <c r="B547" s="3">
        <v>43095</v>
      </c>
      <c r="C547" s="4">
        <v>15.99</v>
      </c>
      <c r="D547" s="4">
        <v>15.958</v>
      </c>
      <c r="E547" s="4">
        <v>559</v>
      </c>
      <c r="F547" s="4"/>
      <c r="G547" s="4"/>
      <c r="H547" s="5">
        <f t="shared" si="8"/>
        <v>3.1611610317409063E-2</v>
      </c>
    </row>
    <row r="548" spans="1:8" ht="13.5" x14ac:dyDescent="0.25">
      <c r="A548" s="1"/>
      <c r="B548" s="3">
        <v>43096</v>
      </c>
      <c r="C548" s="4">
        <v>16.5</v>
      </c>
      <c r="D548" s="4">
        <v>16.466999999999999</v>
      </c>
      <c r="E548" s="4">
        <v>1830</v>
      </c>
      <c r="F548" s="4"/>
      <c r="G548" s="4"/>
      <c r="H548" s="5">
        <f t="shared" si="8"/>
        <v>3.1896227597443198E-2</v>
      </c>
    </row>
    <row r="549" spans="1:8" ht="13.5" x14ac:dyDescent="0.25">
      <c r="A549" s="1"/>
      <c r="B549" s="3">
        <v>43097</v>
      </c>
      <c r="C549" s="4">
        <v>16.8</v>
      </c>
      <c r="D549" s="4">
        <v>16.766400000000001</v>
      </c>
      <c r="E549" s="4">
        <v>3207</v>
      </c>
      <c r="F549" s="4"/>
      <c r="G549" s="4"/>
      <c r="H549" s="5">
        <f t="shared" si="8"/>
        <v>1.8181818181818313E-2</v>
      </c>
    </row>
    <row r="550" spans="1:8" ht="13.5" x14ac:dyDescent="0.25">
      <c r="A550" s="1"/>
      <c r="B550" s="3">
        <v>43098</v>
      </c>
      <c r="C550" s="4">
        <v>17.239999999999998</v>
      </c>
      <c r="D550" s="4">
        <v>17.205500000000001</v>
      </c>
      <c r="E550" s="4">
        <v>350</v>
      </c>
      <c r="F550" s="4"/>
      <c r="G550" s="4"/>
      <c r="H550" s="5">
        <f t="shared" si="8"/>
        <v>2.6189283328561873E-2</v>
      </c>
    </row>
    <row r="551" spans="1:8" ht="13.5" x14ac:dyDescent="0.25">
      <c r="A551" s="1"/>
      <c r="B551" s="3">
        <v>43102</v>
      </c>
      <c r="C551" s="4">
        <v>17.21</v>
      </c>
      <c r="D551" s="4">
        <v>17.175599999999999</v>
      </c>
      <c r="E551" s="4">
        <v>502</v>
      </c>
      <c r="F551" s="4"/>
      <c r="G551" s="4"/>
      <c r="H551" s="5">
        <f t="shared" si="8"/>
        <v>-1.737816395919989E-3</v>
      </c>
    </row>
    <row r="552" spans="1:8" ht="13.5" x14ac:dyDescent="0.25">
      <c r="A552" s="1"/>
      <c r="B552" s="3">
        <v>43103</v>
      </c>
      <c r="C552" s="4">
        <v>16.8</v>
      </c>
      <c r="D552" s="4">
        <v>16.766400000000001</v>
      </c>
      <c r="E552" s="4">
        <v>1101</v>
      </c>
      <c r="F552" s="4"/>
      <c r="G552" s="4"/>
      <c r="H552" s="5">
        <f t="shared" si="8"/>
        <v>-2.3824495214140901E-2</v>
      </c>
    </row>
    <row r="553" spans="1:8" ht="13.5" x14ac:dyDescent="0.25">
      <c r="A553" s="1"/>
      <c r="B553" s="3">
        <v>43104</v>
      </c>
      <c r="C553" s="4">
        <v>16.809999999999999</v>
      </c>
      <c r="D553" s="4">
        <v>16.776399999999999</v>
      </c>
      <c r="E553" s="4">
        <v>500</v>
      </c>
      <c r="F553" s="4"/>
      <c r="G553" s="4"/>
      <c r="H553" s="5">
        <f t="shared" si="8"/>
        <v>5.9643095715228138E-4</v>
      </c>
    </row>
    <row r="554" spans="1:8" ht="13.5" x14ac:dyDescent="0.25">
      <c r="A554" s="1"/>
      <c r="B554" s="3">
        <v>43105</v>
      </c>
      <c r="C554" s="4">
        <v>17.23</v>
      </c>
      <c r="D554" s="4">
        <v>17.195499999999999</v>
      </c>
      <c r="E554" s="4">
        <v>4044</v>
      </c>
      <c r="F554" s="4"/>
      <c r="G554" s="4"/>
      <c r="H554" s="5">
        <f t="shared" si="8"/>
        <v>2.498152166138148E-2</v>
      </c>
    </row>
    <row r="555" spans="1:8" ht="13.5" x14ac:dyDescent="0.25">
      <c r="A555" s="1"/>
      <c r="B555" s="3">
        <v>43108</v>
      </c>
      <c r="C555" s="4">
        <v>18.239999999999998</v>
      </c>
      <c r="D555" s="4">
        <v>18.203499999999998</v>
      </c>
      <c r="E555" s="4">
        <v>1041</v>
      </c>
      <c r="F555" s="4"/>
      <c r="G555" s="4"/>
      <c r="H555" s="5">
        <f t="shared" si="8"/>
        <v>5.8619987787502499E-2</v>
      </c>
    </row>
    <row r="556" spans="1:8" ht="13.5" x14ac:dyDescent="0.25">
      <c r="A556" s="1"/>
      <c r="B556" s="3">
        <v>43109</v>
      </c>
      <c r="C556" s="4">
        <v>19.25</v>
      </c>
      <c r="D556" s="4">
        <v>19.211500000000001</v>
      </c>
      <c r="E556" s="4">
        <v>1558</v>
      </c>
      <c r="F556" s="4"/>
      <c r="G556" s="4"/>
      <c r="H556" s="5">
        <f t="shared" si="8"/>
        <v>5.5373966544895362E-2</v>
      </c>
    </row>
    <row r="557" spans="1:8" ht="13.5" x14ac:dyDescent="0.25">
      <c r="A557" s="1"/>
      <c r="B557" s="3">
        <v>43110</v>
      </c>
      <c r="C557" s="4">
        <v>19.239999999999998</v>
      </c>
      <c r="D557" s="4">
        <v>19.201499999999999</v>
      </c>
      <c r="E557" s="4">
        <v>1378</v>
      </c>
      <c r="F557" s="4"/>
      <c r="G557" s="4"/>
      <c r="H557" s="5">
        <f t="shared" si="8"/>
        <v>-5.2052156260581233E-4</v>
      </c>
    </row>
    <row r="558" spans="1:8" ht="13.5" x14ac:dyDescent="0.25">
      <c r="A558" s="1"/>
      <c r="B558" s="3">
        <v>43111</v>
      </c>
      <c r="C558" s="4">
        <v>19.239999999999998</v>
      </c>
      <c r="D558" s="4">
        <v>19.201499999999999</v>
      </c>
      <c r="E558" s="4">
        <v>150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19.18</v>
      </c>
      <c r="D559" s="4">
        <v>19.1416</v>
      </c>
      <c r="E559" s="4">
        <v>150</v>
      </c>
      <c r="F559" s="4"/>
      <c r="G559" s="4"/>
      <c r="H559" s="5">
        <f t="shared" si="8"/>
        <v>-3.1195479519828635E-3</v>
      </c>
    </row>
    <row r="560" spans="1:8" ht="13.5" x14ac:dyDescent="0.25">
      <c r="A560" s="1"/>
      <c r="B560" s="3">
        <v>43115</v>
      </c>
      <c r="C560" s="4">
        <v>18.61</v>
      </c>
      <c r="D560" s="4">
        <v>18.572800000000001</v>
      </c>
      <c r="E560" s="4">
        <v>512</v>
      </c>
      <c r="F560" s="4"/>
      <c r="G560" s="4"/>
      <c r="H560" s="5">
        <f t="shared" si="8"/>
        <v>-2.9715384293893903E-2</v>
      </c>
    </row>
    <row r="561" spans="1:8" ht="13.5" x14ac:dyDescent="0.25">
      <c r="A561" s="1"/>
      <c r="B561" s="3">
        <v>43116</v>
      </c>
      <c r="C561" s="4">
        <v>18.059999999999999</v>
      </c>
      <c r="D561" s="4">
        <v>18.023900000000001</v>
      </c>
      <c r="E561" s="4">
        <v>150</v>
      </c>
      <c r="F561" s="4"/>
      <c r="G561" s="4"/>
      <c r="H561" s="5">
        <f t="shared" si="8"/>
        <v>-2.9553971399035133E-2</v>
      </c>
    </row>
    <row r="562" spans="1:8" ht="13.5" x14ac:dyDescent="0.25">
      <c r="A562" s="1"/>
      <c r="B562" s="3">
        <v>43117</v>
      </c>
      <c r="C562" s="4">
        <v>17.53</v>
      </c>
      <c r="D562" s="4">
        <v>17.494900000000001</v>
      </c>
      <c r="E562" s="4">
        <v>653</v>
      </c>
      <c r="F562" s="4"/>
      <c r="G562" s="4"/>
      <c r="H562" s="5">
        <f t="shared" si="8"/>
        <v>-2.9349918719034165E-2</v>
      </c>
    </row>
    <row r="563" spans="1:8" ht="13.5" x14ac:dyDescent="0.25">
      <c r="A563" s="1"/>
      <c r="B563" s="3">
        <v>43118</v>
      </c>
      <c r="C563" s="4">
        <v>17.53</v>
      </c>
      <c r="D563" s="4">
        <v>17.494900000000001</v>
      </c>
      <c r="E563" s="4">
        <v>345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17.350000000000001</v>
      </c>
      <c r="D564" s="4">
        <v>17.315300000000001</v>
      </c>
      <c r="E564" s="4">
        <v>160</v>
      </c>
      <c r="F564" s="4"/>
      <c r="G564" s="4"/>
      <c r="H564" s="5">
        <f t="shared" si="8"/>
        <v>-1.026584890453793E-2</v>
      </c>
    </row>
    <row r="565" spans="1:8" ht="13.5" x14ac:dyDescent="0.25">
      <c r="A565" s="1"/>
      <c r="B565" s="3">
        <v>43122</v>
      </c>
      <c r="C565" s="4">
        <v>17.399999999999999</v>
      </c>
      <c r="D565" s="4">
        <v>17.365200000000002</v>
      </c>
      <c r="E565" s="4">
        <v>300</v>
      </c>
      <c r="F565" s="4"/>
      <c r="G565" s="4"/>
      <c r="H565" s="5">
        <f t="shared" si="8"/>
        <v>2.8818443804035127E-3</v>
      </c>
    </row>
    <row r="566" spans="1:8" ht="13.5" x14ac:dyDescent="0.25">
      <c r="A566" s="1"/>
      <c r="B566" s="3">
        <v>43123</v>
      </c>
      <c r="C566" s="4">
        <v>17.399999999999999</v>
      </c>
      <c r="D566" s="4">
        <v>17.365200000000002</v>
      </c>
      <c r="E566" s="4">
        <v>0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16.88</v>
      </c>
      <c r="D567" s="4">
        <v>16.8462</v>
      </c>
      <c r="E567" s="4">
        <v>105</v>
      </c>
      <c r="F567" s="4"/>
      <c r="G567" s="4"/>
      <c r="H567" s="5">
        <f t="shared" si="8"/>
        <v>-2.9887360928754166E-2</v>
      </c>
    </row>
    <row r="568" spans="1:8" ht="13.5" x14ac:dyDescent="0.25">
      <c r="A568" s="1"/>
      <c r="B568" s="3">
        <v>43125</v>
      </c>
      <c r="C568" s="4">
        <v>17.38</v>
      </c>
      <c r="D568" s="4">
        <v>17.345199999999998</v>
      </c>
      <c r="E568" s="4">
        <v>0</v>
      </c>
      <c r="F568" s="4"/>
      <c r="G568" s="4"/>
      <c r="H568" s="5">
        <f t="shared" si="8"/>
        <v>2.9620923412995142E-2</v>
      </c>
    </row>
    <row r="569" spans="1:8" ht="13.5" x14ac:dyDescent="0.25">
      <c r="A569" s="1"/>
      <c r="B569" s="3">
        <v>43126</v>
      </c>
      <c r="C569" s="4">
        <v>17.420000000000002</v>
      </c>
      <c r="D569" s="4">
        <v>17.385200000000001</v>
      </c>
      <c r="E569" s="4">
        <v>800</v>
      </c>
      <c r="F569" s="4"/>
      <c r="G569" s="4"/>
      <c r="H569" s="5">
        <f t="shared" si="8"/>
        <v>2.3061135069069659E-3</v>
      </c>
    </row>
    <row r="570" spans="1:8" ht="13.5" x14ac:dyDescent="0.25">
      <c r="A570" s="1"/>
      <c r="B570" s="3">
        <v>43129</v>
      </c>
      <c r="C570" s="4">
        <v>17.7</v>
      </c>
      <c r="D570" s="4">
        <v>17.6646</v>
      </c>
      <c r="E570" s="4">
        <v>8</v>
      </c>
      <c r="F570" s="4"/>
      <c r="G570" s="4"/>
      <c r="H570" s="5">
        <f t="shared" si="8"/>
        <v>1.6071140970480579E-2</v>
      </c>
    </row>
    <row r="571" spans="1:8" ht="13.5" x14ac:dyDescent="0.25">
      <c r="A571" s="1"/>
      <c r="B571" s="3">
        <v>43130</v>
      </c>
      <c r="C571" s="4">
        <v>17.170000000000002</v>
      </c>
      <c r="D571" s="4">
        <v>17.1357</v>
      </c>
      <c r="E571" s="4">
        <v>200</v>
      </c>
      <c r="F571" s="4"/>
      <c r="G571" s="4"/>
      <c r="H571" s="5">
        <f t="shared" si="8"/>
        <v>-2.994123840902144E-2</v>
      </c>
    </row>
    <row r="572" spans="1:8" ht="13.5" x14ac:dyDescent="0.25">
      <c r="A572" s="1"/>
      <c r="B572" s="3">
        <v>43131</v>
      </c>
      <c r="C572" s="4">
        <v>17</v>
      </c>
      <c r="D572" s="4">
        <v>16.966000000000001</v>
      </c>
      <c r="E572" s="4">
        <v>4</v>
      </c>
      <c r="F572" s="4"/>
      <c r="G572" s="4"/>
      <c r="H572" s="5">
        <f t="shared" si="8"/>
        <v>-9.9033012949572442E-3</v>
      </c>
    </row>
    <row r="573" spans="1:8" ht="13.5" x14ac:dyDescent="0.25">
      <c r="A573" s="1"/>
      <c r="B573" s="3">
        <v>43132</v>
      </c>
      <c r="C573" s="4">
        <v>17</v>
      </c>
      <c r="D573" s="4">
        <v>16.966000000000001</v>
      </c>
      <c r="E573" s="4">
        <v>0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18.02</v>
      </c>
      <c r="D574" s="4">
        <v>17.984000000000002</v>
      </c>
      <c r="E574" s="4">
        <v>3406</v>
      </c>
      <c r="F574" s="4"/>
      <c r="G574" s="4"/>
      <c r="H574" s="5">
        <f t="shared" si="8"/>
        <v>6.0002357656489487E-2</v>
      </c>
    </row>
    <row r="575" spans="1:8" ht="13.5" x14ac:dyDescent="0.25">
      <c r="A575" s="1"/>
      <c r="B575" s="3">
        <v>43136</v>
      </c>
      <c r="C575" s="4">
        <v>17.489999999999998</v>
      </c>
      <c r="D575" s="4">
        <v>17.454999999999998</v>
      </c>
      <c r="E575" s="4">
        <v>2386</v>
      </c>
      <c r="F575" s="4"/>
      <c r="G575" s="4"/>
      <c r="H575" s="5">
        <f t="shared" si="8"/>
        <v>-2.9415035587188804E-2</v>
      </c>
    </row>
    <row r="576" spans="1:8" ht="13.5" x14ac:dyDescent="0.25">
      <c r="A576" s="1"/>
      <c r="B576" s="3">
        <v>43137</v>
      </c>
      <c r="C576" s="4">
        <v>17.399999999999999</v>
      </c>
      <c r="D576" s="4">
        <v>17.365200000000002</v>
      </c>
      <c r="E576" s="4">
        <v>1550</v>
      </c>
      <c r="F576" s="4"/>
      <c r="G576" s="4"/>
      <c r="H576" s="5">
        <f t="shared" si="8"/>
        <v>-5.1446576912057736E-3</v>
      </c>
    </row>
    <row r="577" spans="1:8" ht="13.5" x14ac:dyDescent="0.25">
      <c r="A577" s="1"/>
      <c r="B577" s="3">
        <v>43138</v>
      </c>
      <c r="C577" s="4">
        <v>17</v>
      </c>
      <c r="D577" s="4">
        <v>16.966000000000001</v>
      </c>
      <c r="E577" s="4">
        <v>230</v>
      </c>
      <c r="F577" s="4"/>
      <c r="G577" s="4"/>
      <c r="H577" s="5">
        <f t="shared" si="8"/>
        <v>-2.2988505747126461E-2</v>
      </c>
    </row>
    <row r="578" spans="1:8" ht="13.5" x14ac:dyDescent="0.25">
      <c r="A578" s="1"/>
      <c r="B578" s="3">
        <v>43139</v>
      </c>
      <c r="C578" s="4">
        <v>16.899999999999999</v>
      </c>
      <c r="D578" s="4">
        <v>16.866199999999999</v>
      </c>
      <c r="E578" s="4">
        <v>1160</v>
      </c>
      <c r="F578" s="4"/>
      <c r="G578" s="4"/>
      <c r="H578" s="5">
        <f t="shared" si="8"/>
        <v>-5.8823529411765815E-3</v>
      </c>
    </row>
    <row r="579" spans="1:8" ht="13.5" x14ac:dyDescent="0.25">
      <c r="A579" s="1"/>
      <c r="B579" s="3">
        <v>43140</v>
      </c>
      <c r="C579" s="4">
        <v>17.649999999999999</v>
      </c>
      <c r="D579" s="4">
        <v>17.614699999999999</v>
      </c>
      <c r="E579" s="4">
        <v>400</v>
      </c>
      <c r="F579" s="4"/>
      <c r="G579" s="4"/>
      <c r="H579" s="5">
        <f t="shared" si="8"/>
        <v>4.4378698224852069E-2</v>
      </c>
    </row>
    <row r="580" spans="1:8" ht="13.5" x14ac:dyDescent="0.25">
      <c r="A580" s="1"/>
      <c r="B580" s="3">
        <v>43143</v>
      </c>
      <c r="C580" s="4">
        <v>17.25</v>
      </c>
      <c r="D580" s="4">
        <v>17.215499999999999</v>
      </c>
      <c r="E580" s="4">
        <v>101</v>
      </c>
      <c r="F580" s="4"/>
      <c r="G580" s="4"/>
      <c r="H580" s="5">
        <f t="shared" si="8"/>
        <v>-2.2662889518413623E-2</v>
      </c>
    </row>
    <row r="581" spans="1:8" ht="13.5" x14ac:dyDescent="0.25">
      <c r="A581" s="1"/>
      <c r="B581" s="3">
        <v>43144</v>
      </c>
      <c r="C581" s="4">
        <v>17.5</v>
      </c>
      <c r="D581" s="4">
        <v>17.465</v>
      </c>
      <c r="E581" s="4">
        <v>2331</v>
      </c>
      <c r="F581" s="4"/>
      <c r="G581" s="4"/>
      <c r="H581" s="5">
        <f t="shared" si="8"/>
        <v>1.4492753623188475E-2</v>
      </c>
    </row>
    <row r="582" spans="1:8" ht="13.5" x14ac:dyDescent="0.25">
      <c r="A582" s="1"/>
      <c r="B582" s="3">
        <v>43145</v>
      </c>
      <c r="C582" s="4">
        <v>17.59</v>
      </c>
      <c r="D582" s="4">
        <v>17.5548</v>
      </c>
      <c r="E582" s="4">
        <v>1240</v>
      </c>
      <c r="F582" s="4"/>
      <c r="G582" s="4"/>
      <c r="H582" s="5">
        <f t="shared" si="8"/>
        <v>5.1417119954194285E-3</v>
      </c>
    </row>
    <row r="583" spans="1:8" ht="13.5" x14ac:dyDescent="0.25">
      <c r="A583" s="1"/>
      <c r="B583" s="3">
        <v>43146</v>
      </c>
      <c r="C583" s="4">
        <v>17.8</v>
      </c>
      <c r="D583" s="4">
        <v>17.764399999999998</v>
      </c>
      <c r="E583" s="4">
        <v>2275</v>
      </c>
      <c r="F583" s="4"/>
      <c r="G583" s="4"/>
      <c r="H583" s="5">
        <f t="shared" ref="H583:H646" si="9">(D583-D582)/D582</f>
        <v>1.1939754369175281E-2</v>
      </c>
    </row>
    <row r="584" spans="1:8" ht="13.5" x14ac:dyDescent="0.25">
      <c r="A584" s="1"/>
      <c r="B584" s="3">
        <v>43147</v>
      </c>
      <c r="C584" s="4">
        <v>17.7</v>
      </c>
      <c r="D584" s="4">
        <v>17.6646</v>
      </c>
      <c r="E584" s="4">
        <v>265</v>
      </c>
      <c r="F584" s="4"/>
      <c r="G584" s="4"/>
      <c r="H584" s="5">
        <f t="shared" si="9"/>
        <v>-5.6179775280897947E-3</v>
      </c>
    </row>
    <row r="585" spans="1:8" ht="13.5" x14ac:dyDescent="0.25">
      <c r="A585" s="1"/>
      <c r="B585" s="3">
        <v>43150</v>
      </c>
      <c r="C585" s="4">
        <v>17.7</v>
      </c>
      <c r="D585" s="4">
        <v>17.6646</v>
      </c>
      <c r="E585" s="4">
        <v>1858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17.989999999999998</v>
      </c>
      <c r="D586" s="4">
        <v>17.954000000000001</v>
      </c>
      <c r="E586" s="4">
        <v>10</v>
      </c>
      <c r="F586" s="4"/>
      <c r="G586" s="4"/>
      <c r="H586" s="5">
        <f t="shared" si="9"/>
        <v>1.638304858304182E-2</v>
      </c>
    </row>
    <row r="587" spans="1:8" ht="13.5" x14ac:dyDescent="0.25">
      <c r="A587" s="1"/>
      <c r="B587" s="3">
        <v>43152</v>
      </c>
      <c r="C587" s="4">
        <v>18.16</v>
      </c>
      <c r="D587" s="4">
        <v>18.123699999999999</v>
      </c>
      <c r="E587" s="4">
        <v>750</v>
      </c>
      <c r="F587" s="4"/>
      <c r="G587" s="4"/>
      <c r="H587" s="5">
        <f t="shared" si="9"/>
        <v>9.4519327169432354E-3</v>
      </c>
    </row>
    <row r="588" spans="1:8" ht="13.5" x14ac:dyDescent="0.25">
      <c r="A588" s="1"/>
      <c r="B588" s="3">
        <v>43153</v>
      </c>
      <c r="C588" s="4">
        <v>18</v>
      </c>
      <c r="D588" s="4">
        <v>17.963999999999999</v>
      </c>
      <c r="E588" s="4">
        <v>752</v>
      </c>
      <c r="F588" s="4"/>
      <c r="G588" s="4"/>
      <c r="H588" s="5">
        <f t="shared" si="9"/>
        <v>-8.8116664919415371E-3</v>
      </c>
    </row>
    <row r="589" spans="1:8" ht="13.5" x14ac:dyDescent="0.25">
      <c r="A589" s="1"/>
      <c r="B589" s="3">
        <v>43154</v>
      </c>
      <c r="C589" s="4">
        <v>18.16</v>
      </c>
      <c r="D589" s="4">
        <v>18.123699999999999</v>
      </c>
      <c r="E589" s="4">
        <v>10</v>
      </c>
      <c r="F589" s="4"/>
      <c r="G589" s="4"/>
      <c r="H589" s="5">
        <f t="shared" si="9"/>
        <v>8.8900022266756203E-3</v>
      </c>
    </row>
    <row r="590" spans="1:8" ht="13.5" x14ac:dyDescent="0.25">
      <c r="A590" s="1"/>
      <c r="B590" s="3">
        <v>43157</v>
      </c>
      <c r="C590" s="4">
        <v>17.399999999999999</v>
      </c>
      <c r="D590" s="4">
        <v>17.365200000000002</v>
      </c>
      <c r="E590" s="4">
        <v>1000</v>
      </c>
      <c r="F590" s="4"/>
      <c r="G590" s="4"/>
      <c r="H590" s="5">
        <f t="shared" si="9"/>
        <v>-4.1851277608876664E-2</v>
      </c>
    </row>
    <row r="591" spans="1:8" ht="13.5" x14ac:dyDescent="0.25">
      <c r="A591" s="1"/>
      <c r="B591" s="3">
        <v>43158</v>
      </c>
      <c r="C591" s="4">
        <v>17.54</v>
      </c>
      <c r="D591" s="4">
        <v>17.504899999999999</v>
      </c>
      <c r="E591" s="4">
        <v>1925</v>
      </c>
      <c r="F591" s="4"/>
      <c r="G591" s="4"/>
      <c r="H591" s="5">
        <f t="shared" si="9"/>
        <v>8.0448252827492739E-3</v>
      </c>
    </row>
    <row r="592" spans="1:8" ht="13.5" x14ac:dyDescent="0.25">
      <c r="A592" s="1"/>
      <c r="B592" s="3">
        <v>43159</v>
      </c>
      <c r="C592" s="4">
        <v>17.54</v>
      </c>
      <c r="D592" s="4">
        <v>17.504899999999999</v>
      </c>
      <c r="E592" s="4">
        <v>660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17.190000000000001</v>
      </c>
      <c r="D593" s="4">
        <v>17.1556</v>
      </c>
      <c r="E593" s="4">
        <v>500</v>
      </c>
      <c r="F593" s="4"/>
      <c r="G593" s="4"/>
      <c r="H593" s="5">
        <f t="shared" si="9"/>
        <v>-1.9954412764425934E-2</v>
      </c>
    </row>
    <row r="594" spans="1:8" ht="13.5" x14ac:dyDescent="0.25">
      <c r="A594" s="1"/>
      <c r="B594" s="3">
        <v>43161</v>
      </c>
      <c r="C594" s="4">
        <v>17.190000000000001</v>
      </c>
      <c r="D594" s="4">
        <v>17.1556</v>
      </c>
      <c r="E594" s="4">
        <v>950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17.190000000000001</v>
      </c>
      <c r="D595" s="4">
        <v>17.1556</v>
      </c>
      <c r="E595" s="4">
        <v>0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17.37</v>
      </c>
      <c r="D596" s="4">
        <v>17.3353</v>
      </c>
      <c r="E596" s="4">
        <v>120</v>
      </c>
      <c r="F596" s="4"/>
      <c r="G596" s="4"/>
      <c r="H596" s="5">
        <f t="shared" si="9"/>
        <v>1.0474713796078273E-2</v>
      </c>
    </row>
    <row r="597" spans="1:8" ht="13.5" x14ac:dyDescent="0.25">
      <c r="A597" s="1"/>
      <c r="B597" s="3">
        <v>43166</v>
      </c>
      <c r="C597" s="4">
        <v>16.82</v>
      </c>
      <c r="D597" s="4">
        <v>16.7864</v>
      </c>
      <c r="E597" s="4">
        <v>1198</v>
      </c>
      <c r="F597" s="4"/>
      <c r="G597" s="4"/>
      <c r="H597" s="5">
        <f t="shared" si="9"/>
        <v>-3.1663715078481466E-2</v>
      </c>
    </row>
    <row r="598" spans="1:8" ht="13.5" x14ac:dyDescent="0.25">
      <c r="A598" s="1"/>
      <c r="B598" s="3">
        <v>43167</v>
      </c>
      <c r="C598" s="4">
        <v>16.84</v>
      </c>
      <c r="D598" s="4">
        <v>16.8063</v>
      </c>
      <c r="E598" s="4">
        <v>143</v>
      </c>
      <c r="F598" s="4"/>
      <c r="G598" s="4"/>
      <c r="H598" s="5">
        <f t="shared" si="9"/>
        <v>1.1854834866320239E-3</v>
      </c>
    </row>
    <row r="599" spans="1:8" ht="13.5" x14ac:dyDescent="0.25">
      <c r="A599" s="1"/>
      <c r="B599" s="3">
        <v>43168</v>
      </c>
      <c r="C599" s="4">
        <v>17.18</v>
      </c>
      <c r="D599" s="4">
        <v>17.145600000000002</v>
      </c>
      <c r="E599" s="4">
        <v>251</v>
      </c>
      <c r="F599" s="4"/>
      <c r="G599" s="4"/>
      <c r="H599" s="5">
        <f t="shared" si="9"/>
        <v>2.0188857749772495E-2</v>
      </c>
    </row>
    <row r="600" spans="1:8" ht="13.5" x14ac:dyDescent="0.25">
      <c r="A600" s="1"/>
      <c r="B600" s="3">
        <v>43171</v>
      </c>
      <c r="C600" s="4">
        <v>17.18</v>
      </c>
      <c r="D600" s="4">
        <v>17.145600000000002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17.14</v>
      </c>
      <c r="D601" s="4">
        <v>17.105699999999999</v>
      </c>
      <c r="E601" s="4">
        <v>2000</v>
      </c>
      <c r="F601" s="4"/>
      <c r="G601" s="4"/>
      <c r="H601" s="5">
        <f t="shared" si="9"/>
        <v>-2.3271276595746388E-3</v>
      </c>
    </row>
    <row r="602" spans="1:8" ht="13.5" x14ac:dyDescent="0.25">
      <c r="A602" s="1"/>
      <c r="B602" s="3">
        <v>43173</v>
      </c>
      <c r="C602" s="4">
        <v>17.170000000000002</v>
      </c>
      <c r="D602" s="4">
        <v>17.1357</v>
      </c>
      <c r="E602" s="4">
        <v>115</v>
      </c>
      <c r="F602" s="4"/>
      <c r="G602" s="4"/>
      <c r="H602" s="5">
        <f t="shared" si="9"/>
        <v>1.7538013644575281E-3</v>
      </c>
    </row>
    <row r="603" spans="1:8" ht="13.5" x14ac:dyDescent="0.25">
      <c r="A603" s="1"/>
      <c r="B603" s="3">
        <v>43174</v>
      </c>
      <c r="C603" s="4">
        <v>17.170000000000002</v>
      </c>
      <c r="D603" s="4">
        <v>17.1357</v>
      </c>
      <c r="E603" s="4">
        <v>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17.07</v>
      </c>
      <c r="D604" s="4">
        <v>17.035900000000002</v>
      </c>
      <c r="E604" s="4">
        <v>600</v>
      </c>
      <c r="F604" s="4"/>
      <c r="G604" s="4"/>
      <c r="H604" s="5">
        <f t="shared" si="9"/>
        <v>-5.8240982276766247E-3</v>
      </c>
    </row>
    <row r="605" spans="1:8" ht="13.5" x14ac:dyDescent="0.25">
      <c r="A605" s="1"/>
      <c r="B605" s="3">
        <v>43178</v>
      </c>
      <c r="C605" s="4">
        <v>17.02</v>
      </c>
      <c r="D605" s="4">
        <v>16.986000000000001</v>
      </c>
      <c r="E605" s="4">
        <v>310</v>
      </c>
      <c r="F605" s="4"/>
      <c r="G605" s="4"/>
      <c r="H605" s="5">
        <f t="shared" si="9"/>
        <v>-2.929108529634533E-3</v>
      </c>
    </row>
    <row r="606" spans="1:8" ht="13.5" x14ac:dyDescent="0.25">
      <c r="A606" s="1"/>
      <c r="B606" s="3">
        <v>43180</v>
      </c>
      <c r="C606" s="4">
        <v>16.79</v>
      </c>
      <c r="D606" s="4">
        <v>16.756399999999999</v>
      </c>
      <c r="E606" s="4">
        <v>1184</v>
      </c>
      <c r="F606" s="4"/>
      <c r="G606" s="4"/>
      <c r="H606" s="5">
        <f t="shared" si="9"/>
        <v>-1.3517014011538995E-2</v>
      </c>
    </row>
    <row r="607" spans="1:8" ht="13.5" x14ac:dyDescent="0.25">
      <c r="A607" s="1"/>
      <c r="B607" s="3">
        <v>43181</v>
      </c>
      <c r="C607" s="4">
        <v>17.02</v>
      </c>
      <c r="D607" s="4">
        <v>16.986000000000001</v>
      </c>
      <c r="E607" s="4">
        <v>1160</v>
      </c>
      <c r="F607" s="4"/>
      <c r="G607" s="4"/>
      <c r="H607" s="5">
        <f t="shared" si="9"/>
        <v>1.3702227208708397E-2</v>
      </c>
    </row>
    <row r="608" spans="1:8" ht="13.5" x14ac:dyDescent="0.25">
      <c r="A608" s="1"/>
      <c r="B608" s="3">
        <v>43182</v>
      </c>
      <c r="C608" s="4">
        <v>16.989999999999998</v>
      </c>
      <c r="D608" s="4">
        <v>16.956</v>
      </c>
      <c r="E608" s="4">
        <v>785</v>
      </c>
      <c r="F608" s="4"/>
      <c r="G608" s="4"/>
      <c r="H608" s="5">
        <f t="shared" si="9"/>
        <v>-1.7661603673614233E-3</v>
      </c>
    </row>
    <row r="609" spans="1:8" ht="13.5" x14ac:dyDescent="0.25">
      <c r="A609" s="1"/>
      <c r="B609" s="3">
        <v>43185</v>
      </c>
      <c r="C609" s="4">
        <v>17.07</v>
      </c>
      <c r="D609" s="4">
        <v>17.035900000000002</v>
      </c>
      <c r="E609" s="4">
        <v>2</v>
      </c>
      <c r="F609" s="4"/>
      <c r="G609" s="4"/>
      <c r="H609" s="5">
        <f t="shared" si="9"/>
        <v>4.7121962727059499E-3</v>
      </c>
    </row>
    <row r="610" spans="1:8" ht="13.5" x14ac:dyDescent="0.25">
      <c r="A610" s="1"/>
      <c r="B610" s="3">
        <v>43186</v>
      </c>
      <c r="C610" s="4">
        <v>17.05</v>
      </c>
      <c r="D610" s="4">
        <v>17.015899999999998</v>
      </c>
      <c r="E610" s="4">
        <v>191</v>
      </c>
      <c r="F610" s="4"/>
      <c r="G610" s="4"/>
      <c r="H610" s="5">
        <f t="shared" si="9"/>
        <v>-1.1739913946432607E-3</v>
      </c>
    </row>
    <row r="611" spans="1:8" ht="13.5" x14ac:dyDescent="0.25">
      <c r="A611" s="1"/>
      <c r="B611" s="3">
        <v>43187</v>
      </c>
      <c r="C611" s="4">
        <v>16.78</v>
      </c>
      <c r="D611" s="4">
        <v>16.746400000000001</v>
      </c>
      <c r="E611" s="4">
        <v>138</v>
      </c>
      <c r="F611" s="4"/>
      <c r="G611" s="4"/>
      <c r="H611" s="5">
        <f t="shared" si="9"/>
        <v>-1.5838127868640344E-2</v>
      </c>
    </row>
    <row r="612" spans="1:8" ht="13.5" x14ac:dyDescent="0.25">
      <c r="A612" s="1"/>
      <c r="B612" s="3">
        <v>43188</v>
      </c>
      <c r="C612" s="4">
        <v>16.7</v>
      </c>
      <c r="D612" s="4">
        <v>16.666599999999999</v>
      </c>
      <c r="E612" s="4">
        <v>951</v>
      </c>
      <c r="F612" s="4"/>
      <c r="G612" s="4"/>
      <c r="H612" s="5">
        <f t="shared" si="9"/>
        <v>-4.7652032675680927E-3</v>
      </c>
    </row>
    <row r="613" spans="1:8" ht="13.5" x14ac:dyDescent="0.25">
      <c r="A613" s="1"/>
      <c r="B613" s="3">
        <v>43189</v>
      </c>
      <c r="C613" s="4">
        <v>16.5</v>
      </c>
      <c r="D613" s="4">
        <v>16.466999999999999</v>
      </c>
      <c r="E613" s="4">
        <v>438</v>
      </c>
      <c r="F613" s="4"/>
      <c r="G613" s="4"/>
      <c r="H613" s="5">
        <f t="shared" si="9"/>
        <v>-1.1976047904191631E-2</v>
      </c>
    </row>
    <row r="614" spans="1:8" ht="13.5" x14ac:dyDescent="0.25">
      <c r="A614" s="1"/>
      <c r="B614" s="3">
        <v>43192</v>
      </c>
      <c r="C614" s="4">
        <v>16.510000000000002</v>
      </c>
      <c r="D614" s="4">
        <v>16.477</v>
      </c>
      <c r="E614" s="4">
        <v>300</v>
      </c>
      <c r="F614" s="4"/>
      <c r="G614" s="4"/>
      <c r="H614" s="5">
        <f t="shared" si="9"/>
        <v>6.0727515637344772E-4</v>
      </c>
    </row>
    <row r="615" spans="1:8" ht="13.5" x14ac:dyDescent="0.25">
      <c r="A615" s="1"/>
      <c r="B615" s="3">
        <v>43193</v>
      </c>
      <c r="C615" s="4">
        <v>16.510000000000002</v>
      </c>
      <c r="D615" s="4">
        <v>16.477</v>
      </c>
      <c r="E615" s="4">
        <v>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15.79</v>
      </c>
      <c r="D616" s="4">
        <v>15.7584</v>
      </c>
      <c r="E616" s="4">
        <v>914</v>
      </c>
      <c r="F616" s="4"/>
      <c r="G616" s="4"/>
      <c r="H616" s="5">
        <f t="shared" si="9"/>
        <v>-4.3612308065788696E-2</v>
      </c>
    </row>
    <row r="617" spans="1:8" ht="13.5" x14ac:dyDescent="0.25">
      <c r="A617" s="1"/>
      <c r="B617" s="3">
        <v>43195</v>
      </c>
      <c r="C617" s="4">
        <v>15.31</v>
      </c>
      <c r="D617" s="4">
        <v>15.279400000000001</v>
      </c>
      <c r="E617" s="4">
        <v>701</v>
      </c>
      <c r="F617" s="4"/>
      <c r="G617" s="4"/>
      <c r="H617" s="5">
        <f t="shared" si="9"/>
        <v>-3.03964869529901E-2</v>
      </c>
    </row>
    <row r="618" spans="1:8" ht="13.5" x14ac:dyDescent="0.25">
      <c r="A618" s="1"/>
      <c r="B618" s="3">
        <v>43196</v>
      </c>
      <c r="C618" s="4">
        <v>15.72</v>
      </c>
      <c r="D618" s="4">
        <v>15.688599999999999</v>
      </c>
      <c r="E618" s="4">
        <v>375</v>
      </c>
      <c r="F618" s="4"/>
      <c r="G618" s="4"/>
      <c r="H618" s="5">
        <f t="shared" si="9"/>
        <v>2.6781156328127966E-2</v>
      </c>
    </row>
    <row r="619" spans="1:8" ht="13.5" x14ac:dyDescent="0.25">
      <c r="A619" s="1"/>
      <c r="B619" s="3">
        <v>43200</v>
      </c>
      <c r="C619" s="4">
        <v>15.74</v>
      </c>
      <c r="D619" s="4">
        <v>15.708500000000001</v>
      </c>
      <c r="E619" s="4">
        <v>900</v>
      </c>
      <c r="F619" s="4"/>
      <c r="G619" s="4"/>
      <c r="H619" s="5">
        <f t="shared" si="9"/>
        <v>1.2684369542216376E-3</v>
      </c>
    </row>
    <row r="620" spans="1:8" ht="13.5" x14ac:dyDescent="0.25">
      <c r="A620" s="1"/>
      <c r="B620" s="3">
        <v>43201</v>
      </c>
      <c r="C620" s="4">
        <v>15.98</v>
      </c>
      <c r="D620" s="4">
        <v>15.948</v>
      </c>
      <c r="E620" s="4">
        <v>10</v>
      </c>
      <c r="F620" s="4"/>
      <c r="G620" s="4"/>
      <c r="H620" s="5">
        <f t="shared" si="9"/>
        <v>1.524652258331474E-2</v>
      </c>
    </row>
    <row r="621" spans="1:8" ht="13.5" x14ac:dyDescent="0.25">
      <c r="A621" s="1"/>
      <c r="B621" s="3">
        <v>43202</v>
      </c>
      <c r="C621" s="4">
        <v>15.97</v>
      </c>
      <c r="D621" s="4">
        <v>15.9381</v>
      </c>
      <c r="E621" s="4">
        <v>10</v>
      </c>
      <c r="F621" s="4"/>
      <c r="G621" s="4"/>
      <c r="H621" s="5">
        <f t="shared" si="9"/>
        <v>-6.2076749435666036E-4</v>
      </c>
    </row>
    <row r="622" spans="1:8" ht="13.5" x14ac:dyDescent="0.25">
      <c r="A622" s="1"/>
      <c r="B622" s="3">
        <v>43203</v>
      </c>
      <c r="C622" s="4">
        <v>15.9</v>
      </c>
      <c r="D622" s="4">
        <v>15.8682</v>
      </c>
      <c r="E622" s="4">
        <v>280</v>
      </c>
      <c r="F622" s="4"/>
      <c r="G622" s="4"/>
      <c r="H622" s="5">
        <f t="shared" si="9"/>
        <v>-4.3857172435861564E-3</v>
      </c>
    </row>
    <row r="623" spans="1:8" ht="13.5" x14ac:dyDescent="0.25">
      <c r="A623" s="1"/>
      <c r="B623" s="3">
        <v>43206</v>
      </c>
      <c r="C623" s="4">
        <v>15.7</v>
      </c>
      <c r="D623" s="4">
        <v>15.6686</v>
      </c>
      <c r="E623" s="4">
        <v>2001</v>
      </c>
      <c r="F623" s="4"/>
      <c r="G623" s="4"/>
      <c r="H623" s="5">
        <f t="shared" si="9"/>
        <v>-1.2578616352201272E-2</v>
      </c>
    </row>
    <row r="624" spans="1:8" ht="13.5" x14ac:dyDescent="0.25">
      <c r="A624" s="1"/>
      <c r="B624" s="3">
        <v>43207</v>
      </c>
      <c r="C624" s="4">
        <v>15.23</v>
      </c>
      <c r="D624" s="4">
        <v>15.1995</v>
      </c>
      <c r="E624" s="4">
        <v>263</v>
      </c>
      <c r="F624" s="4"/>
      <c r="G624" s="4"/>
      <c r="H624" s="5">
        <f t="shared" si="9"/>
        <v>-2.9938858608937569E-2</v>
      </c>
    </row>
    <row r="625" spans="1:8" ht="13.5" x14ac:dyDescent="0.25">
      <c r="A625" s="1"/>
      <c r="B625" s="3">
        <v>43208</v>
      </c>
      <c r="C625" s="4">
        <v>14.8</v>
      </c>
      <c r="D625" s="4">
        <v>14.7704</v>
      </c>
      <c r="E625" s="4">
        <v>113</v>
      </c>
      <c r="F625" s="4"/>
      <c r="G625" s="4"/>
      <c r="H625" s="5">
        <f t="shared" si="9"/>
        <v>-2.8231191815520248E-2</v>
      </c>
    </row>
    <row r="626" spans="1:8" ht="13.5" x14ac:dyDescent="0.25">
      <c r="A626" s="1"/>
      <c r="B626" s="3">
        <v>43209</v>
      </c>
      <c r="C626" s="4">
        <v>14.14</v>
      </c>
      <c r="D626" s="4">
        <v>14.111700000000001</v>
      </c>
      <c r="E626" s="4">
        <v>0</v>
      </c>
      <c r="F626" s="4"/>
      <c r="G626" s="4"/>
      <c r="H626" s="5">
        <f t="shared" si="9"/>
        <v>-4.4595948654064861E-2</v>
      </c>
    </row>
    <row r="627" spans="1:8" ht="13.5" x14ac:dyDescent="0.25">
      <c r="A627" s="1"/>
      <c r="B627" s="3">
        <v>43210</v>
      </c>
      <c r="C627" s="4">
        <v>13.57</v>
      </c>
      <c r="D627" s="4">
        <v>13.542899999999999</v>
      </c>
      <c r="E627" s="4">
        <v>350</v>
      </c>
      <c r="F627" s="4"/>
      <c r="G627" s="4"/>
      <c r="H627" s="5">
        <f t="shared" si="9"/>
        <v>-4.0306979315036552E-2</v>
      </c>
    </row>
    <row r="628" spans="1:8" ht="13.5" x14ac:dyDescent="0.25">
      <c r="A628" s="1"/>
      <c r="B628" s="3">
        <v>43213</v>
      </c>
      <c r="C628" s="4">
        <v>13.97</v>
      </c>
      <c r="D628" s="4">
        <v>13.9421</v>
      </c>
      <c r="E628" s="4">
        <v>18</v>
      </c>
      <c r="F628" s="4"/>
      <c r="G628" s="4"/>
      <c r="H628" s="5">
        <f t="shared" si="9"/>
        <v>2.947669996824908E-2</v>
      </c>
    </row>
    <row r="629" spans="1:8" ht="13.5" x14ac:dyDescent="0.25">
      <c r="A629" s="1"/>
      <c r="B629" s="3">
        <v>43214</v>
      </c>
      <c r="C629" s="4">
        <v>13.63</v>
      </c>
      <c r="D629" s="4">
        <v>13.6027</v>
      </c>
      <c r="E629" s="4">
        <v>2401</v>
      </c>
      <c r="F629" s="4"/>
      <c r="G629" s="4"/>
      <c r="H629" s="5">
        <f t="shared" si="9"/>
        <v>-2.4343535048522064E-2</v>
      </c>
    </row>
    <row r="630" spans="1:8" ht="13.5" x14ac:dyDescent="0.25">
      <c r="A630" s="1"/>
      <c r="B630" s="3">
        <v>43215</v>
      </c>
      <c r="C630" s="4">
        <v>13.6</v>
      </c>
      <c r="D630" s="4">
        <v>13.572800000000001</v>
      </c>
      <c r="E630" s="4">
        <v>163</v>
      </c>
      <c r="F630" s="4"/>
      <c r="G630" s="4"/>
      <c r="H630" s="5">
        <f t="shared" si="9"/>
        <v>-2.1980930256492895E-3</v>
      </c>
    </row>
    <row r="631" spans="1:8" ht="13.5" x14ac:dyDescent="0.25">
      <c r="A631" s="1"/>
      <c r="B631" s="3">
        <v>43216</v>
      </c>
      <c r="C631" s="4">
        <v>13.58</v>
      </c>
      <c r="D631" s="4">
        <v>13.5528</v>
      </c>
      <c r="E631" s="4">
        <v>1225</v>
      </c>
      <c r="F631" s="4"/>
      <c r="G631" s="4"/>
      <c r="H631" s="5">
        <f t="shared" si="9"/>
        <v>-1.4735353059060288E-3</v>
      </c>
    </row>
    <row r="632" spans="1:8" ht="13.5" x14ac:dyDescent="0.25">
      <c r="A632" s="1"/>
      <c r="B632" s="3">
        <v>43217</v>
      </c>
      <c r="C632" s="4">
        <v>13.58</v>
      </c>
      <c r="D632" s="4">
        <v>13.5528</v>
      </c>
      <c r="E632" s="4">
        <v>2005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13.5</v>
      </c>
      <c r="D633" s="4">
        <v>13.473000000000001</v>
      </c>
      <c r="E633" s="4">
        <v>150</v>
      </c>
      <c r="F633" s="4"/>
      <c r="G633" s="4"/>
      <c r="H633" s="5">
        <f t="shared" si="9"/>
        <v>-5.8880821675224874E-3</v>
      </c>
    </row>
    <row r="634" spans="1:8" ht="13.5" x14ac:dyDescent="0.25">
      <c r="A634" s="1"/>
      <c r="B634" s="3">
        <v>43222</v>
      </c>
      <c r="C634" s="4">
        <v>13.9</v>
      </c>
      <c r="D634" s="4">
        <v>13.872199999999999</v>
      </c>
      <c r="E634" s="4">
        <v>0</v>
      </c>
      <c r="F634" s="4"/>
      <c r="G634" s="4"/>
      <c r="H634" s="5">
        <f t="shared" si="9"/>
        <v>2.962962962962953E-2</v>
      </c>
    </row>
    <row r="635" spans="1:8" ht="13.5" x14ac:dyDescent="0.25">
      <c r="A635" s="1"/>
      <c r="B635" s="3">
        <v>43223</v>
      </c>
      <c r="C635" s="4">
        <v>13.9</v>
      </c>
      <c r="D635" s="4">
        <v>13.872199999999999</v>
      </c>
      <c r="E635" s="4">
        <v>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13.5</v>
      </c>
      <c r="D636" s="4">
        <v>13.473000000000001</v>
      </c>
      <c r="E636" s="4">
        <v>688</v>
      </c>
      <c r="F636" s="4"/>
      <c r="G636" s="4"/>
      <c r="H636" s="5">
        <f t="shared" si="9"/>
        <v>-2.8776978417266091E-2</v>
      </c>
    </row>
    <row r="637" spans="1:8" ht="13.5" x14ac:dyDescent="0.25">
      <c r="A637" s="1"/>
      <c r="B637" s="3">
        <v>43227</v>
      </c>
      <c r="C637" s="4">
        <v>14</v>
      </c>
      <c r="D637" s="4">
        <v>13.972</v>
      </c>
      <c r="E637" s="4">
        <v>5</v>
      </c>
      <c r="F637" s="4"/>
      <c r="G637" s="4"/>
      <c r="H637" s="5">
        <f t="shared" si="9"/>
        <v>3.7037037037036945E-2</v>
      </c>
    </row>
    <row r="638" spans="1:8" ht="13.5" x14ac:dyDescent="0.25">
      <c r="A638" s="1"/>
      <c r="B638" s="3">
        <v>43228</v>
      </c>
      <c r="C638" s="4">
        <v>13.6</v>
      </c>
      <c r="D638" s="4">
        <v>13.572800000000001</v>
      </c>
      <c r="E638" s="4">
        <v>1280</v>
      </c>
      <c r="F638" s="4"/>
      <c r="G638" s="4"/>
      <c r="H638" s="5">
        <f t="shared" si="9"/>
        <v>-2.8571428571428477E-2</v>
      </c>
    </row>
    <row r="639" spans="1:8" ht="13.5" x14ac:dyDescent="0.25">
      <c r="A639" s="1"/>
      <c r="B639" s="3">
        <v>43229</v>
      </c>
      <c r="C639" s="4">
        <v>13.23</v>
      </c>
      <c r="D639" s="4">
        <v>13.2035</v>
      </c>
      <c r="E639" s="4">
        <v>220</v>
      </c>
      <c r="F639" s="4"/>
      <c r="G639" s="4"/>
      <c r="H639" s="5">
        <f t="shared" si="9"/>
        <v>-2.7208829423553051E-2</v>
      </c>
    </row>
    <row r="640" spans="1:8" ht="13.5" x14ac:dyDescent="0.25">
      <c r="A640" s="1"/>
      <c r="B640" s="3">
        <v>43230</v>
      </c>
      <c r="C640" s="4">
        <v>14.01</v>
      </c>
      <c r="D640" s="4">
        <v>13.981999999999999</v>
      </c>
      <c r="E640" s="4">
        <v>1</v>
      </c>
      <c r="F640" s="4"/>
      <c r="G640" s="4"/>
      <c r="H640" s="5">
        <f t="shared" si="9"/>
        <v>5.8961638959366784E-2</v>
      </c>
    </row>
    <row r="641" spans="1:8" ht="13.5" x14ac:dyDescent="0.25">
      <c r="A641" s="1"/>
      <c r="B641" s="3">
        <v>43231</v>
      </c>
      <c r="C641" s="4">
        <v>14.01</v>
      </c>
      <c r="D641" s="4">
        <v>13.981999999999999</v>
      </c>
      <c r="E641" s="4">
        <v>0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14.36</v>
      </c>
      <c r="D642" s="4">
        <v>14.331300000000001</v>
      </c>
      <c r="E642" s="4">
        <v>188</v>
      </c>
      <c r="F642" s="4"/>
      <c r="G642" s="4"/>
      <c r="H642" s="5">
        <f t="shared" si="9"/>
        <v>2.4982119868402323E-2</v>
      </c>
    </row>
    <row r="643" spans="1:8" ht="13.5" x14ac:dyDescent="0.25">
      <c r="A643" s="1"/>
      <c r="B643" s="3">
        <v>43235</v>
      </c>
      <c r="C643" s="4">
        <v>14.39</v>
      </c>
      <c r="D643" s="4">
        <v>14.3612</v>
      </c>
      <c r="E643" s="4">
        <v>105</v>
      </c>
      <c r="F643" s="4"/>
      <c r="G643" s="4"/>
      <c r="H643" s="5">
        <f t="shared" si="9"/>
        <v>2.0863424811426454E-3</v>
      </c>
    </row>
    <row r="644" spans="1:8" ht="13.5" x14ac:dyDescent="0.25">
      <c r="A644" s="1"/>
      <c r="B644" s="3">
        <v>43236</v>
      </c>
      <c r="C644" s="4">
        <v>14.39</v>
      </c>
      <c r="D644" s="4">
        <v>14.3612</v>
      </c>
      <c r="E644" s="4">
        <v>1110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14.81</v>
      </c>
      <c r="D645" s="4">
        <v>14.7804</v>
      </c>
      <c r="E645" s="4">
        <v>26</v>
      </c>
      <c r="F645" s="4"/>
      <c r="G645" s="4"/>
      <c r="H645" s="5">
        <f t="shared" si="9"/>
        <v>2.9189761301284017E-2</v>
      </c>
    </row>
    <row r="646" spans="1:8" ht="13.5" x14ac:dyDescent="0.25">
      <c r="A646" s="1"/>
      <c r="B646" s="3">
        <v>43238</v>
      </c>
      <c r="C646" s="4">
        <v>14.81</v>
      </c>
      <c r="D646" s="4">
        <v>14.7804</v>
      </c>
      <c r="E646" s="4">
        <v>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14.81</v>
      </c>
      <c r="D647" s="4">
        <v>14.7804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14.81</v>
      </c>
      <c r="D648" s="4">
        <v>14.7804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14.81</v>
      </c>
      <c r="D649" s="4">
        <v>14.7804</v>
      </c>
      <c r="E649" s="4">
        <v>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14.37</v>
      </c>
      <c r="D650" s="4">
        <v>14.3413</v>
      </c>
      <c r="E650" s="4">
        <v>0</v>
      </c>
      <c r="F650" s="4"/>
      <c r="G650" s="4"/>
      <c r="H650" s="5">
        <f t="shared" si="10"/>
        <v>-2.9708262293307339E-2</v>
      </c>
    </row>
    <row r="651" spans="1:8" ht="13.5" x14ac:dyDescent="0.25">
      <c r="A651" s="1"/>
      <c r="B651" s="3">
        <v>43245</v>
      </c>
      <c r="C651" s="4">
        <v>14.37</v>
      </c>
      <c r="D651" s="4">
        <v>14.3413</v>
      </c>
      <c r="E651" s="4">
        <v>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14.37</v>
      </c>
      <c r="D652" s="4">
        <v>14.3413</v>
      </c>
      <c r="E652" s="4">
        <v>0</v>
      </c>
      <c r="F652" s="4"/>
      <c r="G652" s="4"/>
      <c r="H652" s="5">
        <f t="shared" si="10"/>
        <v>0</v>
      </c>
    </row>
    <row r="653" spans="1:8" ht="13.5" x14ac:dyDescent="0.25">
      <c r="A653" s="1"/>
      <c r="B653" s="3">
        <v>43249</v>
      </c>
      <c r="C653" s="4">
        <v>13.75</v>
      </c>
      <c r="D653" s="4">
        <v>13.7225</v>
      </c>
      <c r="E653" s="4">
        <v>20</v>
      </c>
      <c r="F653" s="4"/>
      <c r="G653" s="4"/>
      <c r="H653" s="5">
        <f t="shared" si="10"/>
        <v>-4.3148110701261407E-2</v>
      </c>
    </row>
    <row r="654" spans="1:8" ht="13.5" x14ac:dyDescent="0.25">
      <c r="A654" s="1"/>
      <c r="B654" s="3">
        <v>43250</v>
      </c>
      <c r="C654" s="4">
        <v>14.32</v>
      </c>
      <c r="D654" s="4">
        <v>14.291399999999999</v>
      </c>
      <c r="E654" s="4">
        <v>10</v>
      </c>
      <c r="F654" s="4"/>
      <c r="G654" s="4"/>
      <c r="H654" s="5">
        <f t="shared" si="10"/>
        <v>4.1457460375295997E-2</v>
      </c>
    </row>
    <row r="655" spans="1:8" ht="13.5" x14ac:dyDescent="0.25">
      <c r="A655" s="1"/>
      <c r="B655" s="3">
        <v>43251</v>
      </c>
      <c r="C655" s="4">
        <v>14.08</v>
      </c>
      <c r="D655" s="4">
        <v>14.0518</v>
      </c>
      <c r="E655" s="4">
        <v>40</v>
      </c>
      <c r="F655" s="4"/>
      <c r="G655" s="4"/>
      <c r="H655" s="5">
        <f t="shared" si="10"/>
        <v>-1.6765327399694878E-2</v>
      </c>
    </row>
    <row r="656" spans="1:8" ht="13.5" x14ac:dyDescent="0.25">
      <c r="A656" s="1"/>
      <c r="B656" s="3">
        <v>43252</v>
      </c>
      <c r="C656" s="4">
        <v>13.66</v>
      </c>
      <c r="D656" s="4">
        <v>13.6327</v>
      </c>
      <c r="E656" s="4">
        <v>1200</v>
      </c>
      <c r="F656" s="4"/>
      <c r="G656" s="4"/>
      <c r="H656" s="5">
        <f t="shared" si="10"/>
        <v>-2.982536045204175E-2</v>
      </c>
    </row>
    <row r="657" spans="1:8" ht="13.5" x14ac:dyDescent="0.25">
      <c r="A657" s="1"/>
      <c r="B657" s="3">
        <v>43255</v>
      </c>
      <c r="C657" s="4">
        <v>13.4</v>
      </c>
      <c r="D657" s="4">
        <v>13.373200000000001</v>
      </c>
      <c r="E657" s="4">
        <v>2130</v>
      </c>
      <c r="F657" s="4"/>
      <c r="G657" s="4"/>
      <c r="H657" s="5">
        <f t="shared" si="10"/>
        <v>-1.9035114100654983E-2</v>
      </c>
    </row>
    <row r="658" spans="1:8" ht="13.5" x14ac:dyDescent="0.25">
      <c r="A658" s="1"/>
      <c r="B658" s="3">
        <v>43256</v>
      </c>
      <c r="C658" s="4">
        <v>13.4</v>
      </c>
      <c r="D658" s="4">
        <v>13.373200000000001</v>
      </c>
      <c r="E658" s="4">
        <v>0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13.4</v>
      </c>
      <c r="D659" s="4">
        <v>13.373200000000001</v>
      </c>
      <c r="E659" s="4">
        <v>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13</v>
      </c>
      <c r="D660" s="4">
        <v>12.974</v>
      </c>
      <c r="E660" s="4">
        <v>205</v>
      </c>
      <c r="F660" s="4"/>
      <c r="G660" s="4"/>
      <c r="H660" s="5">
        <f t="shared" si="10"/>
        <v>-2.9850746268656747E-2</v>
      </c>
    </row>
    <row r="661" spans="1:8" ht="13.5" x14ac:dyDescent="0.25">
      <c r="A661" s="1"/>
      <c r="B661" s="3">
        <v>43259</v>
      </c>
      <c r="C661" s="4">
        <v>12.9</v>
      </c>
      <c r="D661" s="4">
        <v>12.8742</v>
      </c>
      <c r="E661" s="4">
        <v>610</v>
      </c>
      <c r="F661" s="4"/>
      <c r="G661" s="4"/>
      <c r="H661" s="5">
        <f t="shared" si="10"/>
        <v>-7.6923076923077005E-3</v>
      </c>
    </row>
    <row r="662" spans="1:8" ht="13.5" x14ac:dyDescent="0.25">
      <c r="A662" s="1"/>
      <c r="B662" s="3">
        <v>43262</v>
      </c>
      <c r="C662" s="4">
        <v>12.89</v>
      </c>
      <c r="D662" s="4">
        <v>12.8642</v>
      </c>
      <c r="E662" s="4">
        <v>349</v>
      </c>
      <c r="F662" s="4"/>
      <c r="G662" s="4"/>
      <c r="H662" s="5">
        <f t="shared" si="10"/>
        <v>-7.7674729303566718E-4</v>
      </c>
    </row>
    <row r="663" spans="1:8" ht="13.5" x14ac:dyDescent="0.25">
      <c r="A663" s="1"/>
      <c r="B663" s="3">
        <v>43263</v>
      </c>
      <c r="C663" s="4">
        <v>12.51</v>
      </c>
      <c r="D663" s="4">
        <v>12.484999999999999</v>
      </c>
      <c r="E663" s="4">
        <v>312</v>
      </c>
      <c r="F663" s="4"/>
      <c r="G663" s="4"/>
      <c r="H663" s="5">
        <f t="shared" si="10"/>
        <v>-2.9477153651218176E-2</v>
      </c>
    </row>
    <row r="664" spans="1:8" ht="13.5" x14ac:dyDescent="0.25">
      <c r="A664" s="1"/>
      <c r="B664" s="3">
        <v>43264</v>
      </c>
      <c r="C664" s="4">
        <v>12</v>
      </c>
      <c r="D664" s="4">
        <v>11.976000000000001</v>
      </c>
      <c r="E664" s="4">
        <v>1160</v>
      </c>
      <c r="F664" s="4"/>
      <c r="G664" s="4"/>
      <c r="H664" s="5">
        <f t="shared" si="10"/>
        <v>-4.0768922707248585E-2</v>
      </c>
    </row>
    <row r="665" spans="1:8" ht="13.5" x14ac:dyDescent="0.25">
      <c r="A665" s="1"/>
      <c r="B665" s="3">
        <v>43265</v>
      </c>
      <c r="C665" s="4">
        <v>12</v>
      </c>
      <c r="D665" s="4">
        <v>11.976000000000001</v>
      </c>
      <c r="E665" s="4">
        <v>186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12.36</v>
      </c>
      <c r="D666" s="4">
        <v>12.3353</v>
      </c>
      <c r="E666" s="4">
        <v>53</v>
      </c>
      <c r="F666" s="4"/>
      <c r="G666" s="4"/>
      <c r="H666" s="5">
        <f t="shared" si="10"/>
        <v>3.0001670006679963E-2</v>
      </c>
    </row>
    <row r="667" spans="1:8" ht="13.5" x14ac:dyDescent="0.25">
      <c r="A667" s="1"/>
      <c r="B667" s="3">
        <v>43270</v>
      </c>
      <c r="C667" s="4">
        <v>12.56</v>
      </c>
      <c r="D667" s="4">
        <v>12.5349</v>
      </c>
      <c r="E667" s="4">
        <v>120</v>
      </c>
      <c r="F667" s="4"/>
      <c r="G667" s="4"/>
      <c r="H667" s="5">
        <f t="shared" si="10"/>
        <v>1.6181203537814257E-2</v>
      </c>
    </row>
    <row r="668" spans="1:8" ht="13.5" x14ac:dyDescent="0.25">
      <c r="A668" s="1"/>
      <c r="B668" s="3">
        <v>43271</v>
      </c>
      <c r="C668" s="4">
        <v>12.87</v>
      </c>
      <c r="D668" s="4">
        <v>12.8443</v>
      </c>
      <c r="E668" s="4">
        <v>373</v>
      </c>
      <c r="F668" s="4"/>
      <c r="G668" s="4"/>
      <c r="H668" s="5">
        <f t="shared" si="10"/>
        <v>2.4683084827162572E-2</v>
      </c>
    </row>
    <row r="669" spans="1:8" ht="13.5" x14ac:dyDescent="0.25">
      <c r="A669" s="1"/>
      <c r="B669" s="3">
        <v>43272</v>
      </c>
      <c r="C669" s="4">
        <v>13.25</v>
      </c>
      <c r="D669" s="4">
        <v>13.2235</v>
      </c>
      <c r="E669" s="4">
        <v>37</v>
      </c>
      <c r="F669" s="4"/>
      <c r="G669" s="4"/>
      <c r="H669" s="5">
        <f t="shared" si="10"/>
        <v>2.9522823353549752E-2</v>
      </c>
    </row>
    <row r="670" spans="1:8" ht="13.5" x14ac:dyDescent="0.25">
      <c r="A670" s="1"/>
      <c r="B670" s="3">
        <v>43273</v>
      </c>
      <c r="C670" s="4">
        <v>13.25</v>
      </c>
      <c r="D670" s="4">
        <v>13.2235</v>
      </c>
      <c r="E670" s="4">
        <v>567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13</v>
      </c>
      <c r="D671" s="4">
        <v>12.974</v>
      </c>
      <c r="E671" s="4">
        <v>500</v>
      </c>
      <c r="F671" s="4"/>
      <c r="G671" s="4"/>
      <c r="H671" s="5">
        <f t="shared" si="10"/>
        <v>-1.8867924528301841E-2</v>
      </c>
    </row>
    <row r="672" spans="1:8" ht="13.5" x14ac:dyDescent="0.25">
      <c r="A672" s="1"/>
      <c r="B672" s="3">
        <v>43277</v>
      </c>
      <c r="C672" s="4">
        <v>13.4</v>
      </c>
      <c r="D672" s="4">
        <v>13.373200000000001</v>
      </c>
      <c r="E672" s="4">
        <v>2</v>
      </c>
      <c r="F672" s="4"/>
      <c r="G672" s="4"/>
      <c r="H672" s="5">
        <f t="shared" si="10"/>
        <v>3.0769230769230802E-2</v>
      </c>
    </row>
    <row r="673" spans="1:8" ht="13.5" x14ac:dyDescent="0.25">
      <c r="A673" s="1"/>
      <c r="B673" s="3">
        <v>43278</v>
      </c>
      <c r="C673" s="4">
        <v>13.38</v>
      </c>
      <c r="D673" s="4">
        <v>13.353199999999999</v>
      </c>
      <c r="E673" s="4">
        <v>326</v>
      </c>
      <c r="F673" s="4"/>
      <c r="G673" s="4"/>
      <c r="H673" s="5">
        <f t="shared" si="10"/>
        <v>-1.495528370173283E-3</v>
      </c>
    </row>
    <row r="674" spans="1:8" ht="13.5" x14ac:dyDescent="0.25">
      <c r="A674" s="1"/>
      <c r="B674" s="3">
        <v>43279</v>
      </c>
      <c r="C674" s="4">
        <v>13.38</v>
      </c>
      <c r="D674" s="4">
        <v>13.353199999999999</v>
      </c>
      <c r="E674" s="4">
        <v>0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13.38</v>
      </c>
      <c r="D675" s="4">
        <v>13.353199999999999</v>
      </c>
      <c r="E675" s="4">
        <v>0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12.78</v>
      </c>
      <c r="D676" s="4">
        <v>12.7544</v>
      </c>
      <c r="E676" s="4">
        <v>50</v>
      </c>
      <c r="F676" s="4"/>
      <c r="G676" s="4"/>
      <c r="H676" s="5">
        <f t="shared" si="10"/>
        <v>-4.4843183656351954E-2</v>
      </c>
    </row>
    <row r="677" spans="1:8" ht="13.5" x14ac:dyDescent="0.25">
      <c r="A677" s="1"/>
      <c r="B677" s="3">
        <v>43284</v>
      </c>
      <c r="C677" s="4">
        <v>13.16</v>
      </c>
      <c r="D677" s="4">
        <v>13.133699999999999</v>
      </c>
      <c r="E677" s="4">
        <v>0</v>
      </c>
      <c r="F677" s="4"/>
      <c r="G677" s="4"/>
      <c r="H677" s="5">
        <f t="shared" si="10"/>
        <v>2.9738756821175348E-2</v>
      </c>
    </row>
    <row r="678" spans="1:8" ht="13.5" x14ac:dyDescent="0.25">
      <c r="A678" s="1"/>
      <c r="B678" s="3">
        <v>43285</v>
      </c>
      <c r="C678" s="4">
        <v>13.16</v>
      </c>
      <c r="D678" s="4">
        <v>13.133699999999999</v>
      </c>
      <c r="E678" s="4">
        <v>0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13.15</v>
      </c>
      <c r="D679" s="4">
        <v>13.123699999999999</v>
      </c>
      <c r="E679" s="4">
        <v>5</v>
      </c>
      <c r="F679" s="4"/>
      <c r="G679" s="4"/>
      <c r="H679" s="5">
        <f t="shared" si="10"/>
        <v>-7.6140006243478897E-4</v>
      </c>
    </row>
    <row r="680" spans="1:8" ht="13.5" x14ac:dyDescent="0.25">
      <c r="A680" s="1"/>
      <c r="B680" s="3">
        <v>43287</v>
      </c>
      <c r="C680" s="4">
        <v>13.15</v>
      </c>
      <c r="D680" s="4">
        <v>13.123699999999999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12.76</v>
      </c>
      <c r="D681" s="4">
        <v>12.734500000000001</v>
      </c>
      <c r="E681" s="4">
        <v>11</v>
      </c>
      <c r="F681" s="4"/>
      <c r="G681" s="4"/>
      <c r="H681" s="5">
        <f t="shared" si="10"/>
        <v>-2.9656270716337533E-2</v>
      </c>
    </row>
    <row r="682" spans="1:8" ht="13.5" x14ac:dyDescent="0.25">
      <c r="A682" s="1"/>
      <c r="B682" s="3">
        <v>43291</v>
      </c>
      <c r="C682" s="4">
        <v>12.8</v>
      </c>
      <c r="D682" s="4">
        <v>12.7744</v>
      </c>
      <c r="E682" s="4">
        <v>39</v>
      </c>
      <c r="F682" s="4"/>
      <c r="G682" s="4"/>
      <c r="H682" s="5">
        <f t="shared" si="10"/>
        <v>3.1332207782009012E-3</v>
      </c>
    </row>
    <row r="683" spans="1:8" ht="13.5" x14ac:dyDescent="0.25">
      <c r="A683" s="1"/>
      <c r="B683" s="3">
        <v>43292</v>
      </c>
      <c r="C683" s="4">
        <v>13.18</v>
      </c>
      <c r="D683" s="4">
        <v>13.153600000000001</v>
      </c>
      <c r="E683" s="4">
        <v>2</v>
      </c>
      <c r="F683" s="4"/>
      <c r="G683" s="4"/>
      <c r="H683" s="5">
        <f t="shared" si="10"/>
        <v>2.9684368737475018E-2</v>
      </c>
    </row>
    <row r="684" spans="1:8" ht="13.5" x14ac:dyDescent="0.25">
      <c r="A684" s="1"/>
      <c r="B684" s="3">
        <v>43293</v>
      </c>
      <c r="C684" s="4">
        <v>12.99</v>
      </c>
      <c r="D684" s="4">
        <v>12.964</v>
      </c>
      <c r="E684" s="4">
        <v>8</v>
      </c>
      <c r="F684" s="4"/>
      <c r="G684" s="4"/>
      <c r="H684" s="5">
        <f t="shared" si="10"/>
        <v>-1.4414304829096249E-2</v>
      </c>
    </row>
    <row r="685" spans="1:8" ht="13.5" x14ac:dyDescent="0.25">
      <c r="A685" s="1"/>
      <c r="B685" s="3">
        <v>43294</v>
      </c>
      <c r="C685" s="4">
        <v>12.99</v>
      </c>
      <c r="D685" s="4">
        <v>12.964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12.79</v>
      </c>
      <c r="D686" s="4">
        <v>12.7644</v>
      </c>
      <c r="E686" s="4">
        <v>125</v>
      </c>
      <c r="F686" s="4"/>
      <c r="G686" s="4"/>
      <c r="H686" s="5">
        <f t="shared" si="10"/>
        <v>-1.5396482567108934E-2</v>
      </c>
    </row>
    <row r="687" spans="1:8" ht="13.5" x14ac:dyDescent="0.25">
      <c r="A687" s="1"/>
      <c r="B687" s="3">
        <v>43298</v>
      </c>
      <c r="C687" s="4">
        <v>12.78</v>
      </c>
      <c r="D687" s="4">
        <v>12.7544</v>
      </c>
      <c r="E687" s="4">
        <v>370</v>
      </c>
      <c r="F687" s="4"/>
      <c r="G687" s="4"/>
      <c r="H687" s="5">
        <f t="shared" si="10"/>
        <v>-7.8342891166053924E-4</v>
      </c>
    </row>
    <row r="688" spans="1:8" ht="13.5" x14ac:dyDescent="0.25">
      <c r="A688" s="1"/>
      <c r="B688" s="3">
        <v>43299</v>
      </c>
      <c r="C688" s="4">
        <v>12.79</v>
      </c>
      <c r="D688" s="4">
        <v>12.7644</v>
      </c>
      <c r="E688" s="4">
        <v>3</v>
      </c>
      <c r="F688" s="4"/>
      <c r="G688" s="4"/>
      <c r="H688" s="5">
        <f t="shared" si="10"/>
        <v>7.840431537351649E-4</v>
      </c>
    </row>
    <row r="689" spans="1:8" ht="13.5" x14ac:dyDescent="0.25">
      <c r="A689" s="1"/>
      <c r="B689" s="3">
        <v>43300</v>
      </c>
      <c r="C689" s="4">
        <v>12.79</v>
      </c>
      <c r="D689" s="4">
        <v>12.7644</v>
      </c>
      <c r="E689" s="4">
        <v>55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12.78</v>
      </c>
      <c r="D690" s="4">
        <v>12.7544</v>
      </c>
      <c r="E690" s="4">
        <v>45</v>
      </c>
      <c r="F690" s="4"/>
      <c r="G690" s="4"/>
      <c r="H690" s="5">
        <f t="shared" si="10"/>
        <v>-7.8342891166053924E-4</v>
      </c>
    </row>
    <row r="691" spans="1:8" ht="13.5" x14ac:dyDescent="0.25">
      <c r="A691" s="1"/>
      <c r="B691" s="3">
        <v>43304</v>
      </c>
      <c r="C691" s="4">
        <v>12.78</v>
      </c>
      <c r="D691" s="4">
        <v>12.7544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12.78</v>
      </c>
      <c r="D692" s="4">
        <v>12.7544</v>
      </c>
      <c r="E692" s="4">
        <v>0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12.78</v>
      </c>
      <c r="D693" s="4">
        <v>12.7544</v>
      </c>
      <c r="E693" s="4">
        <v>160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12.78</v>
      </c>
      <c r="D694" s="4">
        <v>12.7544</v>
      </c>
      <c r="E694" s="4">
        <v>0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12.57</v>
      </c>
      <c r="D695" s="4">
        <v>12.5449</v>
      </c>
      <c r="E695" s="4">
        <v>4</v>
      </c>
      <c r="F695" s="4"/>
      <c r="G695" s="4"/>
      <c r="H695" s="5">
        <f t="shared" si="10"/>
        <v>-1.6425704070752074E-2</v>
      </c>
    </row>
    <row r="696" spans="1:8" ht="13.5" x14ac:dyDescent="0.25">
      <c r="A696" s="1"/>
      <c r="B696" s="3">
        <v>43312</v>
      </c>
      <c r="C696" s="4">
        <v>13.13</v>
      </c>
      <c r="D696" s="4">
        <v>13.1037</v>
      </c>
      <c r="E696" s="4">
        <v>0</v>
      </c>
      <c r="F696" s="4"/>
      <c r="G696" s="4"/>
      <c r="H696" s="5">
        <f t="shared" si="10"/>
        <v>4.4543997959330062E-2</v>
      </c>
    </row>
    <row r="697" spans="1:8" ht="13.5" x14ac:dyDescent="0.25">
      <c r="A697" s="1"/>
      <c r="B697" s="3">
        <v>43313</v>
      </c>
      <c r="C697" s="4">
        <v>13.19</v>
      </c>
      <c r="D697" s="4">
        <v>13.163600000000001</v>
      </c>
      <c r="E697" s="4">
        <v>1</v>
      </c>
      <c r="F697" s="4"/>
      <c r="G697" s="4"/>
      <c r="H697" s="5">
        <f t="shared" si="10"/>
        <v>4.5712279737784543E-3</v>
      </c>
    </row>
    <row r="698" spans="1:8" ht="13.5" x14ac:dyDescent="0.25">
      <c r="A698" s="1"/>
      <c r="B698" s="3">
        <v>43314</v>
      </c>
      <c r="C698" s="4">
        <v>13.19</v>
      </c>
      <c r="D698" s="4">
        <v>13.163600000000001</v>
      </c>
      <c r="E698" s="4">
        <v>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13.28</v>
      </c>
      <c r="D699" s="4">
        <v>13.253399999999999</v>
      </c>
      <c r="E699" s="4">
        <v>169</v>
      </c>
      <c r="F699" s="4"/>
      <c r="G699" s="4"/>
      <c r="H699" s="5">
        <f t="shared" si="10"/>
        <v>6.821842049287318E-3</v>
      </c>
    </row>
    <row r="700" spans="1:8" ht="13.5" x14ac:dyDescent="0.25">
      <c r="A700" s="1"/>
      <c r="B700" s="3">
        <v>43318</v>
      </c>
      <c r="C700" s="4">
        <v>13.39</v>
      </c>
      <c r="D700" s="4">
        <v>13.363200000000001</v>
      </c>
      <c r="E700" s="4">
        <v>1</v>
      </c>
      <c r="F700" s="4"/>
      <c r="G700" s="4"/>
      <c r="H700" s="5">
        <f t="shared" si="10"/>
        <v>8.2846665761239901E-3</v>
      </c>
    </row>
    <row r="701" spans="1:8" ht="13.5" x14ac:dyDescent="0.25">
      <c r="A701" s="1"/>
      <c r="B701" s="3">
        <v>43319</v>
      </c>
      <c r="C701" s="4">
        <v>12.99</v>
      </c>
      <c r="D701" s="4">
        <v>12.964</v>
      </c>
      <c r="E701" s="4">
        <v>0</v>
      </c>
      <c r="F701" s="4"/>
      <c r="G701" s="4"/>
      <c r="H701" s="5">
        <f t="shared" si="10"/>
        <v>-2.9873084291187769E-2</v>
      </c>
    </row>
    <row r="702" spans="1:8" ht="13.5" x14ac:dyDescent="0.25">
      <c r="A702" s="1"/>
      <c r="B702" s="3">
        <v>43320</v>
      </c>
      <c r="C702" s="4">
        <v>13.35</v>
      </c>
      <c r="D702" s="4">
        <v>13.3233</v>
      </c>
      <c r="E702" s="4">
        <v>21</v>
      </c>
      <c r="F702" s="4"/>
      <c r="G702" s="4"/>
      <c r="H702" s="5">
        <f t="shared" si="10"/>
        <v>2.7715211354520153E-2</v>
      </c>
    </row>
    <row r="703" spans="1:8" ht="13.5" x14ac:dyDescent="0.25">
      <c r="A703" s="1"/>
      <c r="B703" s="3">
        <v>43321</v>
      </c>
      <c r="C703" s="4">
        <v>13.35</v>
      </c>
      <c r="D703" s="4">
        <v>13.3233</v>
      </c>
      <c r="E703" s="4">
        <v>101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13.35</v>
      </c>
      <c r="D704" s="4">
        <v>13.3233</v>
      </c>
      <c r="E704" s="4">
        <v>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13.39</v>
      </c>
      <c r="D705" s="4">
        <v>13.363200000000001</v>
      </c>
      <c r="E705" s="4">
        <v>1</v>
      </c>
      <c r="F705" s="4"/>
      <c r="G705" s="4"/>
      <c r="H705" s="5">
        <f t="shared" si="10"/>
        <v>2.994753552048003E-3</v>
      </c>
    </row>
    <row r="706" spans="1:8" ht="13.5" x14ac:dyDescent="0.25">
      <c r="A706" s="1"/>
      <c r="B706" s="3">
        <v>43327</v>
      </c>
      <c r="C706" s="4">
        <v>13.39</v>
      </c>
      <c r="D706" s="4">
        <v>13.363200000000001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13.39</v>
      </c>
      <c r="D707" s="4">
        <v>13.363200000000001</v>
      </c>
      <c r="E707" s="4">
        <v>0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13.39</v>
      </c>
      <c r="D708" s="4">
        <v>13.363200000000001</v>
      </c>
      <c r="E708" s="4">
        <v>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13.39</v>
      </c>
      <c r="D709" s="4">
        <v>13.363200000000001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13.39</v>
      </c>
      <c r="D710" s="4">
        <v>13.363200000000001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13.39</v>
      </c>
      <c r="D711" s="4">
        <v>13.363200000000001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13.39</v>
      </c>
      <c r="D712" s="4">
        <v>13.363200000000001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13.39</v>
      </c>
      <c r="D713" s="4">
        <v>13.363200000000001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13</v>
      </c>
      <c r="D714" s="4">
        <v>12.974</v>
      </c>
      <c r="E714" s="4">
        <v>100</v>
      </c>
      <c r="F714" s="4"/>
      <c r="G714" s="4"/>
      <c r="H714" s="5">
        <f t="shared" si="11"/>
        <v>-2.9124760536398515E-2</v>
      </c>
    </row>
    <row r="715" spans="1:8" ht="13.5" x14ac:dyDescent="0.25">
      <c r="A715" s="1"/>
      <c r="B715" s="3">
        <v>43342</v>
      </c>
      <c r="C715" s="4">
        <v>13</v>
      </c>
      <c r="D715" s="4">
        <v>12.974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12.61</v>
      </c>
      <c r="D716" s="4">
        <v>12.5848</v>
      </c>
      <c r="E716" s="4">
        <v>177</v>
      </c>
      <c r="F716" s="4"/>
      <c r="G716" s="4"/>
      <c r="H716" s="5">
        <f t="shared" si="11"/>
        <v>-2.9998458455372332E-2</v>
      </c>
    </row>
    <row r="717" spans="1:8" ht="13.5" x14ac:dyDescent="0.25">
      <c r="A717" s="1"/>
      <c r="B717" s="3">
        <v>43346</v>
      </c>
      <c r="C717" s="4">
        <v>12.62</v>
      </c>
      <c r="D717" s="4">
        <v>12.594799999999999</v>
      </c>
      <c r="E717" s="4">
        <v>100</v>
      </c>
      <c r="F717" s="4"/>
      <c r="G717" s="4"/>
      <c r="H717" s="5">
        <f t="shared" si="11"/>
        <v>7.9460937003367454E-4</v>
      </c>
    </row>
    <row r="718" spans="1:8" ht="13.5" x14ac:dyDescent="0.25">
      <c r="A718" s="1"/>
      <c r="B718" s="3">
        <v>43347</v>
      </c>
      <c r="C718" s="4">
        <v>12.62</v>
      </c>
      <c r="D718" s="4">
        <v>12.594799999999999</v>
      </c>
      <c r="E718" s="4">
        <v>531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12.86</v>
      </c>
      <c r="D719" s="4">
        <v>12.834300000000001</v>
      </c>
      <c r="E719" s="4">
        <v>99</v>
      </c>
      <c r="F719" s="4"/>
      <c r="G719" s="4"/>
      <c r="H719" s="5">
        <f t="shared" si="11"/>
        <v>1.9015784291930113E-2</v>
      </c>
    </row>
    <row r="720" spans="1:8" ht="13.5" x14ac:dyDescent="0.25">
      <c r="A720" s="1"/>
      <c r="B720" s="3">
        <v>43349</v>
      </c>
      <c r="C720" s="4">
        <v>12.6</v>
      </c>
      <c r="D720" s="4">
        <v>12.5748</v>
      </c>
      <c r="E720" s="4">
        <v>252</v>
      </c>
      <c r="F720" s="4"/>
      <c r="G720" s="4"/>
      <c r="H720" s="5">
        <f t="shared" si="11"/>
        <v>-2.0219256211869829E-2</v>
      </c>
    </row>
    <row r="721" spans="1:8" ht="13.5" x14ac:dyDescent="0.25">
      <c r="A721" s="1"/>
      <c r="B721" s="3">
        <v>43350</v>
      </c>
      <c r="C721" s="4">
        <v>12.5</v>
      </c>
      <c r="D721" s="4">
        <v>12.475</v>
      </c>
      <c r="E721" s="4">
        <v>145</v>
      </c>
      <c r="F721" s="4"/>
      <c r="G721" s="4"/>
      <c r="H721" s="5">
        <f t="shared" si="11"/>
        <v>-7.9365079365079447E-3</v>
      </c>
    </row>
    <row r="722" spans="1:8" ht="13.5" x14ac:dyDescent="0.25">
      <c r="A722" s="1"/>
      <c r="B722" s="3">
        <v>43353</v>
      </c>
      <c r="C722" s="4">
        <v>12.5</v>
      </c>
      <c r="D722" s="4">
        <v>12.475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12.5</v>
      </c>
      <c r="D723" s="4">
        <v>12.475</v>
      </c>
      <c r="E723" s="4">
        <v>799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13.2</v>
      </c>
      <c r="D724" s="4">
        <v>13.1736</v>
      </c>
      <c r="E724" s="4">
        <v>115</v>
      </c>
      <c r="F724" s="4"/>
      <c r="G724" s="4"/>
      <c r="H724" s="5">
        <f t="shared" si="11"/>
        <v>5.6000000000000064E-2</v>
      </c>
    </row>
    <row r="725" spans="1:8" ht="13.5" x14ac:dyDescent="0.25">
      <c r="A725" s="1"/>
      <c r="B725" s="3">
        <v>43357</v>
      </c>
      <c r="C725" s="4">
        <v>13.2</v>
      </c>
      <c r="D725" s="4">
        <v>13.1736</v>
      </c>
      <c r="E725" s="4">
        <v>3741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13.2</v>
      </c>
      <c r="D726" s="4">
        <v>13.1736</v>
      </c>
      <c r="E726" s="4">
        <v>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13.2</v>
      </c>
      <c r="D727" s="4">
        <v>13.1736</v>
      </c>
      <c r="E727" s="4">
        <v>0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13.2</v>
      </c>
      <c r="D728" s="4">
        <v>13.1736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13.2</v>
      </c>
      <c r="D729" s="4">
        <v>13.1736</v>
      </c>
      <c r="E729" s="4">
        <v>0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13.2</v>
      </c>
      <c r="D730" s="4">
        <v>13.1736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13.2</v>
      </c>
      <c r="D731" s="4">
        <v>13.1736</v>
      </c>
      <c r="E731" s="4">
        <v>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13</v>
      </c>
      <c r="D732" s="4">
        <v>12.974</v>
      </c>
      <c r="E732" s="4">
        <v>1000</v>
      </c>
      <c r="F732" s="4"/>
      <c r="G732" s="4"/>
      <c r="H732" s="5">
        <f t="shared" si="11"/>
        <v>-1.5151515151515168E-2</v>
      </c>
    </row>
    <row r="733" spans="1:8" ht="13.5" x14ac:dyDescent="0.25">
      <c r="A733" s="1"/>
      <c r="B733" s="3">
        <v>43369</v>
      </c>
      <c r="C733" s="4">
        <v>13</v>
      </c>
      <c r="D733" s="4">
        <v>12.974</v>
      </c>
      <c r="E733" s="4">
        <v>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12.99</v>
      </c>
      <c r="D734" s="4">
        <v>12.964</v>
      </c>
      <c r="E734" s="4">
        <v>2544</v>
      </c>
      <c r="F734" s="4"/>
      <c r="G734" s="4"/>
      <c r="H734" s="5">
        <f t="shared" si="11"/>
        <v>-7.7077231385846978E-4</v>
      </c>
    </row>
    <row r="735" spans="1:8" ht="13.5" x14ac:dyDescent="0.25">
      <c r="A735" s="1"/>
      <c r="B735" s="3">
        <v>43371</v>
      </c>
      <c r="C735" s="4">
        <v>12.99</v>
      </c>
      <c r="D735" s="4">
        <v>12.964</v>
      </c>
      <c r="E735" s="4">
        <v>0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12.99</v>
      </c>
      <c r="D736" s="4">
        <v>12.964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12.99</v>
      </c>
      <c r="D737" s="4">
        <v>12.964</v>
      </c>
      <c r="E737" s="4">
        <v>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12.99</v>
      </c>
      <c r="D738" s="4">
        <v>12.964</v>
      </c>
      <c r="E738" s="4">
        <v>0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12.99</v>
      </c>
      <c r="D739" s="4">
        <v>12.964</v>
      </c>
      <c r="E739" s="4">
        <v>0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12.97</v>
      </c>
      <c r="D740" s="4">
        <v>12.944100000000001</v>
      </c>
      <c r="E740" s="4">
        <v>110</v>
      </c>
      <c r="F740" s="4"/>
      <c r="G740" s="4"/>
      <c r="H740" s="5">
        <f t="shared" si="11"/>
        <v>-1.5350200555383992E-3</v>
      </c>
    </row>
    <row r="741" spans="1:8" ht="13.5" x14ac:dyDescent="0.25">
      <c r="A741" s="1"/>
      <c r="B741" s="3">
        <v>43381</v>
      </c>
      <c r="C741" s="4">
        <v>12.97</v>
      </c>
      <c r="D741" s="4">
        <v>12.944100000000001</v>
      </c>
      <c r="E741" s="4">
        <v>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12.95</v>
      </c>
      <c r="D742" s="4">
        <v>12.924099999999999</v>
      </c>
      <c r="E742" s="4">
        <v>3740</v>
      </c>
      <c r="F742" s="4"/>
      <c r="G742" s="4"/>
      <c r="H742" s="5">
        <f t="shared" si="11"/>
        <v>-1.5451054920775759E-3</v>
      </c>
    </row>
    <row r="743" spans="1:8" ht="13.5" x14ac:dyDescent="0.25">
      <c r="A743" s="1"/>
      <c r="B743" s="3">
        <v>43383</v>
      </c>
      <c r="C743" s="4">
        <v>12.95</v>
      </c>
      <c r="D743" s="4">
        <v>12.924099999999999</v>
      </c>
      <c r="E743" s="4">
        <v>12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12.95</v>
      </c>
      <c r="D744" s="4">
        <v>12.924099999999999</v>
      </c>
      <c r="E744" s="4">
        <v>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12.95</v>
      </c>
      <c r="D745" s="4">
        <v>12.924099999999999</v>
      </c>
      <c r="E745" s="4">
        <v>20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12.95</v>
      </c>
      <c r="D746" s="4">
        <v>12.924099999999999</v>
      </c>
      <c r="E746" s="4">
        <v>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12.95</v>
      </c>
      <c r="D747" s="4">
        <v>12.924099999999999</v>
      </c>
      <c r="E747" s="4">
        <v>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12.95</v>
      </c>
      <c r="D748" s="4">
        <v>12.924099999999999</v>
      </c>
      <c r="E748" s="4">
        <v>0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12.95</v>
      </c>
      <c r="D749" s="4">
        <v>12.924099999999999</v>
      </c>
      <c r="E749" s="4">
        <v>0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12.94</v>
      </c>
      <c r="D750" s="4">
        <v>12.914099999999999</v>
      </c>
      <c r="E750" s="4">
        <v>3858</v>
      </c>
      <c r="F750" s="4"/>
      <c r="G750" s="4"/>
      <c r="H750" s="5">
        <f t="shared" si="11"/>
        <v>-7.7374826873823229E-4</v>
      </c>
    </row>
    <row r="751" spans="1:8" ht="13.5" x14ac:dyDescent="0.25">
      <c r="A751" s="1"/>
      <c r="B751" s="3">
        <v>43396</v>
      </c>
      <c r="C751" s="4">
        <v>12.94</v>
      </c>
      <c r="D751" s="4">
        <v>12.914099999999999</v>
      </c>
      <c r="E751" s="4">
        <v>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12.94</v>
      </c>
      <c r="D752" s="4">
        <v>12.914099999999999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12.94</v>
      </c>
      <c r="D753" s="4">
        <v>12.914099999999999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12.94</v>
      </c>
      <c r="D754" s="4">
        <v>12.914099999999999</v>
      </c>
      <c r="E754" s="4">
        <v>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12.94</v>
      </c>
      <c r="D755" s="4">
        <v>12.914099999999999</v>
      </c>
      <c r="E755" s="4">
        <v>0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12.36</v>
      </c>
      <c r="D756" s="4">
        <v>12.3353</v>
      </c>
      <c r="E756" s="4">
        <v>100</v>
      </c>
      <c r="F756" s="4"/>
      <c r="G756" s="4"/>
      <c r="H756" s="5">
        <f t="shared" si="11"/>
        <v>-4.4819228595101429E-2</v>
      </c>
    </row>
    <row r="757" spans="1:8" ht="13.5" x14ac:dyDescent="0.25">
      <c r="A757" s="1"/>
      <c r="B757" s="3">
        <v>43404</v>
      </c>
      <c r="C757" s="4">
        <v>12.9</v>
      </c>
      <c r="D757" s="4">
        <v>12.8742</v>
      </c>
      <c r="E757" s="4">
        <v>1</v>
      </c>
      <c r="F757" s="4"/>
      <c r="G757" s="4"/>
      <c r="H757" s="5">
        <f t="shared" si="11"/>
        <v>4.3687628189018501E-2</v>
      </c>
    </row>
    <row r="758" spans="1:8" ht="13.5" x14ac:dyDescent="0.25">
      <c r="A758" s="1"/>
      <c r="B758" s="3">
        <v>43405</v>
      </c>
      <c r="C758" s="4">
        <v>12.81</v>
      </c>
      <c r="D758" s="4">
        <v>12.7844</v>
      </c>
      <c r="E758" s="4">
        <v>40</v>
      </c>
      <c r="F758" s="4"/>
      <c r="G758" s="4"/>
      <c r="H758" s="5">
        <f t="shared" si="11"/>
        <v>-6.9751906914604653E-3</v>
      </c>
    </row>
    <row r="759" spans="1:8" ht="13.5" x14ac:dyDescent="0.25">
      <c r="A759" s="1"/>
      <c r="B759" s="3">
        <v>43406</v>
      </c>
      <c r="C759" s="4">
        <v>12.81</v>
      </c>
      <c r="D759" s="4">
        <v>12.7844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12.81</v>
      </c>
      <c r="D760" s="4">
        <v>12.7844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12.81</v>
      </c>
      <c r="D761" s="4">
        <v>12.7844</v>
      </c>
      <c r="E761" s="4">
        <v>0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12.81</v>
      </c>
      <c r="D762" s="4">
        <v>12.7844</v>
      </c>
      <c r="E762" s="4">
        <v>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12.81</v>
      </c>
      <c r="D763" s="4">
        <v>12.7844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12.81</v>
      </c>
      <c r="D764" s="4">
        <v>12.7844</v>
      </c>
      <c r="E764" s="4">
        <v>0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12.24</v>
      </c>
      <c r="D765" s="4">
        <v>12.2155</v>
      </c>
      <c r="E765" s="4">
        <v>20</v>
      </c>
      <c r="F765" s="4"/>
      <c r="G765" s="4"/>
      <c r="H765" s="5">
        <f t="shared" si="11"/>
        <v>-4.4499546322079982E-2</v>
      </c>
    </row>
    <row r="766" spans="1:8" ht="13.5" x14ac:dyDescent="0.25">
      <c r="A766" s="1"/>
      <c r="B766" s="3">
        <v>43417</v>
      </c>
      <c r="C766" s="4">
        <v>12.24</v>
      </c>
      <c r="D766" s="4">
        <v>12.2155</v>
      </c>
      <c r="E766" s="4">
        <v>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12.6</v>
      </c>
      <c r="D767" s="4">
        <v>12.5748</v>
      </c>
      <c r="E767" s="4">
        <v>119</v>
      </c>
      <c r="F767" s="4"/>
      <c r="G767" s="4"/>
      <c r="H767" s="5">
        <f t="shared" si="11"/>
        <v>2.9413450124841329E-2</v>
      </c>
    </row>
    <row r="768" spans="1:8" ht="13.5" x14ac:dyDescent="0.25">
      <c r="A768" s="1"/>
      <c r="B768" s="3">
        <v>43419</v>
      </c>
      <c r="C768" s="4">
        <v>12.6</v>
      </c>
      <c r="D768" s="4">
        <v>12.5748</v>
      </c>
      <c r="E768" s="4">
        <v>0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12.04</v>
      </c>
      <c r="D769" s="4">
        <v>12.0159</v>
      </c>
      <c r="E769" s="4">
        <v>2090</v>
      </c>
      <c r="F769" s="4"/>
      <c r="G769" s="4"/>
      <c r="H769" s="5">
        <f t="shared" si="11"/>
        <v>-4.4446034926996815E-2</v>
      </c>
    </row>
    <row r="770" spans="1:8" ht="13.5" x14ac:dyDescent="0.25">
      <c r="A770" s="1"/>
      <c r="B770" s="3">
        <v>43423</v>
      </c>
      <c r="C770" s="4">
        <v>11.68</v>
      </c>
      <c r="D770" s="4">
        <v>11.656599999999999</v>
      </c>
      <c r="E770" s="4">
        <v>215</v>
      </c>
      <c r="F770" s="4"/>
      <c r="G770" s="4"/>
      <c r="H770" s="5">
        <f t="shared" si="11"/>
        <v>-2.990204645511373E-2</v>
      </c>
    </row>
    <row r="771" spans="1:8" ht="13.5" x14ac:dyDescent="0.25">
      <c r="A771" s="1"/>
      <c r="B771" s="3">
        <v>43425</v>
      </c>
      <c r="C771" s="4">
        <v>12.03</v>
      </c>
      <c r="D771" s="4">
        <v>12.0059</v>
      </c>
      <c r="E771" s="4">
        <v>6</v>
      </c>
      <c r="F771" s="4"/>
      <c r="G771" s="4"/>
      <c r="H771" s="5">
        <f t="shared" si="11"/>
        <v>2.9965856253109938E-2</v>
      </c>
    </row>
    <row r="772" spans="1:8" ht="13.5" x14ac:dyDescent="0.25">
      <c r="A772" s="1"/>
      <c r="B772" s="3">
        <v>43426</v>
      </c>
      <c r="C772" s="4">
        <v>12.02</v>
      </c>
      <c r="D772" s="4">
        <v>11.996</v>
      </c>
      <c r="E772" s="4">
        <v>1630</v>
      </c>
      <c r="F772" s="4"/>
      <c r="G772" s="4"/>
      <c r="H772" s="5">
        <f t="shared" si="11"/>
        <v>-8.2459457433428727E-4</v>
      </c>
    </row>
    <row r="773" spans="1:8" ht="13.5" x14ac:dyDescent="0.25">
      <c r="A773" s="1"/>
      <c r="B773" s="3">
        <v>43427</v>
      </c>
      <c r="C773" s="4">
        <v>11.8</v>
      </c>
      <c r="D773" s="4">
        <v>11.776400000000001</v>
      </c>
      <c r="E773" s="4">
        <v>700</v>
      </c>
      <c r="F773" s="4"/>
      <c r="G773" s="4"/>
      <c r="H773" s="5">
        <f t="shared" si="11"/>
        <v>-1.8306102034011319E-2</v>
      </c>
    </row>
    <row r="774" spans="1:8" ht="13.5" x14ac:dyDescent="0.25">
      <c r="A774" s="1"/>
      <c r="B774" s="3">
        <v>43430</v>
      </c>
      <c r="C774" s="4">
        <v>11.75</v>
      </c>
      <c r="D774" s="4">
        <v>11.7265</v>
      </c>
      <c r="E774" s="4">
        <v>690</v>
      </c>
      <c r="F774" s="4"/>
      <c r="G774" s="4"/>
      <c r="H774" s="5">
        <f t="shared" si="11"/>
        <v>-4.2372881355933001E-3</v>
      </c>
    </row>
    <row r="775" spans="1:8" ht="13.5" x14ac:dyDescent="0.25">
      <c r="A775" s="1"/>
      <c r="B775" s="3">
        <v>43431</v>
      </c>
      <c r="C775" s="4">
        <v>11.8</v>
      </c>
      <c r="D775" s="4">
        <v>11.776400000000001</v>
      </c>
      <c r="E775" s="4">
        <v>20</v>
      </c>
      <c r="F775" s="4"/>
      <c r="G775" s="4"/>
      <c r="H775" s="5">
        <f t="shared" ref="H775:H838" si="12">(D775-D774)/D774</f>
        <v>4.2553191489362509E-3</v>
      </c>
    </row>
    <row r="776" spans="1:8" ht="13.5" x14ac:dyDescent="0.25">
      <c r="A776" s="1"/>
      <c r="B776" s="3">
        <v>43432</v>
      </c>
      <c r="C776" s="4">
        <v>11.75</v>
      </c>
      <c r="D776" s="4">
        <v>11.7265</v>
      </c>
      <c r="E776" s="4">
        <v>500</v>
      </c>
      <c r="F776" s="4"/>
      <c r="G776" s="4"/>
      <c r="H776" s="5">
        <f t="shared" si="12"/>
        <v>-4.2372881355933001E-3</v>
      </c>
    </row>
    <row r="777" spans="1:8" ht="13.5" x14ac:dyDescent="0.25">
      <c r="A777" s="1"/>
      <c r="B777" s="3">
        <v>43433</v>
      </c>
      <c r="C777" s="4">
        <v>11.75</v>
      </c>
      <c r="D777" s="4">
        <v>11.7265</v>
      </c>
      <c r="E777" s="4">
        <v>101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11.75</v>
      </c>
      <c r="D778" s="4">
        <v>11.7265</v>
      </c>
      <c r="E778" s="4">
        <v>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11.4</v>
      </c>
      <c r="D779" s="4">
        <v>11.3772</v>
      </c>
      <c r="E779" s="4">
        <v>233</v>
      </c>
      <c r="F779" s="4"/>
      <c r="G779" s="4"/>
      <c r="H779" s="5">
        <f t="shared" si="12"/>
        <v>-2.9787234042553151E-2</v>
      </c>
    </row>
    <row r="780" spans="1:8" ht="13.5" x14ac:dyDescent="0.25">
      <c r="A780" s="1"/>
      <c r="B780" s="3">
        <v>43438</v>
      </c>
      <c r="C780" s="4">
        <v>11.4</v>
      </c>
      <c r="D780" s="4">
        <v>11.3772</v>
      </c>
      <c r="E780" s="4">
        <v>0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11.42</v>
      </c>
      <c r="D781" s="4">
        <v>11.3972</v>
      </c>
      <c r="E781" s="4">
        <v>167</v>
      </c>
      <c r="F781" s="4"/>
      <c r="G781" s="4"/>
      <c r="H781" s="5">
        <f t="shared" si="12"/>
        <v>1.7579017684491416E-3</v>
      </c>
    </row>
    <row r="782" spans="1:8" ht="13.5" x14ac:dyDescent="0.25">
      <c r="A782" s="1"/>
      <c r="B782" s="3">
        <v>43440</v>
      </c>
      <c r="C782" s="4">
        <v>11.42</v>
      </c>
      <c r="D782" s="4">
        <v>11.3972</v>
      </c>
      <c r="E782" s="4">
        <v>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11.42</v>
      </c>
      <c r="D783" s="4">
        <v>11.3972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11.42</v>
      </c>
      <c r="D784" s="4">
        <v>11.3972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11.42</v>
      </c>
      <c r="D785" s="4">
        <v>11.3972</v>
      </c>
      <c r="E785" s="4">
        <v>10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11.08</v>
      </c>
      <c r="D786" s="4">
        <v>11.0578</v>
      </c>
      <c r="E786" s="4">
        <v>100</v>
      </c>
      <c r="F786" s="4"/>
      <c r="G786" s="4"/>
      <c r="H786" s="5">
        <f t="shared" si="12"/>
        <v>-2.9779244024848162E-2</v>
      </c>
    </row>
    <row r="787" spans="1:8" ht="13.5" x14ac:dyDescent="0.25">
      <c r="A787" s="1"/>
      <c r="B787" s="3">
        <v>43447</v>
      </c>
      <c r="C787" s="4">
        <v>11.3</v>
      </c>
      <c r="D787" s="4">
        <v>11.2774</v>
      </c>
      <c r="E787" s="4">
        <v>4</v>
      </c>
      <c r="F787" s="4"/>
      <c r="G787" s="4"/>
      <c r="H787" s="5">
        <f t="shared" si="12"/>
        <v>1.9859284848704063E-2</v>
      </c>
    </row>
    <row r="788" spans="1:8" ht="13.5" x14ac:dyDescent="0.25">
      <c r="A788" s="1"/>
      <c r="B788" s="3">
        <v>43448</v>
      </c>
      <c r="C788" s="4">
        <v>11.3</v>
      </c>
      <c r="D788" s="4">
        <v>11.2774</v>
      </c>
      <c r="E788" s="4">
        <v>0</v>
      </c>
      <c r="F788" s="4"/>
      <c r="G788" s="4"/>
      <c r="H788" s="5">
        <f t="shared" si="12"/>
        <v>0</v>
      </c>
    </row>
    <row r="789" spans="1:8" ht="13.5" x14ac:dyDescent="0.25">
      <c r="A789" s="1"/>
      <c r="B789" s="3">
        <v>43451</v>
      </c>
      <c r="C789" s="4">
        <v>11.3</v>
      </c>
      <c r="D789" s="4">
        <v>11.2774</v>
      </c>
      <c r="E789" s="4">
        <v>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11.3</v>
      </c>
      <c r="D790" s="4">
        <v>11.2774</v>
      </c>
      <c r="E790" s="4">
        <v>0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11.3</v>
      </c>
      <c r="D791" s="4">
        <v>11.2774</v>
      </c>
      <c r="E791" s="4">
        <v>58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11.3</v>
      </c>
      <c r="D792" s="4">
        <v>11.2774</v>
      </c>
      <c r="E792" s="4">
        <v>488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11.3</v>
      </c>
      <c r="D793" s="4">
        <v>11.2774</v>
      </c>
      <c r="E793" s="4">
        <v>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11.3</v>
      </c>
      <c r="D794" s="4">
        <v>11.2774</v>
      </c>
      <c r="E794" s="4">
        <v>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11.3</v>
      </c>
      <c r="D795" s="4">
        <v>11.2774</v>
      </c>
      <c r="E795" s="4">
        <v>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10.97</v>
      </c>
      <c r="D796" s="4">
        <v>10.9481</v>
      </c>
      <c r="E796" s="4">
        <v>36</v>
      </c>
      <c r="F796" s="4"/>
      <c r="G796" s="4"/>
      <c r="H796" s="5">
        <f t="shared" si="12"/>
        <v>-2.919999290616631E-2</v>
      </c>
    </row>
    <row r="797" spans="1:8" ht="13.5" x14ac:dyDescent="0.25">
      <c r="A797" s="1"/>
      <c r="B797" s="3">
        <v>43461</v>
      </c>
      <c r="C797" s="4">
        <v>11.25</v>
      </c>
      <c r="D797" s="4">
        <v>11.227499999999999</v>
      </c>
      <c r="E797" s="4">
        <v>300</v>
      </c>
      <c r="F797" s="4"/>
      <c r="G797" s="4"/>
      <c r="H797" s="5">
        <f t="shared" si="12"/>
        <v>2.5520409934143732E-2</v>
      </c>
    </row>
    <row r="798" spans="1:8" ht="13.5" x14ac:dyDescent="0.25">
      <c r="A798" s="1"/>
      <c r="B798" s="3">
        <v>43462</v>
      </c>
      <c r="C798" s="4">
        <v>11.25</v>
      </c>
      <c r="D798" s="4">
        <v>11.227499999999999</v>
      </c>
      <c r="E798" s="4">
        <v>200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11.25</v>
      </c>
      <c r="D799" s="4">
        <v>11.227499999999999</v>
      </c>
      <c r="E799" s="4">
        <v>310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11.58</v>
      </c>
      <c r="D800" s="4">
        <v>11.556800000000001</v>
      </c>
      <c r="E800" s="4">
        <v>5</v>
      </c>
      <c r="F800" s="4"/>
      <c r="G800" s="4"/>
      <c r="H800" s="5">
        <f t="shared" si="12"/>
        <v>2.9329770652416098E-2</v>
      </c>
    </row>
    <row r="801" spans="1:8" ht="13.5" x14ac:dyDescent="0.25">
      <c r="A801" s="1"/>
      <c r="B801" s="3">
        <v>43468</v>
      </c>
      <c r="C801" s="4">
        <v>11.57</v>
      </c>
      <c r="D801" s="4">
        <v>11.546900000000001</v>
      </c>
      <c r="E801" s="4">
        <v>1280</v>
      </c>
      <c r="F801" s="4"/>
      <c r="G801" s="4"/>
      <c r="H801" s="5">
        <f t="shared" si="12"/>
        <v>-8.5663851585214069E-4</v>
      </c>
    </row>
    <row r="802" spans="1:8" ht="13.5" x14ac:dyDescent="0.25">
      <c r="A802" s="1"/>
      <c r="B802" s="3">
        <v>43469</v>
      </c>
      <c r="C802" s="4">
        <v>11.55</v>
      </c>
      <c r="D802" s="4">
        <v>11.526899999999999</v>
      </c>
      <c r="E802" s="4">
        <v>2235</v>
      </c>
      <c r="F802" s="4"/>
      <c r="G802" s="4"/>
      <c r="H802" s="5">
        <f t="shared" si="12"/>
        <v>-1.7320666152821405E-3</v>
      </c>
    </row>
    <row r="803" spans="1:8" ht="13.5" x14ac:dyDescent="0.25">
      <c r="A803" s="1"/>
      <c r="B803" s="3">
        <v>43472</v>
      </c>
      <c r="C803" s="4">
        <v>11.55</v>
      </c>
      <c r="D803" s="4">
        <v>11.526899999999999</v>
      </c>
      <c r="E803" s="4">
        <v>0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11.49</v>
      </c>
      <c r="D804" s="4">
        <v>11.467000000000001</v>
      </c>
      <c r="E804" s="4">
        <v>280</v>
      </c>
      <c r="F804" s="4"/>
      <c r="G804" s="4"/>
      <c r="H804" s="5">
        <f t="shared" si="12"/>
        <v>-5.1965402666804567E-3</v>
      </c>
    </row>
    <row r="805" spans="1:8" ht="13.5" x14ac:dyDescent="0.25">
      <c r="A805" s="1"/>
      <c r="B805" s="3">
        <v>43474</v>
      </c>
      <c r="C805" s="4">
        <v>11.49</v>
      </c>
      <c r="D805" s="4">
        <v>11.467000000000001</v>
      </c>
      <c r="E805" s="4">
        <v>0</v>
      </c>
      <c r="F805" s="4"/>
      <c r="G805" s="4"/>
      <c r="H805" s="5">
        <f t="shared" si="12"/>
        <v>0</v>
      </c>
    </row>
    <row r="806" spans="1:8" ht="13.5" x14ac:dyDescent="0.25">
      <c r="A806" s="1"/>
      <c r="B806" s="3">
        <v>43475</v>
      </c>
      <c r="C806" s="4">
        <v>11.49</v>
      </c>
      <c r="D806" s="4">
        <v>11.467000000000001</v>
      </c>
      <c r="E806" s="4">
        <v>0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11.49</v>
      </c>
      <c r="D807" s="4">
        <v>11.467000000000001</v>
      </c>
      <c r="E807" s="4">
        <v>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11.4</v>
      </c>
      <c r="D808" s="4">
        <v>11.3772</v>
      </c>
      <c r="E808" s="4">
        <v>188</v>
      </c>
      <c r="F808" s="4"/>
      <c r="G808" s="4"/>
      <c r="H808" s="5">
        <f t="shared" si="12"/>
        <v>-7.8311676986134397E-3</v>
      </c>
    </row>
    <row r="809" spans="1:8" ht="13.5" x14ac:dyDescent="0.25">
      <c r="A809" s="1"/>
      <c r="B809" s="3">
        <v>43481</v>
      </c>
      <c r="C809" s="4">
        <v>11.4</v>
      </c>
      <c r="D809" s="4">
        <v>11.3772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11.01</v>
      </c>
      <c r="D810" s="4">
        <v>10.988</v>
      </c>
      <c r="E810" s="4">
        <v>78</v>
      </c>
      <c r="F810" s="4"/>
      <c r="G810" s="4"/>
      <c r="H810" s="5">
        <f t="shared" si="12"/>
        <v>-3.4208768414021082E-2</v>
      </c>
    </row>
    <row r="811" spans="1:8" ht="13.5" x14ac:dyDescent="0.25">
      <c r="A811" s="1"/>
      <c r="B811" s="3">
        <v>43483</v>
      </c>
      <c r="C811" s="4">
        <v>11</v>
      </c>
      <c r="D811" s="4">
        <v>10.978</v>
      </c>
      <c r="E811" s="4">
        <v>32</v>
      </c>
      <c r="F811" s="4"/>
      <c r="G811" s="4"/>
      <c r="H811" s="5">
        <f t="shared" si="12"/>
        <v>-9.1008372770292928E-4</v>
      </c>
    </row>
    <row r="812" spans="1:8" ht="13.5" x14ac:dyDescent="0.25">
      <c r="A812" s="1"/>
      <c r="B812" s="3">
        <v>43486</v>
      </c>
      <c r="C812" s="4">
        <v>10.99</v>
      </c>
      <c r="D812" s="4">
        <v>10.968</v>
      </c>
      <c r="E812" s="4">
        <v>45</v>
      </c>
      <c r="F812" s="4"/>
      <c r="G812" s="4"/>
      <c r="H812" s="5">
        <f t="shared" si="12"/>
        <v>-9.1091273456000977E-4</v>
      </c>
    </row>
    <row r="813" spans="1:8" ht="13.5" x14ac:dyDescent="0.25">
      <c r="A813" s="1"/>
      <c r="B813" s="3">
        <v>43487</v>
      </c>
      <c r="C813" s="4">
        <v>10.99</v>
      </c>
      <c r="D813" s="4">
        <v>10.968</v>
      </c>
      <c r="E813" s="4">
        <v>145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10.99</v>
      </c>
      <c r="D814" s="4">
        <v>10.968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10.78</v>
      </c>
      <c r="D815" s="4">
        <v>10.7584</v>
      </c>
      <c r="E815" s="4">
        <v>315</v>
      </c>
      <c r="F815" s="4"/>
      <c r="G815" s="4"/>
      <c r="H815" s="5">
        <f t="shared" si="12"/>
        <v>-1.911013858497447E-2</v>
      </c>
    </row>
    <row r="816" spans="1:8" ht="13.5" x14ac:dyDescent="0.25">
      <c r="A816" s="1"/>
      <c r="B816" s="3">
        <v>43490</v>
      </c>
      <c r="C816" s="4">
        <v>10.78</v>
      </c>
      <c r="D816" s="4">
        <v>10.7584</v>
      </c>
      <c r="E816" s="4">
        <v>8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10.77</v>
      </c>
      <c r="D817" s="4">
        <v>10.7485</v>
      </c>
      <c r="E817" s="4">
        <v>200</v>
      </c>
      <c r="F817" s="4"/>
      <c r="G817" s="4"/>
      <c r="H817" s="5">
        <f t="shared" si="12"/>
        <v>-9.2021118381915715E-4</v>
      </c>
    </row>
    <row r="818" spans="1:8" ht="13.5" x14ac:dyDescent="0.25">
      <c r="A818" s="1"/>
      <c r="B818" s="3">
        <v>43494</v>
      </c>
      <c r="C818" s="4">
        <v>10.77</v>
      </c>
      <c r="D818" s="4">
        <v>10.7485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10.69</v>
      </c>
      <c r="D819" s="4">
        <v>10.6686</v>
      </c>
      <c r="E819" s="4">
        <v>565</v>
      </c>
      <c r="F819" s="4"/>
      <c r="G819" s="4"/>
      <c r="H819" s="5">
        <f t="shared" si="12"/>
        <v>-7.4335953854026424E-3</v>
      </c>
    </row>
    <row r="820" spans="1:8" ht="13.5" x14ac:dyDescent="0.25">
      <c r="A820" s="1"/>
      <c r="B820" s="3">
        <v>43496</v>
      </c>
      <c r="C820" s="4">
        <v>10.46</v>
      </c>
      <c r="D820" s="4">
        <v>10.4391</v>
      </c>
      <c r="E820" s="4">
        <v>164</v>
      </c>
      <c r="F820" s="4"/>
      <c r="G820" s="4"/>
      <c r="H820" s="5">
        <f t="shared" si="12"/>
        <v>-2.1511725999662546E-2</v>
      </c>
    </row>
    <row r="821" spans="1:8" ht="13.5" x14ac:dyDescent="0.25">
      <c r="A821" s="1"/>
      <c r="B821" s="3">
        <v>43497</v>
      </c>
      <c r="C821" s="4">
        <v>10.199999999999999</v>
      </c>
      <c r="D821" s="4">
        <v>10.179600000000001</v>
      </c>
      <c r="E821" s="4">
        <v>4</v>
      </c>
      <c r="F821" s="4"/>
      <c r="G821" s="4"/>
      <c r="H821" s="5">
        <f t="shared" si="12"/>
        <v>-2.4858464810184708E-2</v>
      </c>
    </row>
    <row r="822" spans="1:8" ht="13.5" x14ac:dyDescent="0.25">
      <c r="A822" s="1"/>
      <c r="B822" s="3">
        <v>43500</v>
      </c>
      <c r="C822" s="4">
        <v>10.46</v>
      </c>
      <c r="D822" s="4">
        <v>10.4391</v>
      </c>
      <c r="E822" s="4">
        <v>10</v>
      </c>
      <c r="F822" s="4"/>
      <c r="G822" s="4"/>
      <c r="H822" s="5">
        <f t="shared" si="12"/>
        <v>2.5492160792172498E-2</v>
      </c>
    </row>
    <row r="823" spans="1:8" ht="13.5" x14ac:dyDescent="0.25">
      <c r="A823" s="1"/>
      <c r="B823" s="3">
        <v>43501</v>
      </c>
      <c r="C823" s="4">
        <v>10.46</v>
      </c>
      <c r="D823" s="4">
        <v>10.4391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10.47</v>
      </c>
      <c r="D824" s="4">
        <v>10.4491</v>
      </c>
      <c r="E824" s="4">
        <v>104</v>
      </c>
      <c r="F824" s="4"/>
      <c r="G824" s="4"/>
      <c r="H824" s="5">
        <f t="shared" si="12"/>
        <v>9.5793698690498097E-4</v>
      </c>
    </row>
    <row r="825" spans="1:8" ht="13.5" x14ac:dyDescent="0.25">
      <c r="A825" s="1"/>
      <c r="B825" s="3">
        <v>43503</v>
      </c>
      <c r="C825" s="4">
        <v>10.47</v>
      </c>
      <c r="D825" s="4">
        <v>10.4491</v>
      </c>
      <c r="E825" s="4">
        <v>230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10.47</v>
      </c>
      <c r="D826" s="4">
        <v>10.4491</v>
      </c>
      <c r="E826" s="4">
        <v>972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10.68</v>
      </c>
      <c r="D827" s="4">
        <v>10.6586</v>
      </c>
      <c r="E827" s="4">
        <v>124</v>
      </c>
      <c r="F827" s="4"/>
      <c r="G827" s="4"/>
      <c r="H827" s="5">
        <f t="shared" si="12"/>
        <v>2.0049573647491194E-2</v>
      </c>
    </row>
    <row r="828" spans="1:8" ht="13.5" x14ac:dyDescent="0.25">
      <c r="A828" s="1"/>
      <c r="B828" s="3">
        <v>43508</v>
      </c>
      <c r="C828" s="4">
        <v>10.68</v>
      </c>
      <c r="D828" s="4">
        <v>10.6586</v>
      </c>
      <c r="E828" s="4">
        <v>1050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10.68</v>
      </c>
      <c r="D829" s="4">
        <v>10.6586</v>
      </c>
      <c r="E829" s="4">
        <v>15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10.210000000000001</v>
      </c>
      <c r="D830" s="4">
        <v>10.1896</v>
      </c>
      <c r="E830" s="4">
        <v>102</v>
      </c>
      <c r="F830" s="4"/>
      <c r="G830" s="4"/>
      <c r="H830" s="5">
        <f t="shared" si="12"/>
        <v>-4.40020265325652E-2</v>
      </c>
    </row>
    <row r="831" spans="1:8" ht="13.5" x14ac:dyDescent="0.25">
      <c r="A831" s="1"/>
      <c r="B831" s="3">
        <v>43511</v>
      </c>
      <c r="C831" s="4">
        <v>10.199999999999999</v>
      </c>
      <c r="D831" s="4">
        <v>10.179600000000001</v>
      </c>
      <c r="E831" s="4">
        <v>243</v>
      </c>
      <c r="F831" s="4"/>
      <c r="G831" s="4"/>
      <c r="H831" s="5">
        <f t="shared" si="12"/>
        <v>-9.8139279265130981E-4</v>
      </c>
    </row>
    <row r="832" spans="1:8" ht="13.5" x14ac:dyDescent="0.25">
      <c r="A832" s="1"/>
      <c r="B832" s="3">
        <v>43514</v>
      </c>
      <c r="C832" s="4">
        <v>9.9</v>
      </c>
      <c r="D832" s="4">
        <v>9.8802000000000003</v>
      </c>
      <c r="E832" s="4">
        <v>1488</v>
      </c>
      <c r="F832" s="4"/>
      <c r="G832" s="4"/>
      <c r="H832" s="5">
        <f t="shared" si="12"/>
        <v>-2.9411764705882384E-2</v>
      </c>
    </row>
    <row r="833" spans="1:8" ht="13.5" x14ac:dyDescent="0.25">
      <c r="A833" s="1"/>
      <c r="B833" s="3">
        <v>43515</v>
      </c>
      <c r="C833" s="4">
        <v>9.6</v>
      </c>
      <c r="D833" s="4">
        <v>9.5808</v>
      </c>
      <c r="E833" s="4">
        <v>605</v>
      </c>
      <c r="F833" s="4"/>
      <c r="G833" s="4"/>
      <c r="H833" s="5">
        <f t="shared" si="12"/>
        <v>-3.0303030303030335E-2</v>
      </c>
    </row>
    <row r="834" spans="1:8" ht="13.5" x14ac:dyDescent="0.25">
      <c r="A834" s="1"/>
      <c r="B834" s="3">
        <v>43516</v>
      </c>
      <c r="C834" s="4">
        <v>9.6</v>
      </c>
      <c r="D834" s="4">
        <v>9.5808</v>
      </c>
      <c r="E834" s="4">
        <v>634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9.32</v>
      </c>
      <c r="D835" s="4">
        <v>9.3013999999999992</v>
      </c>
      <c r="E835" s="4">
        <v>30</v>
      </c>
      <c r="F835" s="4"/>
      <c r="G835" s="4"/>
      <c r="H835" s="5">
        <f t="shared" si="12"/>
        <v>-2.916249164996668E-2</v>
      </c>
    </row>
    <row r="836" spans="1:8" ht="13.5" x14ac:dyDescent="0.25">
      <c r="A836" s="1"/>
      <c r="B836" s="3">
        <v>43518</v>
      </c>
      <c r="C836" s="4">
        <v>9.59</v>
      </c>
      <c r="D836" s="4">
        <v>9.5708000000000002</v>
      </c>
      <c r="E836" s="4">
        <v>0</v>
      </c>
      <c r="F836" s="4"/>
      <c r="G836" s="4"/>
      <c r="H836" s="5">
        <f t="shared" si="12"/>
        <v>2.896338185649483E-2</v>
      </c>
    </row>
    <row r="837" spans="1:8" ht="13.5" x14ac:dyDescent="0.25">
      <c r="A837" s="1"/>
      <c r="B837" s="3">
        <v>43521</v>
      </c>
      <c r="C837" s="4">
        <v>9.8699999999999992</v>
      </c>
      <c r="D837" s="4">
        <v>9.8503000000000007</v>
      </c>
      <c r="E837" s="4">
        <v>1</v>
      </c>
      <c r="F837" s="4"/>
      <c r="G837" s="4"/>
      <c r="H837" s="5">
        <f t="shared" si="12"/>
        <v>2.9203410373218594E-2</v>
      </c>
    </row>
    <row r="838" spans="1:8" ht="13.5" x14ac:dyDescent="0.25">
      <c r="A838" s="1"/>
      <c r="B838" s="3">
        <v>43522</v>
      </c>
      <c r="C838" s="4">
        <v>9.89</v>
      </c>
      <c r="D838" s="4">
        <v>9.8702000000000005</v>
      </c>
      <c r="E838" s="4">
        <v>118</v>
      </c>
      <c r="F838" s="4"/>
      <c r="G838" s="4"/>
      <c r="H838" s="5">
        <f t="shared" si="12"/>
        <v>2.0202430382830782E-3</v>
      </c>
    </row>
    <row r="839" spans="1:8" ht="13.5" x14ac:dyDescent="0.25">
      <c r="A839" s="1"/>
      <c r="B839" s="3">
        <v>43523</v>
      </c>
      <c r="C839" s="4">
        <v>9.89</v>
      </c>
      <c r="D839" s="4">
        <v>9.8702000000000005</v>
      </c>
      <c r="E839" s="4">
        <v>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9.89</v>
      </c>
      <c r="D840" s="4">
        <v>9.8702000000000005</v>
      </c>
      <c r="E840" s="4">
        <v>0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9.89</v>
      </c>
      <c r="D841" s="4">
        <v>9.8702000000000005</v>
      </c>
      <c r="E841" s="4">
        <v>700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9.89</v>
      </c>
      <c r="D842" s="4">
        <v>9.8702000000000005</v>
      </c>
      <c r="E842" s="4">
        <v>304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9.89</v>
      </c>
      <c r="D843" s="4">
        <v>9.8702000000000005</v>
      </c>
      <c r="E843" s="4">
        <v>770</v>
      </c>
      <c r="F843" s="4">
        <v>9.89</v>
      </c>
      <c r="G843" s="4">
        <v>7615.3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9.89</v>
      </c>
      <c r="D844" s="4">
        <v>9.8702000000000005</v>
      </c>
      <c r="E844" s="4">
        <v>296</v>
      </c>
      <c r="F844" s="4">
        <v>9.89</v>
      </c>
      <c r="G844" s="4">
        <v>2927.44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10.19</v>
      </c>
      <c r="D845" s="4">
        <v>10.169600000000001</v>
      </c>
      <c r="E845" s="4">
        <v>418</v>
      </c>
      <c r="F845" s="4">
        <v>9.9007000000000005</v>
      </c>
      <c r="G845" s="4">
        <v>4138.4925999999996</v>
      </c>
      <c r="H845" s="5">
        <f t="shared" si="13"/>
        <v>3.0333731839273806E-2</v>
      </c>
    </row>
    <row r="846" spans="1:8" ht="13.5" x14ac:dyDescent="0.25">
      <c r="A846" s="1"/>
      <c r="B846" s="3">
        <v>43532</v>
      </c>
      <c r="C846" s="4">
        <v>10.8</v>
      </c>
      <c r="D846" s="4">
        <v>10.7784</v>
      </c>
      <c r="E846" s="4">
        <v>6</v>
      </c>
      <c r="F846" s="4">
        <v>10.541700000000001</v>
      </c>
      <c r="G846" s="4">
        <v>63.2502</v>
      </c>
      <c r="H846" s="5">
        <f t="shared" si="13"/>
        <v>5.9864694776588914E-2</v>
      </c>
    </row>
    <row r="847" spans="1:8" ht="13.5" x14ac:dyDescent="0.25">
      <c r="A847" s="1"/>
      <c r="B847" s="3">
        <v>43535</v>
      </c>
      <c r="C847" s="4">
        <v>10.32</v>
      </c>
      <c r="D847" s="4">
        <v>10.2994</v>
      </c>
      <c r="E847" s="4">
        <v>6</v>
      </c>
      <c r="F847" s="4">
        <v>10.32</v>
      </c>
      <c r="G847" s="4">
        <v>61.92</v>
      </c>
      <c r="H847" s="5">
        <f t="shared" si="13"/>
        <v>-4.4440733318488759E-2</v>
      </c>
    </row>
    <row r="848" spans="1:8" ht="13.5" x14ac:dyDescent="0.25">
      <c r="A848" s="1"/>
      <c r="B848" s="3">
        <v>43536</v>
      </c>
      <c r="C848" s="4">
        <v>10.32</v>
      </c>
      <c r="D848" s="4">
        <v>10.2994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10.32</v>
      </c>
      <c r="D849" s="4">
        <v>10.2994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10.32</v>
      </c>
      <c r="D850" s="4">
        <v>10.2994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9.86</v>
      </c>
      <c r="D851" s="4">
        <v>9.8402999999999992</v>
      </c>
      <c r="E851" s="4">
        <v>0</v>
      </c>
      <c r="F851" s="4">
        <v>0</v>
      </c>
      <c r="G851" s="4">
        <v>0</v>
      </c>
      <c r="H851" s="5">
        <f t="shared" si="13"/>
        <v>-4.4575412159931757E-2</v>
      </c>
    </row>
    <row r="852" spans="1:8" ht="13.5" x14ac:dyDescent="0.25">
      <c r="A852" s="1"/>
      <c r="B852" s="3">
        <v>43542</v>
      </c>
      <c r="C852" s="4">
        <v>9.4700000000000006</v>
      </c>
      <c r="D852" s="4">
        <v>9.4511000000000003</v>
      </c>
      <c r="E852" s="4">
        <v>1005</v>
      </c>
      <c r="F852" s="4">
        <v>9.5276999999999994</v>
      </c>
      <c r="G852" s="4">
        <v>9575.3384999999998</v>
      </c>
      <c r="H852" s="5">
        <f t="shared" si="13"/>
        <v>-3.9551639685781827E-2</v>
      </c>
    </row>
    <row r="853" spans="1:8" ht="13.5" x14ac:dyDescent="0.25">
      <c r="A853" s="1"/>
      <c r="B853" s="3">
        <v>43543</v>
      </c>
      <c r="C853" s="4">
        <v>9.4700000000000006</v>
      </c>
      <c r="D853" s="4">
        <v>9.4511000000000003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9.6999999999999993</v>
      </c>
      <c r="D854" s="4">
        <v>9.6806000000000001</v>
      </c>
      <c r="E854" s="4">
        <v>1</v>
      </c>
      <c r="F854" s="4">
        <v>9.6999999999999993</v>
      </c>
      <c r="G854" s="4">
        <v>9.6999999999999993</v>
      </c>
      <c r="H854" s="5">
        <f t="shared" si="13"/>
        <v>2.4282887706192909E-2</v>
      </c>
    </row>
    <row r="855" spans="1:8" ht="13.5" x14ac:dyDescent="0.25">
      <c r="A855" s="1"/>
      <c r="B855" s="3">
        <v>43546</v>
      </c>
      <c r="C855" s="4">
        <v>9.6999999999999993</v>
      </c>
      <c r="D855" s="4">
        <v>9.6806000000000001</v>
      </c>
      <c r="E855" s="4">
        <v>4</v>
      </c>
      <c r="F855" s="4">
        <v>9.6999999999999993</v>
      </c>
      <c r="G855" s="4">
        <v>38.799999999999997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9.6999999999999993</v>
      </c>
      <c r="D856" s="4">
        <v>9.6806000000000001</v>
      </c>
      <c r="E856" s="4">
        <v>7</v>
      </c>
      <c r="F856" s="4">
        <v>9.6999999999999993</v>
      </c>
      <c r="G856" s="4">
        <v>67.900000000000006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9.4700000000000006</v>
      </c>
      <c r="D857" s="4">
        <v>9.4511000000000003</v>
      </c>
      <c r="E857" s="4">
        <v>244</v>
      </c>
      <c r="F857" s="4">
        <v>9.5412999999999997</v>
      </c>
      <c r="G857" s="4">
        <v>2328.0772000000002</v>
      </c>
      <c r="H857" s="5">
        <f t="shared" si="13"/>
        <v>-2.3707208230894759E-2</v>
      </c>
    </row>
    <row r="858" spans="1:8" ht="13.5" x14ac:dyDescent="0.25">
      <c r="A858" s="1"/>
      <c r="B858" s="3">
        <v>43551</v>
      </c>
      <c r="C858" s="4">
        <v>9.75</v>
      </c>
      <c r="D858" s="4">
        <v>9.7304999999999993</v>
      </c>
      <c r="E858" s="4">
        <v>1</v>
      </c>
      <c r="F858" s="4">
        <v>9.75</v>
      </c>
      <c r="G858" s="4">
        <v>9.75</v>
      </c>
      <c r="H858" s="5">
        <f t="shared" si="13"/>
        <v>2.9562696405709278E-2</v>
      </c>
    </row>
    <row r="859" spans="1:8" ht="13.5" x14ac:dyDescent="0.25">
      <c r="A859" s="1"/>
      <c r="B859" s="3">
        <v>43552</v>
      </c>
      <c r="C859" s="4">
        <v>9.75</v>
      </c>
      <c r="D859" s="4">
        <v>9.7304999999999993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9.75</v>
      </c>
      <c r="D860" s="4">
        <v>9.7304999999999993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9.75</v>
      </c>
      <c r="D861" s="4">
        <v>9.7304999999999993</v>
      </c>
      <c r="E861" s="4">
        <v>0</v>
      </c>
      <c r="F861" s="4">
        <v>0</v>
      </c>
      <c r="G861" s="4">
        <v>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9.6999999999999993</v>
      </c>
      <c r="D862" s="4">
        <v>9.6806000000000001</v>
      </c>
      <c r="E862" s="4">
        <v>9</v>
      </c>
      <c r="F862" s="4">
        <v>9.3711000000000002</v>
      </c>
      <c r="G862" s="4">
        <v>84.3399</v>
      </c>
      <c r="H862" s="5">
        <f t="shared" si="13"/>
        <v>-5.1282051282050432E-3</v>
      </c>
    </row>
    <row r="863" spans="1:8" ht="13.5" x14ac:dyDescent="0.25">
      <c r="A863" s="1"/>
      <c r="B863" s="3">
        <v>43558</v>
      </c>
      <c r="C863" s="4">
        <v>9.34</v>
      </c>
      <c r="D863" s="4">
        <v>9.3213000000000008</v>
      </c>
      <c r="E863" s="4">
        <v>23</v>
      </c>
      <c r="F863" s="4">
        <v>9.34</v>
      </c>
      <c r="G863" s="4">
        <v>214.82</v>
      </c>
      <c r="H863" s="5">
        <f t="shared" si="13"/>
        <v>-3.7115468049500992E-2</v>
      </c>
    </row>
    <row r="864" spans="1:8" ht="13.5" x14ac:dyDescent="0.25">
      <c r="A864" s="1"/>
      <c r="B864" s="3">
        <v>43559</v>
      </c>
      <c r="C864" s="4">
        <v>9.2200000000000006</v>
      </c>
      <c r="D864" s="4">
        <v>9.2015999999999991</v>
      </c>
      <c r="E864" s="4">
        <v>268</v>
      </c>
      <c r="F864" s="4">
        <v>9.2012999999999998</v>
      </c>
      <c r="G864" s="4">
        <v>2465.9484000000002</v>
      </c>
      <c r="H864" s="5">
        <f t="shared" si="13"/>
        <v>-1.2841556435261357E-2</v>
      </c>
    </row>
    <row r="865" spans="1:8" ht="13.5" x14ac:dyDescent="0.25">
      <c r="A865" s="1"/>
      <c r="B865" s="3">
        <v>43560</v>
      </c>
      <c r="C865" s="4">
        <v>9.1999999999999993</v>
      </c>
      <c r="D865" s="4">
        <v>9.1815999999999995</v>
      </c>
      <c r="E865" s="4">
        <v>125</v>
      </c>
      <c r="F865" s="4">
        <v>9.1999999999999993</v>
      </c>
      <c r="G865" s="4">
        <v>1150</v>
      </c>
      <c r="H865" s="5">
        <f t="shared" si="13"/>
        <v>-2.1735350373847566E-3</v>
      </c>
    </row>
    <row r="866" spans="1:8" ht="13.5" x14ac:dyDescent="0.25">
      <c r="A866" s="1"/>
      <c r="B866" s="3">
        <v>43563</v>
      </c>
      <c r="C866" s="4">
        <v>9.4499999999999993</v>
      </c>
      <c r="D866" s="4">
        <v>9.4311000000000007</v>
      </c>
      <c r="E866" s="4">
        <v>1</v>
      </c>
      <c r="F866" s="4">
        <v>9.4499999999999993</v>
      </c>
      <c r="G866" s="4">
        <v>9.4499999999999993</v>
      </c>
      <c r="H866" s="5">
        <f t="shared" si="13"/>
        <v>2.7173913043478388E-2</v>
      </c>
    </row>
    <row r="867" spans="1:8" ht="13.5" x14ac:dyDescent="0.25">
      <c r="A867" s="1"/>
      <c r="B867" s="3">
        <v>43565</v>
      </c>
      <c r="C867" s="4">
        <v>9.2899999999999991</v>
      </c>
      <c r="D867" s="4">
        <v>9.2713999999999999</v>
      </c>
      <c r="E867" s="4">
        <v>2</v>
      </c>
      <c r="F867" s="4">
        <v>9.7200000000000006</v>
      </c>
      <c r="G867" s="4">
        <v>19.440000000000001</v>
      </c>
      <c r="H867" s="5">
        <f t="shared" si="13"/>
        <v>-1.6933337574620226E-2</v>
      </c>
    </row>
    <row r="868" spans="1:8" ht="13.5" x14ac:dyDescent="0.25">
      <c r="A868" s="1"/>
      <c r="B868" s="3">
        <v>43566</v>
      </c>
      <c r="C868" s="4">
        <v>9.2899999999999991</v>
      </c>
      <c r="D868" s="4">
        <v>9.2713999999999999</v>
      </c>
      <c r="E868" s="4">
        <v>191</v>
      </c>
      <c r="F868" s="4">
        <v>9.2863000000000007</v>
      </c>
      <c r="G868" s="4">
        <v>1773.6832999999999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9.1</v>
      </c>
      <c r="D869" s="4">
        <v>9.0817999999999994</v>
      </c>
      <c r="E869" s="4">
        <v>400</v>
      </c>
      <c r="F869" s="4">
        <v>9.1</v>
      </c>
      <c r="G869" s="4">
        <v>3640</v>
      </c>
      <c r="H869" s="5">
        <f t="shared" si="13"/>
        <v>-2.0449985978385189E-2</v>
      </c>
    </row>
    <row r="870" spans="1:8" ht="13.5" x14ac:dyDescent="0.25">
      <c r="A870" s="1"/>
      <c r="B870" s="3">
        <v>43570</v>
      </c>
      <c r="C870" s="4">
        <v>9.1199999999999992</v>
      </c>
      <c r="D870" s="4">
        <v>9.1018000000000008</v>
      </c>
      <c r="E870" s="4">
        <v>245</v>
      </c>
      <c r="F870" s="4">
        <v>9.1395999999999997</v>
      </c>
      <c r="G870" s="4">
        <v>2239.2020000000002</v>
      </c>
      <c r="H870" s="5">
        <f t="shared" si="13"/>
        <v>2.2022066110243951E-3</v>
      </c>
    </row>
    <row r="871" spans="1:8" ht="13.5" x14ac:dyDescent="0.25">
      <c r="A871" s="1"/>
      <c r="B871" s="3">
        <v>43571</v>
      </c>
      <c r="C871" s="4">
        <v>9.67</v>
      </c>
      <c r="D871" s="4">
        <v>9.6507000000000005</v>
      </c>
      <c r="E871" s="4">
        <v>25</v>
      </c>
      <c r="F871" s="4">
        <v>9.4459999999999997</v>
      </c>
      <c r="G871" s="4">
        <v>236.15</v>
      </c>
      <c r="H871" s="5">
        <f t="shared" si="13"/>
        <v>6.0306752510492397E-2</v>
      </c>
    </row>
    <row r="872" spans="1:8" ht="13.5" x14ac:dyDescent="0.25">
      <c r="A872" s="1"/>
      <c r="B872" s="3">
        <v>43572</v>
      </c>
      <c r="C872" s="4">
        <v>10.25</v>
      </c>
      <c r="D872" s="4">
        <v>10.2295</v>
      </c>
      <c r="E872" s="4">
        <v>55</v>
      </c>
      <c r="F872" s="4">
        <v>10.223599999999999</v>
      </c>
      <c r="G872" s="4">
        <v>562.298</v>
      </c>
      <c r="H872" s="5">
        <f t="shared" si="13"/>
        <v>5.9974924098769963E-2</v>
      </c>
    </row>
    <row r="873" spans="1:8" ht="13.5" x14ac:dyDescent="0.25">
      <c r="A873" s="1"/>
      <c r="B873" s="3">
        <v>43573</v>
      </c>
      <c r="C873" s="4">
        <v>10.45</v>
      </c>
      <c r="D873" s="4">
        <v>10.4291</v>
      </c>
      <c r="E873" s="4">
        <v>10</v>
      </c>
      <c r="F873" s="4">
        <v>10.5</v>
      </c>
      <c r="G873" s="4">
        <v>105</v>
      </c>
      <c r="H873" s="5">
        <f t="shared" si="13"/>
        <v>1.951219512195124E-2</v>
      </c>
    </row>
    <row r="874" spans="1:8" ht="13.5" x14ac:dyDescent="0.25">
      <c r="A874" s="1"/>
      <c r="B874" s="3">
        <v>43574</v>
      </c>
      <c r="C874" s="4">
        <v>10.45</v>
      </c>
      <c r="D874" s="4">
        <v>10.4291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10.45</v>
      </c>
      <c r="D875" s="4">
        <v>10.4291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10.34</v>
      </c>
      <c r="D876" s="4">
        <v>10.3193</v>
      </c>
      <c r="E876" s="4">
        <v>1</v>
      </c>
      <c r="F876" s="4">
        <v>10.34</v>
      </c>
      <c r="G876" s="4">
        <v>10.34</v>
      </c>
      <c r="H876" s="5">
        <f t="shared" si="13"/>
        <v>-1.0528233500493801E-2</v>
      </c>
    </row>
    <row r="877" spans="1:8" ht="13.5" x14ac:dyDescent="0.25">
      <c r="A877" s="1"/>
      <c r="B877" s="3">
        <v>43579</v>
      </c>
      <c r="C877" s="4">
        <v>10.33</v>
      </c>
      <c r="D877" s="4">
        <v>10.3093</v>
      </c>
      <c r="E877" s="4">
        <v>130</v>
      </c>
      <c r="F877" s="4">
        <v>10.33</v>
      </c>
      <c r="G877" s="4">
        <v>1342.9</v>
      </c>
      <c r="H877" s="5">
        <f t="shared" si="13"/>
        <v>-9.6905797873884729E-4</v>
      </c>
    </row>
    <row r="878" spans="1:8" ht="13.5" x14ac:dyDescent="0.25">
      <c r="A878" s="1"/>
      <c r="B878" s="3">
        <v>43580</v>
      </c>
      <c r="C878" s="4">
        <v>10.33</v>
      </c>
      <c r="D878" s="4">
        <v>10.3093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10.29</v>
      </c>
      <c r="D879" s="4">
        <v>10.269399999999999</v>
      </c>
      <c r="E879" s="4">
        <v>13</v>
      </c>
      <c r="F879" s="4">
        <v>10.29</v>
      </c>
      <c r="G879" s="4">
        <v>133.77000000000001</v>
      </c>
      <c r="H879" s="5">
        <f t="shared" si="13"/>
        <v>-3.87029187238718E-3</v>
      </c>
    </row>
    <row r="880" spans="1:8" ht="13.5" x14ac:dyDescent="0.25">
      <c r="A880" s="1"/>
      <c r="B880" s="3">
        <v>43584</v>
      </c>
      <c r="C880" s="4">
        <v>10.28</v>
      </c>
      <c r="D880" s="4">
        <v>10.259399999999999</v>
      </c>
      <c r="E880" s="4">
        <v>5</v>
      </c>
      <c r="F880" s="4">
        <v>10.28</v>
      </c>
      <c r="G880" s="4">
        <v>51.4</v>
      </c>
      <c r="H880" s="5">
        <f t="shared" si="13"/>
        <v>-9.7376672444347162E-4</v>
      </c>
    </row>
    <row r="881" spans="1:8" ht="13.5" x14ac:dyDescent="0.25">
      <c r="A881" s="1"/>
      <c r="B881" s="3">
        <v>43585</v>
      </c>
      <c r="C881" s="4">
        <v>9.98</v>
      </c>
      <c r="D881" s="4">
        <v>9.9600000000000009</v>
      </c>
      <c r="E881" s="4">
        <v>15</v>
      </c>
      <c r="F881" s="4">
        <v>9.98</v>
      </c>
      <c r="G881" s="4">
        <v>149.69999999999999</v>
      </c>
      <c r="H881" s="5">
        <f t="shared" si="13"/>
        <v>-2.9182993157494452E-2</v>
      </c>
    </row>
    <row r="882" spans="1:8" ht="13.5" x14ac:dyDescent="0.25">
      <c r="A882" s="1"/>
      <c r="B882" s="3">
        <v>43587</v>
      </c>
      <c r="C882" s="4">
        <v>9.99</v>
      </c>
      <c r="D882" s="4">
        <v>9.9700000000000006</v>
      </c>
      <c r="E882" s="4">
        <v>4</v>
      </c>
      <c r="F882" s="4">
        <v>9.6999999999999993</v>
      </c>
      <c r="G882" s="4">
        <v>38.799999999999997</v>
      </c>
      <c r="H882" s="5">
        <f t="shared" si="13"/>
        <v>1.0040160642570066E-3</v>
      </c>
    </row>
    <row r="883" spans="1:8" ht="13.5" x14ac:dyDescent="0.25">
      <c r="A883" s="1"/>
      <c r="B883" s="3">
        <v>43588</v>
      </c>
      <c r="C883" s="4">
        <v>9.5500000000000007</v>
      </c>
      <c r="D883" s="4">
        <v>9.5309000000000008</v>
      </c>
      <c r="E883" s="4">
        <v>530</v>
      </c>
      <c r="F883" s="4">
        <v>9.5500000000000007</v>
      </c>
      <c r="G883" s="4">
        <v>5061.5</v>
      </c>
      <c r="H883" s="5">
        <f t="shared" si="13"/>
        <v>-4.4042126379137389E-2</v>
      </c>
    </row>
    <row r="884" spans="1:8" ht="13.5" x14ac:dyDescent="0.25">
      <c r="A884" s="1"/>
      <c r="B884" s="3">
        <v>43591</v>
      </c>
      <c r="C884" s="4">
        <v>9.5500000000000007</v>
      </c>
      <c r="D884" s="4">
        <v>9.5309000000000008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9.5500000000000007</v>
      </c>
      <c r="D885" s="4">
        <v>9.5309000000000008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9.27</v>
      </c>
      <c r="D886" s="4">
        <v>9.2515000000000001</v>
      </c>
      <c r="E886" s="4">
        <v>20</v>
      </c>
      <c r="F886" s="4">
        <v>9.27</v>
      </c>
      <c r="G886" s="4">
        <v>185.4</v>
      </c>
      <c r="H886" s="5">
        <f t="shared" si="13"/>
        <v>-2.9315174852322524E-2</v>
      </c>
    </row>
    <row r="887" spans="1:8" ht="13.5" x14ac:dyDescent="0.25">
      <c r="A887" s="1"/>
      <c r="B887" s="3">
        <v>43594</v>
      </c>
      <c r="C887" s="4">
        <v>9.5399999999999991</v>
      </c>
      <c r="D887" s="4">
        <v>9.5208999999999993</v>
      </c>
      <c r="E887" s="4">
        <v>0</v>
      </c>
      <c r="F887" s="4">
        <v>0</v>
      </c>
      <c r="G887" s="4">
        <v>0</v>
      </c>
      <c r="H887" s="5">
        <f t="shared" si="13"/>
        <v>2.9119602226665858E-2</v>
      </c>
    </row>
    <row r="888" spans="1:8" ht="13.5" x14ac:dyDescent="0.25">
      <c r="A888" s="1"/>
      <c r="B888" s="3">
        <v>43595</v>
      </c>
      <c r="C888" s="4">
        <v>9.3000000000000007</v>
      </c>
      <c r="D888" s="4">
        <v>9.2813999999999997</v>
      </c>
      <c r="E888" s="4">
        <v>500</v>
      </c>
      <c r="F888" s="4">
        <v>9.3000000000000007</v>
      </c>
      <c r="G888" s="4">
        <v>4650</v>
      </c>
      <c r="H888" s="5">
        <f t="shared" si="13"/>
        <v>-2.5155184908989655E-2</v>
      </c>
    </row>
    <row r="889" spans="1:8" ht="13.5" x14ac:dyDescent="0.25">
      <c r="A889" s="1"/>
      <c r="B889" s="3">
        <v>43598</v>
      </c>
      <c r="C889" s="4">
        <v>9.3000000000000007</v>
      </c>
      <c r="D889" s="4">
        <v>9.2813999999999997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9.3000000000000007</v>
      </c>
      <c r="D890" s="4">
        <v>9.2813999999999997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9.3000000000000007</v>
      </c>
      <c r="D891" s="4">
        <v>9.2813999999999997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9.3000000000000007</v>
      </c>
      <c r="D892" s="4">
        <v>9.2813999999999997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9.3000000000000007</v>
      </c>
      <c r="D893" s="4">
        <v>9.2813999999999997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9.3000000000000007</v>
      </c>
      <c r="D894" s="4">
        <v>9.2813999999999997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9.1</v>
      </c>
      <c r="D895" s="4">
        <v>9.0817999999999994</v>
      </c>
      <c r="E895" s="4">
        <v>400</v>
      </c>
      <c r="F895" s="4">
        <v>9.1</v>
      </c>
      <c r="G895" s="4">
        <v>3640</v>
      </c>
      <c r="H895" s="5">
        <f t="shared" si="13"/>
        <v>-2.1505376344086048E-2</v>
      </c>
    </row>
    <row r="896" spans="1:8" ht="13.5" x14ac:dyDescent="0.25">
      <c r="A896" s="1"/>
      <c r="B896" s="3">
        <v>43607</v>
      </c>
      <c r="C896" s="4">
        <v>9.1</v>
      </c>
      <c r="D896" s="4">
        <v>9.0817999999999994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9.3699999999999992</v>
      </c>
      <c r="D897" s="4">
        <v>9.3513000000000002</v>
      </c>
      <c r="E897" s="4">
        <v>15</v>
      </c>
      <c r="F897" s="4">
        <v>9.3699999999999992</v>
      </c>
      <c r="G897" s="4">
        <v>140.55000000000001</v>
      </c>
      <c r="H897" s="5">
        <f t="shared" si="13"/>
        <v>2.9674734083551802E-2</v>
      </c>
    </row>
    <row r="898" spans="1:8" ht="13.5" x14ac:dyDescent="0.25">
      <c r="A898" s="1"/>
      <c r="B898" s="3">
        <v>43609</v>
      </c>
      <c r="C898" s="4">
        <v>9.11</v>
      </c>
      <c r="D898" s="4">
        <v>9.0917999999999992</v>
      </c>
      <c r="E898" s="4">
        <v>4</v>
      </c>
      <c r="F898" s="4">
        <v>9.11</v>
      </c>
      <c r="G898" s="4">
        <v>36.44</v>
      </c>
      <c r="H898" s="5">
        <f t="shared" si="13"/>
        <v>-2.7750152385229963E-2</v>
      </c>
    </row>
    <row r="899" spans="1:8" ht="13.5" x14ac:dyDescent="0.25">
      <c r="A899" s="1"/>
      <c r="B899" s="3">
        <v>43612</v>
      </c>
      <c r="C899" s="4">
        <v>9.11</v>
      </c>
      <c r="D899" s="4">
        <v>9.0917999999999992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9.0500000000000007</v>
      </c>
      <c r="D900" s="4">
        <v>9.0319000000000003</v>
      </c>
      <c r="E900" s="4">
        <v>250</v>
      </c>
      <c r="F900" s="4">
        <v>9.0500000000000007</v>
      </c>
      <c r="G900" s="4">
        <v>2262.5</v>
      </c>
      <c r="H900" s="5">
        <f t="shared" si="13"/>
        <v>-6.5883543412744404E-3</v>
      </c>
    </row>
    <row r="901" spans="1:8" ht="13.5" x14ac:dyDescent="0.25">
      <c r="A901" s="1"/>
      <c r="B901" s="3">
        <v>43614</v>
      </c>
      <c r="C901" s="4">
        <v>9.0500000000000007</v>
      </c>
      <c r="D901" s="4">
        <v>9.0319000000000003</v>
      </c>
      <c r="E901" s="4">
        <v>0</v>
      </c>
      <c r="F901" s="4">
        <v>0</v>
      </c>
      <c r="G901" s="4">
        <v>0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9.0500000000000007</v>
      </c>
      <c r="D902" s="4">
        <v>9.0319000000000003</v>
      </c>
      <c r="E902" s="4">
        <v>0</v>
      </c>
      <c r="F902" s="4">
        <v>0</v>
      </c>
      <c r="G902" s="4">
        <v>0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9.0500000000000007</v>
      </c>
      <c r="D903" s="4">
        <v>9.0319000000000003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9.0500000000000007</v>
      </c>
      <c r="D904" s="4">
        <v>9.0319000000000003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9.32</v>
      </c>
      <c r="D905" s="4">
        <v>9.3013999999999992</v>
      </c>
      <c r="E905" s="4">
        <v>0</v>
      </c>
      <c r="F905" s="4">
        <v>0</v>
      </c>
      <c r="G905" s="4">
        <v>0</v>
      </c>
      <c r="H905" s="5">
        <f t="shared" si="14"/>
        <v>2.9838682890643051E-2</v>
      </c>
    </row>
    <row r="906" spans="1:8" ht="13.5" x14ac:dyDescent="0.25">
      <c r="A906" s="1"/>
      <c r="B906" s="3">
        <v>43626</v>
      </c>
      <c r="C906" s="4">
        <v>9.32</v>
      </c>
      <c r="D906" s="4">
        <v>9.3013999999999992</v>
      </c>
      <c r="E906" s="4">
        <v>3</v>
      </c>
      <c r="F906" s="4">
        <v>9.0500000000000007</v>
      </c>
      <c r="G906" s="4">
        <v>27.15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9.5</v>
      </c>
      <c r="D907" s="4">
        <v>9.4809999999999999</v>
      </c>
      <c r="E907" s="4">
        <v>3</v>
      </c>
      <c r="F907" s="4">
        <v>9.5</v>
      </c>
      <c r="G907" s="4">
        <v>28.5</v>
      </c>
      <c r="H907" s="5">
        <f t="shared" si="14"/>
        <v>1.9308921237663219E-2</v>
      </c>
    </row>
    <row r="908" spans="1:8" ht="13.5" x14ac:dyDescent="0.25">
      <c r="A908" s="1"/>
      <c r="B908" s="3">
        <v>43628</v>
      </c>
      <c r="C908" s="4">
        <v>9.5</v>
      </c>
      <c r="D908" s="4">
        <v>9.4809999999999999</v>
      </c>
      <c r="E908" s="4">
        <v>0</v>
      </c>
      <c r="F908" s="4">
        <v>0</v>
      </c>
      <c r="G908" s="4">
        <v>0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9.2200000000000006</v>
      </c>
      <c r="D909" s="4">
        <v>9.2015999999999991</v>
      </c>
      <c r="E909" s="4">
        <v>0</v>
      </c>
      <c r="F909" s="4">
        <v>0</v>
      </c>
      <c r="G909" s="4">
        <v>0</v>
      </c>
      <c r="H909" s="5">
        <f t="shared" si="14"/>
        <v>-2.9469465246282116E-2</v>
      </c>
    </row>
    <row r="910" spans="1:8" ht="13.5" x14ac:dyDescent="0.25">
      <c r="A910" s="1"/>
      <c r="B910" s="3">
        <v>43630</v>
      </c>
      <c r="C910" s="4">
        <v>9.01</v>
      </c>
      <c r="D910" s="4">
        <v>8.9920000000000009</v>
      </c>
      <c r="E910" s="4">
        <v>45</v>
      </c>
      <c r="F910" s="4">
        <v>9.01</v>
      </c>
      <c r="G910" s="4">
        <v>405.45</v>
      </c>
      <c r="H910" s="5">
        <f t="shared" si="14"/>
        <v>-2.2778647191792543E-2</v>
      </c>
    </row>
    <row r="911" spans="1:8" ht="13.5" x14ac:dyDescent="0.25">
      <c r="A911" s="1"/>
      <c r="B911" s="3">
        <v>43633</v>
      </c>
      <c r="C911" s="4">
        <v>8.61</v>
      </c>
      <c r="D911" s="4">
        <v>8.5928000000000004</v>
      </c>
      <c r="E911" s="4">
        <v>0</v>
      </c>
      <c r="F911" s="4">
        <v>0</v>
      </c>
      <c r="G911" s="4">
        <v>0</v>
      </c>
      <c r="H911" s="5">
        <f t="shared" si="14"/>
        <v>-4.4395017793594352E-2</v>
      </c>
    </row>
    <row r="912" spans="1:8" ht="13.5" x14ac:dyDescent="0.25">
      <c r="A912" s="1"/>
      <c r="B912" s="3">
        <v>43634</v>
      </c>
      <c r="C912" s="4">
        <v>8.8000000000000007</v>
      </c>
      <c r="D912" s="4">
        <v>8.7824000000000009</v>
      </c>
      <c r="E912" s="4">
        <v>2602</v>
      </c>
      <c r="F912" s="4">
        <v>8.5037000000000003</v>
      </c>
      <c r="G912" s="4">
        <v>22126.627400000001</v>
      </c>
      <c r="H912" s="5">
        <f t="shared" si="14"/>
        <v>2.2064984638301883E-2</v>
      </c>
    </row>
    <row r="913" spans="1:8" ht="13.5" x14ac:dyDescent="0.25">
      <c r="A913" s="1"/>
      <c r="B913" s="3">
        <v>43635</v>
      </c>
      <c r="C913" s="4">
        <v>8.9</v>
      </c>
      <c r="D913" s="4">
        <v>8.8821999999999992</v>
      </c>
      <c r="E913" s="4">
        <v>51</v>
      </c>
      <c r="F913" s="4">
        <v>8.9019999999999992</v>
      </c>
      <c r="G913" s="4">
        <v>454.00200000000001</v>
      </c>
      <c r="H913" s="5">
        <f t="shared" si="14"/>
        <v>1.1363636363636173E-2</v>
      </c>
    </row>
    <row r="914" spans="1:8" ht="13.5" x14ac:dyDescent="0.25">
      <c r="A914" s="1"/>
      <c r="B914" s="3">
        <v>43636</v>
      </c>
      <c r="C914" s="4">
        <v>8.6199999999999992</v>
      </c>
      <c r="D914" s="4">
        <v>8.6028000000000002</v>
      </c>
      <c r="E914" s="4">
        <v>228</v>
      </c>
      <c r="F914" s="4">
        <v>8.8481000000000005</v>
      </c>
      <c r="G914" s="4">
        <v>2017.3668</v>
      </c>
      <c r="H914" s="5">
        <f t="shared" si="14"/>
        <v>-3.145617076850319E-2</v>
      </c>
    </row>
    <row r="915" spans="1:8" ht="13.5" x14ac:dyDescent="0.25">
      <c r="A915" s="1"/>
      <c r="B915" s="3">
        <v>43637</v>
      </c>
      <c r="C915" s="4">
        <v>8.8699999999999992</v>
      </c>
      <c r="D915" s="4">
        <v>8.8522999999999996</v>
      </c>
      <c r="E915" s="4">
        <v>0</v>
      </c>
      <c r="F915" s="4">
        <v>0</v>
      </c>
      <c r="G915" s="4">
        <v>0</v>
      </c>
      <c r="H915" s="5">
        <f t="shared" si="14"/>
        <v>2.9002185335007136E-2</v>
      </c>
    </row>
    <row r="916" spans="1:8" ht="13.5" x14ac:dyDescent="0.25">
      <c r="A916" s="1"/>
      <c r="B916" s="3">
        <v>43640</v>
      </c>
      <c r="C916" s="4">
        <v>8.7100000000000009</v>
      </c>
      <c r="D916" s="4">
        <v>8.6926000000000005</v>
      </c>
      <c r="E916" s="4">
        <v>50</v>
      </c>
      <c r="F916" s="4">
        <v>8.7080000000000002</v>
      </c>
      <c r="G916" s="4">
        <v>435.4</v>
      </c>
      <c r="H916" s="5">
        <f t="shared" si="14"/>
        <v>-1.8040509246184503E-2</v>
      </c>
    </row>
    <row r="917" spans="1:8" ht="13.5" x14ac:dyDescent="0.25">
      <c r="A917" s="1"/>
      <c r="B917" s="3">
        <v>43641</v>
      </c>
      <c r="C917" s="4">
        <v>8.5</v>
      </c>
      <c r="D917" s="4">
        <v>8.4830000000000005</v>
      </c>
      <c r="E917" s="4">
        <v>947</v>
      </c>
      <c r="F917" s="4">
        <v>8.5</v>
      </c>
      <c r="G917" s="4">
        <v>8049.5</v>
      </c>
      <c r="H917" s="5">
        <f t="shared" si="14"/>
        <v>-2.4112463474679612E-2</v>
      </c>
    </row>
    <row r="918" spans="1:8" ht="13.5" x14ac:dyDescent="0.25">
      <c r="A918" s="1"/>
      <c r="B918" s="3">
        <v>43642</v>
      </c>
      <c r="C918" s="4">
        <v>8.4</v>
      </c>
      <c r="D918" s="4">
        <v>8.3832000000000004</v>
      </c>
      <c r="E918" s="4">
        <v>60</v>
      </c>
      <c r="F918" s="4">
        <v>8.4</v>
      </c>
      <c r="G918" s="4">
        <v>504</v>
      </c>
      <c r="H918" s="5">
        <f t="shared" si="14"/>
        <v>-1.1764705882352953E-2</v>
      </c>
    </row>
    <row r="919" spans="1:8" ht="13.5" x14ac:dyDescent="0.25">
      <c r="A919" s="1"/>
      <c r="B919" s="3">
        <v>43643</v>
      </c>
      <c r="C919" s="4">
        <v>8.5</v>
      </c>
      <c r="D919" s="4">
        <v>8.4830000000000005</v>
      </c>
      <c r="E919" s="4">
        <v>50</v>
      </c>
      <c r="F919" s="4">
        <v>8.468</v>
      </c>
      <c r="G919" s="4">
        <v>423.4</v>
      </c>
      <c r="H919" s="5">
        <f t="shared" si="14"/>
        <v>1.1904761904761918E-2</v>
      </c>
    </row>
    <row r="920" spans="1:8" ht="13.5" x14ac:dyDescent="0.25">
      <c r="A920" s="1"/>
      <c r="B920" s="3">
        <v>43644</v>
      </c>
      <c r="C920" s="4">
        <v>8.42</v>
      </c>
      <c r="D920" s="4">
        <v>8.4032</v>
      </c>
      <c r="E920" s="4">
        <v>1585</v>
      </c>
      <c r="F920" s="4">
        <v>8.42</v>
      </c>
      <c r="G920" s="4">
        <v>13345.7</v>
      </c>
      <c r="H920" s="5">
        <f t="shared" si="14"/>
        <v>-9.4070493929035159E-3</v>
      </c>
    </row>
    <row r="921" spans="1:8" ht="13.5" x14ac:dyDescent="0.25">
      <c r="A921" s="1"/>
      <c r="B921" s="3">
        <v>43647</v>
      </c>
      <c r="C921" s="4">
        <v>8.7899999999999991</v>
      </c>
      <c r="D921" s="4">
        <v>8.7723999999999993</v>
      </c>
      <c r="E921" s="4">
        <v>0</v>
      </c>
      <c r="F921" s="4">
        <v>0</v>
      </c>
      <c r="G921" s="4">
        <v>0</v>
      </c>
      <c r="H921" s="5">
        <f t="shared" si="14"/>
        <v>4.393564356435635E-2</v>
      </c>
    </row>
    <row r="922" spans="1:8" ht="13.5" x14ac:dyDescent="0.25">
      <c r="A922" s="1"/>
      <c r="B922" s="3">
        <v>43648</v>
      </c>
      <c r="C922" s="4">
        <v>8.9</v>
      </c>
      <c r="D922" s="4">
        <v>8.8821999999999992</v>
      </c>
      <c r="E922" s="4">
        <v>5</v>
      </c>
      <c r="F922" s="4">
        <v>8.9</v>
      </c>
      <c r="G922" s="4">
        <v>44.5</v>
      </c>
      <c r="H922" s="5">
        <f t="shared" si="14"/>
        <v>1.2516529114039476E-2</v>
      </c>
    </row>
    <row r="923" spans="1:8" ht="13.5" x14ac:dyDescent="0.25">
      <c r="A923" s="1"/>
      <c r="B923" s="3">
        <v>43649</v>
      </c>
      <c r="C923" s="4">
        <v>8.9</v>
      </c>
      <c r="D923" s="4">
        <v>8.8821999999999992</v>
      </c>
      <c r="E923" s="4">
        <v>138</v>
      </c>
      <c r="F923" s="4">
        <v>8.9</v>
      </c>
      <c r="G923" s="4">
        <v>1228.2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8.6999999999999993</v>
      </c>
      <c r="D924" s="4">
        <v>8.6826000000000008</v>
      </c>
      <c r="E924" s="4">
        <v>137</v>
      </c>
      <c r="F924" s="4">
        <v>8.6999999999999993</v>
      </c>
      <c r="G924" s="4">
        <v>1191.9000000000001</v>
      </c>
      <c r="H924" s="5">
        <f t="shared" si="14"/>
        <v>-2.2471910112359376E-2</v>
      </c>
    </row>
    <row r="925" spans="1:8" ht="13.5" x14ac:dyDescent="0.25">
      <c r="A925" s="1"/>
      <c r="B925" s="3">
        <v>43651</v>
      </c>
      <c r="C925" s="4">
        <v>8.65</v>
      </c>
      <c r="D925" s="4">
        <v>8.6326999999999998</v>
      </c>
      <c r="E925" s="4">
        <v>151</v>
      </c>
      <c r="F925" s="4">
        <v>8.6516999999999999</v>
      </c>
      <c r="G925" s="4">
        <v>1306.4067</v>
      </c>
      <c r="H925" s="5">
        <f t="shared" si="14"/>
        <v>-5.7471264367817175E-3</v>
      </c>
    </row>
    <row r="926" spans="1:8" ht="13.5" x14ac:dyDescent="0.25">
      <c r="A926" s="1"/>
      <c r="B926" s="3">
        <v>43654</v>
      </c>
      <c r="C926" s="4">
        <v>9</v>
      </c>
      <c r="D926" s="4">
        <v>8.9819999999999993</v>
      </c>
      <c r="E926" s="4">
        <v>7</v>
      </c>
      <c r="F926" s="4">
        <v>8.9285999999999994</v>
      </c>
      <c r="G926" s="4">
        <v>62.5002</v>
      </c>
      <c r="H926" s="5">
        <f t="shared" si="14"/>
        <v>4.0462427745664685E-2</v>
      </c>
    </row>
    <row r="927" spans="1:8" ht="13.5" x14ac:dyDescent="0.25">
      <c r="A927" s="1"/>
      <c r="B927" s="3">
        <v>43655</v>
      </c>
      <c r="C927" s="4">
        <v>9.39</v>
      </c>
      <c r="D927" s="4">
        <v>9.3712</v>
      </c>
      <c r="E927" s="4">
        <v>1</v>
      </c>
      <c r="F927" s="4">
        <v>9.39</v>
      </c>
      <c r="G927" s="4">
        <v>9.39</v>
      </c>
      <c r="H927" s="5">
        <f t="shared" si="14"/>
        <v>4.3331106657760042E-2</v>
      </c>
    </row>
    <row r="928" spans="1:8" ht="13.5" x14ac:dyDescent="0.25">
      <c r="A928" s="1"/>
      <c r="B928" s="3">
        <v>43656</v>
      </c>
      <c r="C928" s="4">
        <v>8.9700000000000006</v>
      </c>
      <c r="D928" s="4">
        <v>8.9520999999999997</v>
      </c>
      <c r="E928" s="4">
        <v>39</v>
      </c>
      <c r="F928" s="4">
        <v>8.9700000000000006</v>
      </c>
      <c r="G928" s="4">
        <v>349.83</v>
      </c>
      <c r="H928" s="5">
        <f t="shared" si="14"/>
        <v>-4.4722127368960245E-2</v>
      </c>
    </row>
    <row r="929" spans="1:8" ht="13.5" x14ac:dyDescent="0.25">
      <c r="A929" s="1"/>
      <c r="B929" s="3">
        <v>43657</v>
      </c>
      <c r="C929" s="4">
        <v>9.3699999999999992</v>
      </c>
      <c r="D929" s="4">
        <v>9.3513000000000002</v>
      </c>
      <c r="E929" s="4">
        <v>0</v>
      </c>
      <c r="F929" s="4">
        <v>0</v>
      </c>
      <c r="G929" s="4">
        <v>0</v>
      </c>
      <c r="H929" s="5">
        <f t="shared" si="14"/>
        <v>4.4592888819383211E-2</v>
      </c>
    </row>
    <row r="930" spans="1:8" ht="13.5" x14ac:dyDescent="0.25">
      <c r="A930" s="1"/>
      <c r="B930" s="3">
        <v>43658</v>
      </c>
      <c r="C930" s="4">
        <v>9.36</v>
      </c>
      <c r="D930" s="4">
        <v>9.3413000000000004</v>
      </c>
      <c r="E930" s="4">
        <v>6</v>
      </c>
      <c r="F930" s="4">
        <v>9.09</v>
      </c>
      <c r="G930" s="4">
        <v>54.54</v>
      </c>
      <c r="H930" s="5">
        <f t="shared" si="14"/>
        <v>-1.0693700341128812E-3</v>
      </c>
    </row>
    <row r="931" spans="1:8" ht="13.5" x14ac:dyDescent="0.25">
      <c r="A931" s="1"/>
      <c r="B931" s="3">
        <v>43661</v>
      </c>
      <c r="C931" s="4">
        <v>9.49</v>
      </c>
      <c r="D931" s="4">
        <v>9.4710000000000001</v>
      </c>
      <c r="E931" s="4">
        <v>803</v>
      </c>
      <c r="F931" s="4">
        <v>9.4937000000000005</v>
      </c>
      <c r="G931" s="4">
        <v>7623.4411</v>
      </c>
      <c r="H931" s="5">
        <f t="shared" si="14"/>
        <v>1.3884577093124051E-2</v>
      </c>
    </row>
    <row r="932" spans="1:8" ht="13.5" x14ac:dyDescent="0.25">
      <c r="A932" s="1"/>
      <c r="B932" s="3">
        <v>43662</v>
      </c>
      <c r="C932" s="4">
        <v>9.49</v>
      </c>
      <c r="D932" s="4">
        <v>9.4710000000000001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9.2100000000000009</v>
      </c>
      <c r="D933" s="4">
        <v>9.1915999999999993</v>
      </c>
      <c r="E933" s="4">
        <v>61</v>
      </c>
      <c r="F933" s="4">
        <v>9.2100000000000009</v>
      </c>
      <c r="G933" s="4">
        <v>561.80999999999995</v>
      </c>
      <c r="H933" s="5">
        <f t="shared" si="14"/>
        <v>-2.9500580720092994E-2</v>
      </c>
    </row>
    <row r="934" spans="1:8" ht="13.5" x14ac:dyDescent="0.25">
      <c r="A934" s="1"/>
      <c r="B934" s="3">
        <v>43664</v>
      </c>
      <c r="C934" s="4">
        <v>9.2100000000000009</v>
      </c>
      <c r="D934" s="4">
        <v>9.1915999999999993</v>
      </c>
      <c r="E934" s="4">
        <v>100</v>
      </c>
      <c r="F934" s="4">
        <v>9.2100000000000009</v>
      </c>
      <c r="G934" s="4">
        <v>921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8.94</v>
      </c>
      <c r="D935" s="4">
        <v>8.9221000000000004</v>
      </c>
      <c r="E935" s="4">
        <v>30</v>
      </c>
      <c r="F935" s="4">
        <v>8.94</v>
      </c>
      <c r="G935" s="4">
        <v>268.2</v>
      </c>
      <c r="H935" s="5">
        <f t="shared" si="14"/>
        <v>-2.9320248922929521E-2</v>
      </c>
    </row>
    <row r="936" spans="1:8" ht="13.5" x14ac:dyDescent="0.25">
      <c r="A936" s="1"/>
      <c r="B936" s="3">
        <v>43668</v>
      </c>
      <c r="C936" s="4">
        <v>8.68</v>
      </c>
      <c r="D936" s="4">
        <v>8.6625999999999994</v>
      </c>
      <c r="E936" s="4">
        <v>45</v>
      </c>
      <c r="F936" s="4">
        <v>8.68</v>
      </c>
      <c r="G936" s="4">
        <v>390.6</v>
      </c>
      <c r="H936" s="5">
        <f t="shared" si="14"/>
        <v>-2.9085080866612226E-2</v>
      </c>
    </row>
    <row r="937" spans="1:8" ht="13.5" x14ac:dyDescent="0.25">
      <c r="A937" s="1"/>
      <c r="B937" s="3">
        <v>43669</v>
      </c>
      <c r="C937" s="4">
        <v>8.5</v>
      </c>
      <c r="D937" s="4">
        <v>8.4830000000000005</v>
      </c>
      <c r="E937" s="4">
        <v>450</v>
      </c>
      <c r="F937" s="4">
        <v>8.5</v>
      </c>
      <c r="G937" s="4">
        <v>3825</v>
      </c>
      <c r="H937" s="5">
        <f t="shared" si="14"/>
        <v>-2.0732805393299806E-2</v>
      </c>
    </row>
    <row r="938" spans="1:8" ht="13.5" x14ac:dyDescent="0.25">
      <c r="A938" s="1"/>
      <c r="B938" s="3">
        <v>43670</v>
      </c>
      <c r="C938" s="4">
        <v>9.01</v>
      </c>
      <c r="D938" s="4">
        <v>8.9920000000000009</v>
      </c>
      <c r="E938" s="4">
        <v>401</v>
      </c>
      <c r="F938" s="4">
        <v>9.0093999999999994</v>
      </c>
      <c r="G938" s="4">
        <v>3612.7694000000001</v>
      </c>
      <c r="H938" s="5">
        <f t="shared" si="14"/>
        <v>6.0002357656489487E-2</v>
      </c>
    </row>
    <row r="939" spans="1:8" ht="13.5" x14ac:dyDescent="0.25">
      <c r="A939" s="1"/>
      <c r="B939" s="3">
        <v>43672</v>
      </c>
      <c r="C939" s="4">
        <v>9.25</v>
      </c>
      <c r="D939" s="4">
        <v>9.2315000000000005</v>
      </c>
      <c r="E939" s="4">
        <v>2</v>
      </c>
      <c r="F939" s="4">
        <v>9.25</v>
      </c>
      <c r="G939" s="4">
        <v>18.5</v>
      </c>
      <c r="H939" s="5">
        <f t="shared" si="14"/>
        <v>2.6634786476868282E-2</v>
      </c>
    </row>
    <row r="940" spans="1:8" ht="13.5" x14ac:dyDescent="0.25">
      <c r="A940" s="1"/>
      <c r="B940" s="3">
        <v>43675</v>
      </c>
      <c r="C940" s="4">
        <v>9.25</v>
      </c>
      <c r="D940" s="4">
        <v>9.2315000000000005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9.4</v>
      </c>
      <c r="D941" s="4">
        <v>9.3811999999999998</v>
      </c>
      <c r="E941" s="4">
        <v>4</v>
      </c>
      <c r="F941" s="4">
        <v>9.4</v>
      </c>
      <c r="G941" s="4">
        <v>37.6</v>
      </c>
      <c r="H941" s="5">
        <f t="shared" si="14"/>
        <v>1.6216216216216137E-2</v>
      </c>
    </row>
    <row r="942" spans="1:8" ht="13.5" x14ac:dyDescent="0.25">
      <c r="A942" s="1"/>
      <c r="B942" s="3">
        <v>43677</v>
      </c>
      <c r="C942" s="4">
        <v>9.4</v>
      </c>
      <c r="D942" s="4">
        <v>9.3811999999999998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9.4</v>
      </c>
      <c r="D943" s="4">
        <v>9.3811999999999998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9.4</v>
      </c>
      <c r="D944" s="4">
        <v>9.3811999999999998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9.4</v>
      </c>
      <c r="D945" s="4">
        <v>9.3811999999999998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9.4</v>
      </c>
      <c r="D946" s="4">
        <v>9.3811999999999998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9.4</v>
      </c>
      <c r="D947" s="4">
        <v>9.3811999999999998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9.4</v>
      </c>
      <c r="D948" s="4">
        <v>9.3811999999999998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9.4</v>
      </c>
      <c r="D949" s="4">
        <v>9.3811999999999998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9.4</v>
      </c>
      <c r="D950" s="4">
        <v>9.3811999999999998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9.4</v>
      </c>
      <c r="D951" s="4">
        <v>9.3811999999999998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9.4</v>
      </c>
      <c r="D952" s="4">
        <v>9.3811999999999998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9.4</v>
      </c>
      <c r="D953" s="4">
        <v>9.3811999999999998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9.4</v>
      </c>
      <c r="D954" s="4">
        <v>9.3811999999999998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9.4</v>
      </c>
      <c r="D955" s="4">
        <v>9.3811999999999998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9.4</v>
      </c>
      <c r="D956" s="4">
        <v>9.3811999999999998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9.1199999999999992</v>
      </c>
      <c r="D957" s="4">
        <v>9.1018000000000008</v>
      </c>
      <c r="E957" s="4">
        <v>0</v>
      </c>
      <c r="F957" s="4">
        <v>0</v>
      </c>
      <c r="G957" s="4">
        <v>0</v>
      </c>
      <c r="H957" s="5">
        <f t="shared" si="14"/>
        <v>-2.9782970195710464E-2</v>
      </c>
    </row>
    <row r="958" spans="1:8" ht="13.5" x14ac:dyDescent="0.25">
      <c r="A958" s="1"/>
      <c r="B958" s="3">
        <v>43703</v>
      </c>
      <c r="C958" s="4">
        <v>9</v>
      </c>
      <c r="D958" s="4">
        <v>8.9819999999999993</v>
      </c>
      <c r="E958" s="4">
        <v>41</v>
      </c>
      <c r="F958" s="4">
        <v>9</v>
      </c>
      <c r="G958" s="4">
        <v>369</v>
      </c>
      <c r="H958" s="5">
        <f t="shared" si="14"/>
        <v>-1.3162231646487667E-2</v>
      </c>
    </row>
    <row r="959" spans="1:8" ht="13.5" x14ac:dyDescent="0.25">
      <c r="A959" s="1"/>
      <c r="B959" s="3">
        <v>43704</v>
      </c>
      <c r="C959" s="4">
        <v>8.91</v>
      </c>
      <c r="D959" s="4">
        <v>8.8922000000000008</v>
      </c>
      <c r="E959" s="4">
        <v>50</v>
      </c>
      <c r="F959" s="4">
        <v>8.91</v>
      </c>
      <c r="G959" s="4">
        <v>445.5</v>
      </c>
      <c r="H959" s="5">
        <f t="shared" si="14"/>
        <v>-9.9977733244264698E-3</v>
      </c>
    </row>
    <row r="960" spans="1:8" ht="13.5" x14ac:dyDescent="0.25">
      <c r="A960" s="1"/>
      <c r="B960" s="3">
        <v>43705</v>
      </c>
      <c r="C960" s="4">
        <v>8.65</v>
      </c>
      <c r="D960" s="4">
        <v>8.6326999999999998</v>
      </c>
      <c r="E960" s="4">
        <v>0</v>
      </c>
      <c r="F960" s="4">
        <v>0</v>
      </c>
      <c r="G960" s="4">
        <v>0</v>
      </c>
      <c r="H960" s="5">
        <f t="shared" si="14"/>
        <v>-2.9182879377432011E-2</v>
      </c>
    </row>
    <row r="961" spans="1:8" ht="13.5" x14ac:dyDescent="0.25">
      <c r="A961" s="1"/>
      <c r="B961" s="3">
        <v>43706</v>
      </c>
      <c r="C961" s="4">
        <v>8.67</v>
      </c>
      <c r="D961" s="4">
        <v>8.6526999999999994</v>
      </c>
      <c r="E961" s="4">
        <v>200</v>
      </c>
      <c r="F961" s="4">
        <v>8.42</v>
      </c>
      <c r="G961" s="4">
        <v>1684</v>
      </c>
      <c r="H961" s="5">
        <f t="shared" si="14"/>
        <v>2.3167722728693889E-3</v>
      </c>
    </row>
    <row r="962" spans="1:8" ht="13.5" x14ac:dyDescent="0.25">
      <c r="A962" s="1"/>
      <c r="B962" s="3">
        <v>43707</v>
      </c>
      <c r="C962" s="4">
        <v>8.93</v>
      </c>
      <c r="D962" s="4">
        <v>8.9121000000000006</v>
      </c>
      <c r="E962" s="4">
        <v>0</v>
      </c>
      <c r="F962" s="4">
        <v>0</v>
      </c>
      <c r="G962" s="4">
        <v>0</v>
      </c>
      <c r="H962" s="5">
        <f t="shared" si="14"/>
        <v>2.9979081673928508E-2</v>
      </c>
    </row>
    <row r="963" spans="1:8" ht="13.5" x14ac:dyDescent="0.25">
      <c r="A963" s="1"/>
      <c r="B963" s="3">
        <v>43710</v>
      </c>
      <c r="C963" s="4">
        <v>9.1</v>
      </c>
      <c r="D963" s="4">
        <v>9.0817999999999994</v>
      </c>
      <c r="E963" s="4">
        <v>1</v>
      </c>
      <c r="F963" s="4">
        <v>9.1</v>
      </c>
      <c r="G963" s="4">
        <v>9.1</v>
      </c>
      <c r="H963" s="5">
        <f t="shared" si="14"/>
        <v>1.904152781050469E-2</v>
      </c>
    </row>
    <row r="964" spans="1:8" ht="13.5" x14ac:dyDescent="0.25">
      <c r="A964" s="1"/>
      <c r="B964" s="3">
        <v>43711</v>
      </c>
      <c r="C964" s="4">
        <v>9.1</v>
      </c>
      <c r="D964" s="4">
        <v>9.0817999999999994</v>
      </c>
      <c r="E964" s="4">
        <v>1000</v>
      </c>
      <c r="F964" s="4">
        <v>9.1</v>
      </c>
      <c r="G964" s="4">
        <v>9100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9.1</v>
      </c>
      <c r="D965" s="4">
        <v>9.0817999999999994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8.83</v>
      </c>
      <c r="D966" s="4">
        <v>8.8123000000000005</v>
      </c>
      <c r="E966" s="4">
        <v>20</v>
      </c>
      <c r="F966" s="4">
        <v>8.83</v>
      </c>
      <c r="G966" s="4">
        <v>176.6</v>
      </c>
      <c r="H966" s="5">
        <f t="shared" si="14"/>
        <v>-2.9674734083551608E-2</v>
      </c>
    </row>
    <row r="967" spans="1:8" ht="13.5" x14ac:dyDescent="0.25">
      <c r="A967" s="1"/>
      <c r="B967" s="3">
        <v>43714</v>
      </c>
      <c r="C967" s="4">
        <v>8.85</v>
      </c>
      <c r="D967" s="4">
        <v>8.8323</v>
      </c>
      <c r="E967" s="4">
        <v>1399</v>
      </c>
      <c r="F967" s="4">
        <v>8.8496000000000006</v>
      </c>
      <c r="G967" s="4">
        <v>12380.590399999999</v>
      </c>
      <c r="H967" s="5">
        <f t="shared" ref="H967:H1030" si="15">(D967-D966)/D966</f>
        <v>2.2695550537316675E-3</v>
      </c>
    </row>
    <row r="968" spans="1:8" ht="13.5" x14ac:dyDescent="0.25">
      <c r="A968" s="1"/>
      <c r="B968" s="3">
        <v>43717</v>
      </c>
      <c r="C968" s="4">
        <v>8.6</v>
      </c>
      <c r="D968" s="4">
        <v>8.5828000000000007</v>
      </c>
      <c r="E968" s="4">
        <v>995</v>
      </c>
      <c r="F968" s="4">
        <v>8.6130999999999993</v>
      </c>
      <c r="G968" s="4">
        <v>8570.0344999999998</v>
      </c>
      <c r="H968" s="5">
        <f t="shared" si="15"/>
        <v>-2.8248587570621399E-2</v>
      </c>
    </row>
    <row r="969" spans="1:8" ht="13.5" x14ac:dyDescent="0.25">
      <c r="A969" s="1"/>
      <c r="B969" s="3">
        <v>43718</v>
      </c>
      <c r="C969" s="4">
        <v>9.07</v>
      </c>
      <c r="D969" s="4">
        <v>9.0518999999999998</v>
      </c>
      <c r="E969" s="4">
        <v>117</v>
      </c>
      <c r="F969" s="4">
        <v>8.6884999999999994</v>
      </c>
      <c r="G969" s="4">
        <v>1016.5545</v>
      </c>
      <c r="H969" s="5">
        <f t="shared" si="15"/>
        <v>5.4655823274455791E-2</v>
      </c>
    </row>
    <row r="970" spans="1:8" ht="13.5" x14ac:dyDescent="0.25">
      <c r="A970" s="1"/>
      <c r="B970" s="3">
        <v>43719</v>
      </c>
      <c r="C970" s="4">
        <v>8.8000000000000007</v>
      </c>
      <c r="D970" s="4">
        <v>8.7824000000000009</v>
      </c>
      <c r="E970" s="4">
        <v>100</v>
      </c>
      <c r="F970" s="4">
        <v>8.8000000000000007</v>
      </c>
      <c r="G970" s="4">
        <v>880</v>
      </c>
      <c r="H970" s="5">
        <f t="shared" si="15"/>
        <v>-2.9772754891238189E-2</v>
      </c>
    </row>
    <row r="971" spans="1:8" ht="13.5" x14ac:dyDescent="0.25">
      <c r="A971" s="1"/>
      <c r="B971" s="3">
        <v>43720</v>
      </c>
      <c r="C971" s="4">
        <v>8.5399999999999991</v>
      </c>
      <c r="D971" s="4">
        <v>8.5228999999999999</v>
      </c>
      <c r="E971" s="4">
        <v>1729</v>
      </c>
      <c r="F971" s="4">
        <v>8.5701000000000001</v>
      </c>
      <c r="G971" s="4">
        <v>14817.7029</v>
      </c>
      <c r="H971" s="5">
        <f t="shared" si="15"/>
        <v>-2.9547731827291052E-2</v>
      </c>
    </row>
    <row r="972" spans="1:8" ht="13.5" x14ac:dyDescent="0.25">
      <c r="A972" s="1"/>
      <c r="B972" s="3">
        <v>43721</v>
      </c>
      <c r="C972" s="4">
        <v>8.5399999999999991</v>
      </c>
      <c r="D972" s="4">
        <v>8.5228999999999999</v>
      </c>
      <c r="E972" s="4">
        <v>300</v>
      </c>
      <c r="F972" s="4">
        <v>8.5417000000000005</v>
      </c>
      <c r="G972" s="4">
        <v>2562.5100000000002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8.8000000000000007</v>
      </c>
      <c r="D973" s="4">
        <v>8.7824000000000009</v>
      </c>
      <c r="E973" s="4">
        <v>2</v>
      </c>
      <c r="F973" s="4">
        <v>8.8000000000000007</v>
      </c>
      <c r="G973" s="4">
        <v>17.600000000000001</v>
      </c>
      <c r="H973" s="5">
        <f t="shared" si="15"/>
        <v>3.0447382933039335E-2</v>
      </c>
    </row>
    <row r="974" spans="1:8" ht="13.5" x14ac:dyDescent="0.25">
      <c r="A974" s="1"/>
      <c r="B974" s="3">
        <v>43725</v>
      </c>
      <c r="C974" s="4">
        <v>8.8000000000000007</v>
      </c>
      <c r="D974" s="4">
        <v>8.7824000000000009</v>
      </c>
      <c r="E974" s="4">
        <v>561</v>
      </c>
      <c r="F974" s="4">
        <v>8.8000000000000007</v>
      </c>
      <c r="G974" s="4">
        <v>4936.8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8.8000000000000007</v>
      </c>
      <c r="D975" s="4">
        <v>8.7824000000000009</v>
      </c>
      <c r="E975" s="4">
        <v>45</v>
      </c>
      <c r="F975" s="4">
        <v>8.8000000000000007</v>
      </c>
      <c r="G975" s="4">
        <v>396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8.8000000000000007</v>
      </c>
      <c r="D976" s="4">
        <v>8.7824000000000009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8.8000000000000007</v>
      </c>
      <c r="D977" s="4">
        <v>8.7824000000000009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8.8000000000000007</v>
      </c>
      <c r="D978" s="4">
        <v>8.7824000000000009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8.8000000000000007</v>
      </c>
      <c r="D979" s="4">
        <v>8.7824000000000009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8.5</v>
      </c>
      <c r="D980" s="4">
        <v>8.4830000000000005</v>
      </c>
      <c r="E980" s="4">
        <v>3</v>
      </c>
      <c r="F980" s="4">
        <v>8.5</v>
      </c>
      <c r="G980" s="4">
        <v>25.5</v>
      </c>
      <c r="H980" s="5">
        <f t="shared" si="15"/>
        <v>-3.4090909090909123E-2</v>
      </c>
    </row>
    <row r="981" spans="1:8" ht="13.5" x14ac:dyDescent="0.25">
      <c r="A981" s="1"/>
      <c r="B981" s="3">
        <v>43734</v>
      </c>
      <c r="C981" s="4">
        <v>8.7899999999999991</v>
      </c>
      <c r="D981" s="4">
        <v>8.7723999999999993</v>
      </c>
      <c r="E981" s="4">
        <v>34</v>
      </c>
      <c r="F981" s="4">
        <v>8.5399999999999991</v>
      </c>
      <c r="G981" s="4">
        <v>290.36</v>
      </c>
      <c r="H981" s="5">
        <f t="shared" si="15"/>
        <v>3.411528940233393E-2</v>
      </c>
    </row>
    <row r="982" spans="1:8" ht="13.5" x14ac:dyDescent="0.25">
      <c r="A982" s="1"/>
      <c r="B982" s="3">
        <v>43735</v>
      </c>
      <c r="C982" s="4">
        <v>8.8000000000000007</v>
      </c>
      <c r="D982" s="4">
        <v>8.7824000000000009</v>
      </c>
      <c r="E982" s="4">
        <v>200</v>
      </c>
      <c r="F982" s="4">
        <v>8.8000000000000007</v>
      </c>
      <c r="G982" s="4">
        <v>1760</v>
      </c>
      <c r="H982" s="5">
        <f t="shared" si="15"/>
        <v>1.1399388992751772E-3</v>
      </c>
    </row>
    <row r="983" spans="1:8" ht="13.5" x14ac:dyDescent="0.25">
      <c r="A983" s="1"/>
      <c r="B983" s="3">
        <v>43738</v>
      </c>
      <c r="C983" s="4">
        <v>8.8000000000000007</v>
      </c>
      <c r="D983" s="4">
        <v>8.7824000000000009</v>
      </c>
      <c r="E983" s="4">
        <v>120</v>
      </c>
      <c r="F983" s="4">
        <v>8.8000000000000007</v>
      </c>
      <c r="G983" s="4">
        <v>1056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8.8000000000000007</v>
      </c>
      <c r="D984" s="4">
        <v>8.7824000000000009</v>
      </c>
      <c r="E984" s="4">
        <v>820</v>
      </c>
      <c r="F984" s="4">
        <v>8.8000000000000007</v>
      </c>
      <c r="G984" s="4">
        <v>7216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8.8000000000000007</v>
      </c>
      <c r="D985" s="4">
        <v>8.7824000000000009</v>
      </c>
      <c r="E985" s="4">
        <v>304</v>
      </c>
      <c r="F985" s="4">
        <v>8.7888999999999999</v>
      </c>
      <c r="G985" s="4">
        <v>2671.8256000000001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8.8000000000000007</v>
      </c>
      <c r="D986" s="4">
        <v>8.7824000000000009</v>
      </c>
      <c r="E986" s="4">
        <v>101</v>
      </c>
      <c r="F986" s="4">
        <v>8.8000000000000007</v>
      </c>
      <c r="G986" s="4">
        <v>888.8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9</v>
      </c>
      <c r="D987" s="4">
        <v>8.9819999999999993</v>
      </c>
      <c r="E987" s="4">
        <v>15</v>
      </c>
      <c r="F987" s="4">
        <v>9</v>
      </c>
      <c r="G987" s="4">
        <v>135</v>
      </c>
      <c r="H987" s="5">
        <f t="shared" si="15"/>
        <v>2.2727272727272547E-2</v>
      </c>
    </row>
    <row r="988" spans="1:8" ht="13.5" x14ac:dyDescent="0.25">
      <c r="A988" s="1"/>
      <c r="B988" s="3">
        <v>43745</v>
      </c>
      <c r="C988" s="4">
        <v>9</v>
      </c>
      <c r="D988" s="4">
        <v>8.9819999999999993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8.7200000000000006</v>
      </c>
      <c r="D989" s="4">
        <v>8.7026000000000003</v>
      </c>
      <c r="E989" s="4">
        <v>120</v>
      </c>
      <c r="F989" s="4">
        <v>8.7283000000000008</v>
      </c>
      <c r="G989" s="4">
        <v>1047.396</v>
      </c>
      <c r="H989" s="5">
        <f t="shared" si="15"/>
        <v>-3.1106657759964261E-2</v>
      </c>
    </row>
    <row r="990" spans="1:8" ht="13.5" x14ac:dyDescent="0.25">
      <c r="A990" s="1"/>
      <c r="B990" s="3">
        <v>43747</v>
      </c>
      <c r="C990" s="4">
        <v>8.7100000000000009</v>
      </c>
      <c r="D990" s="4">
        <v>8.6926000000000005</v>
      </c>
      <c r="E990" s="4">
        <v>370</v>
      </c>
      <c r="F990" s="4">
        <v>8.7173999999999996</v>
      </c>
      <c r="G990" s="4">
        <v>3225.4380000000001</v>
      </c>
      <c r="H990" s="5">
        <f t="shared" si="15"/>
        <v>-1.1490818835749991E-3</v>
      </c>
    </row>
    <row r="991" spans="1:8" ht="13.5" x14ac:dyDescent="0.25">
      <c r="A991" s="1"/>
      <c r="B991" s="3">
        <v>43748</v>
      </c>
      <c r="C991" s="4">
        <v>8.7200000000000006</v>
      </c>
      <c r="D991" s="4">
        <v>8.7026000000000003</v>
      </c>
      <c r="E991" s="4">
        <v>100</v>
      </c>
      <c r="F991" s="4">
        <v>8.7200000000000006</v>
      </c>
      <c r="G991" s="4">
        <v>872</v>
      </c>
      <c r="H991" s="5">
        <f t="shared" si="15"/>
        <v>1.1504037917308728E-3</v>
      </c>
    </row>
    <row r="992" spans="1:8" ht="13.5" x14ac:dyDescent="0.25">
      <c r="A992" s="1"/>
      <c r="B992" s="3">
        <v>43749</v>
      </c>
      <c r="C992" s="4">
        <v>8.7200000000000006</v>
      </c>
      <c r="D992" s="4">
        <v>8.7026000000000003</v>
      </c>
      <c r="E992" s="4">
        <v>5</v>
      </c>
      <c r="F992" s="4">
        <v>8.7759999999999998</v>
      </c>
      <c r="G992" s="4">
        <v>43.88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8.98</v>
      </c>
      <c r="D993" s="4">
        <v>8.9619999999999997</v>
      </c>
      <c r="E993" s="4">
        <v>0</v>
      </c>
      <c r="F993" s="4">
        <v>0</v>
      </c>
      <c r="G993" s="4">
        <v>0</v>
      </c>
      <c r="H993" s="5">
        <f t="shared" si="15"/>
        <v>2.9807184059936043E-2</v>
      </c>
    </row>
    <row r="994" spans="1:8" ht="13.5" x14ac:dyDescent="0.25">
      <c r="A994" s="1"/>
      <c r="B994" s="3">
        <v>43754</v>
      </c>
      <c r="C994" s="4">
        <v>9</v>
      </c>
      <c r="D994" s="4">
        <v>8.9819999999999993</v>
      </c>
      <c r="E994" s="4">
        <v>70</v>
      </c>
      <c r="F994" s="4">
        <v>9</v>
      </c>
      <c r="G994" s="4">
        <v>630</v>
      </c>
      <c r="H994" s="5">
        <f t="shared" si="15"/>
        <v>2.2316447221601846E-3</v>
      </c>
    </row>
    <row r="995" spans="1:8" ht="13.5" x14ac:dyDescent="0.25">
      <c r="A995" s="1"/>
      <c r="B995" s="3">
        <v>43755</v>
      </c>
      <c r="C995" s="4">
        <v>8.74</v>
      </c>
      <c r="D995" s="4">
        <v>8.7225000000000001</v>
      </c>
      <c r="E995" s="4">
        <v>100</v>
      </c>
      <c r="F995" s="4">
        <v>8.74</v>
      </c>
      <c r="G995" s="4">
        <v>874</v>
      </c>
      <c r="H995" s="5">
        <f t="shared" si="15"/>
        <v>-2.889111556446217E-2</v>
      </c>
    </row>
    <row r="996" spans="1:8" ht="13.5" x14ac:dyDescent="0.25">
      <c r="A996" s="1"/>
      <c r="B996" s="3">
        <v>43756</v>
      </c>
      <c r="C996" s="4">
        <v>8.74</v>
      </c>
      <c r="D996" s="4">
        <v>8.7225000000000001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8.74</v>
      </c>
      <c r="D997" s="4">
        <v>8.7225000000000001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9</v>
      </c>
      <c r="D998" s="4">
        <v>8.9819999999999993</v>
      </c>
      <c r="E998" s="4">
        <v>1</v>
      </c>
      <c r="F998" s="4">
        <v>9</v>
      </c>
      <c r="G998" s="4">
        <v>9</v>
      </c>
      <c r="H998" s="5">
        <f t="shared" si="15"/>
        <v>2.9750644883920801E-2</v>
      </c>
    </row>
    <row r="999" spans="1:8" ht="13.5" x14ac:dyDescent="0.25">
      <c r="A999" s="1"/>
      <c r="B999" s="3">
        <v>43761</v>
      </c>
      <c r="C999" s="4">
        <v>9</v>
      </c>
      <c r="D999" s="4">
        <v>8.9819999999999993</v>
      </c>
      <c r="E999" s="4">
        <v>348</v>
      </c>
      <c r="F999" s="4">
        <v>9</v>
      </c>
      <c r="G999" s="4">
        <v>3132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9.08</v>
      </c>
      <c r="D1000" s="4">
        <v>9.0617999999999999</v>
      </c>
      <c r="E1000" s="4">
        <v>1</v>
      </c>
      <c r="F1000" s="4">
        <v>9.08</v>
      </c>
      <c r="G1000" s="4">
        <v>9.08</v>
      </c>
      <c r="H1000" s="5">
        <f t="shared" si="15"/>
        <v>8.8844355377422114E-3</v>
      </c>
    </row>
    <row r="1001" spans="1:8" ht="13.5" x14ac:dyDescent="0.25">
      <c r="A1001" s="1"/>
      <c r="B1001" s="3">
        <v>43763</v>
      </c>
      <c r="C1001" s="4">
        <v>9.08</v>
      </c>
      <c r="D1001" s="4">
        <v>9.0617999999999999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8.81</v>
      </c>
      <c r="D1002" s="4">
        <v>8.7924000000000007</v>
      </c>
      <c r="E1002" s="4">
        <v>24</v>
      </c>
      <c r="F1002" s="4">
        <v>8.81</v>
      </c>
      <c r="G1002" s="4">
        <v>211.44</v>
      </c>
      <c r="H1002" s="5">
        <f t="shared" si="15"/>
        <v>-2.9729192875587545E-2</v>
      </c>
    </row>
    <row r="1003" spans="1:8" ht="13.5" x14ac:dyDescent="0.25">
      <c r="A1003" s="1"/>
      <c r="B1003" s="3">
        <v>43767</v>
      </c>
      <c r="C1003" s="4">
        <v>8.56</v>
      </c>
      <c r="D1003" s="4">
        <v>8.5428999999999995</v>
      </c>
      <c r="E1003" s="4">
        <v>504</v>
      </c>
      <c r="F1003" s="4">
        <v>8.56</v>
      </c>
      <c r="G1003" s="4">
        <v>4314.24</v>
      </c>
      <c r="H1003" s="5">
        <f t="shared" si="15"/>
        <v>-2.8376779946317404E-2</v>
      </c>
    </row>
    <row r="1004" spans="1:8" ht="13.5" x14ac:dyDescent="0.25">
      <c r="A1004" s="1"/>
      <c r="B1004" s="3">
        <v>43768</v>
      </c>
      <c r="C1004" s="4">
        <v>8.4</v>
      </c>
      <c r="D1004" s="4">
        <v>8.3832000000000004</v>
      </c>
      <c r="E1004" s="4">
        <v>7</v>
      </c>
      <c r="F1004" s="4">
        <v>8.4586000000000006</v>
      </c>
      <c r="G1004" s="4">
        <v>59.2102</v>
      </c>
      <c r="H1004" s="5">
        <f t="shared" si="15"/>
        <v>-1.8693886151072713E-2</v>
      </c>
    </row>
    <row r="1005" spans="1:8" ht="13.5" x14ac:dyDescent="0.25">
      <c r="A1005" s="1"/>
      <c r="B1005" s="3">
        <v>43769</v>
      </c>
      <c r="C1005" s="4">
        <v>8.4</v>
      </c>
      <c r="D1005" s="4">
        <v>8.3832000000000004</v>
      </c>
      <c r="E1005" s="4">
        <v>101</v>
      </c>
      <c r="F1005" s="4">
        <v>8.4024999999999999</v>
      </c>
      <c r="G1005" s="4">
        <v>848.65250000000003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8.4</v>
      </c>
      <c r="D1006" s="4">
        <v>8.3832000000000004</v>
      </c>
      <c r="E1006" s="4">
        <v>0</v>
      </c>
      <c r="F1006" s="4">
        <v>0</v>
      </c>
      <c r="G1006" s="4">
        <v>0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8.4</v>
      </c>
      <c r="D1007" s="4">
        <v>8.3832000000000004</v>
      </c>
      <c r="E1007" s="4">
        <v>2000</v>
      </c>
      <c r="F1007" s="4">
        <v>8.4</v>
      </c>
      <c r="G1007" s="4">
        <v>16800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8.77</v>
      </c>
      <c r="D1008" s="4">
        <v>8.7524999999999995</v>
      </c>
      <c r="E1008" s="4">
        <v>0</v>
      </c>
      <c r="F1008" s="4">
        <v>0</v>
      </c>
      <c r="G1008" s="4">
        <v>0</v>
      </c>
      <c r="H1008" s="5">
        <f t="shared" si="15"/>
        <v>4.4052390495276157E-2</v>
      </c>
    </row>
    <row r="1009" spans="1:8" ht="13.5" x14ac:dyDescent="0.25">
      <c r="A1009" s="1"/>
      <c r="B1009" s="3">
        <v>43775</v>
      </c>
      <c r="C1009" s="4">
        <v>8.77</v>
      </c>
      <c r="D1009" s="4">
        <v>8.7524999999999995</v>
      </c>
      <c r="E1009" s="4">
        <v>1</v>
      </c>
      <c r="F1009" s="4">
        <v>8.77</v>
      </c>
      <c r="G1009" s="4">
        <v>8.77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8.51</v>
      </c>
      <c r="D1010" s="4">
        <v>8.4930000000000003</v>
      </c>
      <c r="E1010" s="4">
        <v>0</v>
      </c>
      <c r="F1010" s="4">
        <v>0</v>
      </c>
      <c r="G1010" s="4">
        <v>0</v>
      </c>
      <c r="H1010" s="5">
        <f t="shared" si="15"/>
        <v>-2.964867180805475E-2</v>
      </c>
    </row>
    <row r="1011" spans="1:8" ht="13.5" x14ac:dyDescent="0.25">
      <c r="A1011" s="1"/>
      <c r="B1011" s="3">
        <v>43777</v>
      </c>
      <c r="C1011" s="4">
        <v>8.68</v>
      </c>
      <c r="D1011" s="4">
        <v>8.6625999999999994</v>
      </c>
      <c r="E1011" s="4">
        <v>103</v>
      </c>
      <c r="F1011" s="4">
        <v>8.31</v>
      </c>
      <c r="G1011" s="4">
        <v>855.93</v>
      </c>
      <c r="H1011" s="5">
        <f t="shared" si="15"/>
        <v>1.9969386553632295E-2</v>
      </c>
    </row>
    <row r="1012" spans="1:8" ht="13.5" x14ac:dyDescent="0.25">
      <c r="A1012" s="1"/>
      <c r="B1012" s="3">
        <v>43780</v>
      </c>
      <c r="C1012" s="4">
        <v>8.31</v>
      </c>
      <c r="D1012" s="4">
        <v>8.2934000000000001</v>
      </c>
      <c r="E1012" s="4">
        <v>33</v>
      </c>
      <c r="F1012" s="4">
        <v>8.31</v>
      </c>
      <c r="G1012" s="4">
        <v>274.23</v>
      </c>
      <c r="H1012" s="5">
        <f t="shared" si="15"/>
        <v>-4.2619998614734526E-2</v>
      </c>
    </row>
    <row r="1013" spans="1:8" ht="13.5" x14ac:dyDescent="0.25">
      <c r="A1013" s="1"/>
      <c r="B1013" s="3">
        <v>43781</v>
      </c>
      <c r="C1013" s="4">
        <v>8.5500000000000007</v>
      </c>
      <c r="D1013" s="4">
        <v>8.5328999999999997</v>
      </c>
      <c r="E1013" s="4">
        <v>78</v>
      </c>
      <c r="F1013" s="4">
        <v>8.31</v>
      </c>
      <c r="G1013" s="4">
        <v>648.17999999999995</v>
      </c>
      <c r="H1013" s="5">
        <f t="shared" si="15"/>
        <v>2.8878385221983698E-2</v>
      </c>
    </row>
    <row r="1014" spans="1:8" ht="13.5" x14ac:dyDescent="0.25">
      <c r="A1014" s="1"/>
      <c r="B1014" s="3">
        <v>43782</v>
      </c>
      <c r="C1014" s="4">
        <v>8.67</v>
      </c>
      <c r="D1014" s="4">
        <v>8.6526999999999994</v>
      </c>
      <c r="E1014" s="4">
        <v>11</v>
      </c>
      <c r="F1014" s="4">
        <v>8.3000000000000007</v>
      </c>
      <c r="G1014" s="4">
        <v>91.3</v>
      </c>
      <c r="H1014" s="5">
        <f t="shared" si="15"/>
        <v>1.4039775457347407E-2</v>
      </c>
    </row>
    <row r="1015" spans="1:8" ht="13.5" x14ac:dyDescent="0.25">
      <c r="A1015" s="1"/>
      <c r="B1015" s="3">
        <v>43783</v>
      </c>
      <c r="C1015" s="4">
        <v>8.75</v>
      </c>
      <c r="D1015" s="4">
        <v>8.7324999999999999</v>
      </c>
      <c r="E1015" s="4">
        <v>1</v>
      </c>
      <c r="F1015" s="4">
        <v>8.75</v>
      </c>
      <c r="G1015" s="4">
        <v>8.75</v>
      </c>
      <c r="H1015" s="5">
        <f t="shared" si="15"/>
        <v>9.2225548094814966E-3</v>
      </c>
    </row>
    <row r="1016" spans="1:8" ht="13.5" x14ac:dyDescent="0.25">
      <c r="A1016" s="1"/>
      <c r="B1016" s="3">
        <v>43784</v>
      </c>
      <c r="C1016" s="4">
        <v>8.68</v>
      </c>
      <c r="D1016" s="4">
        <v>8.6625999999999994</v>
      </c>
      <c r="E1016" s="4">
        <v>200</v>
      </c>
      <c r="F1016" s="4">
        <v>8.69</v>
      </c>
      <c r="G1016" s="4">
        <v>1738</v>
      </c>
      <c r="H1016" s="5">
        <f t="shared" si="15"/>
        <v>-8.0045805897509901E-3</v>
      </c>
    </row>
    <row r="1017" spans="1:8" ht="13.5" x14ac:dyDescent="0.25">
      <c r="A1017" s="1"/>
      <c r="B1017" s="3">
        <v>43787</v>
      </c>
      <c r="C1017" s="4">
        <v>8.75</v>
      </c>
      <c r="D1017" s="4">
        <v>8.7324999999999999</v>
      </c>
      <c r="E1017" s="4">
        <v>1</v>
      </c>
      <c r="F1017" s="4">
        <v>8.75</v>
      </c>
      <c r="G1017" s="4">
        <v>8.75</v>
      </c>
      <c r="H1017" s="5">
        <f t="shared" si="15"/>
        <v>8.0691709186618936E-3</v>
      </c>
    </row>
    <row r="1018" spans="1:8" ht="13.5" x14ac:dyDescent="0.25">
      <c r="A1018" s="1"/>
      <c r="B1018" s="3">
        <v>43788</v>
      </c>
      <c r="C1018" s="4">
        <v>8.75</v>
      </c>
      <c r="D1018" s="4">
        <v>8.7324999999999999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8.5</v>
      </c>
      <c r="D1019" s="4">
        <v>8.4830000000000005</v>
      </c>
      <c r="E1019" s="4">
        <v>4</v>
      </c>
      <c r="F1019" s="4">
        <v>8.3949999999999996</v>
      </c>
      <c r="G1019" s="4">
        <v>33.58</v>
      </c>
      <c r="H1019" s="5">
        <f t="shared" si="15"/>
        <v>-2.8571428571428501E-2</v>
      </c>
    </row>
    <row r="1020" spans="1:8" ht="13.5" x14ac:dyDescent="0.25">
      <c r="A1020" s="1"/>
      <c r="B1020" s="3">
        <v>43790</v>
      </c>
      <c r="C1020" s="4">
        <v>8.5</v>
      </c>
      <c r="D1020" s="4">
        <v>8.4830000000000005</v>
      </c>
      <c r="E1020" s="4">
        <v>4</v>
      </c>
      <c r="F1020" s="4">
        <v>8.5</v>
      </c>
      <c r="G1020" s="4">
        <v>34</v>
      </c>
      <c r="H1020" s="5">
        <f t="shared" si="15"/>
        <v>0</v>
      </c>
    </row>
    <row r="1021" spans="1:8" ht="13.5" x14ac:dyDescent="0.25">
      <c r="A1021" s="1"/>
      <c r="B1021" s="3">
        <v>43791</v>
      </c>
      <c r="C1021" s="4">
        <v>8.5</v>
      </c>
      <c r="D1021" s="4">
        <v>8.4830000000000005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8.5</v>
      </c>
      <c r="D1022" s="4">
        <v>8.4830000000000005</v>
      </c>
      <c r="E1022" s="4">
        <v>0</v>
      </c>
      <c r="F1022" s="4">
        <v>0</v>
      </c>
      <c r="G1022" s="4">
        <v>0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8.5</v>
      </c>
      <c r="D1023" s="4">
        <v>8.4830000000000005</v>
      </c>
      <c r="E1023" s="4">
        <v>0</v>
      </c>
      <c r="F1023" s="4">
        <v>0</v>
      </c>
      <c r="G1023" s="4">
        <v>0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8.4</v>
      </c>
      <c r="D1024" s="4">
        <v>8.3832000000000004</v>
      </c>
      <c r="E1024" s="4">
        <v>54</v>
      </c>
      <c r="F1024" s="4">
        <v>8.4</v>
      </c>
      <c r="G1024" s="4">
        <v>453.6</v>
      </c>
      <c r="H1024" s="5">
        <f t="shared" si="15"/>
        <v>-1.1764705882352953E-2</v>
      </c>
    </row>
    <row r="1025" spans="1:8" ht="13.5" x14ac:dyDescent="0.25">
      <c r="A1025" s="1"/>
      <c r="B1025" s="3">
        <v>43797</v>
      </c>
      <c r="C1025" s="4">
        <v>8.4</v>
      </c>
      <c r="D1025" s="4">
        <v>8.3832000000000004</v>
      </c>
      <c r="E1025" s="4">
        <v>0</v>
      </c>
      <c r="F1025" s="4">
        <v>0</v>
      </c>
      <c r="G1025" s="4">
        <v>0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8.49</v>
      </c>
      <c r="D1026" s="4">
        <v>8.4730000000000008</v>
      </c>
      <c r="E1026" s="4">
        <v>500</v>
      </c>
      <c r="F1026" s="4">
        <v>8.25</v>
      </c>
      <c r="G1026" s="4">
        <v>4125</v>
      </c>
      <c r="H1026" s="5">
        <f t="shared" si="15"/>
        <v>1.0711899990457142E-2</v>
      </c>
    </row>
    <row r="1027" spans="1:8" ht="13.5" x14ac:dyDescent="0.25">
      <c r="A1027" s="1"/>
      <c r="B1027" s="3">
        <v>43801</v>
      </c>
      <c r="C1027" s="4">
        <v>8.5500000000000007</v>
      </c>
      <c r="D1027" s="4">
        <v>8.5328999999999997</v>
      </c>
      <c r="E1027" s="4">
        <v>1</v>
      </c>
      <c r="F1027" s="4">
        <v>8.5500000000000007</v>
      </c>
      <c r="G1027" s="4">
        <v>8.5500000000000007</v>
      </c>
      <c r="H1027" s="5">
        <f t="shared" si="15"/>
        <v>7.0695149297768144E-3</v>
      </c>
    </row>
    <row r="1028" spans="1:8" ht="13.5" x14ac:dyDescent="0.25">
      <c r="A1028" s="1"/>
      <c r="B1028" s="3">
        <v>43802</v>
      </c>
      <c r="C1028" s="4">
        <v>8.5500000000000007</v>
      </c>
      <c r="D1028" s="4">
        <v>8.5328999999999997</v>
      </c>
      <c r="E1028" s="4">
        <v>0</v>
      </c>
      <c r="F1028" s="4">
        <v>0</v>
      </c>
      <c r="G1028" s="4">
        <v>0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8.4</v>
      </c>
      <c r="D1029" s="4">
        <v>8.3832000000000004</v>
      </c>
      <c r="E1029" s="4">
        <v>138</v>
      </c>
      <c r="F1029" s="4">
        <v>8.4</v>
      </c>
      <c r="G1029" s="4">
        <v>1159.2</v>
      </c>
      <c r="H1029" s="5">
        <f t="shared" si="15"/>
        <v>-1.7543859649122723E-2</v>
      </c>
    </row>
    <row r="1030" spans="1:8" ht="13.5" x14ac:dyDescent="0.25">
      <c r="A1030" s="1"/>
      <c r="B1030" s="3">
        <v>43804</v>
      </c>
      <c r="C1030" s="4">
        <v>8.25</v>
      </c>
      <c r="D1030" s="4">
        <v>8.2334999999999994</v>
      </c>
      <c r="E1030" s="4">
        <v>615</v>
      </c>
      <c r="F1030" s="4">
        <v>8.25</v>
      </c>
      <c r="G1030" s="4">
        <v>5073.75</v>
      </c>
      <c r="H1030" s="5">
        <f t="shared" si="15"/>
        <v>-1.7857142857142981E-2</v>
      </c>
    </row>
    <row r="1031" spans="1:8" ht="13.5" x14ac:dyDescent="0.25">
      <c r="A1031" s="1"/>
      <c r="B1031" s="3">
        <v>43805</v>
      </c>
      <c r="C1031" s="4">
        <v>8.5500000000000007</v>
      </c>
      <c r="D1031" s="4">
        <v>8.5328999999999997</v>
      </c>
      <c r="E1031" s="4">
        <v>4745</v>
      </c>
      <c r="F1031" s="4">
        <v>8.4947999999999997</v>
      </c>
      <c r="G1031" s="4">
        <v>40307.826000000001</v>
      </c>
      <c r="H1031" s="5">
        <f t="shared" ref="H1031:H1094" si="16">(D1031-D1030)/D1030</f>
        <v>3.6363636363636404E-2</v>
      </c>
    </row>
    <row r="1032" spans="1:8" ht="13.5" x14ac:dyDescent="0.25">
      <c r="A1032" s="1"/>
      <c r="B1032" s="3">
        <v>43808</v>
      </c>
      <c r="C1032" s="4">
        <v>8.94</v>
      </c>
      <c r="D1032" s="4">
        <v>8.9221000000000004</v>
      </c>
      <c r="E1032" s="4">
        <v>786</v>
      </c>
      <c r="F1032" s="4">
        <v>8.8167000000000009</v>
      </c>
      <c r="G1032" s="4">
        <v>6929.9261999999999</v>
      </c>
      <c r="H1032" s="5">
        <f t="shared" si="16"/>
        <v>4.561169121869478E-2</v>
      </c>
    </row>
    <row r="1033" spans="1:8" ht="13.5" x14ac:dyDescent="0.25">
      <c r="A1033" s="1"/>
      <c r="B1033" s="3">
        <v>43809</v>
      </c>
      <c r="C1033" s="4">
        <v>9</v>
      </c>
      <c r="D1033" s="4">
        <v>8.9819999999999993</v>
      </c>
      <c r="E1033" s="4">
        <v>5553</v>
      </c>
      <c r="F1033" s="4">
        <v>9</v>
      </c>
      <c r="G1033" s="4">
        <v>49977</v>
      </c>
      <c r="H1033" s="5">
        <f t="shared" si="16"/>
        <v>6.7136660651639134E-3</v>
      </c>
    </row>
    <row r="1034" spans="1:8" ht="13.5" x14ac:dyDescent="0.25">
      <c r="A1034" s="1"/>
      <c r="B1034" s="3">
        <v>43810</v>
      </c>
      <c r="C1034" s="4">
        <v>9.49</v>
      </c>
      <c r="D1034" s="4">
        <v>9.4710000000000001</v>
      </c>
      <c r="E1034" s="4">
        <v>2395</v>
      </c>
      <c r="F1034" s="4">
        <v>9.4920000000000009</v>
      </c>
      <c r="G1034" s="4">
        <v>22733.34</v>
      </c>
      <c r="H1034" s="5">
        <f t="shared" si="16"/>
        <v>5.4442217768871162E-2</v>
      </c>
    </row>
    <row r="1035" spans="1:8" ht="13.5" x14ac:dyDescent="0.25">
      <c r="A1035" s="1"/>
      <c r="B1035" s="3">
        <v>43811</v>
      </c>
      <c r="C1035" s="4">
        <v>9.4</v>
      </c>
      <c r="D1035" s="4">
        <v>9.3811999999999998</v>
      </c>
      <c r="E1035" s="4">
        <v>10200</v>
      </c>
      <c r="F1035" s="4">
        <v>9.4204000000000008</v>
      </c>
      <c r="G1035" s="4">
        <v>96088.08</v>
      </c>
      <c r="H1035" s="5">
        <f t="shared" si="16"/>
        <v>-9.4815753352339056E-3</v>
      </c>
    </row>
    <row r="1036" spans="1:8" ht="13.5" x14ac:dyDescent="0.25">
      <c r="A1036" s="1"/>
      <c r="B1036" s="3">
        <v>43812</v>
      </c>
      <c r="C1036" s="4">
        <v>9.3699999999999992</v>
      </c>
      <c r="D1036" s="4">
        <v>9.3513000000000002</v>
      </c>
      <c r="E1036" s="4">
        <v>7850</v>
      </c>
      <c r="F1036" s="4">
        <v>9.3879999999999999</v>
      </c>
      <c r="G1036" s="4">
        <v>73695.8</v>
      </c>
      <c r="H1036" s="5">
        <f t="shared" si="16"/>
        <v>-3.1872255148594629E-3</v>
      </c>
    </row>
    <row r="1037" spans="1:8" ht="13.5" x14ac:dyDescent="0.25">
      <c r="A1037" s="1"/>
      <c r="B1037" s="3">
        <v>43815</v>
      </c>
      <c r="C1037" s="4">
        <v>9.36</v>
      </c>
      <c r="D1037" s="4">
        <v>9.3413000000000004</v>
      </c>
      <c r="E1037" s="4">
        <v>100</v>
      </c>
      <c r="F1037" s="4">
        <v>9.3614999999999995</v>
      </c>
      <c r="G1037" s="4">
        <v>936.15</v>
      </c>
      <c r="H1037" s="5">
        <f t="shared" si="16"/>
        <v>-1.0693700341128812E-3</v>
      </c>
    </row>
    <row r="1038" spans="1:8" ht="13.5" x14ac:dyDescent="0.25">
      <c r="A1038" s="1"/>
      <c r="B1038" s="3">
        <v>43816</v>
      </c>
      <c r="C1038" s="4">
        <v>9.36</v>
      </c>
      <c r="D1038" s="4">
        <v>9.3413000000000004</v>
      </c>
      <c r="E1038" s="4">
        <v>0</v>
      </c>
      <c r="F1038" s="4">
        <v>0</v>
      </c>
      <c r="G1038" s="4">
        <v>0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9.07</v>
      </c>
      <c r="D1039" s="4">
        <v>9.0518999999999998</v>
      </c>
      <c r="E1039" s="4">
        <v>3177</v>
      </c>
      <c r="F1039" s="4">
        <v>9.0793999999999997</v>
      </c>
      <c r="G1039" s="4">
        <v>28845.253799999999</v>
      </c>
      <c r="H1039" s="5">
        <f t="shared" si="16"/>
        <v>-3.0980698617965437E-2</v>
      </c>
    </row>
    <row r="1040" spans="1:8" ht="13.5" x14ac:dyDescent="0.25">
      <c r="A1040" s="1"/>
      <c r="B1040" s="3">
        <v>43818</v>
      </c>
      <c r="C1040" s="4">
        <v>9.07</v>
      </c>
      <c r="D1040" s="4">
        <v>9.0518999999999998</v>
      </c>
      <c r="E1040" s="4">
        <v>5360</v>
      </c>
      <c r="F1040" s="4">
        <v>9.07</v>
      </c>
      <c r="G1040" s="4">
        <v>48615.199999999997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9.3000000000000007</v>
      </c>
      <c r="D1041" s="4">
        <v>9.2813999999999997</v>
      </c>
      <c r="E1041" s="4">
        <v>834</v>
      </c>
      <c r="F1041" s="4">
        <v>9.2942999999999998</v>
      </c>
      <c r="G1041" s="4">
        <v>7751.4462000000003</v>
      </c>
      <c r="H1041" s="5">
        <f t="shared" si="16"/>
        <v>2.5353793126304956E-2</v>
      </c>
    </row>
    <row r="1042" spans="1:8" ht="13.5" x14ac:dyDescent="0.25">
      <c r="A1042" s="1"/>
      <c r="B1042" s="3">
        <v>43822</v>
      </c>
      <c r="C1042" s="4">
        <v>9.0299999999999994</v>
      </c>
      <c r="D1042" s="4">
        <v>9.0119000000000007</v>
      </c>
      <c r="E1042" s="4">
        <v>2600</v>
      </c>
      <c r="F1042" s="4">
        <v>9.0299999999999994</v>
      </c>
      <c r="G1042" s="4">
        <v>23478</v>
      </c>
      <c r="H1042" s="5">
        <f t="shared" si="16"/>
        <v>-2.9036567759174153E-2</v>
      </c>
    </row>
    <row r="1043" spans="1:8" ht="13.5" x14ac:dyDescent="0.25">
      <c r="A1043" s="1"/>
      <c r="B1043" s="3">
        <v>43823</v>
      </c>
      <c r="C1043" s="4">
        <v>9.0299999999999994</v>
      </c>
      <c r="D1043" s="4">
        <v>9.0119000000000007</v>
      </c>
      <c r="E1043" s="4">
        <v>1340</v>
      </c>
      <c r="F1043" s="4">
        <v>9.0299999999999994</v>
      </c>
      <c r="G1043" s="4">
        <v>12100.2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9.07</v>
      </c>
      <c r="D1044" s="4">
        <v>9.0518999999999998</v>
      </c>
      <c r="E1044" s="4">
        <v>4519</v>
      </c>
      <c r="F1044" s="4">
        <v>9.1822999999999997</v>
      </c>
      <c r="G1044" s="4">
        <v>41494.813699999999</v>
      </c>
      <c r="H1044" s="5">
        <f t="shared" si="16"/>
        <v>4.4385756610702673E-3</v>
      </c>
    </row>
    <row r="1045" spans="1:8" ht="13.5" x14ac:dyDescent="0.25">
      <c r="A1045" s="1"/>
      <c r="B1045" s="3">
        <v>43825</v>
      </c>
      <c r="C1045" s="4">
        <v>9.23</v>
      </c>
      <c r="D1045" s="4">
        <v>9.2114999999999991</v>
      </c>
      <c r="E1045" s="4">
        <v>4205</v>
      </c>
      <c r="F1045" s="4">
        <v>9.1087000000000007</v>
      </c>
      <c r="G1045" s="4">
        <v>38302.083500000001</v>
      </c>
      <c r="H1045" s="5">
        <f t="shared" si="16"/>
        <v>1.7631657442083906E-2</v>
      </c>
    </row>
    <row r="1046" spans="1:8" ht="13.5" x14ac:dyDescent="0.25">
      <c r="A1046" s="1"/>
      <c r="B1046" s="3">
        <v>43826</v>
      </c>
      <c r="C1046" s="4">
        <v>9.0399999999999991</v>
      </c>
      <c r="D1046" s="4">
        <v>9.0219000000000005</v>
      </c>
      <c r="E1046" s="4">
        <v>1220</v>
      </c>
      <c r="F1046" s="4">
        <v>9.2112999999999996</v>
      </c>
      <c r="G1046" s="4">
        <v>11237.786</v>
      </c>
      <c r="H1046" s="5">
        <f t="shared" si="16"/>
        <v>-2.0582966943494402E-2</v>
      </c>
    </row>
    <row r="1047" spans="1:8" ht="13.5" x14ac:dyDescent="0.25">
      <c r="A1047" s="1"/>
      <c r="B1047" s="3">
        <v>43829</v>
      </c>
      <c r="C1047" s="4">
        <v>9.23</v>
      </c>
      <c r="D1047" s="4">
        <v>9.2114999999999991</v>
      </c>
      <c r="E1047" s="4">
        <v>170</v>
      </c>
      <c r="F1047" s="4">
        <v>9.23</v>
      </c>
      <c r="G1047" s="4">
        <v>1569.1</v>
      </c>
      <c r="H1047" s="5">
        <f t="shared" si="16"/>
        <v>2.101552887972585E-2</v>
      </c>
    </row>
    <row r="1048" spans="1:8" ht="13.5" x14ac:dyDescent="0.25">
      <c r="A1048" s="1"/>
      <c r="B1048" s="3">
        <v>43830</v>
      </c>
      <c r="C1048" s="4">
        <v>9.23</v>
      </c>
      <c r="D1048" s="4">
        <v>9.2114999999999991</v>
      </c>
      <c r="E1048" s="4">
        <v>0</v>
      </c>
      <c r="F1048" s="4">
        <v>0</v>
      </c>
      <c r="G1048" s="4">
        <v>0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9.07</v>
      </c>
      <c r="D1049" s="4">
        <v>9.0518999999999998</v>
      </c>
      <c r="E1049" s="4">
        <v>50</v>
      </c>
      <c r="F1049" s="4">
        <v>9.49</v>
      </c>
      <c r="G1049" s="4">
        <v>474.5</v>
      </c>
      <c r="H1049" s="5">
        <f t="shared" si="16"/>
        <v>-1.7326168376485838E-2</v>
      </c>
    </row>
    <row r="1050" spans="1:8" ht="13.5" x14ac:dyDescent="0.25">
      <c r="A1050" s="1"/>
      <c r="B1050" s="3">
        <v>43833</v>
      </c>
      <c r="C1050" s="4">
        <v>9.0299999999999994</v>
      </c>
      <c r="D1050" s="4">
        <v>9.0119000000000007</v>
      </c>
      <c r="E1050" s="4">
        <v>5243</v>
      </c>
      <c r="F1050" s="4">
        <v>9.2121999999999993</v>
      </c>
      <c r="G1050" s="4">
        <v>48299.564599999998</v>
      </c>
      <c r="H1050" s="5">
        <f t="shared" si="16"/>
        <v>-4.4189617649332347E-3</v>
      </c>
    </row>
    <row r="1051" spans="1:8" ht="13.5" x14ac:dyDescent="0.25">
      <c r="A1051" s="1"/>
      <c r="B1051" s="3">
        <v>43836</v>
      </c>
      <c r="C1051" s="4">
        <v>8.76</v>
      </c>
      <c r="D1051" s="4">
        <v>8.7424999999999997</v>
      </c>
      <c r="E1051" s="4">
        <v>0</v>
      </c>
      <c r="F1051" s="4">
        <v>0</v>
      </c>
      <c r="G1051" s="4">
        <v>0</v>
      </c>
      <c r="H1051" s="5">
        <f t="shared" si="16"/>
        <v>-2.9893807077308997E-2</v>
      </c>
    </row>
    <row r="1052" spans="1:8" ht="13.5" x14ac:dyDescent="0.25">
      <c r="A1052" s="1"/>
      <c r="B1052" s="3">
        <v>43837</v>
      </c>
      <c r="C1052" s="4">
        <v>8.8000000000000007</v>
      </c>
      <c r="D1052" s="4">
        <v>8.7824000000000009</v>
      </c>
      <c r="E1052" s="4">
        <v>848</v>
      </c>
      <c r="F1052" s="4">
        <v>8.8011999999999997</v>
      </c>
      <c r="G1052" s="4">
        <v>7463.4175999999998</v>
      </c>
      <c r="H1052" s="5">
        <f t="shared" si="16"/>
        <v>4.5639119245068525E-3</v>
      </c>
    </row>
    <row r="1053" spans="1:8" ht="13.5" x14ac:dyDescent="0.25">
      <c r="A1053" s="1"/>
      <c r="B1053" s="3">
        <v>43838</v>
      </c>
      <c r="C1053" s="4">
        <v>8.5399999999999991</v>
      </c>
      <c r="D1053" s="4">
        <v>8.5228999999999999</v>
      </c>
      <c r="E1053" s="4">
        <v>200</v>
      </c>
      <c r="F1053" s="4">
        <v>8.5399999999999991</v>
      </c>
      <c r="G1053" s="4">
        <v>1708</v>
      </c>
      <c r="H1053" s="5">
        <f t="shared" si="16"/>
        <v>-2.9547731827291052E-2</v>
      </c>
    </row>
    <row r="1054" spans="1:8" ht="13.5" x14ac:dyDescent="0.25">
      <c r="A1054" s="1"/>
      <c r="B1054" s="3">
        <v>43839</v>
      </c>
      <c r="C1054" s="4">
        <v>8.3000000000000007</v>
      </c>
      <c r="D1054" s="4">
        <v>8.2834000000000003</v>
      </c>
      <c r="E1054" s="4">
        <v>5810</v>
      </c>
      <c r="F1054" s="4">
        <v>8.3000000000000007</v>
      </c>
      <c r="G1054" s="4">
        <v>48223</v>
      </c>
      <c r="H1054" s="5">
        <f t="shared" si="16"/>
        <v>-2.8100763824519776E-2</v>
      </c>
    </row>
    <row r="1055" spans="1:8" ht="13.5" x14ac:dyDescent="0.25">
      <c r="A1055" s="1"/>
      <c r="B1055" s="3">
        <v>43840</v>
      </c>
      <c r="C1055" s="4">
        <v>8.67</v>
      </c>
      <c r="D1055" s="4">
        <v>8.6526999999999994</v>
      </c>
      <c r="E1055" s="4">
        <v>1300</v>
      </c>
      <c r="F1055" s="4">
        <v>8.67</v>
      </c>
      <c r="G1055" s="4">
        <v>11271</v>
      </c>
      <c r="H1055" s="5">
        <f t="shared" si="16"/>
        <v>4.4583142187990324E-2</v>
      </c>
    </row>
    <row r="1056" spans="1:8" ht="13.5" x14ac:dyDescent="0.25">
      <c r="A1056" s="1"/>
      <c r="B1056" s="3">
        <v>43843</v>
      </c>
      <c r="C1056" s="4">
        <v>9</v>
      </c>
      <c r="D1056" s="4">
        <v>8.9819999999999993</v>
      </c>
      <c r="E1056" s="4">
        <v>1338</v>
      </c>
      <c r="F1056" s="4">
        <v>8.9809999999999999</v>
      </c>
      <c r="G1056" s="4">
        <v>12016.578</v>
      </c>
      <c r="H1056" s="5">
        <f t="shared" si="16"/>
        <v>3.8057484946895183E-2</v>
      </c>
    </row>
    <row r="1057" spans="1:8" ht="13.5" x14ac:dyDescent="0.25">
      <c r="A1057" s="1"/>
      <c r="B1057" s="3">
        <v>43845</v>
      </c>
      <c r="C1057" s="4">
        <v>9.4700000000000006</v>
      </c>
      <c r="D1057" s="4">
        <v>9.4511000000000003</v>
      </c>
      <c r="E1057" s="4">
        <v>218</v>
      </c>
      <c r="F1057" s="4">
        <v>9.4476999999999993</v>
      </c>
      <c r="G1057" s="4">
        <v>2059.5985999999998</v>
      </c>
      <c r="H1057" s="5">
        <f t="shared" si="16"/>
        <v>5.2226675573369068E-2</v>
      </c>
    </row>
    <row r="1058" spans="1:8" ht="13.5" x14ac:dyDescent="0.25">
      <c r="A1058" s="1"/>
      <c r="B1058" s="3">
        <v>43846</v>
      </c>
      <c r="C1058" s="4">
        <v>9.5</v>
      </c>
      <c r="D1058" s="4">
        <v>9.4809999999999999</v>
      </c>
      <c r="E1058" s="4">
        <v>3706</v>
      </c>
      <c r="F1058" s="4">
        <v>9.4862000000000002</v>
      </c>
      <c r="G1058" s="4">
        <v>35155.857199999999</v>
      </c>
      <c r="H1058" s="5">
        <f t="shared" si="16"/>
        <v>3.163652908127053E-3</v>
      </c>
    </row>
    <row r="1059" spans="1:8" ht="13.5" x14ac:dyDescent="0.25">
      <c r="A1059" s="1"/>
      <c r="B1059" s="3">
        <v>43847</v>
      </c>
      <c r="C1059" s="4">
        <v>9.4499999999999993</v>
      </c>
      <c r="D1059" s="4">
        <v>9.4311000000000007</v>
      </c>
      <c r="E1059" s="4">
        <v>11240</v>
      </c>
      <c r="F1059" s="4">
        <v>9.4543999999999997</v>
      </c>
      <c r="G1059" s="4">
        <v>106267.45600000001</v>
      </c>
      <c r="H1059" s="5">
        <f t="shared" si="16"/>
        <v>-5.2631578947367544E-3</v>
      </c>
    </row>
    <row r="1060" spans="1:8" ht="13.5" x14ac:dyDescent="0.25">
      <c r="A1060" s="1"/>
      <c r="B1060" s="3">
        <v>43850</v>
      </c>
      <c r="C1060" s="4">
        <v>9.3000000000000007</v>
      </c>
      <c r="D1060" s="4">
        <v>9.2813999999999997</v>
      </c>
      <c r="E1060" s="4">
        <v>1682</v>
      </c>
      <c r="F1060" s="4">
        <v>9.4732000000000003</v>
      </c>
      <c r="G1060" s="4">
        <v>15933.922399999999</v>
      </c>
      <c r="H1060" s="5">
        <f t="shared" si="16"/>
        <v>-1.5873015873015983E-2</v>
      </c>
    </row>
    <row r="1061" spans="1:8" ht="13.5" x14ac:dyDescent="0.25">
      <c r="A1061" s="1"/>
      <c r="B1061" s="3">
        <v>43851</v>
      </c>
      <c r="C1061" s="4">
        <v>9.65</v>
      </c>
      <c r="D1061" s="4">
        <v>9.6306999999999992</v>
      </c>
      <c r="E1061" s="4">
        <v>1505</v>
      </c>
      <c r="F1061" s="4">
        <v>9.6496999999999993</v>
      </c>
      <c r="G1061" s="4">
        <v>14522.798500000001</v>
      </c>
      <c r="H1061" s="5">
        <f t="shared" si="16"/>
        <v>3.7634408602150483E-2</v>
      </c>
    </row>
    <row r="1062" spans="1:8" ht="13.5" x14ac:dyDescent="0.25">
      <c r="A1062" s="1"/>
      <c r="B1062" s="3">
        <v>43852</v>
      </c>
      <c r="C1062" s="4">
        <v>9.99</v>
      </c>
      <c r="D1062" s="4">
        <v>9.9700000000000006</v>
      </c>
      <c r="E1062" s="4">
        <v>1398</v>
      </c>
      <c r="F1062" s="4">
        <v>9.9389000000000003</v>
      </c>
      <c r="G1062" s="4">
        <v>13894.582200000001</v>
      </c>
      <c r="H1062" s="5">
        <f t="shared" si="16"/>
        <v>3.5231083929517223E-2</v>
      </c>
    </row>
    <row r="1063" spans="1:8" ht="13.5" x14ac:dyDescent="0.25">
      <c r="A1063" s="1"/>
      <c r="B1063" s="3">
        <v>43853</v>
      </c>
      <c r="C1063" s="4">
        <v>10</v>
      </c>
      <c r="D1063" s="4">
        <v>9.98</v>
      </c>
      <c r="E1063" s="4">
        <v>119</v>
      </c>
      <c r="F1063" s="4">
        <v>10</v>
      </c>
      <c r="G1063" s="4">
        <v>1190</v>
      </c>
      <c r="H1063" s="5">
        <f t="shared" si="16"/>
        <v>1.0030090270812223E-3</v>
      </c>
    </row>
    <row r="1064" spans="1:8" ht="13.5" x14ac:dyDescent="0.25">
      <c r="A1064" s="1"/>
      <c r="B1064" s="3">
        <v>43854</v>
      </c>
      <c r="C1064" s="4">
        <v>10</v>
      </c>
      <c r="D1064" s="4">
        <v>9.98</v>
      </c>
      <c r="E1064" s="4">
        <v>980</v>
      </c>
      <c r="F1064" s="4">
        <v>10</v>
      </c>
      <c r="G1064" s="4">
        <v>9800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10</v>
      </c>
      <c r="D1065" s="4">
        <v>9.98</v>
      </c>
      <c r="E1065" s="4">
        <v>795</v>
      </c>
      <c r="F1065" s="4">
        <v>10</v>
      </c>
      <c r="G1065" s="4">
        <v>7950</v>
      </c>
      <c r="H1065" s="5">
        <f t="shared" si="16"/>
        <v>0</v>
      </c>
    </row>
    <row r="1066" spans="1:8" ht="13.5" x14ac:dyDescent="0.25">
      <c r="A1066" s="1"/>
      <c r="B1066" s="3">
        <v>43858</v>
      </c>
      <c r="C1066" s="4">
        <v>10</v>
      </c>
      <c r="D1066" s="4">
        <v>9.98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10</v>
      </c>
      <c r="D1067" s="4">
        <v>9.98</v>
      </c>
      <c r="E1067" s="4">
        <v>199</v>
      </c>
      <c r="F1067" s="4">
        <v>10</v>
      </c>
      <c r="G1067" s="4">
        <v>1990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10</v>
      </c>
      <c r="D1068" s="4">
        <v>9.98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10</v>
      </c>
      <c r="D1069" s="4">
        <v>9.98</v>
      </c>
      <c r="E1069" s="4">
        <v>0</v>
      </c>
      <c r="F1069" s="4">
        <v>0</v>
      </c>
      <c r="G1069" s="4">
        <v>0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10</v>
      </c>
      <c r="D1070" s="4">
        <v>9.98</v>
      </c>
      <c r="E1070" s="4">
        <v>0</v>
      </c>
      <c r="F1070" s="4">
        <v>0</v>
      </c>
      <c r="G1070" s="4">
        <v>0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10</v>
      </c>
      <c r="D1071" s="4">
        <v>9.98</v>
      </c>
      <c r="E1071" s="4">
        <v>930</v>
      </c>
      <c r="F1071" s="4">
        <v>10</v>
      </c>
      <c r="G1071" s="4">
        <v>9300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10</v>
      </c>
      <c r="D1072" s="4">
        <v>9.98</v>
      </c>
      <c r="E1072" s="4">
        <v>790</v>
      </c>
      <c r="F1072" s="4">
        <v>10</v>
      </c>
      <c r="G1072" s="4">
        <v>7900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10</v>
      </c>
      <c r="D1073" s="4">
        <v>9.98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9.6999999999999993</v>
      </c>
      <c r="D1074" s="4">
        <v>9.6806000000000001</v>
      </c>
      <c r="E1074" s="4">
        <v>45</v>
      </c>
      <c r="F1074" s="4">
        <v>9.6999999999999993</v>
      </c>
      <c r="G1074" s="4">
        <v>436.5</v>
      </c>
      <c r="H1074" s="5">
        <f t="shared" si="16"/>
        <v>-3.0000000000000034E-2</v>
      </c>
    </row>
    <row r="1075" spans="1:8" ht="13.5" x14ac:dyDescent="0.25">
      <c r="A1075" s="1"/>
      <c r="B1075" s="3">
        <v>43871</v>
      </c>
      <c r="C1075" s="4">
        <v>10</v>
      </c>
      <c r="D1075" s="4">
        <v>9.98</v>
      </c>
      <c r="E1075" s="4">
        <v>21</v>
      </c>
      <c r="F1075" s="4">
        <v>10</v>
      </c>
      <c r="G1075" s="4">
        <v>210</v>
      </c>
      <c r="H1075" s="5">
        <f t="shared" si="16"/>
        <v>3.0927835051546424E-2</v>
      </c>
    </row>
    <row r="1076" spans="1:8" ht="13.5" x14ac:dyDescent="0.25">
      <c r="A1076" s="1"/>
      <c r="B1076" s="3">
        <v>43872</v>
      </c>
      <c r="C1076" s="4">
        <v>10</v>
      </c>
      <c r="D1076" s="4">
        <v>9.98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10</v>
      </c>
      <c r="D1077" s="4">
        <v>9.98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10</v>
      </c>
      <c r="D1078" s="4">
        <v>9.98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10</v>
      </c>
      <c r="D1079" s="4">
        <v>9.98</v>
      </c>
      <c r="E1079" s="4">
        <v>67</v>
      </c>
      <c r="F1079" s="4">
        <v>9.5566999999999993</v>
      </c>
      <c r="G1079" s="4">
        <v>640.2989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10</v>
      </c>
      <c r="D1080" s="4">
        <v>9.98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9.6999999999999993</v>
      </c>
      <c r="D1081" s="4">
        <v>9.6806000000000001</v>
      </c>
      <c r="E1081" s="4">
        <v>610</v>
      </c>
      <c r="F1081" s="4">
        <v>9.6999999999999993</v>
      </c>
      <c r="G1081" s="4">
        <v>5917</v>
      </c>
      <c r="H1081" s="5">
        <f t="shared" si="16"/>
        <v>-3.0000000000000034E-2</v>
      </c>
    </row>
    <row r="1082" spans="1:8" ht="13.5" x14ac:dyDescent="0.25">
      <c r="A1082" s="1"/>
      <c r="B1082" s="3">
        <v>43880</v>
      </c>
      <c r="C1082" s="4">
        <v>9.41</v>
      </c>
      <c r="D1082" s="4">
        <v>9.3911999999999995</v>
      </c>
      <c r="E1082" s="4">
        <v>12</v>
      </c>
      <c r="F1082" s="4">
        <v>9.41</v>
      </c>
      <c r="G1082" s="4">
        <v>112.92</v>
      </c>
      <c r="H1082" s="5">
        <f t="shared" si="16"/>
        <v>-2.9894841228849507E-2</v>
      </c>
    </row>
    <row r="1083" spans="1:8" ht="13.5" x14ac:dyDescent="0.25">
      <c r="A1083" s="1"/>
      <c r="B1083" s="3">
        <v>43881</v>
      </c>
      <c r="C1083" s="4">
        <v>9.6999999999999993</v>
      </c>
      <c r="D1083" s="4">
        <v>9.6806000000000001</v>
      </c>
      <c r="E1083" s="4">
        <v>71</v>
      </c>
      <c r="F1083" s="4">
        <v>9.6999999999999993</v>
      </c>
      <c r="G1083" s="4">
        <v>688.7</v>
      </c>
      <c r="H1083" s="5">
        <f t="shared" si="16"/>
        <v>3.0816083141664598E-2</v>
      </c>
    </row>
    <row r="1084" spans="1:8" ht="13.5" x14ac:dyDescent="0.25">
      <c r="A1084" s="1"/>
      <c r="B1084" s="3">
        <v>43882</v>
      </c>
      <c r="C1084" s="4">
        <v>9.6999999999999993</v>
      </c>
      <c r="D1084" s="4">
        <v>9.6806000000000001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9.6999999999999993</v>
      </c>
      <c r="D1085" s="4">
        <v>9.6806000000000001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9.6999999999999993</v>
      </c>
      <c r="D1086" s="4">
        <v>9.6806000000000001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9.6999999999999993</v>
      </c>
      <c r="D1087" s="4">
        <v>9.6806000000000001</v>
      </c>
      <c r="E1087" s="4">
        <v>4</v>
      </c>
      <c r="F1087" s="4">
        <v>9.6999999999999993</v>
      </c>
      <c r="G1087" s="4">
        <v>38.799999999999997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9.6999999999999993</v>
      </c>
      <c r="D1088" s="4">
        <v>9.6806000000000001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9.42</v>
      </c>
      <c r="D1089" s="4">
        <v>9.4011999999999993</v>
      </c>
      <c r="E1089" s="4">
        <v>89</v>
      </c>
      <c r="F1089" s="4">
        <v>9.5412999999999997</v>
      </c>
      <c r="G1089" s="4">
        <v>849.17570000000001</v>
      </c>
      <c r="H1089" s="5">
        <f t="shared" si="16"/>
        <v>-2.886184740615259E-2</v>
      </c>
    </row>
    <row r="1090" spans="1:8" ht="13.5" x14ac:dyDescent="0.25">
      <c r="A1090" s="1"/>
      <c r="B1090" s="3">
        <v>43892</v>
      </c>
      <c r="C1090" s="4">
        <v>9.42</v>
      </c>
      <c r="D1090" s="4">
        <v>9.4011999999999993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9.39</v>
      </c>
      <c r="D1091" s="4">
        <v>9.3712</v>
      </c>
      <c r="E1091" s="4">
        <v>500</v>
      </c>
      <c r="F1091" s="4">
        <v>9.39</v>
      </c>
      <c r="G1091" s="4">
        <v>4695</v>
      </c>
      <c r="H1091" s="5">
        <f t="shared" si="16"/>
        <v>-3.1910819895331834E-3</v>
      </c>
    </row>
    <row r="1092" spans="1:8" ht="13.5" x14ac:dyDescent="0.25">
      <c r="A1092" s="1"/>
      <c r="B1092" s="3">
        <v>43894</v>
      </c>
      <c r="C1092" s="4">
        <v>9.39</v>
      </c>
      <c r="D1092" s="4">
        <v>9.3712</v>
      </c>
      <c r="E1092" s="4">
        <v>0</v>
      </c>
      <c r="F1092" s="4">
        <v>0</v>
      </c>
      <c r="G1092" s="4">
        <v>0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9.39</v>
      </c>
      <c r="D1093" s="4">
        <v>9.3712</v>
      </c>
      <c r="E1093" s="4">
        <v>0</v>
      </c>
      <c r="F1093" s="4">
        <v>0</v>
      </c>
      <c r="G1093" s="4">
        <v>0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9.39</v>
      </c>
      <c r="D1094" s="4">
        <v>9.3712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9.39</v>
      </c>
      <c r="D1095" s="4">
        <v>9.3712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9.39</v>
      </c>
      <c r="D1096" s="4">
        <v>9.3712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9.39</v>
      </c>
      <c r="D1097" s="4">
        <v>9.3712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9.11</v>
      </c>
      <c r="D1098" s="4">
        <v>9.0917999999999992</v>
      </c>
      <c r="E1098" s="4">
        <v>4</v>
      </c>
      <c r="F1098" s="4">
        <v>9.11</v>
      </c>
      <c r="G1098" s="4">
        <v>36.44</v>
      </c>
      <c r="H1098" s="5">
        <f t="shared" si="17"/>
        <v>-2.9814751579306895E-2</v>
      </c>
    </row>
    <row r="1099" spans="1:8" ht="13.5" x14ac:dyDescent="0.25">
      <c r="A1099" s="1"/>
      <c r="B1099" s="3">
        <v>43903</v>
      </c>
      <c r="C1099" s="4">
        <v>9.3800000000000008</v>
      </c>
      <c r="D1099" s="4">
        <v>9.3612000000000002</v>
      </c>
      <c r="E1099" s="4">
        <v>1</v>
      </c>
      <c r="F1099" s="4">
        <v>9.3800000000000008</v>
      </c>
      <c r="G1099" s="4">
        <v>9.3800000000000008</v>
      </c>
      <c r="H1099" s="5">
        <f t="shared" si="17"/>
        <v>2.9631096152577158E-2</v>
      </c>
    </row>
    <row r="1100" spans="1:8" ht="13.5" x14ac:dyDescent="0.25">
      <c r="A1100" s="1"/>
      <c r="B1100" s="3">
        <v>43906</v>
      </c>
      <c r="C1100" s="4">
        <v>9.3800000000000008</v>
      </c>
      <c r="D1100" s="4">
        <v>9.3612000000000002</v>
      </c>
      <c r="E1100" s="4">
        <v>0</v>
      </c>
      <c r="F1100" s="4">
        <v>0</v>
      </c>
      <c r="G1100" s="4">
        <v>0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9.39</v>
      </c>
      <c r="D1101" s="4">
        <v>9.3712</v>
      </c>
      <c r="E1101" s="4">
        <v>10</v>
      </c>
      <c r="F1101" s="4">
        <v>9.39</v>
      </c>
      <c r="G1101" s="4">
        <v>93.9</v>
      </c>
      <c r="H1101" s="5">
        <f t="shared" si="17"/>
        <v>1.0682391146433991E-3</v>
      </c>
    </row>
    <row r="1102" spans="1:8" ht="13.5" x14ac:dyDescent="0.25">
      <c r="A1102" s="1"/>
      <c r="B1102" s="3">
        <v>43908</v>
      </c>
      <c r="C1102" s="4">
        <v>9.66</v>
      </c>
      <c r="D1102" s="4">
        <v>9.6407000000000007</v>
      </c>
      <c r="E1102" s="4">
        <v>15</v>
      </c>
      <c r="F1102" s="4">
        <v>9.66</v>
      </c>
      <c r="G1102" s="4">
        <v>144.9</v>
      </c>
      <c r="H1102" s="5">
        <f t="shared" si="17"/>
        <v>2.8758323373740902E-2</v>
      </c>
    </row>
    <row r="1103" spans="1:8" ht="13.5" x14ac:dyDescent="0.25">
      <c r="A1103" s="1"/>
      <c r="B1103" s="3">
        <v>43909</v>
      </c>
      <c r="C1103" s="4">
        <v>9.66</v>
      </c>
      <c r="D1103" s="4">
        <v>9.6407000000000007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9.66</v>
      </c>
      <c r="D1104" s="4">
        <v>9.6407000000000007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9.66</v>
      </c>
      <c r="D1105" s="4">
        <v>9.6407000000000007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9.66</v>
      </c>
      <c r="D1106" s="4">
        <v>9.6407000000000007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9.66</v>
      </c>
      <c r="D1107" s="4">
        <v>9.6407000000000007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9.66</v>
      </c>
      <c r="D1108" s="4">
        <v>9.6407000000000007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9.66</v>
      </c>
      <c r="D1109" s="4">
        <v>9.6407000000000007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9.66</v>
      </c>
      <c r="D1110" s="4">
        <v>9.6407000000000007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9.6999999999999993</v>
      </c>
      <c r="D1111" s="4">
        <v>9.6806000000000001</v>
      </c>
      <c r="E1111" s="4">
        <v>1</v>
      </c>
      <c r="F1111" s="4">
        <v>9.6999999999999993</v>
      </c>
      <c r="G1111" s="4">
        <v>9.6999999999999993</v>
      </c>
      <c r="H1111" s="5">
        <f t="shared" si="17"/>
        <v>4.1387036211062867E-3</v>
      </c>
    </row>
    <row r="1112" spans="1:8" ht="13.5" x14ac:dyDescent="0.25">
      <c r="A1112" s="1"/>
      <c r="B1112" s="3">
        <v>43923</v>
      </c>
      <c r="C1112" s="4">
        <v>9.6999999999999993</v>
      </c>
      <c r="D1112" s="4">
        <v>9.6806000000000001</v>
      </c>
      <c r="E1112" s="4">
        <v>0</v>
      </c>
      <c r="F1112" s="4">
        <v>0</v>
      </c>
      <c r="G1112" s="4">
        <v>0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9.6999999999999993</v>
      </c>
      <c r="D1113" s="4">
        <v>9.6806000000000001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9.6999999999999993</v>
      </c>
      <c r="D1114" s="4">
        <v>9.6806000000000001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9.6999999999999993</v>
      </c>
      <c r="D1115" s="4">
        <v>9.6806000000000001</v>
      </c>
      <c r="E1115" s="4">
        <v>0</v>
      </c>
      <c r="F1115" s="4">
        <v>0</v>
      </c>
      <c r="G1115" s="4">
        <v>0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9.6999999999999993</v>
      </c>
      <c r="D1116" s="4">
        <v>9.6806000000000001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9.41</v>
      </c>
      <c r="D1117" s="4">
        <v>9.3911999999999995</v>
      </c>
      <c r="E1117" s="4">
        <v>15</v>
      </c>
      <c r="F1117" s="4">
        <v>9.41</v>
      </c>
      <c r="G1117" s="4">
        <v>141.15</v>
      </c>
      <c r="H1117" s="5">
        <f t="shared" si="17"/>
        <v>-2.9894841228849507E-2</v>
      </c>
    </row>
    <row r="1118" spans="1:8" ht="13.5" x14ac:dyDescent="0.25">
      <c r="A1118" s="1"/>
      <c r="B1118" s="3">
        <v>43935</v>
      </c>
      <c r="C1118" s="4">
        <v>9.14</v>
      </c>
      <c r="D1118" s="4">
        <v>9.1217000000000006</v>
      </c>
      <c r="E1118" s="4">
        <v>55</v>
      </c>
      <c r="F1118" s="4">
        <v>9.2200000000000006</v>
      </c>
      <c r="G1118" s="4">
        <v>507.1</v>
      </c>
      <c r="H1118" s="5">
        <f t="shared" si="17"/>
        <v>-2.8697078115682659E-2</v>
      </c>
    </row>
    <row r="1119" spans="1:8" ht="13.5" x14ac:dyDescent="0.25">
      <c r="A1119" s="1"/>
      <c r="B1119" s="3">
        <v>43936</v>
      </c>
      <c r="C1119" s="4">
        <v>9.41</v>
      </c>
      <c r="D1119" s="4">
        <v>9.3911999999999995</v>
      </c>
      <c r="E1119" s="4">
        <v>2</v>
      </c>
      <c r="F1119" s="4">
        <v>9.41</v>
      </c>
      <c r="G1119" s="4">
        <v>18.82</v>
      </c>
      <c r="H1119" s="5">
        <f t="shared" si="17"/>
        <v>2.9544931317627081E-2</v>
      </c>
    </row>
    <row r="1120" spans="1:8" ht="13.5" x14ac:dyDescent="0.25">
      <c r="A1120" s="1"/>
      <c r="B1120" s="3">
        <v>43937</v>
      </c>
      <c r="C1120" s="4">
        <v>9.69</v>
      </c>
      <c r="D1120" s="4">
        <v>9.6706000000000003</v>
      </c>
      <c r="E1120" s="4">
        <v>1</v>
      </c>
      <c r="F1120" s="4">
        <v>9.69</v>
      </c>
      <c r="G1120" s="4">
        <v>9.69</v>
      </c>
      <c r="H1120" s="5">
        <f t="shared" si="17"/>
        <v>2.9751256495442625E-2</v>
      </c>
    </row>
    <row r="1121" spans="1:8" ht="13.5" x14ac:dyDescent="0.25">
      <c r="A1121" s="1"/>
      <c r="B1121" s="3">
        <v>43938</v>
      </c>
      <c r="C1121" s="4">
        <v>9.6999999999999993</v>
      </c>
      <c r="D1121" s="4">
        <v>9.6806000000000001</v>
      </c>
      <c r="E1121" s="4">
        <v>52</v>
      </c>
      <c r="F1121" s="4">
        <v>9.4115000000000002</v>
      </c>
      <c r="G1121" s="4">
        <v>489.39800000000002</v>
      </c>
      <c r="H1121" s="5">
        <f t="shared" si="17"/>
        <v>1.0340620023576393E-3</v>
      </c>
    </row>
    <row r="1122" spans="1:8" ht="13.5" x14ac:dyDescent="0.25">
      <c r="A1122" s="1"/>
      <c r="B1122" s="3">
        <v>43941</v>
      </c>
      <c r="C1122" s="4">
        <v>9.6999999999999993</v>
      </c>
      <c r="D1122" s="4">
        <v>9.6806000000000001</v>
      </c>
      <c r="E1122" s="4">
        <v>0</v>
      </c>
      <c r="F1122" s="4">
        <v>0</v>
      </c>
      <c r="G1122" s="4">
        <v>0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9.6999999999999993</v>
      </c>
      <c r="D1123" s="4">
        <v>9.6806000000000001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9.6999999999999993</v>
      </c>
      <c r="D1124" s="4">
        <v>9.6806000000000001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9.6999999999999993</v>
      </c>
      <c r="D1125" s="4">
        <v>9.6806000000000001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9.6999999999999993</v>
      </c>
      <c r="D1126" s="4">
        <v>9.6806000000000001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9.6999999999999993</v>
      </c>
      <c r="D1127" s="4">
        <v>9.6806000000000001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9.6999999999999993</v>
      </c>
      <c r="D1128" s="4">
        <v>9.6806000000000001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9.6999999999999993</v>
      </c>
      <c r="D1129" s="4">
        <v>9.6806000000000001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9.6999999999999993</v>
      </c>
      <c r="D1130" s="4">
        <v>9.6806000000000001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9.9700000000000006</v>
      </c>
      <c r="D1131" s="4">
        <v>9.9501000000000008</v>
      </c>
      <c r="E1131" s="4">
        <v>1</v>
      </c>
      <c r="F1131" s="4">
        <v>9.9700000000000006</v>
      </c>
      <c r="G1131" s="4">
        <v>9.9700000000000006</v>
      </c>
      <c r="H1131" s="5">
        <f t="shared" si="17"/>
        <v>2.7839183521682617E-2</v>
      </c>
    </row>
    <row r="1132" spans="1:8" ht="13.5" x14ac:dyDescent="0.25">
      <c r="A1132" s="1"/>
      <c r="B1132" s="3">
        <v>43956</v>
      </c>
      <c r="C1132" s="4">
        <v>9.9700000000000006</v>
      </c>
      <c r="D1132" s="4">
        <v>9.9501000000000008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9.9700000000000006</v>
      </c>
      <c r="D1133" s="4">
        <v>9.9501000000000008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9.9700000000000006</v>
      </c>
      <c r="D1134" s="4">
        <v>9.9501000000000008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9.9700000000000006</v>
      </c>
      <c r="D1135" s="4">
        <v>9.9501000000000008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9.9700000000000006</v>
      </c>
      <c r="D1136" s="4">
        <v>9.9501000000000008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9.9700000000000006</v>
      </c>
      <c r="D1137" s="4">
        <v>9.9501000000000008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9.9700000000000006</v>
      </c>
      <c r="D1138" s="4">
        <v>9.9501000000000008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9.9700000000000006</v>
      </c>
      <c r="D1139" s="4">
        <v>9.9501000000000008</v>
      </c>
      <c r="E1139" s="4">
        <v>0</v>
      </c>
      <c r="F1139" s="4">
        <v>0</v>
      </c>
      <c r="G1139" s="4">
        <v>0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9.9700000000000006</v>
      </c>
      <c r="D1140" s="4">
        <v>9.9501000000000008</v>
      </c>
      <c r="E1140" s="4">
        <v>0</v>
      </c>
      <c r="F1140" s="4">
        <v>0</v>
      </c>
      <c r="G1140" s="4">
        <v>0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9.9700000000000006</v>
      </c>
      <c r="D1141" s="4">
        <v>9.9501000000000008</v>
      </c>
      <c r="E1141" s="4">
        <v>0</v>
      </c>
      <c r="F1141" s="4">
        <v>0</v>
      </c>
      <c r="G1141" s="4">
        <v>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9.9700000000000006</v>
      </c>
      <c r="D1142" s="4">
        <v>9.9501000000000008</v>
      </c>
      <c r="E1142" s="4">
        <v>0</v>
      </c>
      <c r="F1142" s="4">
        <v>0</v>
      </c>
      <c r="G1142" s="4">
        <v>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9.9700000000000006</v>
      </c>
      <c r="D1143" s="4">
        <v>9.9501000000000008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9.68</v>
      </c>
      <c r="D1144" s="4">
        <v>9.6606000000000005</v>
      </c>
      <c r="E1144" s="4">
        <v>0</v>
      </c>
      <c r="F1144" s="4">
        <v>0</v>
      </c>
      <c r="G1144" s="4">
        <v>0</v>
      </c>
      <c r="H1144" s="5">
        <f t="shared" si="17"/>
        <v>-2.9095184973015376E-2</v>
      </c>
    </row>
    <row r="1145" spans="1:8" ht="13.5" x14ac:dyDescent="0.25">
      <c r="A1145" s="1"/>
      <c r="B1145" s="3">
        <v>43973</v>
      </c>
      <c r="C1145" s="4">
        <v>9.39</v>
      </c>
      <c r="D1145" s="4">
        <v>9.3712</v>
      </c>
      <c r="E1145" s="4">
        <v>400</v>
      </c>
      <c r="F1145" s="4">
        <v>9.39</v>
      </c>
      <c r="G1145" s="4">
        <v>3756</v>
      </c>
      <c r="H1145" s="5">
        <f t="shared" si="17"/>
        <v>-2.995673146595455E-2</v>
      </c>
    </row>
    <row r="1146" spans="1:8" ht="13.5" x14ac:dyDescent="0.25">
      <c r="A1146" s="1"/>
      <c r="B1146" s="3">
        <v>43977</v>
      </c>
      <c r="C1146" s="4">
        <v>9.11</v>
      </c>
      <c r="D1146" s="4">
        <v>9.0917999999999992</v>
      </c>
      <c r="E1146" s="4">
        <v>514</v>
      </c>
      <c r="F1146" s="4">
        <v>9.11</v>
      </c>
      <c r="G1146" s="4">
        <v>4682.54</v>
      </c>
      <c r="H1146" s="5">
        <f t="shared" si="17"/>
        <v>-2.9814751579306895E-2</v>
      </c>
    </row>
    <row r="1147" spans="1:8" ht="13.5" x14ac:dyDescent="0.25">
      <c r="A1147" s="1"/>
      <c r="B1147" s="3">
        <v>43978</v>
      </c>
      <c r="C1147" s="4">
        <v>9.11</v>
      </c>
      <c r="D1147" s="4">
        <v>9.0917999999999992</v>
      </c>
      <c r="E1147" s="4">
        <v>0</v>
      </c>
      <c r="F1147" s="4">
        <v>0</v>
      </c>
      <c r="G1147" s="4">
        <v>0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8.84</v>
      </c>
      <c r="D1148" s="4">
        <v>8.8223000000000003</v>
      </c>
      <c r="E1148" s="4">
        <v>0</v>
      </c>
      <c r="F1148" s="4">
        <v>0</v>
      </c>
      <c r="G1148" s="4">
        <v>0</v>
      </c>
      <c r="H1148" s="5">
        <f t="shared" si="17"/>
        <v>-2.9642095074682569E-2</v>
      </c>
    </row>
    <row r="1149" spans="1:8" ht="13.5" x14ac:dyDescent="0.25">
      <c r="A1149" s="1"/>
      <c r="B1149" s="3">
        <v>43980</v>
      </c>
      <c r="C1149" s="4">
        <v>8.84</v>
      </c>
      <c r="D1149" s="4">
        <v>8.8223000000000003</v>
      </c>
      <c r="E1149" s="4">
        <v>38</v>
      </c>
      <c r="F1149" s="4">
        <v>8.84</v>
      </c>
      <c r="G1149" s="4">
        <v>335.92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9</v>
      </c>
      <c r="D1150" s="4">
        <v>8.9819999999999993</v>
      </c>
      <c r="E1150" s="4">
        <v>581</v>
      </c>
      <c r="F1150" s="4">
        <v>8.5879999999999992</v>
      </c>
      <c r="G1150" s="4">
        <v>4989.6279999999997</v>
      </c>
      <c r="H1150" s="5">
        <f t="shared" si="17"/>
        <v>1.8101855525203072E-2</v>
      </c>
    </row>
    <row r="1151" spans="1:8" ht="13.5" x14ac:dyDescent="0.25">
      <c r="A1151" s="1"/>
      <c r="B1151" s="3">
        <v>43984</v>
      </c>
      <c r="C1151" s="4">
        <v>9</v>
      </c>
      <c r="D1151" s="4">
        <v>8.9819999999999993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8.73</v>
      </c>
      <c r="D1152" s="4">
        <v>8.7125000000000004</v>
      </c>
      <c r="E1152" s="4">
        <v>1532</v>
      </c>
      <c r="F1152" s="4">
        <v>8.9945000000000004</v>
      </c>
      <c r="G1152" s="4">
        <v>13779.574000000001</v>
      </c>
      <c r="H1152" s="5">
        <f t="shared" si="17"/>
        <v>-3.0004453351146626E-2</v>
      </c>
    </row>
    <row r="1153" spans="1:8" ht="13.5" x14ac:dyDescent="0.25">
      <c r="A1153" s="1"/>
      <c r="B1153" s="3">
        <v>43986</v>
      </c>
      <c r="C1153" s="4">
        <v>8.4700000000000006</v>
      </c>
      <c r="D1153" s="4">
        <v>8.4530999999999992</v>
      </c>
      <c r="E1153" s="4">
        <v>1288</v>
      </c>
      <c r="F1153" s="4">
        <v>8.4700000000000006</v>
      </c>
      <c r="G1153" s="4">
        <v>10909.36</v>
      </c>
      <c r="H1153" s="5">
        <f t="shared" si="17"/>
        <v>-2.9773314203730406E-2</v>
      </c>
    </row>
    <row r="1154" spans="1:8" ht="13.5" x14ac:dyDescent="0.25">
      <c r="A1154" s="1"/>
      <c r="B1154" s="3">
        <v>43987</v>
      </c>
      <c r="C1154" s="4">
        <v>8.39</v>
      </c>
      <c r="D1154" s="4">
        <v>8.3732000000000006</v>
      </c>
      <c r="E1154" s="4">
        <v>500</v>
      </c>
      <c r="F1154" s="4">
        <v>8.39</v>
      </c>
      <c r="G1154" s="4">
        <v>4195</v>
      </c>
      <c r="H1154" s="5">
        <f t="shared" si="17"/>
        <v>-9.4521536477740163E-3</v>
      </c>
    </row>
    <row r="1155" spans="1:8" ht="13.5" x14ac:dyDescent="0.25">
      <c r="A1155" s="1"/>
      <c r="B1155" s="3">
        <v>43990</v>
      </c>
      <c r="C1155" s="4">
        <v>8.39</v>
      </c>
      <c r="D1155" s="4">
        <v>8.3732000000000006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8.44</v>
      </c>
      <c r="D1156" s="4">
        <v>8.4230999999999998</v>
      </c>
      <c r="E1156" s="4">
        <v>1</v>
      </c>
      <c r="F1156" s="4">
        <v>8.44</v>
      </c>
      <c r="G1156" s="4">
        <v>8.44</v>
      </c>
      <c r="H1156" s="5">
        <f t="shared" si="17"/>
        <v>5.9594898007929061E-3</v>
      </c>
    </row>
    <row r="1157" spans="1:8" ht="13.5" x14ac:dyDescent="0.25">
      <c r="A1157" s="1"/>
      <c r="B1157" s="3">
        <v>43992</v>
      </c>
      <c r="C1157" s="4">
        <v>8.4</v>
      </c>
      <c r="D1157" s="4">
        <v>8.3832000000000004</v>
      </c>
      <c r="E1157" s="4">
        <v>1105</v>
      </c>
      <c r="F1157" s="4">
        <v>8.4</v>
      </c>
      <c r="G1157" s="4">
        <v>9282</v>
      </c>
      <c r="H1157" s="5">
        <f t="shared" si="17"/>
        <v>-4.7369733233606848E-3</v>
      </c>
    </row>
    <row r="1158" spans="1:8" ht="13.5" x14ac:dyDescent="0.25">
      <c r="A1158" s="1"/>
      <c r="B1158" s="3">
        <v>43993</v>
      </c>
      <c r="C1158" s="4">
        <v>8.4499999999999993</v>
      </c>
      <c r="D1158" s="4">
        <v>8.4330999999999996</v>
      </c>
      <c r="E1158" s="4">
        <v>1256</v>
      </c>
      <c r="F1158" s="4">
        <v>8.4491999999999994</v>
      </c>
      <c r="G1158" s="4">
        <v>10612.1952</v>
      </c>
      <c r="H1158" s="5">
        <f t="shared" si="17"/>
        <v>5.9523809523808532E-3</v>
      </c>
    </row>
    <row r="1159" spans="1:8" ht="13.5" x14ac:dyDescent="0.25">
      <c r="A1159" s="1"/>
      <c r="B1159" s="3">
        <v>43994</v>
      </c>
      <c r="C1159" s="4">
        <v>8.44</v>
      </c>
      <c r="D1159" s="4">
        <v>8.4230999999999998</v>
      </c>
      <c r="E1159" s="4">
        <v>2399</v>
      </c>
      <c r="F1159" s="4">
        <v>8.44</v>
      </c>
      <c r="G1159" s="4">
        <v>20247.560000000001</v>
      </c>
      <c r="H1159" s="5">
        <f t="shared" ref="H1159:H1222" si="18">(D1159-D1158)/D1158</f>
        <v>-1.1858035597822612E-3</v>
      </c>
    </row>
    <row r="1160" spans="1:8" ht="13.5" x14ac:dyDescent="0.25">
      <c r="A1160" s="1"/>
      <c r="B1160" s="3">
        <v>43997</v>
      </c>
      <c r="C1160" s="4">
        <v>8.3000000000000007</v>
      </c>
      <c r="D1160" s="4">
        <v>8.2834000000000003</v>
      </c>
      <c r="E1160" s="4">
        <v>201</v>
      </c>
      <c r="F1160" s="4">
        <v>8.3004999999999995</v>
      </c>
      <c r="G1160" s="4">
        <v>1668.4005</v>
      </c>
      <c r="H1160" s="5">
        <f t="shared" si="18"/>
        <v>-1.6585342688558786E-2</v>
      </c>
    </row>
    <row r="1161" spans="1:8" ht="13.5" x14ac:dyDescent="0.25">
      <c r="A1161" s="1"/>
      <c r="B1161" s="3">
        <v>43998</v>
      </c>
      <c r="C1161" s="4">
        <v>8.42</v>
      </c>
      <c r="D1161" s="4">
        <v>8.4032</v>
      </c>
      <c r="E1161" s="4">
        <v>1005</v>
      </c>
      <c r="F1161" s="4">
        <v>8.42</v>
      </c>
      <c r="G1161" s="4">
        <v>8462.1</v>
      </c>
      <c r="H1161" s="5">
        <f t="shared" si="18"/>
        <v>1.4462660260279557E-2</v>
      </c>
    </row>
    <row r="1162" spans="1:8" ht="13.5" x14ac:dyDescent="0.25">
      <c r="A1162" s="1"/>
      <c r="B1162" s="3">
        <v>43999</v>
      </c>
      <c r="C1162" s="4">
        <v>8.42</v>
      </c>
      <c r="D1162" s="4">
        <v>8.4032</v>
      </c>
      <c r="E1162" s="4">
        <v>2201</v>
      </c>
      <c r="F1162" s="4">
        <v>8.5336999999999996</v>
      </c>
      <c r="G1162" s="4">
        <v>18782.673699999999</v>
      </c>
      <c r="H1162" s="5">
        <f t="shared" si="18"/>
        <v>0</v>
      </c>
    </row>
    <row r="1163" spans="1:8" ht="13.5" x14ac:dyDescent="0.25">
      <c r="A1163" s="1"/>
      <c r="B1163" s="3">
        <v>44000</v>
      </c>
      <c r="C1163" s="4">
        <v>8.41</v>
      </c>
      <c r="D1163" s="4">
        <v>8.3932000000000002</v>
      </c>
      <c r="E1163" s="4">
        <v>600</v>
      </c>
      <c r="F1163" s="4">
        <v>8.4158000000000008</v>
      </c>
      <c r="G1163" s="4">
        <v>5049.4799999999996</v>
      </c>
      <c r="H1163" s="5">
        <f t="shared" si="18"/>
        <v>-1.1900228484386646E-3</v>
      </c>
    </row>
    <row r="1164" spans="1:8" ht="13.5" x14ac:dyDescent="0.25">
      <c r="A1164" s="1"/>
      <c r="B1164" s="3">
        <v>44001</v>
      </c>
      <c r="C1164" s="4">
        <v>8.4</v>
      </c>
      <c r="D1164" s="4">
        <v>8.3832000000000004</v>
      </c>
      <c r="E1164" s="4">
        <v>1150</v>
      </c>
      <c r="F1164" s="4">
        <v>8.4030000000000005</v>
      </c>
      <c r="G1164" s="4">
        <v>9663.4500000000007</v>
      </c>
      <c r="H1164" s="5">
        <f t="shared" si="18"/>
        <v>-1.1914406900824222E-3</v>
      </c>
    </row>
    <row r="1165" spans="1:8" ht="13.5" x14ac:dyDescent="0.25">
      <c r="A1165" s="1"/>
      <c r="B1165" s="3">
        <v>44004</v>
      </c>
      <c r="C1165" s="4">
        <v>8.4</v>
      </c>
      <c r="D1165" s="4">
        <v>8.3832000000000004</v>
      </c>
      <c r="E1165" s="4">
        <v>500</v>
      </c>
      <c r="F1165" s="4">
        <v>8.4</v>
      </c>
      <c r="G1165" s="4">
        <v>4200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8.4</v>
      </c>
      <c r="D1166" s="4">
        <v>8.3832000000000004</v>
      </c>
      <c r="E1166" s="4">
        <v>550</v>
      </c>
      <c r="F1166" s="4">
        <v>8.4</v>
      </c>
      <c r="G1166" s="4">
        <v>4620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8.4</v>
      </c>
      <c r="D1167" s="4">
        <v>8.3832000000000004</v>
      </c>
      <c r="E1167" s="4">
        <v>103</v>
      </c>
      <c r="F1167" s="4">
        <v>8.4</v>
      </c>
      <c r="G1167" s="4">
        <v>865.2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8.4</v>
      </c>
      <c r="D1168" s="4">
        <v>8.3832000000000004</v>
      </c>
      <c r="E1168" s="4">
        <v>210</v>
      </c>
      <c r="F1168" s="4">
        <v>8.4</v>
      </c>
      <c r="G1168" s="4">
        <v>1764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8.15</v>
      </c>
      <c r="D1169" s="4">
        <v>8.1336999999999993</v>
      </c>
      <c r="E1169" s="4">
        <v>696</v>
      </c>
      <c r="F1169" s="4">
        <v>8.1930999999999994</v>
      </c>
      <c r="G1169" s="4">
        <v>5702.3976000000002</v>
      </c>
      <c r="H1169" s="5">
        <f t="shared" si="18"/>
        <v>-2.9761904761904899E-2</v>
      </c>
    </row>
    <row r="1170" spans="1:8" ht="13.5" x14ac:dyDescent="0.25">
      <c r="A1170" s="1"/>
      <c r="B1170" s="3">
        <v>44011</v>
      </c>
      <c r="C1170" s="4">
        <v>8.64</v>
      </c>
      <c r="D1170" s="4">
        <v>8.6227</v>
      </c>
      <c r="E1170" s="4">
        <v>3</v>
      </c>
      <c r="F1170" s="4">
        <v>8.4733000000000001</v>
      </c>
      <c r="G1170" s="4">
        <v>25.419899999999998</v>
      </c>
      <c r="H1170" s="5">
        <f t="shared" si="18"/>
        <v>6.0120240480962026E-2</v>
      </c>
    </row>
    <row r="1171" spans="1:8" ht="13.5" x14ac:dyDescent="0.25">
      <c r="A1171" s="1"/>
      <c r="B1171" s="3">
        <v>44012</v>
      </c>
      <c r="C1171" s="4">
        <v>8.89</v>
      </c>
      <c r="D1171" s="4">
        <v>8.8721999999999994</v>
      </c>
      <c r="E1171" s="4">
        <v>2</v>
      </c>
      <c r="F1171" s="4">
        <v>8.89</v>
      </c>
      <c r="G1171" s="4">
        <v>17.78</v>
      </c>
      <c r="H1171" s="5">
        <f t="shared" si="18"/>
        <v>2.8935252299163765E-2</v>
      </c>
    </row>
    <row r="1172" spans="1:8" ht="13.5" x14ac:dyDescent="0.25">
      <c r="A1172" s="1"/>
      <c r="B1172" s="3">
        <v>44013</v>
      </c>
      <c r="C1172" s="4">
        <v>8.9499999999999993</v>
      </c>
      <c r="D1172" s="4">
        <v>8.9321000000000002</v>
      </c>
      <c r="E1172" s="4">
        <v>533</v>
      </c>
      <c r="F1172" s="4">
        <v>8.9499999999999993</v>
      </c>
      <c r="G1172" s="4">
        <v>4770.3500000000004</v>
      </c>
      <c r="H1172" s="5">
        <f t="shared" si="18"/>
        <v>6.7514258019432307E-3</v>
      </c>
    </row>
    <row r="1173" spans="1:8" ht="13.5" x14ac:dyDescent="0.25">
      <c r="A1173" s="1"/>
      <c r="B1173" s="3">
        <v>44014</v>
      </c>
      <c r="C1173" s="4">
        <v>8.94</v>
      </c>
      <c r="D1173" s="4">
        <v>8.9221000000000004</v>
      </c>
      <c r="E1173" s="4">
        <v>413</v>
      </c>
      <c r="F1173" s="4">
        <v>8.9431999999999992</v>
      </c>
      <c r="G1173" s="4">
        <v>3693.5416</v>
      </c>
      <c r="H1173" s="5">
        <f t="shared" si="18"/>
        <v>-1.1195575508558778E-3</v>
      </c>
    </row>
    <row r="1174" spans="1:8" ht="13.5" x14ac:dyDescent="0.25">
      <c r="A1174" s="1"/>
      <c r="B1174" s="3">
        <v>44015</v>
      </c>
      <c r="C1174" s="4">
        <v>9.1999999999999993</v>
      </c>
      <c r="D1174" s="4">
        <v>9.1815999999999995</v>
      </c>
      <c r="E1174" s="4">
        <v>0</v>
      </c>
      <c r="F1174" s="4">
        <v>0</v>
      </c>
      <c r="G1174" s="4">
        <v>0</v>
      </c>
      <c r="H1174" s="5">
        <f t="shared" si="18"/>
        <v>2.9085080866612028E-2</v>
      </c>
    </row>
    <row r="1175" spans="1:8" ht="13.5" x14ac:dyDescent="0.25">
      <c r="A1175" s="1"/>
      <c r="B1175" s="3">
        <v>44018</v>
      </c>
      <c r="C1175" s="4">
        <v>9.4700000000000006</v>
      </c>
      <c r="D1175" s="4">
        <v>9.4511000000000003</v>
      </c>
      <c r="E1175" s="4">
        <v>32</v>
      </c>
      <c r="F1175" s="4">
        <v>9.4700000000000006</v>
      </c>
      <c r="G1175" s="4">
        <v>303.04000000000002</v>
      </c>
      <c r="H1175" s="5">
        <f t="shared" si="18"/>
        <v>2.9352182626121891E-2</v>
      </c>
    </row>
    <row r="1176" spans="1:8" ht="13.5" x14ac:dyDescent="0.25">
      <c r="A1176" s="1"/>
      <c r="B1176" s="3">
        <v>44019</v>
      </c>
      <c r="C1176" s="4">
        <v>9.4700000000000006</v>
      </c>
      <c r="D1176" s="4">
        <v>9.4511000000000003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9.4700000000000006</v>
      </c>
      <c r="D1177" s="4">
        <v>9.4511000000000003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9.98</v>
      </c>
      <c r="D1178" s="4">
        <v>9.9600000000000009</v>
      </c>
      <c r="E1178" s="4">
        <v>8</v>
      </c>
      <c r="F1178" s="4">
        <v>9.8362999999999996</v>
      </c>
      <c r="G1178" s="4">
        <v>78.690399999999997</v>
      </c>
      <c r="H1178" s="5">
        <f t="shared" si="18"/>
        <v>5.3845584111902378E-2</v>
      </c>
    </row>
    <row r="1179" spans="1:8" ht="13.5" x14ac:dyDescent="0.25">
      <c r="A1179" s="1"/>
      <c r="B1179" s="3">
        <v>44022</v>
      </c>
      <c r="C1179" s="4">
        <v>9.98</v>
      </c>
      <c r="D1179" s="4">
        <v>9.9600000000000009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9.98</v>
      </c>
      <c r="D1180" s="4">
        <v>9.9600000000000009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9.69</v>
      </c>
      <c r="D1181" s="4">
        <v>9.6706000000000003</v>
      </c>
      <c r="E1181" s="4">
        <v>0</v>
      </c>
      <c r="F1181" s="4">
        <v>0</v>
      </c>
      <c r="G1181" s="4">
        <v>0</v>
      </c>
      <c r="H1181" s="5">
        <f t="shared" si="18"/>
        <v>-2.9056224899598446E-2</v>
      </c>
    </row>
    <row r="1182" spans="1:8" ht="13.5" x14ac:dyDescent="0.25">
      <c r="A1182" s="1"/>
      <c r="B1182" s="3">
        <v>44027</v>
      </c>
      <c r="C1182" s="4">
        <v>9.26</v>
      </c>
      <c r="D1182" s="4">
        <v>9.2415000000000003</v>
      </c>
      <c r="E1182" s="4">
        <v>0</v>
      </c>
      <c r="F1182" s="4">
        <v>0</v>
      </c>
      <c r="G1182" s="4">
        <v>0</v>
      </c>
      <c r="H1182" s="5">
        <f t="shared" si="18"/>
        <v>-4.4371600521167252E-2</v>
      </c>
    </row>
    <row r="1183" spans="1:8" ht="13.5" x14ac:dyDescent="0.25">
      <c r="A1183" s="1"/>
      <c r="B1183" s="3">
        <v>44028</v>
      </c>
      <c r="C1183" s="4">
        <v>9.26</v>
      </c>
      <c r="D1183" s="4">
        <v>9.2415000000000003</v>
      </c>
      <c r="E1183" s="4">
        <v>10</v>
      </c>
      <c r="F1183" s="4">
        <v>9.26</v>
      </c>
      <c r="G1183" s="4">
        <v>92.6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9.4600000000000009</v>
      </c>
      <c r="D1184" s="4">
        <v>9.4411000000000005</v>
      </c>
      <c r="E1184" s="4">
        <v>1</v>
      </c>
      <c r="F1184" s="4">
        <v>9.4600000000000009</v>
      </c>
      <c r="G1184" s="4">
        <v>9.4600000000000009</v>
      </c>
      <c r="H1184" s="5">
        <f t="shared" si="18"/>
        <v>2.1598225396310147E-2</v>
      </c>
    </row>
    <row r="1185" spans="1:8" ht="13.5" x14ac:dyDescent="0.25">
      <c r="A1185" s="1"/>
      <c r="B1185" s="3">
        <v>44032</v>
      </c>
      <c r="C1185" s="4">
        <v>9.74</v>
      </c>
      <c r="D1185" s="4">
        <v>9.7204999999999995</v>
      </c>
      <c r="E1185" s="4">
        <v>5</v>
      </c>
      <c r="F1185" s="4">
        <v>9.74</v>
      </c>
      <c r="G1185" s="4">
        <v>48.7</v>
      </c>
      <c r="H1185" s="5">
        <f t="shared" si="18"/>
        <v>2.9594009172659856E-2</v>
      </c>
    </row>
    <row r="1186" spans="1:8" ht="13.5" x14ac:dyDescent="0.25">
      <c r="A1186" s="1"/>
      <c r="B1186" s="3">
        <v>44033</v>
      </c>
      <c r="C1186" s="4">
        <v>9.74</v>
      </c>
      <c r="D1186" s="4">
        <v>9.7204999999999995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9.69</v>
      </c>
      <c r="D1187" s="4">
        <v>9.6706000000000003</v>
      </c>
      <c r="E1187" s="4">
        <v>1</v>
      </c>
      <c r="F1187" s="4">
        <v>9.98</v>
      </c>
      <c r="G1187" s="4">
        <v>9.98</v>
      </c>
      <c r="H1187" s="5">
        <f t="shared" si="18"/>
        <v>-5.1334807880252216E-3</v>
      </c>
    </row>
    <row r="1188" spans="1:8" ht="13.5" x14ac:dyDescent="0.25">
      <c r="A1188" s="1"/>
      <c r="B1188" s="3">
        <v>44035</v>
      </c>
      <c r="C1188" s="4">
        <v>9.9700000000000006</v>
      </c>
      <c r="D1188" s="4">
        <v>9.9501000000000008</v>
      </c>
      <c r="E1188" s="4">
        <v>5</v>
      </c>
      <c r="F1188" s="4">
        <v>9.9719999999999995</v>
      </c>
      <c r="G1188" s="4">
        <v>49.86</v>
      </c>
      <c r="H1188" s="5">
        <f t="shared" si="18"/>
        <v>2.890203296589669E-2</v>
      </c>
    </row>
    <row r="1189" spans="1:8" ht="13.5" x14ac:dyDescent="0.25">
      <c r="A1189" s="1"/>
      <c r="B1189" s="3">
        <v>44036</v>
      </c>
      <c r="C1189" s="4">
        <v>9.9700000000000006</v>
      </c>
      <c r="D1189" s="4">
        <v>9.9501000000000008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9.9700000000000006</v>
      </c>
      <c r="D1190" s="4">
        <v>9.9501000000000008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9.9700000000000006</v>
      </c>
      <c r="D1191" s="4">
        <v>9.9501000000000008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9.9700000000000006</v>
      </c>
      <c r="D1192" s="4">
        <v>9.9501000000000008</v>
      </c>
      <c r="E1192" s="4">
        <v>100</v>
      </c>
      <c r="F1192" s="4">
        <v>9.9700000000000006</v>
      </c>
      <c r="G1192" s="4">
        <v>997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9.9700000000000006</v>
      </c>
      <c r="D1193" s="4">
        <v>9.9501000000000008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9.9700000000000006</v>
      </c>
      <c r="D1194" s="4">
        <v>9.9501000000000008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9.9700000000000006</v>
      </c>
      <c r="D1195" s="4">
        <v>9.9501000000000008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9.9700000000000006</v>
      </c>
      <c r="D1196" s="4">
        <v>9.9501000000000008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9.9700000000000006</v>
      </c>
      <c r="D1197" s="4">
        <v>9.9501000000000008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9.9700000000000006</v>
      </c>
      <c r="D1198" s="4">
        <v>9.9501000000000008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9.9700000000000006</v>
      </c>
      <c r="D1199" s="4">
        <v>9.9501000000000008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9.9</v>
      </c>
      <c r="D1200" s="4">
        <v>9.8802000000000003</v>
      </c>
      <c r="E1200" s="4">
        <v>43</v>
      </c>
      <c r="F1200" s="4">
        <v>9.9</v>
      </c>
      <c r="G1200" s="4">
        <v>425.7</v>
      </c>
      <c r="H1200" s="5">
        <f t="shared" si="18"/>
        <v>-7.0250550245726691E-3</v>
      </c>
    </row>
    <row r="1201" spans="1:8" ht="13.5" x14ac:dyDescent="0.25">
      <c r="A1201" s="1"/>
      <c r="B1201" s="3">
        <v>44055</v>
      </c>
      <c r="C1201" s="4">
        <v>9.9</v>
      </c>
      <c r="D1201" s="4">
        <v>9.8802000000000003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9.9</v>
      </c>
      <c r="D1202" s="4">
        <v>9.8802000000000003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9.9</v>
      </c>
      <c r="D1203" s="4">
        <v>9.8802000000000003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9.9</v>
      </c>
      <c r="D1204" s="4">
        <v>9.8802000000000003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9.9</v>
      </c>
      <c r="D1205" s="4">
        <v>9.8802000000000003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9.61</v>
      </c>
      <c r="D1206" s="4">
        <v>9.5907999999999998</v>
      </c>
      <c r="E1206" s="4">
        <v>0</v>
      </c>
      <c r="F1206" s="4">
        <v>0</v>
      </c>
      <c r="G1206" s="4">
        <v>0</v>
      </c>
      <c r="H1206" s="5">
        <f t="shared" si="18"/>
        <v>-2.9290905042408104E-2</v>
      </c>
    </row>
    <row r="1207" spans="1:8" ht="13.5" x14ac:dyDescent="0.25">
      <c r="A1207" s="1"/>
      <c r="B1207" s="3">
        <v>44067</v>
      </c>
      <c r="C1207" s="4">
        <v>9.61</v>
      </c>
      <c r="D1207" s="4">
        <v>9.5907999999999998</v>
      </c>
      <c r="E1207" s="4">
        <v>8</v>
      </c>
      <c r="F1207" s="4">
        <v>9.61</v>
      </c>
      <c r="G1207" s="4">
        <v>76.88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9.61</v>
      </c>
      <c r="D1208" s="4">
        <v>9.5907999999999998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9.61</v>
      </c>
      <c r="D1209" s="4">
        <v>9.5907999999999998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9.61</v>
      </c>
      <c r="D1210" s="4">
        <v>9.5907999999999998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9.18</v>
      </c>
      <c r="D1211" s="4">
        <v>9.1616</v>
      </c>
      <c r="E1211" s="4">
        <v>0</v>
      </c>
      <c r="F1211" s="4">
        <v>0</v>
      </c>
      <c r="G1211" s="4">
        <v>0</v>
      </c>
      <c r="H1211" s="5">
        <f t="shared" si="18"/>
        <v>-4.4751219919089105E-2</v>
      </c>
    </row>
    <row r="1212" spans="1:8" ht="13.5" x14ac:dyDescent="0.25">
      <c r="A1212" s="1"/>
      <c r="B1212" s="3">
        <v>44074</v>
      </c>
      <c r="C1212" s="4">
        <v>9.18</v>
      </c>
      <c r="D1212" s="4">
        <v>9.1616</v>
      </c>
      <c r="E1212" s="4">
        <v>200</v>
      </c>
      <c r="F1212" s="4">
        <v>9.18</v>
      </c>
      <c r="G1212" s="4">
        <v>1836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9.18</v>
      </c>
      <c r="D1213" s="4">
        <v>9.1616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9.18</v>
      </c>
      <c r="D1214" s="4">
        <v>9.1616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9.18</v>
      </c>
      <c r="D1215" s="4">
        <v>9.1616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9.18</v>
      </c>
      <c r="D1216" s="4">
        <v>9.1616</v>
      </c>
      <c r="E1216" s="4">
        <v>0</v>
      </c>
      <c r="F1216" s="4">
        <v>0</v>
      </c>
      <c r="G1216" s="4">
        <v>0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9</v>
      </c>
      <c r="D1217" s="4">
        <v>8.9819999999999993</v>
      </c>
      <c r="E1217" s="4">
        <v>500</v>
      </c>
      <c r="F1217" s="4">
        <v>9</v>
      </c>
      <c r="G1217" s="4">
        <v>4500</v>
      </c>
      <c r="H1217" s="5">
        <f t="shared" si="18"/>
        <v>-1.9603562696472301E-2</v>
      </c>
    </row>
    <row r="1218" spans="1:8" ht="13.5" x14ac:dyDescent="0.25">
      <c r="A1218" s="1"/>
      <c r="B1218" s="3">
        <v>44082</v>
      </c>
      <c r="C1218" s="4">
        <v>8.7899999999999991</v>
      </c>
      <c r="D1218" s="4">
        <v>8.7723999999999993</v>
      </c>
      <c r="E1218" s="4">
        <v>775</v>
      </c>
      <c r="F1218" s="4">
        <v>8.7899999999999991</v>
      </c>
      <c r="G1218" s="4">
        <v>6812.25</v>
      </c>
      <c r="H1218" s="5">
        <f t="shared" si="18"/>
        <v>-2.3335560008906703E-2</v>
      </c>
    </row>
    <row r="1219" spans="1:8" ht="13.5" x14ac:dyDescent="0.25">
      <c r="A1219" s="1"/>
      <c r="B1219" s="3">
        <v>44083</v>
      </c>
      <c r="C1219" s="4">
        <v>8.7899999999999991</v>
      </c>
      <c r="D1219" s="4">
        <v>8.7723999999999993</v>
      </c>
      <c r="E1219" s="4">
        <v>0</v>
      </c>
      <c r="F1219" s="4">
        <v>0</v>
      </c>
      <c r="G1219" s="4">
        <v>0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8.56</v>
      </c>
      <c r="D1220" s="4">
        <v>8.5428999999999995</v>
      </c>
      <c r="E1220" s="4">
        <v>550</v>
      </c>
      <c r="F1220" s="4">
        <v>8.5635999999999992</v>
      </c>
      <c r="G1220" s="4">
        <v>4709.9799999999996</v>
      </c>
      <c r="H1220" s="5">
        <f t="shared" si="18"/>
        <v>-2.6161597738361204E-2</v>
      </c>
    </row>
    <row r="1221" spans="1:8" ht="13.5" x14ac:dyDescent="0.25">
      <c r="A1221" s="1"/>
      <c r="B1221" s="3">
        <v>44085</v>
      </c>
      <c r="C1221" s="4">
        <v>8.35</v>
      </c>
      <c r="D1221" s="4">
        <v>8.3332999999999995</v>
      </c>
      <c r="E1221" s="4">
        <v>665</v>
      </c>
      <c r="F1221" s="4">
        <v>8.35</v>
      </c>
      <c r="G1221" s="4">
        <v>5552.75</v>
      </c>
      <c r="H1221" s="5">
        <f t="shared" si="18"/>
        <v>-2.4534993971602151E-2</v>
      </c>
    </row>
    <row r="1222" spans="1:8" ht="13.5" x14ac:dyDescent="0.25">
      <c r="A1222" s="1"/>
      <c r="B1222" s="3">
        <v>44088</v>
      </c>
      <c r="C1222" s="4">
        <v>8.56</v>
      </c>
      <c r="D1222" s="4">
        <v>8.5428999999999995</v>
      </c>
      <c r="E1222" s="4">
        <v>1</v>
      </c>
      <c r="F1222" s="4">
        <v>8.56</v>
      </c>
      <c r="G1222" s="4">
        <v>8.56</v>
      </c>
      <c r="H1222" s="5">
        <f t="shared" si="18"/>
        <v>2.5152100608402436E-2</v>
      </c>
    </row>
    <row r="1223" spans="1:8" ht="13.5" x14ac:dyDescent="0.25">
      <c r="A1223" s="1"/>
      <c r="B1223" s="3">
        <v>44089</v>
      </c>
      <c r="C1223" s="4">
        <v>8.56</v>
      </c>
      <c r="D1223" s="4">
        <v>8.5428999999999995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8.35</v>
      </c>
      <c r="D1224" s="4">
        <v>8.3332999999999995</v>
      </c>
      <c r="E1224" s="4">
        <v>100</v>
      </c>
      <c r="F1224" s="4">
        <v>8.35</v>
      </c>
      <c r="G1224" s="4">
        <v>835</v>
      </c>
      <c r="H1224" s="5">
        <f t="shared" si="19"/>
        <v>-2.4534993971602151E-2</v>
      </c>
    </row>
    <row r="1225" spans="1:8" ht="13.5" x14ac:dyDescent="0.25">
      <c r="A1225" s="1"/>
      <c r="B1225" s="3">
        <v>44091</v>
      </c>
      <c r="C1225" s="4">
        <v>8.35</v>
      </c>
      <c r="D1225" s="4">
        <v>8.3332999999999995</v>
      </c>
      <c r="E1225" s="4">
        <v>200</v>
      </c>
      <c r="F1225" s="4">
        <v>8.35</v>
      </c>
      <c r="G1225" s="4">
        <v>1670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8.3000000000000007</v>
      </c>
      <c r="D1226" s="4">
        <v>8.2834000000000003</v>
      </c>
      <c r="E1226" s="4">
        <v>590</v>
      </c>
      <c r="F1226" s="4">
        <v>8.3007000000000009</v>
      </c>
      <c r="G1226" s="4">
        <v>4897.4129999999996</v>
      </c>
      <c r="H1226" s="5">
        <f t="shared" si="19"/>
        <v>-5.988023952095709E-3</v>
      </c>
    </row>
    <row r="1227" spans="1:8" ht="13.5" x14ac:dyDescent="0.25">
      <c r="A1227" s="1"/>
      <c r="B1227" s="3">
        <v>44095</v>
      </c>
      <c r="C1227" s="4">
        <v>8.3000000000000007</v>
      </c>
      <c r="D1227" s="4">
        <v>8.2834000000000003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8.3000000000000007</v>
      </c>
      <c r="D1228" s="4">
        <v>8.2834000000000003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8.3000000000000007</v>
      </c>
      <c r="D1229" s="4">
        <v>8.2834000000000003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8.35</v>
      </c>
      <c r="D1230" s="4">
        <v>8.3332999999999995</v>
      </c>
      <c r="E1230" s="4">
        <v>716</v>
      </c>
      <c r="F1230" s="4">
        <v>8.3223000000000003</v>
      </c>
      <c r="G1230" s="4">
        <v>5958.7668000000003</v>
      </c>
      <c r="H1230" s="5">
        <f t="shared" si="19"/>
        <v>6.0240963855420675E-3</v>
      </c>
    </row>
    <row r="1231" spans="1:8" ht="13.5" x14ac:dyDescent="0.25">
      <c r="A1231" s="1"/>
      <c r="B1231" s="3">
        <v>44099</v>
      </c>
      <c r="C1231" s="4">
        <v>8.35</v>
      </c>
      <c r="D1231" s="4">
        <v>8.3332999999999995</v>
      </c>
      <c r="E1231" s="4">
        <v>430</v>
      </c>
      <c r="F1231" s="4">
        <v>8.3419000000000008</v>
      </c>
      <c r="G1231" s="4">
        <v>3587.0169999999998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8.3000000000000007</v>
      </c>
      <c r="D1232" s="4">
        <v>8.2834000000000003</v>
      </c>
      <c r="E1232" s="4">
        <v>109</v>
      </c>
      <c r="F1232" s="4">
        <v>8.3413000000000004</v>
      </c>
      <c r="G1232" s="4">
        <v>909.20169999999996</v>
      </c>
      <c r="H1232" s="5">
        <f t="shared" si="19"/>
        <v>-5.988023952095709E-3</v>
      </c>
    </row>
    <row r="1233" spans="1:8" ht="13.5" x14ac:dyDescent="0.25">
      <c r="A1233" s="1"/>
      <c r="B1233" s="3">
        <v>44103</v>
      </c>
      <c r="C1233" s="4">
        <v>8.35</v>
      </c>
      <c r="D1233" s="4">
        <v>8.3332999999999995</v>
      </c>
      <c r="E1233" s="4">
        <v>80</v>
      </c>
      <c r="F1233" s="4">
        <v>8.35</v>
      </c>
      <c r="G1233" s="4">
        <v>668</v>
      </c>
      <c r="H1233" s="5">
        <f t="shared" si="19"/>
        <v>6.0240963855420675E-3</v>
      </c>
    </row>
    <row r="1234" spans="1:8" ht="13.5" x14ac:dyDescent="0.25">
      <c r="A1234" s="1"/>
      <c r="B1234" s="3">
        <v>44104</v>
      </c>
      <c r="C1234" s="4">
        <v>8.35</v>
      </c>
      <c r="D1234" s="4">
        <v>8.3332999999999995</v>
      </c>
      <c r="E1234" s="4">
        <v>100</v>
      </c>
      <c r="F1234" s="4">
        <v>8.35</v>
      </c>
      <c r="G1234" s="4">
        <v>835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8.6</v>
      </c>
      <c r="D1235" s="4">
        <v>8.5828000000000007</v>
      </c>
      <c r="E1235" s="4">
        <v>0</v>
      </c>
      <c r="F1235" s="4">
        <v>0</v>
      </c>
      <c r="G1235" s="4">
        <v>0</v>
      </c>
      <c r="H1235" s="5">
        <f t="shared" si="19"/>
        <v>2.9940119760479184E-2</v>
      </c>
    </row>
    <row r="1236" spans="1:8" ht="13.5" x14ac:dyDescent="0.25">
      <c r="A1236" s="1"/>
      <c r="B1236" s="3">
        <v>44106</v>
      </c>
      <c r="C1236" s="4">
        <v>8.85</v>
      </c>
      <c r="D1236" s="4">
        <v>8.8323</v>
      </c>
      <c r="E1236" s="4">
        <v>20</v>
      </c>
      <c r="F1236" s="4">
        <v>8.85</v>
      </c>
      <c r="G1236" s="4">
        <v>177</v>
      </c>
      <c r="H1236" s="5">
        <f t="shared" si="19"/>
        <v>2.9069767441860392E-2</v>
      </c>
    </row>
    <row r="1237" spans="1:8" ht="13.5" x14ac:dyDescent="0.25">
      <c r="A1237" s="1"/>
      <c r="B1237" s="3">
        <v>44109</v>
      </c>
      <c r="C1237" s="4">
        <v>9.11</v>
      </c>
      <c r="D1237" s="4">
        <v>9.0917999999999992</v>
      </c>
      <c r="E1237" s="4">
        <v>4</v>
      </c>
      <c r="F1237" s="4">
        <v>9.11</v>
      </c>
      <c r="G1237" s="4">
        <v>36.44</v>
      </c>
      <c r="H1237" s="5">
        <f t="shared" si="19"/>
        <v>2.9380795489283559E-2</v>
      </c>
    </row>
    <row r="1238" spans="1:8" ht="13.5" x14ac:dyDescent="0.25">
      <c r="A1238" s="1"/>
      <c r="B1238" s="3">
        <v>44110</v>
      </c>
      <c r="C1238" s="4">
        <v>9.11</v>
      </c>
      <c r="D1238" s="4">
        <v>9.0917999999999992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9.11</v>
      </c>
      <c r="D1239" s="4">
        <v>9.0917999999999992</v>
      </c>
      <c r="E1239" s="4">
        <v>0</v>
      </c>
      <c r="F1239" s="4">
        <v>0</v>
      </c>
      <c r="G1239" s="4">
        <v>0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8.89</v>
      </c>
      <c r="D1240" s="4">
        <v>8.8721999999999994</v>
      </c>
      <c r="E1240" s="4">
        <v>14150</v>
      </c>
      <c r="F1240" s="4">
        <v>8.89</v>
      </c>
      <c r="G1240" s="4">
        <v>125793.5</v>
      </c>
      <c r="H1240" s="5">
        <f t="shared" si="19"/>
        <v>-2.4153632943971472E-2</v>
      </c>
    </row>
    <row r="1241" spans="1:8" ht="13.5" x14ac:dyDescent="0.25">
      <c r="A1241" s="1"/>
      <c r="B1241" s="3">
        <v>44113</v>
      </c>
      <c r="C1241" s="4">
        <v>8.89</v>
      </c>
      <c r="D1241" s="4">
        <v>8.8721999999999994</v>
      </c>
      <c r="E1241" s="4">
        <v>0</v>
      </c>
      <c r="F1241" s="4">
        <v>0</v>
      </c>
      <c r="G1241" s="4">
        <v>0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8.89</v>
      </c>
      <c r="D1242" s="4">
        <v>8.8721999999999994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8.89</v>
      </c>
      <c r="D1243" s="4">
        <v>8.8721999999999994</v>
      </c>
      <c r="E1243" s="4">
        <v>0</v>
      </c>
      <c r="F1243" s="4">
        <v>0</v>
      </c>
      <c r="G1243" s="4">
        <v>0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8.89</v>
      </c>
      <c r="D1244" s="4">
        <v>8.8721999999999994</v>
      </c>
      <c r="E1244" s="4">
        <v>0</v>
      </c>
      <c r="F1244" s="4">
        <v>0</v>
      </c>
      <c r="G1244" s="4">
        <v>0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8.49</v>
      </c>
      <c r="D1245" s="4">
        <v>8.4730000000000008</v>
      </c>
      <c r="E1245" s="4">
        <v>0</v>
      </c>
      <c r="F1245" s="4">
        <v>0</v>
      </c>
      <c r="G1245" s="4">
        <v>0</v>
      </c>
      <c r="H1245" s="5">
        <f t="shared" si="19"/>
        <v>-4.4994477130812956E-2</v>
      </c>
    </row>
    <row r="1246" spans="1:8" ht="13.5" x14ac:dyDescent="0.25">
      <c r="A1246" s="1"/>
      <c r="B1246" s="3">
        <v>44123</v>
      </c>
      <c r="C1246" s="4">
        <v>8.11</v>
      </c>
      <c r="D1246" s="4">
        <v>8.0937999999999999</v>
      </c>
      <c r="E1246" s="4">
        <v>494</v>
      </c>
      <c r="F1246" s="4">
        <v>8.11</v>
      </c>
      <c r="G1246" s="4">
        <v>4006.34</v>
      </c>
      <c r="H1246" s="5">
        <f t="shared" si="19"/>
        <v>-4.4753924229906858E-2</v>
      </c>
    </row>
    <row r="1247" spans="1:8" ht="13.5" x14ac:dyDescent="0.25">
      <c r="A1247" s="1"/>
      <c r="B1247" s="3">
        <v>44124</v>
      </c>
      <c r="C1247" s="4">
        <v>8.6</v>
      </c>
      <c r="D1247" s="4">
        <v>8.5828000000000007</v>
      </c>
      <c r="E1247" s="4">
        <v>14</v>
      </c>
      <c r="F1247" s="4">
        <v>8.2964000000000002</v>
      </c>
      <c r="G1247" s="4">
        <v>116.14960000000001</v>
      </c>
      <c r="H1247" s="5">
        <f t="shared" si="19"/>
        <v>6.0416615186933302E-2</v>
      </c>
    </row>
    <row r="1248" spans="1:8" ht="13.5" x14ac:dyDescent="0.25">
      <c r="A1248" s="1"/>
      <c r="B1248" s="3">
        <v>44125</v>
      </c>
      <c r="C1248" s="4">
        <v>8.6</v>
      </c>
      <c r="D1248" s="4">
        <v>8.5828000000000007</v>
      </c>
      <c r="E1248" s="4">
        <v>151</v>
      </c>
      <c r="F1248" s="4">
        <v>8.6016999999999992</v>
      </c>
      <c r="G1248" s="4">
        <v>1298.8567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8.6</v>
      </c>
      <c r="D1249" s="4">
        <v>8.5828000000000007</v>
      </c>
      <c r="E1249" s="4">
        <v>390</v>
      </c>
      <c r="F1249" s="4">
        <v>8.6</v>
      </c>
      <c r="G1249" s="4">
        <v>3354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8.2200000000000006</v>
      </c>
      <c r="D1250" s="4">
        <v>8.2035999999999998</v>
      </c>
      <c r="E1250" s="4">
        <v>30</v>
      </c>
      <c r="F1250" s="4">
        <v>8.2200000000000006</v>
      </c>
      <c r="G1250" s="4">
        <v>246.6</v>
      </c>
      <c r="H1250" s="5">
        <f t="shared" si="19"/>
        <v>-4.4181386027869793E-2</v>
      </c>
    </row>
    <row r="1251" spans="1:8" ht="13.5" x14ac:dyDescent="0.25">
      <c r="A1251" s="1"/>
      <c r="B1251" s="3">
        <v>44130</v>
      </c>
      <c r="C1251" s="4">
        <v>8.4600000000000009</v>
      </c>
      <c r="D1251" s="4">
        <v>8.4430999999999994</v>
      </c>
      <c r="E1251" s="4">
        <v>11</v>
      </c>
      <c r="F1251" s="4">
        <v>8.4600000000000009</v>
      </c>
      <c r="G1251" s="4">
        <v>93.06</v>
      </c>
      <c r="H1251" s="5">
        <f t="shared" si="19"/>
        <v>2.9194499975620413E-2</v>
      </c>
    </row>
    <row r="1252" spans="1:8" ht="13.5" x14ac:dyDescent="0.25">
      <c r="A1252" s="1"/>
      <c r="B1252" s="3">
        <v>44131</v>
      </c>
      <c r="C1252" s="4">
        <v>8.6</v>
      </c>
      <c r="D1252" s="4">
        <v>8.5828000000000007</v>
      </c>
      <c r="E1252" s="4">
        <v>1</v>
      </c>
      <c r="F1252" s="4">
        <v>8.6</v>
      </c>
      <c r="G1252" s="4">
        <v>8.6</v>
      </c>
      <c r="H1252" s="5">
        <f t="shared" si="19"/>
        <v>1.6546055358813858E-2</v>
      </c>
    </row>
    <row r="1253" spans="1:8" ht="13.5" x14ac:dyDescent="0.25">
      <c r="A1253" s="1"/>
      <c r="B1253" s="3">
        <v>44132</v>
      </c>
      <c r="C1253" s="4">
        <v>8.6</v>
      </c>
      <c r="D1253" s="4">
        <v>8.5828000000000007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8.6</v>
      </c>
      <c r="D1254" s="4">
        <v>8.5828000000000007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8.35</v>
      </c>
      <c r="D1255" s="4">
        <v>8.3332999999999995</v>
      </c>
      <c r="E1255" s="4">
        <v>0</v>
      </c>
      <c r="F1255" s="4">
        <v>0</v>
      </c>
      <c r="G1255" s="4">
        <v>0</v>
      </c>
      <c r="H1255" s="5">
        <f t="shared" si="19"/>
        <v>-2.90697674418606E-2</v>
      </c>
    </row>
    <row r="1256" spans="1:8" ht="13.5" x14ac:dyDescent="0.25">
      <c r="A1256" s="1"/>
      <c r="B1256" s="3">
        <v>44138</v>
      </c>
      <c r="C1256" s="4">
        <v>8.4700000000000006</v>
      </c>
      <c r="D1256" s="4">
        <v>8.4530999999999992</v>
      </c>
      <c r="E1256" s="4">
        <v>50</v>
      </c>
      <c r="F1256" s="4">
        <v>8.11</v>
      </c>
      <c r="G1256" s="4">
        <v>405.5</v>
      </c>
      <c r="H1256" s="5">
        <f t="shared" si="19"/>
        <v>1.437605750422998E-2</v>
      </c>
    </row>
    <row r="1257" spans="1:8" ht="13.5" x14ac:dyDescent="0.25">
      <c r="A1257" s="1"/>
      <c r="B1257" s="3">
        <v>44139</v>
      </c>
      <c r="C1257" s="4">
        <v>8.35</v>
      </c>
      <c r="D1257" s="4">
        <v>8.3332999999999995</v>
      </c>
      <c r="E1257" s="4">
        <v>70</v>
      </c>
      <c r="F1257" s="4">
        <v>8.3536000000000001</v>
      </c>
      <c r="G1257" s="4">
        <v>584.75199999999995</v>
      </c>
      <c r="H1257" s="5">
        <f t="shared" si="19"/>
        <v>-1.417231548189418E-2</v>
      </c>
    </row>
    <row r="1258" spans="1:8" ht="13.5" x14ac:dyDescent="0.25">
      <c r="A1258" s="1"/>
      <c r="B1258" s="3">
        <v>44140</v>
      </c>
      <c r="C1258" s="4">
        <v>8.35</v>
      </c>
      <c r="D1258" s="4">
        <v>8.3332999999999995</v>
      </c>
      <c r="E1258" s="4">
        <v>0</v>
      </c>
      <c r="F1258" s="4">
        <v>0</v>
      </c>
      <c r="G1258" s="4">
        <v>0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8.35</v>
      </c>
      <c r="D1259" s="4">
        <v>8.3332999999999995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8.35</v>
      </c>
      <c r="D1260" s="4">
        <v>8.3332999999999995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8.35</v>
      </c>
      <c r="D1261" s="4">
        <v>8.3332999999999995</v>
      </c>
      <c r="E1261" s="4">
        <v>0</v>
      </c>
      <c r="F1261" s="4">
        <v>0</v>
      </c>
      <c r="G1261" s="4">
        <v>0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8.35</v>
      </c>
      <c r="D1262" s="4">
        <v>8.3332999999999995</v>
      </c>
      <c r="E1262" s="4">
        <v>0</v>
      </c>
      <c r="F1262" s="4">
        <v>0</v>
      </c>
      <c r="G1262" s="4">
        <v>0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8.35</v>
      </c>
      <c r="D1263" s="4">
        <v>8.3332999999999995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8.1</v>
      </c>
      <c r="D1264" s="4">
        <v>8.0838000000000001</v>
      </c>
      <c r="E1264" s="4">
        <v>549</v>
      </c>
      <c r="F1264" s="4">
        <v>8.1</v>
      </c>
      <c r="G1264" s="4">
        <v>4446.8999999999996</v>
      </c>
      <c r="H1264" s="5">
        <f t="shared" si="19"/>
        <v>-2.9940119760478969E-2</v>
      </c>
    </row>
    <row r="1265" spans="1:8" ht="13.5" x14ac:dyDescent="0.25">
      <c r="A1265" s="1"/>
      <c r="B1265" s="3">
        <v>44151</v>
      </c>
      <c r="C1265" s="4">
        <v>8.1</v>
      </c>
      <c r="D1265" s="4">
        <v>8.0838000000000001</v>
      </c>
      <c r="E1265" s="4">
        <v>253</v>
      </c>
      <c r="F1265" s="4">
        <v>8.1</v>
      </c>
      <c r="G1265" s="4">
        <v>2049.3000000000002</v>
      </c>
      <c r="H1265" s="5">
        <f t="shared" si="19"/>
        <v>0</v>
      </c>
    </row>
    <row r="1266" spans="1:8" ht="13.5" x14ac:dyDescent="0.25">
      <c r="A1266" s="1"/>
      <c r="B1266" s="3">
        <v>44152</v>
      </c>
      <c r="C1266" s="4">
        <v>8.1</v>
      </c>
      <c r="D1266" s="4">
        <v>8.0838000000000001</v>
      </c>
      <c r="E1266" s="4">
        <v>0</v>
      </c>
      <c r="F1266" s="4">
        <v>0</v>
      </c>
      <c r="G1266" s="4">
        <v>0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7.96</v>
      </c>
      <c r="D1267" s="4">
        <v>7.9440999999999997</v>
      </c>
      <c r="E1267" s="4">
        <v>668</v>
      </c>
      <c r="F1267" s="4">
        <v>7.9995000000000003</v>
      </c>
      <c r="G1267" s="4">
        <v>5343.6660000000002</v>
      </c>
      <c r="H1267" s="5">
        <f t="shared" si="19"/>
        <v>-1.7281476533313588E-2</v>
      </c>
    </row>
    <row r="1268" spans="1:8" ht="13.5" x14ac:dyDescent="0.25">
      <c r="A1268" s="1"/>
      <c r="B1268" s="3">
        <v>44154</v>
      </c>
      <c r="C1268" s="4">
        <v>7.96</v>
      </c>
      <c r="D1268" s="4">
        <v>7.9440999999999997</v>
      </c>
      <c r="E1268" s="4">
        <v>0</v>
      </c>
      <c r="F1268" s="4">
        <v>0</v>
      </c>
      <c r="G1268" s="4">
        <v>0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7.8</v>
      </c>
      <c r="D1269" s="4">
        <v>7.7843999999999998</v>
      </c>
      <c r="E1269" s="4">
        <v>240</v>
      </c>
      <c r="F1269" s="4">
        <v>7.8452000000000002</v>
      </c>
      <c r="G1269" s="4">
        <v>1882.848</v>
      </c>
      <c r="H1269" s="5">
        <f t="shared" si="19"/>
        <v>-2.0102969499376892E-2</v>
      </c>
    </row>
    <row r="1270" spans="1:8" ht="13.5" x14ac:dyDescent="0.25">
      <c r="A1270" s="1"/>
      <c r="B1270" s="3">
        <v>44158</v>
      </c>
      <c r="C1270" s="4">
        <v>7.8</v>
      </c>
      <c r="D1270" s="4">
        <v>7.7843999999999998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7.8</v>
      </c>
      <c r="D1271" s="4">
        <v>7.7843999999999998</v>
      </c>
      <c r="E1271" s="4">
        <v>0</v>
      </c>
      <c r="F1271" s="4">
        <v>0</v>
      </c>
      <c r="G1271" s="4">
        <v>0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7.62</v>
      </c>
      <c r="D1272" s="4">
        <v>7.6048</v>
      </c>
      <c r="E1272" s="4">
        <v>105</v>
      </c>
      <c r="F1272" s="4">
        <v>7.62</v>
      </c>
      <c r="G1272" s="4">
        <v>800.1</v>
      </c>
      <c r="H1272" s="5">
        <f t="shared" si="19"/>
        <v>-2.3071784594830658E-2</v>
      </c>
    </row>
    <row r="1273" spans="1:8" ht="13.5" x14ac:dyDescent="0.25">
      <c r="A1273" s="1"/>
      <c r="B1273" s="3">
        <v>44161</v>
      </c>
      <c r="C1273" s="4">
        <v>8</v>
      </c>
      <c r="D1273" s="4">
        <v>7.984</v>
      </c>
      <c r="E1273" s="4">
        <v>80</v>
      </c>
      <c r="F1273" s="4">
        <v>7.86</v>
      </c>
      <c r="G1273" s="4">
        <v>628.79999999999995</v>
      </c>
      <c r="H1273" s="5">
        <f t="shared" si="19"/>
        <v>4.9863244266778871E-2</v>
      </c>
    </row>
    <row r="1274" spans="1:8" ht="13.5" x14ac:dyDescent="0.25">
      <c r="A1274" s="1"/>
      <c r="B1274" s="3">
        <v>44162</v>
      </c>
      <c r="C1274" s="4">
        <v>8</v>
      </c>
      <c r="D1274" s="4">
        <v>7.984</v>
      </c>
      <c r="E1274" s="4">
        <v>0</v>
      </c>
      <c r="F1274" s="4">
        <v>0</v>
      </c>
      <c r="G1274" s="4">
        <v>0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7.98</v>
      </c>
      <c r="D1275" s="4">
        <v>7.9640000000000004</v>
      </c>
      <c r="E1275" s="4">
        <v>755</v>
      </c>
      <c r="F1275" s="4">
        <v>7.9074</v>
      </c>
      <c r="G1275" s="4">
        <v>5970.0870000000004</v>
      </c>
      <c r="H1275" s="5">
        <f t="shared" si="19"/>
        <v>-2.5050100200400267E-3</v>
      </c>
    </row>
    <row r="1276" spans="1:8" ht="13.5" x14ac:dyDescent="0.25">
      <c r="A1276" s="1"/>
      <c r="B1276" s="3">
        <v>44166</v>
      </c>
      <c r="C1276" s="4">
        <v>7.97</v>
      </c>
      <c r="D1276" s="4">
        <v>7.9541000000000004</v>
      </c>
      <c r="E1276" s="4">
        <v>205</v>
      </c>
      <c r="F1276" s="4">
        <v>7.9759000000000002</v>
      </c>
      <c r="G1276" s="4">
        <v>1635.0595000000001</v>
      </c>
      <c r="H1276" s="5">
        <f t="shared" si="19"/>
        <v>-1.2430939226519362E-3</v>
      </c>
    </row>
    <row r="1277" spans="1:8" ht="13.5" x14ac:dyDescent="0.25">
      <c r="A1277" s="1"/>
      <c r="B1277" s="3">
        <v>44167</v>
      </c>
      <c r="C1277" s="4">
        <v>7.96</v>
      </c>
      <c r="D1277" s="4">
        <v>7.9440999999999997</v>
      </c>
      <c r="E1277" s="4">
        <v>15</v>
      </c>
      <c r="F1277" s="4">
        <v>8.2799999999999994</v>
      </c>
      <c r="G1277" s="4">
        <v>124.2</v>
      </c>
      <c r="H1277" s="5">
        <f t="shared" si="19"/>
        <v>-1.2572132610855628E-3</v>
      </c>
    </row>
    <row r="1278" spans="1:8" ht="13.5" x14ac:dyDescent="0.25">
      <c r="A1278" s="1"/>
      <c r="B1278" s="3">
        <v>44168</v>
      </c>
      <c r="C1278" s="4">
        <v>7.62</v>
      </c>
      <c r="D1278" s="4">
        <v>7.6048</v>
      </c>
      <c r="E1278" s="4">
        <v>485</v>
      </c>
      <c r="F1278" s="4">
        <v>7.62</v>
      </c>
      <c r="G1278" s="4">
        <v>3695.7</v>
      </c>
      <c r="H1278" s="5">
        <f t="shared" si="19"/>
        <v>-4.2710942712201473E-2</v>
      </c>
    </row>
    <row r="1279" spans="1:8" ht="13.5" x14ac:dyDescent="0.25">
      <c r="A1279" s="1"/>
      <c r="B1279" s="3">
        <v>44169</v>
      </c>
      <c r="C1279" s="4">
        <v>7.63</v>
      </c>
      <c r="D1279" s="4">
        <v>7.6147</v>
      </c>
      <c r="E1279" s="4">
        <v>2807</v>
      </c>
      <c r="F1279" s="4">
        <v>7.6257000000000001</v>
      </c>
      <c r="G1279" s="4">
        <v>21405.339899999999</v>
      </c>
      <c r="H1279" s="5">
        <f t="shared" si="19"/>
        <v>1.301809383547236E-3</v>
      </c>
    </row>
    <row r="1280" spans="1:8" ht="13.5" x14ac:dyDescent="0.25">
      <c r="A1280" s="1"/>
      <c r="B1280" s="3">
        <v>44172</v>
      </c>
      <c r="C1280" s="4">
        <v>7.85</v>
      </c>
      <c r="D1280" s="4">
        <v>7.8342999999999998</v>
      </c>
      <c r="E1280" s="4">
        <v>5</v>
      </c>
      <c r="F1280" s="4">
        <v>7.85</v>
      </c>
      <c r="G1280" s="4">
        <v>39.25</v>
      </c>
      <c r="H1280" s="5">
        <f t="shared" si="19"/>
        <v>2.8838956229398374E-2</v>
      </c>
    </row>
    <row r="1281" spans="1:8" ht="13.5" x14ac:dyDescent="0.25">
      <c r="A1281" s="1"/>
      <c r="B1281" s="3">
        <v>44173</v>
      </c>
      <c r="C1281" s="4">
        <v>8.07</v>
      </c>
      <c r="D1281" s="4">
        <v>8.0539000000000005</v>
      </c>
      <c r="E1281" s="4">
        <v>482</v>
      </c>
      <c r="F1281" s="4">
        <v>8.0732999999999997</v>
      </c>
      <c r="G1281" s="4">
        <v>3891.3305999999998</v>
      </c>
      <c r="H1281" s="5">
        <f t="shared" si="19"/>
        <v>2.8030583459913546E-2</v>
      </c>
    </row>
    <row r="1282" spans="1:8" ht="13.5" x14ac:dyDescent="0.25">
      <c r="A1282" s="1"/>
      <c r="B1282" s="3">
        <v>44174</v>
      </c>
      <c r="C1282" s="4">
        <v>8.3000000000000007</v>
      </c>
      <c r="D1282" s="4">
        <v>8.2834000000000003</v>
      </c>
      <c r="E1282" s="4">
        <v>6071</v>
      </c>
      <c r="F1282" s="4">
        <v>8.3000000000000007</v>
      </c>
      <c r="G1282" s="4">
        <v>50389.3</v>
      </c>
      <c r="H1282" s="5">
        <f t="shared" si="19"/>
        <v>2.8495511491327157E-2</v>
      </c>
    </row>
    <row r="1283" spans="1:8" ht="13.5" x14ac:dyDescent="0.25">
      <c r="A1283" s="1"/>
      <c r="B1283" s="3">
        <v>44175</v>
      </c>
      <c r="C1283" s="4">
        <v>8.2899999999999991</v>
      </c>
      <c r="D1283" s="4">
        <v>8.2734000000000005</v>
      </c>
      <c r="E1283" s="4">
        <v>404</v>
      </c>
      <c r="F1283" s="4">
        <v>8.2899999999999991</v>
      </c>
      <c r="G1283" s="4">
        <v>3349.16</v>
      </c>
      <c r="H1283" s="5">
        <f t="shared" si="19"/>
        <v>-1.2072337445976032E-3</v>
      </c>
    </row>
    <row r="1284" spans="1:8" ht="13.5" x14ac:dyDescent="0.25">
      <c r="A1284" s="1"/>
      <c r="B1284" s="3">
        <v>44176</v>
      </c>
      <c r="C1284" s="4">
        <v>8.2899999999999991</v>
      </c>
      <c r="D1284" s="4">
        <v>8.2734000000000005</v>
      </c>
      <c r="E1284" s="4">
        <v>0</v>
      </c>
      <c r="F1284" s="4">
        <v>0</v>
      </c>
      <c r="G1284" s="4">
        <v>0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7.92</v>
      </c>
      <c r="D1285" s="4">
        <v>7.9042000000000003</v>
      </c>
      <c r="E1285" s="4">
        <v>0</v>
      </c>
      <c r="F1285" s="4">
        <v>0</v>
      </c>
      <c r="G1285" s="4">
        <v>0</v>
      </c>
      <c r="H1285" s="5">
        <f t="shared" si="19"/>
        <v>-4.4624942587086346E-2</v>
      </c>
    </row>
    <row r="1286" spans="1:8" ht="13.5" x14ac:dyDescent="0.25">
      <c r="A1286" s="1"/>
      <c r="B1286" s="3">
        <v>44180</v>
      </c>
      <c r="C1286" s="4">
        <v>8</v>
      </c>
      <c r="D1286" s="4">
        <v>7.984</v>
      </c>
      <c r="E1286" s="4">
        <v>4</v>
      </c>
      <c r="F1286" s="4">
        <v>8</v>
      </c>
      <c r="G1286" s="4">
        <v>32</v>
      </c>
      <c r="H1286" s="5">
        <f t="shared" si="19"/>
        <v>1.0095898383138034E-2</v>
      </c>
    </row>
    <row r="1287" spans="1:8" ht="13.5" x14ac:dyDescent="0.25">
      <c r="A1287" s="1"/>
      <c r="B1287" s="3">
        <v>44181</v>
      </c>
      <c r="C1287" s="4">
        <v>7.87</v>
      </c>
      <c r="D1287" s="4">
        <v>7.8543000000000003</v>
      </c>
      <c r="E1287" s="4">
        <v>84</v>
      </c>
      <c r="F1287" s="4">
        <v>7.8875999999999999</v>
      </c>
      <c r="G1287" s="4">
        <v>662.55840000000001</v>
      </c>
      <c r="H1287" s="5">
        <f t="shared" ref="H1287:H1350" si="20">(D1287-D1286)/D1286</f>
        <v>-1.6244989979959882E-2</v>
      </c>
    </row>
    <row r="1288" spans="1:8" ht="13.5" x14ac:dyDescent="0.25">
      <c r="A1288" s="1"/>
      <c r="B1288" s="3">
        <v>44182</v>
      </c>
      <c r="C1288" s="4">
        <v>7.84</v>
      </c>
      <c r="D1288" s="4">
        <v>7.8243</v>
      </c>
      <c r="E1288" s="4">
        <v>597</v>
      </c>
      <c r="F1288" s="4">
        <v>7.8498999999999999</v>
      </c>
      <c r="G1288" s="4">
        <v>4686.3903</v>
      </c>
      <c r="H1288" s="5">
        <f t="shared" si="20"/>
        <v>-3.8195638058134075E-3</v>
      </c>
    </row>
    <row r="1289" spans="1:8" ht="13.5" x14ac:dyDescent="0.25">
      <c r="A1289" s="1"/>
      <c r="B1289" s="3">
        <v>44183</v>
      </c>
      <c r="C1289" s="4">
        <v>8.19</v>
      </c>
      <c r="D1289" s="4">
        <v>8.1736000000000004</v>
      </c>
      <c r="E1289" s="4">
        <v>636</v>
      </c>
      <c r="F1289" s="4">
        <v>7.5</v>
      </c>
      <c r="G1289" s="4">
        <v>4770</v>
      </c>
      <c r="H1289" s="5">
        <f t="shared" si="20"/>
        <v>4.4642971256214664E-2</v>
      </c>
    </row>
    <row r="1290" spans="1:8" ht="13.5" x14ac:dyDescent="0.25">
      <c r="A1290" s="1"/>
      <c r="B1290" s="3">
        <v>44186</v>
      </c>
      <c r="C1290" s="4">
        <v>8.19</v>
      </c>
      <c r="D1290" s="4">
        <v>8.1736000000000004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8.19</v>
      </c>
      <c r="D1291" s="4">
        <v>8.1736000000000004</v>
      </c>
      <c r="E1291" s="4">
        <v>0</v>
      </c>
      <c r="F1291" s="4">
        <v>0</v>
      </c>
      <c r="G1291" s="4">
        <v>0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8.19</v>
      </c>
      <c r="D1292" s="4">
        <v>8.1736000000000004</v>
      </c>
      <c r="E1292" s="4">
        <v>0</v>
      </c>
      <c r="F1292" s="4">
        <v>0</v>
      </c>
      <c r="G1292" s="4">
        <v>0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8.3000000000000007</v>
      </c>
      <c r="D1293" s="4">
        <v>8.2834000000000003</v>
      </c>
      <c r="E1293" s="4">
        <v>2</v>
      </c>
      <c r="F1293" s="4">
        <v>8.3000000000000007</v>
      </c>
      <c r="G1293" s="4">
        <v>16.600000000000001</v>
      </c>
      <c r="H1293" s="5">
        <f t="shared" si="20"/>
        <v>1.343349319761181E-2</v>
      </c>
    </row>
    <row r="1294" spans="1:8" ht="13.5" x14ac:dyDescent="0.25">
      <c r="A1294" s="1"/>
      <c r="B1294" s="3">
        <v>44190</v>
      </c>
      <c r="C1294" s="4">
        <v>8.3000000000000007</v>
      </c>
      <c r="D1294" s="4">
        <v>8.2834000000000003</v>
      </c>
      <c r="E1294" s="4">
        <v>0</v>
      </c>
      <c r="F1294" s="4">
        <v>0</v>
      </c>
      <c r="G1294" s="4">
        <v>0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8.3000000000000007</v>
      </c>
      <c r="D1295" s="4">
        <v>8.2834000000000003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8.3000000000000007</v>
      </c>
      <c r="D1296" s="4">
        <v>8.2834000000000003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8</v>
      </c>
      <c r="D1297" s="4">
        <v>7.984</v>
      </c>
      <c r="E1297" s="4">
        <v>410</v>
      </c>
      <c r="F1297" s="4">
        <v>8</v>
      </c>
      <c r="G1297" s="4">
        <v>3280</v>
      </c>
      <c r="H1297" s="5">
        <f t="shared" si="20"/>
        <v>-3.6144578313253052E-2</v>
      </c>
    </row>
    <row r="1298" spans="1:8" ht="13.5" x14ac:dyDescent="0.25">
      <c r="A1298" s="1"/>
      <c r="B1298" s="3">
        <v>44196</v>
      </c>
      <c r="C1298" s="4">
        <v>7.98</v>
      </c>
      <c r="D1298" s="4">
        <v>7.9640000000000004</v>
      </c>
      <c r="E1298" s="4">
        <v>120</v>
      </c>
      <c r="F1298" s="4">
        <v>7.9966999999999997</v>
      </c>
      <c r="G1298" s="4">
        <v>959.60400000000004</v>
      </c>
      <c r="H1298" s="5">
        <f t="shared" si="20"/>
        <v>-2.5050100200400267E-3</v>
      </c>
    </row>
    <row r="1299" spans="1:8" ht="13.5" x14ac:dyDescent="0.25">
      <c r="A1299" s="1"/>
      <c r="B1299" s="3">
        <v>44200</v>
      </c>
      <c r="C1299" s="4">
        <v>8.1999999999999993</v>
      </c>
      <c r="D1299" s="4">
        <v>8.1836000000000002</v>
      </c>
      <c r="E1299" s="4">
        <v>1</v>
      </c>
      <c r="F1299" s="4">
        <v>8.1999999999999993</v>
      </c>
      <c r="G1299" s="4">
        <v>8.1999999999999993</v>
      </c>
      <c r="H1299" s="5">
        <f t="shared" si="20"/>
        <v>2.7574083375188321E-2</v>
      </c>
    </row>
    <row r="1300" spans="1:8" ht="13.5" x14ac:dyDescent="0.25">
      <c r="A1300" s="1"/>
      <c r="B1300" s="3">
        <v>44201</v>
      </c>
      <c r="C1300" s="4">
        <v>8.19</v>
      </c>
      <c r="D1300" s="4">
        <v>8.1736000000000004</v>
      </c>
      <c r="E1300" s="4">
        <v>3534</v>
      </c>
      <c r="F1300" s="4">
        <v>8.19</v>
      </c>
      <c r="G1300" s="4">
        <v>28943.46</v>
      </c>
      <c r="H1300" s="5">
        <f t="shared" si="20"/>
        <v>-1.2219561073365983E-3</v>
      </c>
    </row>
    <row r="1301" spans="1:8" ht="13.5" x14ac:dyDescent="0.25">
      <c r="A1301" s="1"/>
      <c r="B1301" s="3">
        <v>44202</v>
      </c>
      <c r="C1301" s="4">
        <v>8.19</v>
      </c>
      <c r="D1301" s="4">
        <v>8.1736000000000004</v>
      </c>
      <c r="E1301" s="4">
        <v>64</v>
      </c>
      <c r="F1301" s="4">
        <v>8.19</v>
      </c>
      <c r="G1301" s="4">
        <v>524.16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8.19</v>
      </c>
      <c r="D1302" s="4">
        <v>8.1736000000000004</v>
      </c>
      <c r="E1302" s="4">
        <v>0</v>
      </c>
      <c r="F1302" s="4">
        <v>0</v>
      </c>
      <c r="G1302" s="4">
        <v>0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8</v>
      </c>
      <c r="D1303" s="4">
        <v>7.984</v>
      </c>
      <c r="E1303" s="4">
        <v>202</v>
      </c>
      <c r="F1303" s="4">
        <v>8.1884999999999994</v>
      </c>
      <c r="G1303" s="4">
        <v>1654.077</v>
      </c>
      <c r="H1303" s="5">
        <f t="shared" si="20"/>
        <v>-2.3196633062542871E-2</v>
      </c>
    </row>
    <row r="1304" spans="1:8" ht="13.5" x14ac:dyDescent="0.25">
      <c r="A1304" s="1"/>
      <c r="B1304" s="3">
        <v>44207</v>
      </c>
      <c r="C1304" s="4">
        <v>7.99</v>
      </c>
      <c r="D1304" s="4">
        <v>7.9740000000000002</v>
      </c>
      <c r="E1304" s="4">
        <v>1200</v>
      </c>
      <c r="F1304" s="4">
        <v>7.99</v>
      </c>
      <c r="G1304" s="4">
        <v>9588</v>
      </c>
      <c r="H1304" s="5">
        <f t="shared" si="20"/>
        <v>-1.2525050100200134E-3</v>
      </c>
    </row>
    <row r="1305" spans="1:8" ht="13.5" x14ac:dyDescent="0.25">
      <c r="A1305" s="1"/>
      <c r="B1305" s="3">
        <v>44208</v>
      </c>
      <c r="C1305" s="4">
        <v>7.99</v>
      </c>
      <c r="D1305" s="4">
        <v>7.9740000000000002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7.99</v>
      </c>
      <c r="D1306" s="4">
        <v>7.9740000000000002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7.99</v>
      </c>
      <c r="D1307" s="4">
        <v>7.9740000000000002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7.99</v>
      </c>
      <c r="D1308" s="4">
        <v>7.9740000000000002</v>
      </c>
      <c r="E1308" s="4">
        <v>0</v>
      </c>
      <c r="F1308" s="4">
        <v>0</v>
      </c>
      <c r="G1308" s="4">
        <v>0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7.99</v>
      </c>
      <c r="D1309" s="4">
        <v>7.9740000000000002</v>
      </c>
      <c r="E1309" s="4">
        <v>0</v>
      </c>
      <c r="F1309" s="4">
        <v>0</v>
      </c>
      <c r="G1309" s="4">
        <v>0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7.99</v>
      </c>
      <c r="D1310" s="4">
        <v>7.9740000000000002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7.9</v>
      </c>
      <c r="D1311" s="4">
        <v>7.8841999999999999</v>
      </c>
      <c r="E1311" s="4">
        <v>82</v>
      </c>
      <c r="F1311" s="4">
        <v>7.7622</v>
      </c>
      <c r="G1311" s="4">
        <v>636.50040000000001</v>
      </c>
      <c r="H1311" s="5">
        <f t="shared" si="20"/>
        <v>-1.126160020065216E-2</v>
      </c>
    </row>
    <row r="1312" spans="1:8" ht="13.5" x14ac:dyDescent="0.25">
      <c r="A1312" s="1"/>
      <c r="B1312" s="3">
        <v>44218</v>
      </c>
      <c r="C1312" s="4">
        <v>7.9</v>
      </c>
      <c r="D1312" s="4">
        <v>7.8841999999999999</v>
      </c>
      <c r="E1312" s="4">
        <v>17</v>
      </c>
      <c r="F1312" s="4">
        <v>7.9</v>
      </c>
      <c r="G1312" s="4">
        <v>134.30000000000001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7.6</v>
      </c>
      <c r="D1313" s="4">
        <v>7.5848000000000004</v>
      </c>
      <c r="E1313" s="4">
        <v>2087</v>
      </c>
      <c r="F1313" s="4">
        <v>7.6</v>
      </c>
      <c r="G1313" s="4">
        <v>15861.2</v>
      </c>
      <c r="H1313" s="5">
        <f t="shared" si="20"/>
        <v>-3.7974683544303729E-2</v>
      </c>
    </row>
    <row r="1314" spans="1:8" ht="13.5" x14ac:dyDescent="0.25">
      <c r="A1314" s="1"/>
      <c r="B1314" s="3">
        <v>44222</v>
      </c>
      <c r="C1314" s="4">
        <v>7.6</v>
      </c>
      <c r="D1314" s="4">
        <v>7.5848000000000004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7.82</v>
      </c>
      <c r="D1315" s="4">
        <v>7.8044000000000002</v>
      </c>
      <c r="E1315" s="4">
        <v>122</v>
      </c>
      <c r="F1315" s="4">
        <v>7.6</v>
      </c>
      <c r="G1315" s="4">
        <v>927.2</v>
      </c>
      <c r="H1315" s="5">
        <f t="shared" si="20"/>
        <v>2.8952642126357949E-2</v>
      </c>
    </row>
    <row r="1316" spans="1:8" ht="13.5" x14ac:dyDescent="0.25">
      <c r="A1316" s="1"/>
      <c r="B1316" s="3">
        <v>44224</v>
      </c>
      <c r="C1316" s="4">
        <v>7.94</v>
      </c>
      <c r="D1316" s="4">
        <v>7.9241000000000001</v>
      </c>
      <c r="E1316" s="4">
        <v>502</v>
      </c>
      <c r="F1316" s="4">
        <v>7.6013999999999999</v>
      </c>
      <c r="G1316" s="4">
        <v>3815.9027999999998</v>
      </c>
      <c r="H1316" s="5">
        <f t="shared" si="20"/>
        <v>1.5337501921992711E-2</v>
      </c>
    </row>
    <row r="1317" spans="1:8" ht="13.5" x14ac:dyDescent="0.25">
      <c r="A1317" s="1"/>
      <c r="B1317" s="3">
        <v>44225</v>
      </c>
      <c r="C1317" s="4">
        <v>7.93</v>
      </c>
      <c r="D1317" s="4">
        <v>7.9141000000000004</v>
      </c>
      <c r="E1317" s="4">
        <v>100</v>
      </c>
      <c r="F1317" s="4">
        <v>7.93</v>
      </c>
      <c r="G1317" s="4">
        <v>793</v>
      </c>
      <c r="H1317" s="5">
        <f t="shared" si="20"/>
        <v>-1.261972968538987E-3</v>
      </c>
    </row>
    <row r="1318" spans="1:8" ht="13.5" x14ac:dyDescent="0.25">
      <c r="A1318" s="1"/>
      <c r="B1318" s="3">
        <v>44228</v>
      </c>
      <c r="C1318" s="4">
        <v>7.93</v>
      </c>
      <c r="D1318" s="4">
        <v>7.9141000000000004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7.93</v>
      </c>
      <c r="D1319" s="4">
        <v>7.9141000000000004</v>
      </c>
      <c r="E1319" s="4">
        <v>0</v>
      </c>
      <c r="F1319" s="4">
        <v>0</v>
      </c>
      <c r="G1319" s="4">
        <v>0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7.93</v>
      </c>
      <c r="D1320" s="4">
        <v>7.9141000000000004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7.93</v>
      </c>
      <c r="D1321" s="4">
        <v>7.9141000000000004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7.93</v>
      </c>
      <c r="D1322" s="4">
        <v>7.9141000000000004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7.93</v>
      </c>
      <c r="D1323" s="4">
        <v>7.9141000000000004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7.58</v>
      </c>
      <c r="D1324" s="4">
        <v>7.5648</v>
      </c>
      <c r="E1324" s="4">
        <v>0</v>
      </c>
      <c r="F1324" s="4">
        <v>0</v>
      </c>
      <c r="G1324" s="4">
        <v>0</v>
      </c>
      <c r="H1324" s="5">
        <f t="shared" si="20"/>
        <v>-4.4136414753414836E-2</v>
      </c>
    </row>
    <row r="1325" spans="1:8" ht="13.5" x14ac:dyDescent="0.25">
      <c r="A1325" s="1"/>
      <c r="B1325" s="3">
        <v>44237</v>
      </c>
      <c r="C1325" s="4">
        <v>7.48</v>
      </c>
      <c r="D1325" s="4">
        <v>7.4649999999999999</v>
      </c>
      <c r="E1325" s="4">
        <v>616</v>
      </c>
      <c r="F1325" s="4">
        <v>7.48</v>
      </c>
      <c r="G1325" s="4">
        <v>4607.68</v>
      </c>
      <c r="H1325" s="5">
        <f t="shared" si="20"/>
        <v>-1.3192681895093077E-2</v>
      </c>
    </row>
    <row r="1326" spans="1:8" ht="13.5" x14ac:dyDescent="0.25">
      <c r="A1326" s="1"/>
      <c r="B1326" s="3">
        <v>44238</v>
      </c>
      <c r="C1326" s="4">
        <v>7.44</v>
      </c>
      <c r="D1326" s="4">
        <v>7.4250999999999996</v>
      </c>
      <c r="E1326" s="4">
        <v>300</v>
      </c>
      <c r="F1326" s="4">
        <v>7.4474999999999998</v>
      </c>
      <c r="G1326" s="4">
        <v>2234.25</v>
      </c>
      <c r="H1326" s="5">
        <f t="shared" si="20"/>
        <v>-5.3449430676490647E-3</v>
      </c>
    </row>
    <row r="1327" spans="1:8" ht="13.5" x14ac:dyDescent="0.25">
      <c r="A1327" s="1"/>
      <c r="B1327" s="3">
        <v>44239</v>
      </c>
      <c r="C1327" s="4">
        <v>7.28</v>
      </c>
      <c r="D1327" s="4">
        <v>7.2653999999999996</v>
      </c>
      <c r="E1327" s="4">
        <v>2024</v>
      </c>
      <c r="F1327" s="4">
        <v>7.2815000000000003</v>
      </c>
      <c r="G1327" s="4">
        <v>14737.755999999999</v>
      </c>
      <c r="H1327" s="5">
        <f t="shared" si="20"/>
        <v>-2.1508127836662127E-2</v>
      </c>
    </row>
    <row r="1328" spans="1:8" ht="13.5" x14ac:dyDescent="0.25">
      <c r="A1328" s="1"/>
      <c r="B1328" s="3">
        <v>44242</v>
      </c>
      <c r="C1328" s="4">
        <v>7.49</v>
      </c>
      <c r="D1328" s="4">
        <v>7.4749999999999996</v>
      </c>
      <c r="E1328" s="4">
        <v>12</v>
      </c>
      <c r="F1328" s="4">
        <v>7.49</v>
      </c>
      <c r="G1328" s="4">
        <v>89.88</v>
      </c>
      <c r="H1328" s="5">
        <f t="shared" si="20"/>
        <v>2.8849065433424179E-2</v>
      </c>
    </row>
    <row r="1329" spans="1:8" ht="13.5" x14ac:dyDescent="0.25">
      <c r="A1329" s="1"/>
      <c r="B1329" s="3">
        <v>44243</v>
      </c>
      <c r="C1329" s="4">
        <v>7.49</v>
      </c>
      <c r="D1329" s="4">
        <v>7.4749999999999996</v>
      </c>
      <c r="E1329" s="4">
        <v>87</v>
      </c>
      <c r="F1329" s="4">
        <v>7.49</v>
      </c>
      <c r="G1329" s="4">
        <v>651.63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7.49</v>
      </c>
      <c r="D1330" s="4">
        <v>7.4749999999999996</v>
      </c>
      <c r="E1330" s="4">
        <v>80</v>
      </c>
      <c r="F1330" s="4">
        <v>7.49</v>
      </c>
      <c r="G1330" s="4">
        <v>599.20000000000005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7.5</v>
      </c>
      <c r="D1331" s="4">
        <v>7.4850000000000003</v>
      </c>
      <c r="E1331" s="4">
        <v>116</v>
      </c>
      <c r="F1331" s="4">
        <v>7.5</v>
      </c>
      <c r="G1331" s="4">
        <v>870</v>
      </c>
      <c r="H1331" s="5">
        <f t="shared" si="20"/>
        <v>1.3377926421405586E-3</v>
      </c>
    </row>
    <row r="1332" spans="1:8" ht="13.5" x14ac:dyDescent="0.25">
      <c r="A1332" s="1"/>
      <c r="B1332" s="3">
        <v>44246</v>
      </c>
      <c r="C1332" s="4">
        <v>7.49</v>
      </c>
      <c r="D1332" s="4">
        <v>7.4749999999999996</v>
      </c>
      <c r="E1332" s="4">
        <v>100</v>
      </c>
      <c r="F1332" s="4">
        <v>7.28</v>
      </c>
      <c r="G1332" s="4">
        <v>728</v>
      </c>
      <c r="H1332" s="5">
        <f t="shared" si="20"/>
        <v>-1.3360053440214662E-3</v>
      </c>
    </row>
    <row r="1333" spans="1:8" ht="13.5" x14ac:dyDescent="0.25">
      <c r="A1333" s="1"/>
      <c r="B1333" s="3">
        <v>44249</v>
      </c>
      <c r="C1333" s="4">
        <v>7.49</v>
      </c>
      <c r="D1333" s="4">
        <v>7.4749999999999996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7.48</v>
      </c>
      <c r="D1334" s="4">
        <v>7.4649999999999999</v>
      </c>
      <c r="E1334" s="4">
        <v>33</v>
      </c>
      <c r="F1334" s="4">
        <v>7.27</v>
      </c>
      <c r="G1334" s="4">
        <v>239.91</v>
      </c>
      <c r="H1334" s="5">
        <f t="shared" si="20"/>
        <v>-1.3377926421404398E-3</v>
      </c>
    </row>
    <row r="1335" spans="1:8" ht="13.5" x14ac:dyDescent="0.25">
      <c r="A1335" s="1"/>
      <c r="B1335" s="3">
        <v>44251</v>
      </c>
      <c r="C1335" s="4">
        <v>7.48</v>
      </c>
      <c r="D1335" s="4">
        <v>7.4649999999999999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7.48</v>
      </c>
      <c r="D1336" s="4">
        <v>7.4649999999999999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7.49</v>
      </c>
      <c r="D1337" s="4">
        <v>7.4749999999999996</v>
      </c>
      <c r="E1337" s="4">
        <v>311</v>
      </c>
      <c r="F1337" s="4">
        <v>7.49</v>
      </c>
      <c r="G1337" s="4">
        <v>2329.39</v>
      </c>
      <c r="H1337" s="5">
        <f t="shared" si="20"/>
        <v>1.339584728734064E-3</v>
      </c>
    </row>
    <row r="1338" spans="1:8" ht="13.5" x14ac:dyDescent="0.25">
      <c r="A1338" s="1"/>
      <c r="B1338" s="3">
        <v>44256</v>
      </c>
      <c r="C1338" s="4">
        <v>7.49</v>
      </c>
      <c r="D1338" s="4">
        <v>7.4749999999999996</v>
      </c>
      <c r="E1338" s="4">
        <v>0</v>
      </c>
      <c r="F1338" s="4">
        <v>0</v>
      </c>
      <c r="G1338" s="4">
        <v>0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7.49</v>
      </c>
      <c r="D1339" s="4">
        <v>7.4749999999999996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7.49</v>
      </c>
      <c r="D1340" s="4">
        <v>7.4749999999999996</v>
      </c>
      <c r="E1340" s="4">
        <v>0</v>
      </c>
      <c r="F1340" s="4">
        <v>0</v>
      </c>
      <c r="G1340" s="4">
        <v>0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7.49</v>
      </c>
      <c r="D1341" s="4">
        <v>7.4749999999999996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7.27</v>
      </c>
      <c r="D1342" s="4">
        <v>7.2554999999999996</v>
      </c>
      <c r="E1342" s="4">
        <v>103</v>
      </c>
      <c r="F1342" s="4">
        <v>7.27</v>
      </c>
      <c r="G1342" s="4">
        <v>748.81</v>
      </c>
      <c r="H1342" s="5">
        <f t="shared" si="20"/>
        <v>-2.9364548494983284E-2</v>
      </c>
    </row>
    <row r="1343" spans="1:8" ht="13.5" x14ac:dyDescent="0.25">
      <c r="A1343" s="1"/>
      <c r="B1343" s="3">
        <v>44263</v>
      </c>
      <c r="C1343" s="4">
        <v>7.48</v>
      </c>
      <c r="D1343" s="4">
        <v>7.4649999999999999</v>
      </c>
      <c r="E1343" s="4">
        <v>349</v>
      </c>
      <c r="F1343" s="4">
        <v>7.48</v>
      </c>
      <c r="G1343" s="4">
        <v>2610.52</v>
      </c>
      <c r="H1343" s="5">
        <f t="shared" si="20"/>
        <v>2.8874646819654091E-2</v>
      </c>
    </row>
    <row r="1344" spans="1:8" ht="13.5" x14ac:dyDescent="0.25">
      <c r="A1344" s="1"/>
      <c r="B1344" s="3">
        <v>44264</v>
      </c>
      <c r="C1344" s="4">
        <v>7.47</v>
      </c>
      <c r="D1344" s="4">
        <v>7.4550999999999998</v>
      </c>
      <c r="E1344" s="4">
        <v>130</v>
      </c>
      <c r="F1344" s="4">
        <v>7.26</v>
      </c>
      <c r="G1344" s="4">
        <v>943.8</v>
      </c>
      <c r="H1344" s="5">
        <f t="shared" si="20"/>
        <v>-1.3261888814467542E-3</v>
      </c>
    </row>
    <row r="1345" spans="1:8" ht="13.5" x14ac:dyDescent="0.25">
      <c r="A1345" s="1"/>
      <c r="B1345" s="3">
        <v>44265</v>
      </c>
      <c r="C1345" s="4">
        <v>7.47</v>
      </c>
      <c r="D1345" s="4">
        <v>7.4550999999999998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7.25</v>
      </c>
      <c r="D1346" s="4">
        <v>7.2355</v>
      </c>
      <c r="E1346" s="4">
        <v>250</v>
      </c>
      <c r="F1346" s="4">
        <v>7.2939999999999996</v>
      </c>
      <c r="G1346" s="4">
        <v>1823.5</v>
      </c>
      <c r="H1346" s="5">
        <f t="shared" si="20"/>
        <v>-2.945634532065295E-2</v>
      </c>
    </row>
    <row r="1347" spans="1:8" ht="13.5" x14ac:dyDescent="0.25">
      <c r="A1347" s="1"/>
      <c r="B1347" s="3">
        <v>44267</v>
      </c>
      <c r="C1347" s="4">
        <v>7.25</v>
      </c>
      <c r="D1347" s="4">
        <v>7.2355</v>
      </c>
      <c r="E1347" s="4">
        <v>100</v>
      </c>
      <c r="F1347" s="4">
        <v>7.25</v>
      </c>
      <c r="G1347" s="4">
        <v>725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7.25</v>
      </c>
      <c r="D1348" s="4">
        <v>7.2355</v>
      </c>
      <c r="E1348" s="4">
        <v>120</v>
      </c>
      <c r="F1348" s="4">
        <v>7.25</v>
      </c>
      <c r="G1348" s="4">
        <v>870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7.2</v>
      </c>
      <c r="D1349" s="4">
        <v>7.1856</v>
      </c>
      <c r="E1349" s="4">
        <v>12</v>
      </c>
      <c r="F1349" s="4">
        <v>7.2416999999999998</v>
      </c>
      <c r="G1349" s="4">
        <v>86.900400000000005</v>
      </c>
      <c r="H1349" s="5">
        <f t="shared" si="20"/>
        <v>-6.8965517241379387E-3</v>
      </c>
    </row>
    <row r="1350" spans="1:8" ht="13.5" x14ac:dyDescent="0.25">
      <c r="A1350" s="1"/>
      <c r="B1350" s="3">
        <v>44272</v>
      </c>
      <c r="C1350" s="4">
        <v>7.2</v>
      </c>
      <c r="D1350" s="4">
        <v>7.1856</v>
      </c>
      <c r="E1350" s="4">
        <v>507</v>
      </c>
      <c r="F1350" s="4">
        <v>7.2</v>
      </c>
      <c r="G1350" s="4">
        <v>3650.4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7.4</v>
      </c>
      <c r="D1351" s="4">
        <v>7.3852000000000002</v>
      </c>
      <c r="E1351" s="4">
        <v>646</v>
      </c>
      <c r="F1351" s="4">
        <v>7.2003000000000004</v>
      </c>
      <c r="G1351" s="4">
        <v>4651.3937999999998</v>
      </c>
      <c r="H1351" s="5">
        <f t="shared" ref="H1351:H1414" si="21">(D1351-D1350)/D1350</f>
        <v>2.7777777777777807E-2</v>
      </c>
    </row>
    <row r="1352" spans="1:8" ht="13.5" x14ac:dyDescent="0.25">
      <c r="A1352" s="1"/>
      <c r="B1352" s="3">
        <v>44274</v>
      </c>
      <c r="C1352" s="4">
        <v>7.38</v>
      </c>
      <c r="D1352" s="4">
        <v>7.3651999999999997</v>
      </c>
      <c r="E1352" s="4">
        <v>85</v>
      </c>
      <c r="F1352" s="4">
        <v>7.3859000000000004</v>
      </c>
      <c r="G1352" s="4">
        <v>627.80150000000003</v>
      </c>
      <c r="H1352" s="5">
        <f t="shared" si="21"/>
        <v>-2.708118940583933E-3</v>
      </c>
    </row>
    <row r="1353" spans="1:8" ht="13.5" x14ac:dyDescent="0.25">
      <c r="A1353" s="1"/>
      <c r="B1353" s="3">
        <v>44277</v>
      </c>
      <c r="C1353" s="4">
        <v>7.38</v>
      </c>
      <c r="D1353" s="4">
        <v>7.3651999999999997</v>
      </c>
      <c r="E1353" s="4">
        <v>50</v>
      </c>
      <c r="F1353" s="4">
        <v>7.38</v>
      </c>
      <c r="G1353" s="4">
        <v>369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7.38</v>
      </c>
      <c r="D1354" s="4">
        <v>7.3651999999999997</v>
      </c>
      <c r="E1354" s="4">
        <v>173</v>
      </c>
      <c r="F1354" s="4">
        <v>7.4493999999999998</v>
      </c>
      <c r="G1354" s="4">
        <v>1288.7462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7.38</v>
      </c>
      <c r="D1355" s="4">
        <v>7.3651999999999997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7.3</v>
      </c>
      <c r="D1356" s="4">
        <v>7.2854000000000001</v>
      </c>
      <c r="E1356" s="4">
        <v>109</v>
      </c>
      <c r="F1356" s="4">
        <v>7.3</v>
      </c>
      <c r="G1356" s="4">
        <v>795.7</v>
      </c>
      <c r="H1356" s="5">
        <f t="shared" si="21"/>
        <v>-1.0834736327594586E-2</v>
      </c>
    </row>
    <row r="1357" spans="1:8" ht="13.5" x14ac:dyDescent="0.25">
      <c r="A1357" s="1"/>
      <c r="B1357" s="3">
        <v>44281</v>
      </c>
      <c r="C1357" s="4">
        <v>7.4</v>
      </c>
      <c r="D1357" s="4">
        <v>7.3852000000000002</v>
      </c>
      <c r="E1357" s="4">
        <v>29</v>
      </c>
      <c r="F1357" s="4">
        <v>7.4</v>
      </c>
      <c r="G1357" s="4">
        <v>214.6</v>
      </c>
      <c r="H1357" s="5">
        <f t="shared" si="21"/>
        <v>1.3698630136986316E-2</v>
      </c>
    </row>
    <row r="1358" spans="1:8" ht="13.5" x14ac:dyDescent="0.25">
      <c r="A1358" s="1"/>
      <c r="B1358" s="3">
        <v>44284</v>
      </c>
      <c r="C1358" s="4">
        <v>7.2</v>
      </c>
      <c r="D1358" s="4">
        <v>7.1856</v>
      </c>
      <c r="E1358" s="4">
        <v>432</v>
      </c>
      <c r="F1358" s="4">
        <v>7.1901999999999999</v>
      </c>
      <c r="G1358" s="4">
        <v>3106.1664000000001</v>
      </c>
      <c r="H1358" s="5">
        <f t="shared" si="21"/>
        <v>-2.7027027027027056E-2</v>
      </c>
    </row>
    <row r="1359" spans="1:8" ht="13.5" x14ac:dyDescent="0.25">
      <c r="A1359" s="1"/>
      <c r="B1359" s="3">
        <v>44285</v>
      </c>
      <c r="C1359" s="4">
        <v>6.89</v>
      </c>
      <c r="D1359" s="4">
        <v>6.8761999999999999</v>
      </c>
      <c r="E1359" s="4">
        <v>620</v>
      </c>
      <c r="F1359" s="4">
        <v>6.8856000000000002</v>
      </c>
      <c r="G1359" s="4">
        <v>4269.0720000000001</v>
      </c>
      <c r="H1359" s="5">
        <f t="shared" si="21"/>
        <v>-4.305833890002228E-2</v>
      </c>
    </row>
    <row r="1360" spans="1:8" ht="13.5" x14ac:dyDescent="0.25">
      <c r="A1360" s="1"/>
      <c r="B1360" s="3">
        <v>44286</v>
      </c>
      <c r="C1360" s="4">
        <v>7.2</v>
      </c>
      <c r="D1360" s="4">
        <v>7.1856</v>
      </c>
      <c r="E1360" s="4">
        <v>0</v>
      </c>
      <c r="F1360" s="4">
        <v>0</v>
      </c>
      <c r="G1360" s="4">
        <v>0</v>
      </c>
      <c r="H1360" s="5">
        <f t="shared" si="21"/>
        <v>4.4995782554317812E-2</v>
      </c>
    </row>
    <row r="1361" spans="1:8" ht="13.5" x14ac:dyDescent="0.25">
      <c r="A1361" s="1"/>
      <c r="B1361" s="3">
        <v>44287</v>
      </c>
      <c r="C1361" s="4">
        <v>7.19</v>
      </c>
      <c r="D1361" s="4">
        <v>7.1756000000000002</v>
      </c>
      <c r="E1361" s="4">
        <v>562</v>
      </c>
      <c r="F1361" s="4">
        <v>7.1904000000000003</v>
      </c>
      <c r="G1361" s="4">
        <v>4041.0048000000002</v>
      </c>
      <c r="H1361" s="5">
        <f t="shared" si="21"/>
        <v>-1.3916722333555704E-3</v>
      </c>
    </row>
    <row r="1362" spans="1:8" ht="13.5" x14ac:dyDescent="0.25">
      <c r="A1362" s="1"/>
      <c r="B1362" s="3">
        <v>44288</v>
      </c>
      <c r="C1362" s="4">
        <v>7.4</v>
      </c>
      <c r="D1362" s="4">
        <v>7.3852000000000002</v>
      </c>
      <c r="E1362" s="4">
        <v>221</v>
      </c>
      <c r="F1362" s="4">
        <v>7.2850000000000001</v>
      </c>
      <c r="G1362" s="4">
        <v>1609.9849999999999</v>
      </c>
      <c r="H1362" s="5">
        <f t="shared" si="21"/>
        <v>2.9210100897485925E-2</v>
      </c>
    </row>
    <row r="1363" spans="1:8" ht="13.5" x14ac:dyDescent="0.25">
      <c r="A1363" s="1"/>
      <c r="B1363" s="3">
        <v>44291</v>
      </c>
      <c r="C1363" s="4">
        <v>7.19</v>
      </c>
      <c r="D1363" s="4">
        <v>7.1756000000000002</v>
      </c>
      <c r="E1363" s="4">
        <v>307</v>
      </c>
      <c r="F1363" s="4">
        <v>7.19</v>
      </c>
      <c r="G1363" s="4">
        <v>2207.33</v>
      </c>
      <c r="H1363" s="5">
        <f t="shared" si="21"/>
        <v>-2.8381086497318964E-2</v>
      </c>
    </row>
    <row r="1364" spans="1:8" ht="13.5" x14ac:dyDescent="0.25">
      <c r="A1364" s="1"/>
      <c r="B1364" s="3">
        <v>44292</v>
      </c>
      <c r="C1364" s="4">
        <v>7.4</v>
      </c>
      <c r="D1364" s="4">
        <v>7.3852000000000002</v>
      </c>
      <c r="E1364" s="4">
        <v>0</v>
      </c>
      <c r="F1364" s="4">
        <v>0</v>
      </c>
      <c r="G1364" s="4">
        <v>0</v>
      </c>
      <c r="H1364" s="5">
        <f t="shared" si="21"/>
        <v>2.9210100897485925E-2</v>
      </c>
    </row>
    <row r="1365" spans="1:8" ht="13.5" x14ac:dyDescent="0.25">
      <c r="A1365" s="1"/>
      <c r="B1365" s="3">
        <v>44293</v>
      </c>
      <c r="C1365" s="4">
        <v>7.2</v>
      </c>
      <c r="D1365" s="4">
        <v>7.1856</v>
      </c>
      <c r="E1365" s="4">
        <v>325</v>
      </c>
      <c r="F1365" s="4">
        <v>7.2</v>
      </c>
      <c r="G1365" s="4">
        <v>2340</v>
      </c>
      <c r="H1365" s="5">
        <f t="shared" si="21"/>
        <v>-2.7027027027027056E-2</v>
      </c>
    </row>
    <row r="1366" spans="1:8" ht="13.5" x14ac:dyDescent="0.25">
      <c r="A1366" s="1"/>
      <c r="B1366" s="3">
        <v>44294</v>
      </c>
      <c r="C1366" s="4">
        <v>7.2</v>
      </c>
      <c r="D1366" s="4">
        <v>7.1856</v>
      </c>
      <c r="E1366" s="4">
        <v>160</v>
      </c>
      <c r="F1366" s="4">
        <v>7.2</v>
      </c>
      <c r="G1366" s="4">
        <v>1152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7.2</v>
      </c>
      <c r="D1367" s="4">
        <v>7.1856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7.2</v>
      </c>
      <c r="D1368" s="4">
        <v>7.1856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7.2</v>
      </c>
      <c r="D1369" s="4">
        <v>7.1856</v>
      </c>
      <c r="E1369" s="4">
        <v>20</v>
      </c>
      <c r="F1369" s="4">
        <v>7.2</v>
      </c>
      <c r="G1369" s="4">
        <v>144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7.2</v>
      </c>
      <c r="D1370" s="4">
        <v>7.1856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7.2</v>
      </c>
      <c r="D1371" s="4">
        <v>7.1856</v>
      </c>
      <c r="E1371" s="4">
        <v>505</v>
      </c>
      <c r="F1371" s="4">
        <v>7.2</v>
      </c>
      <c r="G1371" s="4">
        <v>3636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7</v>
      </c>
      <c r="D1372" s="4">
        <v>6.9859999999999998</v>
      </c>
      <c r="E1372" s="4">
        <v>721</v>
      </c>
      <c r="F1372" s="4">
        <v>7.0042</v>
      </c>
      <c r="G1372" s="4">
        <v>5050.0281999999997</v>
      </c>
      <c r="H1372" s="5">
        <f t="shared" si="21"/>
        <v>-2.7777777777777807E-2</v>
      </c>
    </row>
    <row r="1373" spans="1:8" ht="13.5" x14ac:dyDescent="0.25">
      <c r="A1373" s="1"/>
      <c r="B1373" s="3">
        <v>44306</v>
      </c>
      <c r="C1373" s="4">
        <v>7</v>
      </c>
      <c r="D1373" s="4">
        <v>6.9859999999999998</v>
      </c>
      <c r="E1373" s="4">
        <v>750</v>
      </c>
      <c r="F1373" s="4">
        <v>7</v>
      </c>
      <c r="G1373" s="4">
        <v>5250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6.79</v>
      </c>
      <c r="D1374" s="4">
        <v>6.7763999999999998</v>
      </c>
      <c r="E1374" s="4">
        <v>10</v>
      </c>
      <c r="F1374" s="4">
        <v>7</v>
      </c>
      <c r="G1374" s="4">
        <v>70</v>
      </c>
      <c r="H1374" s="5">
        <f t="shared" si="21"/>
        <v>-3.0002862868594334E-2</v>
      </c>
    </row>
    <row r="1375" spans="1:8" ht="13.5" x14ac:dyDescent="0.25">
      <c r="A1375" s="1"/>
      <c r="B1375" s="3">
        <v>44308</v>
      </c>
      <c r="C1375" s="4">
        <v>6.49</v>
      </c>
      <c r="D1375" s="4">
        <v>6.4770000000000003</v>
      </c>
      <c r="E1375" s="4">
        <v>19</v>
      </c>
      <c r="F1375" s="4">
        <v>6.49</v>
      </c>
      <c r="G1375" s="4">
        <v>123.31</v>
      </c>
      <c r="H1375" s="5">
        <f t="shared" si="21"/>
        <v>-4.4182751903665586E-2</v>
      </c>
    </row>
    <row r="1376" spans="1:8" ht="13.5" x14ac:dyDescent="0.25">
      <c r="A1376" s="1"/>
      <c r="B1376" s="3">
        <v>44309</v>
      </c>
      <c r="C1376" s="4">
        <v>6.49</v>
      </c>
      <c r="D1376" s="4">
        <v>6.4770000000000003</v>
      </c>
      <c r="E1376" s="4">
        <v>1747</v>
      </c>
      <c r="F1376" s="4">
        <v>6.49</v>
      </c>
      <c r="G1376" s="4">
        <v>11338.03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6.68</v>
      </c>
      <c r="D1377" s="4">
        <v>6.6665999999999999</v>
      </c>
      <c r="E1377" s="4">
        <v>0</v>
      </c>
      <c r="F1377" s="4">
        <v>0</v>
      </c>
      <c r="G1377" s="4">
        <v>0</v>
      </c>
      <c r="H1377" s="5">
        <f t="shared" si="21"/>
        <v>2.9272811486799374E-2</v>
      </c>
    </row>
    <row r="1378" spans="1:8" ht="13.5" x14ac:dyDescent="0.25">
      <c r="A1378" s="1"/>
      <c r="B1378" s="3">
        <v>44313</v>
      </c>
      <c r="C1378" s="4">
        <v>6.98</v>
      </c>
      <c r="D1378" s="4">
        <v>6.9660000000000002</v>
      </c>
      <c r="E1378" s="4">
        <v>1</v>
      </c>
      <c r="F1378" s="4">
        <v>6.98</v>
      </c>
      <c r="G1378" s="4">
        <v>6.98</v>
      </c>
      <c r="H1378" s="5">
        <f t="shared" si="21"/>
        <v>4.4910449104491094E-2</v>
      </c>
    </row>
    <row r="1379" spans="1:8" ht="13.5" x14ac:dyDescent="0.25">
      <c r="A1379" s="1"/>
      <c r="B1379" s="3">
        <v>44314</v>
      </c>
      <c r="C1379" s="4">
        <v>7.39</v>
      </c>
      <c r="D1379" s="4">
        <v>7.3752000000000004</v>
      </c>
      <c r="E1379" s="4">
        <v>2</v>
      </c>
      <c r="F1379" s="4">
        <v>7.2850000000000001</v>
      </c>
      <c r="G1379" s="4">
        <v>14.57</v>
      </c>
      <c r="H1379" s="5">
        <f t="shared" si="21"/>
        <v>5.8742463393626217E-2</v>
      </c>
    </row>
    <row r="1380" spans="1:8" ht="13.5" x14ac:dyDescent="0.25">
      <c r="A1380" s="1"/>
      <c r="B1380" s="3">
        <v>44315</v>
      </c>
      <c r="C1380" s="4">
        <v>7.39</v>
      </c>
      <c r="D1380" s="4">
        <v>7.3752000000000004</v>
      </c>
      <c r="E1380" s="4">
        <v>21</v>
      </c>
      <c r="F1380" s="4">
        <v>7.4005000000000001</v>
      </c>
      <c r="G1380" s="4">
        <v>155.41050000000001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7.39</v>
      </c>
      <c r="D1381" s="4">
        <v>7.3752000000000004</v>
      </c>
      <c r="E1381" s="4">
        <v>17</v>
      </c>
      <c r="F1381" s="4">
        <v>7.4028999999999998</v>
      </c>
      <c r="G1381" s="4">
        <v>125.8493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7.37</v>
      </c>
      <c r="D1382" s="4">
        <v>7.3552999999999997</v>
      </c>
      <c r="E1382" s="4">
        <v>10</v>
      </c>
      <c r="F1382" s="4">
        <v>7.37</v>
      </c>
      <c r="G1382" s="4">
        <v>73.7</v>
      </c>
      <c r="H1382" s="5">
        <f t="shared" si="21"/>
        <v>-2.6982319123550133E-3</v>
      </c>
    </row>
    <row r="1383" spans="1:8" ht="13.5" x14ac:dyDescent="0.25">
      <c r="A1383" s="1"/>
      <c r="B1383" s="3">
        <v>44320</v>
      </c>
      <c r="C1383" s="4">
        <v>7.15</v>
      </c>
      <c r="D1383" s="4">
        <v>7.1356999999999999</v>
      </c>
      <c r="E1383" s="4">
        <v>0</v>
      </c>
      <c r="F1383" s="4">
        <v>0</v>
      </c>
      <c r="G1383" s="4">
        <v>0</v>
      </c>
      <c r="H1383" s="5">
        <f t="shared" si="21"/>
        <v>-2.9856022188082035E-2</v>
      </c>
    </row>
    <row r="1384" spans="1:8" ht="13.5" x14ac:dyDescent="0.25">
      <c r="A1384" s="1"/>
      <c r="B1384" s="3">
        <v>44321</v>
      </c>
      <c r="C1384" s="4">
        <v>7.15</v>
      </c>
      <c r="D1384" s="4">
        <v>7.1356999999999999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6.94</v>
      </c>
      <c r="D1385" s="4">
        <v>6.9260999999999999</v>
      </c>
      <c r="E1385" s="4">
        <v>104</v>
      </c>
      <c r="F1385" s="4">
        <v>6.94</v>
      </c>
      <c r="G1385" s="4">
        <v>721.76</v>
      </c>
      <c r="H1385" s="5">
        <f t="shared" si="21"/>
        <v>-2.9373432179043403E-2</v>
      </c>
    </row>
    <row r="1386" spans="1:8" ht="13.5" x14ac:dyDescent="0.25">
      <c r="A1386" s="1"/>
      <c r="B1386" s="3">
        <v>44323</v>
      </c>
      <c r="C1386" s="4">
        <v>6.94</v>
      </c>
      <c r="D1386" s="4">
        <v>6.9260999999999999</v>
      </c>
      <c r="E1386" s="4">
        <v>225</v>
      </c>
      <c r="F1386" s="4">
        <v>6.9316000000000004</v>
      </c>
      <c r="G1386" s="4">
        <v>1559.61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7.14</v>
      </c>
      <c r="D1387" s="4">
        <v>7.1257000000000001</v>
      </c>
      <c r="E1387" s="4">
        <v>0</v>
      </c>
      <c r="F1387" s="4">
        <v>0</v>
      </c>
      <c r="G1387" s="4">
        <v>0</v>
      </c>
      <c r="H1387" s="5">
        <f t="shared" si="21"/>
        <v>2.8818527020978649E-2</v>
      </c>
    </row>
    <row r="1388" spans="1:8" ht="13.5" x14ac:dyDescent="0.25">
      <c r="A1388" s="1"/>
      <c r="B1388" s="3">
        <v>44327</v>
      </c>
      <c r="C1388" s="4">
        <v>7.13</v>
      </c>
      <c r="D1388" s="4">
        <v>7.1157000000000004</v>
      </c>
      <c r="E1388" s="4">
        <v>1</v>
      </c>
      <c r="F1388" s="4">
        <v>7.35</v>
      </c>
      <c r="G1388" s="4">
        <v>7.35</v>
      </c>
      <c r="H1388" s="5">
        <f t="shared" si="21"/>
        <v>-1.4033708968943103E-3</v>
      </c>
    </row>
    <row r="1389" spans="1:8" ht="13.5" x14ac:dyDescent="0.25">
      <c r="A1389" s="1"/>
      <c r="B1389" s="3">
        <v>44333</v>
      </c>
      <c r="C1389" s="4">
        <v>7.13</v>
      </c>
      <c r="D1389" s="4">
        <v>7.1157000000000004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6.72</v>
      </c>
      <c r="D1390" s="4">
        <v>6.7065999999999999</v>
      </c>
      <c r="E1390" s="4">
        <v>116</v>
      </c>
      <c r="F1390" s="4">
        <v>6.92</v>
      </c>
      <c r="G1390" s="4">
        <v>802.72</v>
      </c>
      <c r="H1390" s="5">
        <f t="shared" si="21"/>
        <v>-5.749258681507096E-2</v>
      </c>
    </row>
    <row r="1391" spans="1:8" ht="13.5" x14ac:dyDescent="0.25">
      <c r="A1391" s="1"/>
      <c r="B1391" s="3">
        <v>44335</v>
      </c>
      <c r="C1391" s="4">
        <v>7.1</v>
      </c>
      <c r="D1391" s="4">
        <v>7.0857999999999999</v>
      </c>
      <c r="E1391" s="4">
        <v>2</v>
      </c>
      <c r="F1391" s="4">
        <v>7.01</v>
      </c>
      <c r="G1391" s="4">
        <v>14.02</v>
      </c>
      <c r="H1391" s="5">
        <f t="shared" si="21"/>
        <v>5.6541317508126319E-2</v>
      </c>
    </row>
    <row r="1392" spans="1:8" ht="13.5" x14ac:dyDescent="0.25">
      <c r="A1392" s="1"/>
      <c r="B1392" s="3">
        <v>44336</v>
      </c>
      <c r="C1392" s="4">
        <v>6.8</v>
      </c>
      <c r="D1392" s="4">
        <v>6.7864000000000004</v>
      </c>
      <c r="E1392" s="4">
        <v>390</v>
      </c>
      <c r="F1392" s="4">
        <v>6.9995000000000003</v>
      </c>
      <c r="G1392" s="4">
        <v>2729.8049999999998</v>
      </c>
      <c r="H1392" s="5">
        <f t="shared" si="21"/>
        <v>-4.2253521126760486E-2</v>
      </c>
    </row>
    <row r="1393" spans="1:8" ht="13.5" x14ac:dyDescent="0.25">
      <c r="A1393" s="1"/>
      <c r="B1393" s="3">
        <v>44337</v>
      </c>
      <c r="C1393" s="4">
        <v>7</v>
      </c>
      <c r="D1393" s="4">
        <v>6.9859999999999998</v>
      </c>
      <c r="E1393" s="4">
        <v>0</v>
      </c>
      <c r="F1393" s="4">
        <v>0</v>
      </c>
      <c r="G1393" s="4">
        <v>0</v>
      </c>
      <c r="H1393" s="5">
        <f t="shared" si="21"/>
        <v>2.9411764705882252E-2</v>
      </c>
    </row>
    <row r="1394" spans="1:8" ht="13.5" x14ac:dyDescent="0.25">
      <c r="A1394" s="1"/>
      <c r="B1394" s="3">
        <v>44340</v>
      </c>
      <c r="C1394" s="4">
        <v>6.89</v>
      </c>
      <c r="D1394" s="4">
        <v>6.8761999999999999</v>
      </c>
      <c r="E1394" s="4">
        <v>619</v>
      </c>
      <c r="F1394" s="4">
        <v>6.9542999999999999</v>
      </c>
      <c r="G1394" s="4">
        <v>4304.7116999999998</v>
      </c>
      <c r="H1394" s="5">
        <f t="shared" si="21"/>
        <v>-1.5717148582880033E-2</v>
      </c>
    </row>
    <row r="1395" spans="1:8" ht="13.5" x14ac:dyDescent="0.25">
      <c r="A1395" s="1"/>
      <c r="B1395" s="3">
        <v>44341</v>
      </c>
      <c r="C1395" s="4">
        <v>6.89</v>
      </c>
      <c r="D1395" s="4">
        <v>6.8761999999999999</v>
      </c>
      <c r="E1395" s="4">
        <v>230</v>
      </c>
      <c r="F1395" s="4">
        <v>6.89</v>
      </c>
      <c r="G1395" s="4">
        <v>1584.7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6.89</v>
      </c>
      <c r="D1396" s="4">
        <v>6.8761999999999999</v>
      </c>
      <c r="E1396" s="4">
        <v>120</v>
      </c>
      <c r="F1396" s="4">
        <v>6.89</v>
      </c>
      <c r="G1396" s="4">
        <v>826.8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6.89</v>
      </c>
      <c r="D1397" s="4">
        <v>6.8761999999999999</v>
      </c>
      <c r="E1397" s="4">
        <v>11</v>
      </c>
      <c r="F1397" s="4">
        <v>6.89</v>
      </c>
      <c r="G1397" s="4">
        <v>75.790000000000006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7.2</v>
      </c>
      <c r="D1398" s="4">
        <v>7.1856</v>
      </c>
      <c r="E1398" s="4">
        <v>11</v>
      </c>
      <c r="F1398" s="4">
        <v>6.89</v>
      </c>
      <c r="G1398" s="4">
        <v>75.790000000000006</v>
      </c>
      <c r="H1398" s="5">
        <f t="shared" si="21"/>
        <v>4.4995782554317812E-2</v>
      </c>
    </row>
    <row r="1399" spans="1:8" ht="13.5" x14ac:dyDescent="0.25">
      <c r="A1399" s="1"/>
      <c r="B1399" s="3">
        <v>44347</v>
      </c>
      <c r="C1399" s="4">
        <v>7.52</v>
      </c>
      <c r="D1399" s="4">
        <v>7.5049999999999999</v>
      </c>
      <c r="E1399" s="4">
        <v>1</v>
      </c>
      <c r="F1399" s="4">
        <v>7.52</v>
      </c>
      <c r="G1399" s="4">
        <v>7.52</v>
      </c>
      <c r="H1399" s="5">
        <f t="shared" si="21"/>
        <v>4.4450011133377855E-2</v>
      </c>
    </row>
    <row r="1400" spans="1:8" ht="13.5" x14ac:dyDescent="0.25">
      <c r="A1400" s="1"/>
      <c r="B1400" s="3">
        <v>44348</v>
      </c>
      <c r="C1400" s="4">
        <v>7.74</v>
      </c>
      <c r="D1400" s="4">
        <v>7.7244999999999999</v>
      </c>
      <c r="E1400" s="4">
        <v>1</v>
      </c>
      <c r="F1400" s="4">
        <v>7.74</v>
      </c>
      <c r="G1400" s="4">
        <v>7.74</v>
      </c>
      <c r="H1400" s="5">
        <f t="shared" si="21"/>
        <v>2.924716855429714E-2</v>
      </c>
    </row>
    <row r="1401" spans="1:8" ht="13.5" x14ac:dyDescent="0.25">
      <c r="A1401" s="1"/>
      <c r="B1401" s="3">
        <v>44349</v>
      </c>
      <c r="C1401" s="4">
        <v>7.97</v>
      </c>
      <c r="D1401" s="4">
        <v>7.9541000000000004</v>
      </c>
      <c r="E1401" s="4">
        <v>1</v>
      </c>
      <c r="F1401" s="4">
        <v>7.97</v>
      </c>
      <c r="G1401" s="4">
        <v>7.97</v>
      </c>
      <c r="H1401" s="5">
        <f t="shared" si="21"/>
        <v>2.9723606705935719E-2</v>
      </c>
    </row>
    <row r="1402" spans="1:8" ht="13.5" x14ac:dyDescent="0.25">
      <c r="A1402" s="1"/>
      <c r="B1402" s="3">
        <v>44350</v>
      </c>
      <c r="C1402" s="4">
        <v>7.97</v>
      </c>
      <c r="D1402" s="4">
        <v>7.9541000000000004</v>
      </c>
      <c r="E1402" s="4">
        <v>11</v>
      </c>
      <c r="F1402" s="4">
        <v>7.7609000000000004</v>
      </c>
      <c r="G1402" s="4">
        <v>85.369900000000001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7.74</v>
      </c>
      <c r="D1403" s="4">
        <v>7.7244999999999999</v>
      </c>
      <c r="E1403" s="4">
        <v>250</v>
      </c>
      <c r="F1403" s="4">
        <v>7.97</v>
      </c>
      <c r="G1403" s="4">
        <v>1992.5</v>
      </c>
      <c r="H1403" s="5">
        <f t="shared" si="21"/>
        <v>-2.886561647452263E-2</v>
      </c>
    </row>
    <row r="1404" spans="1:8" ht="13.5" x14ac:dyDescent="0.25">
      <c r="A1404" s="1"/>
      <c r="B1404" s="3">
        <v>44354</v>
      </c>
      <c r="C1404" s="4">
        <v>7.97</v>
      </c>
      <c r="D1404" s="4">
        <v>7.9541000000000004</v>
      </c>
      <c r="E1404" s="4">
        <v>250</v>
      </c>
      <c r="F1404" s="4">
        <v>7.97</v>
      </c>
      <c r="G1404" s="4">
        <v>1992.5</v>
      </c>
      <c r="H1404" s="5">
        <f t="shared" si="21"/>
        <v>2.9723606705935719E-2</v>
      </c>
    </row>
    <row r="1405" spans="1:8" ht="13.5" x14ac:dyDescent="0.25">
      <c r="A1405" s="1"/>
      <c r="B1405" s="3">
        <v>44355</v>
      </c>
      <c r="C1405" s="4">
        <v>7.74</v>
      </c>
      <c r="D1405" s="4">
        <v>7.7244999999999999</v>
      </c>
      <c r="E1405" s="4">
        <v>0</v>
      </c>
      <c r="F1405" s="4">
        <v>0</v>
      </c>
      <c r="G1405" s="4">
        <v>0</v>
      </c>
      <c r="H1405" s="5">
        <f t="shared" si="21"/>
        <v>-2.886561647452263E-2</v>
      </c>
    </row>
    <row r="1406" spans="1:8" ht="13.5" x14ac:dyDescent="0.25">
      <c r="A1406" s="1"/>
      <c r="B1406" s="3">
        <v>44356</v>
      </c>
      <c r="C1406" s="4">
        <v>7.74</v>
      </c>
      <c r="D1406" s="4">
        <v>7.7244999999999999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7.93</v>
      </c>
      <c r="D1407" s="4">
        <v>7.9141000000000004</v>
      </c>
      <c r="E1407" s="4">
        <v>250</v>
      </c>
      <c r="F1407" s="4">
        <v>7.93</v>
      </c>
      <c r="G1407" s="4">
        <v>1982.5</v>
      </c>
      <c r="H1407" s="5">
        <f t="shared" si="21"/>
        <v>2.4545278011521839E-2</v>
      </c>
    </row>
    <row r="1408" spans="1:8" ht="13.5" x14ac:dyDescent="0.25">
      <c r="A1408" s="1"/>
      <c r="B1408" s="3">
        <v>44358</v>
      </c>
      <c r="C1408" s="4">
        <v>7.93</v>
      </c>
      <c r="D1408" s="4">
        <v>7.9141000000000004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7.69</v>
      </c>
      <c r="D1409" s="4">
        <v>7.6745999999999999</v>
      </c>
      <c r="E1409" s="4">
        <v>139</v>
      </c>
      <c r="F1409" s="4">
        <v>7.6950000000000003</v>
      </c>
      <c r="G1409" s="4">
        <v>1069.605</v>
      </c>
      <c r="H1409" s="5">
        <f t="shared" si="21"/>
        <v>-3.0262442981514068E-2</v>
      </c>
    </row>
    <row r="1410" spans="1:8" ht="13.5" x14ac:dyDescent="0.25">
      <c r="A1410" s="1"/>
      <c r="B1410" s="3">
        <v>44362</v>
      </c>
      <c r="C1410" s="4">
        <v>7.69</v>
      </c>
      <c r="D1410" s="4">
        <v>7.6745999999999999</v>
      </c>
      <c r="E1410" s="4">
        <v>160</v>
      </c>
      <c r="F1410" s="4">
        <v>7.69</v>
      </c>
      <c r="G1410" s="4">
        <v>1230.4000000000001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7.46</v>
      </c>
      <c r="D1411" s="4">
        <v>7.4451000000000001</v>
      </c>
      <c r="E1411" s="4">
        <v>8</v>
      </c>
      <c r="F1411" s="4">
        <v>7.46</v>
      </c>
      <c r="G1411" s="4">
        <v>59.68</v>
      </c>
      <c r="H1411" s="5">
        <f t="shared" si="21"/>
        <v>-2.9903838636541294E-2</v>
      </c>
    </row>
    <row r="1412" spans="1:8" ht="13.5" x14ac:dyDescent="0.25">
      <c r="A1412" s="1"/>
      <c r="B1412" s="3">
        <v>44364</v>
      </c>
      <c r="C1412" s="4">
        <v>7.24</v>
      </c>
      <c r="D1412" s="4">
        <v>7.2255000000000003</v>
      </c>
      <c r="E1412" s="4">
        <v>1</v>
      </c>
      <c r="F1412" s="4">
        <v>7.24</v>
      </c>
      <c r="G1412" s="4">
        <v>7.24</v>
      </c>
      <c r="H1412" s="5">
        <f t="shared" si="21"/>
        <v>-2.9495910061651261E-2</v>
      </c>
    </row>
    <row r="1413" spans="1:8" ht="13.5" x14ac:dyDescent="0.25">
      <c r="A1413" s="1"/>
      <c r="B1413" s="3">
        <v>44365</v>
      </c>
      <c r="C1413" s="4">
        <v>7.24</v>
      </c>
      <c r="D1413" s="4">
        <v>7.2255000000000003</v>
      </c>
      <c r="E1413" s="4">
        <v>1</v>
      </c>
      <c r="F1413" s="4">
        <v>7.24</v>
      </c>
      <c r="G1413" s="4">
        <v>7.24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7.24</v>
      </c>
      <c r="D1414" s="4">
        <v>7.2255000000000003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7.24</v>
      </c>
      <c r="D1415" s="4">
        <v>7.2255000000000003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7.43</v>
      </c>
      <c r="D1416" s="4">
        <v>7.4150999999999998</v>
      </c>
      <c r="E1416" s="4">
        <v>103</v>
      </c>
      <c r="F1416" s="4">
        <v>7.43</v>
      </c>
      <c r="G1416" s="4">
        <v>765.29</v>
      </c>
      <c r="H1416" s="5">
        <f t="shared" si="22"/>
        <v>2.6240398588332922E-2</v>
      </c>
    </row>
    <row r="1417" spans="1:8" ht="13.5" x14ac:dyDescent="0.25">
      <c r="A1417" s="1"/>
      <c r="B1417" s="3">
        <v>44371</v>
      </c>
      <c r="C1417" s="4">
        <v>7.42</v>
      </c>
      <c r="D1417" s="4">
        <v>7.4051999999999998</v>
      </c>
      <c r="E1417" s="4">
        <v>50</v>
      </c>
      <c r="F1417" s="4">
        <v>7.42</v>
      </c>
      <c r="G1417" s="4">
        <v>371</v>
      </c>
      <c r="H1417" s="5">
        <f t="shared" si="22"/>
        <v>-1.3351134846461977E-3</v>
      </c>
    </row>
    <row r="1418" spans="1:8" ht="13.5" x14ac:dyDescent="0.25">
      <c r="A1418" s="1"/>
      <c r="B1418" s="3">
        <v>44372</v>
      </c>
      <c r="C1418" s="4">
        <v>7.42</v>
      </c>
      <c r="D1418" s="4">
        <v>7.4051999999999998</v>
      </c>
      <c r="E1418" s="4">
        <v>900</v>
      </c>
      <c r="F1418" s="4">
        <v>7.42</v>
      </c>
      <c r="G1418" s="4">
        <v>6678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7.42</v>
      </c>
      <c r="D1419" s="4">
        <v>7.4051999999999998</v>
      </c>
      <c r="E1419" s="4">
        <v>69</v>
      </c>
      <c r="F1419" s="4">
        <v>7.42</v>
      </c>
      <c r="G1419" s="4">
        <v>511.98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7.42</v>
      </c>
      <c r="D1420" s="4">
        <v>7.4051999999999998</v>
      </c>
      <c r="E1420" s="4">
        <v>0</v>
      </c>
      <c r="F1420" s="4">
        <v>0</v>
      </c>
      <c r="G1420" s="4">
        <v>0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7.42</v>
      </c>
      <c r="D1421" s="4">
        <v>7.4051999999999998</v>
      </c>
      <c r="E1421" s="4">
        <v>200</v>
      </c>
      <c r="F1421" s="4">
        <v>7.42</v>
      </c>
      <c r="G1421" s="4">
        <v>1484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7.42</v>
      </c>
      <c r="D1422" s="4">
        <v>7.4051999999999998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7.42</v>
      </c>
      <c r="D1423" s="4">
        <v>7.4051999999999998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7.42</v>
      </c>
      <c r="D1424" s="4">
        <v>7.4051999999999998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7.42</v>
      </c>
      <c r="D1425" s="4">
        <v>7.4051999999999998</v>
      </c>
      <c r="E1425" s="4">
        <v>0</v>
      </c>
      <c r="F1425" s="4">
        <v>0</v>
      </c>
      <c r="G1425" s="4">
        <v>0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7.42</v>
      </c>
      <c r="D1426" s="4">
        <v>7.4051999999999998</v>
      </c>
      <c r="E1426" s="4">
        <v>300</v>
      </c>
      <c r="F1426" s="4">
        <v>7.42</v>
      </c>
      <c r="G1426" s="4">
        <v>2226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7.2</v>
      </c>
      <c r="D1427" s="4">
        <v>7.1856</v>
      </c>
      <c r="E1427" s="4">
        <v>32</v>
      </c>
      <c r="F1427" s="4">
        <v>7.4062999999999999</v>
      </c>
      <c r="G1427" s="4">
        <v>237.0016</v>
      </c>
      <c r="H1427" s="5">
        <f t="shared" si="22"/>
        <v>-2.9654837141468132E-2</v>
      </c>
    </row>
    <row r="1428" spans="1:8" ht="13.5" x14ac:dyDescent="0.25">
      <c r="A1428" s="1"/>
      <c r="B1428" s="3">
        <v>44386</v>
      </c>
      <c r="C1428" s="4">
        <v>7.41</v>
      </c>
      <c r="D1428" s="4">
        <v>7.3952</v>
      </c>
      <c r="E1428" s="4">
        <v>100</v>
      </c>
      <c r="F1428" s="4">
        <v>7.41</v>
      </c>
      <c r="G1428" s="4">
        <v>741</v>
      </c>
      <c r="H1428" s="5">
        <f t="shared" si="22"/>
        <v>2.9169450011133378E-2</v>
      </c>
    </row>
    <row r="1429" spans="1:8" ht="13.5" x14ac:dyDescent="0.25">
      <c r="A1429" s="1"/>
      <c r="B1429" s="3">
        <v>44389</v>
      </c>
      <c r="C1429" s="4">
        <v>7.2</v>
      </c>
      <c r="D1429" s="4">
        <v>7.1856</v>
      </c>
      <c r="E1429" s="4">
        <v>841</v>
      </c>
      <c r="F1429" s="4">
        <v>7.2</v>
      </c>
      <c r="G1429" s="4">
        <v>6055.2</v>
      </c>
      <c r="H1429" s="5">
        <f t="shared" si="22"/>
        <v>-2.8342708784076159E-2</v>
      </c>
    </row>
    <row r="1430" spans="1:8" ht="13.5" x14ac:dyDescent="0.25">
      <c r="A1430" s="1"/>
      <c r="B1430" s="3">
        <v>44390</v>
      </c>
      <c r="C1430" s="4">
        <v>6.99</v>
      </c>
      <c r="D1430" s="4">
        <v>6.976</v>
      </c>
      <c r="E1430" s="4">
        <v>297</v>
      </c>
      <c r="F1430" s="4">
        <v>7.1951000000000001</v>
      </c>
      <c r="G1430" s="4">
        <v>2136.9447</v>
      </c>
      <c r="H1430" s="5">
        <f t="shared" si="22"/>
        <v>-2.9169450011133378E-2</v>
      </c>
    </row>
    <row r="1431" spans="1:8" ht="13.5" x14ac:dyDescent="0.25">
      <c r="A1431" s="1"/>
      <c r="B1431" s="3">
        <v>44391</v>
      </c>
      <c r="C1431" s="4">
        <v>6.99</v>
      </c>
      <c r="D1431" s="4">
        <v>6.976</v>
      </c>
      <c r="E1431" s="4">
        <v>0</v>
      </c>
      <c r="F1431" s="4">
        <v>0</v>
      </c>
      <c r="G1431" s="4">
        <v>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6.8</v>
      </c>
      <c r="D1432" s="4">
        <v>6.7864000000000004</v>
      </c>
      <c r="E1432" s="4">
        <v>6</v>
      </c>
      <c r="F1432" s="4">
        <v>6.8</v>
      </c>
      <c r="G1432" s="4">
        <v>40.799999999999997</v>
      </c>
      <c r="H1432" s="5">
        <f t="shared" si="22"/>
        <v>-2.7178899082568743E-2</v>
      </c>
    </row>
    <row r="1433" spans="1:8" ht="13.5" x14ac:dyDescent="0.25">
      <c r="A1433" s="1"/>
      <c r="B1433" s="3">
        <v>44393</v>
      </c>
      <c r="C1433" s="4">
        <v>7.1</v>
      </c>
      <c r="D1433" s="4">
        <v>7.0857999999999999</v>
      </c>
      <c r="E1433" s="4">
        <v>0</v>
      </c>
      <c r="F1433" s="4">
        <v>0</v>
      </c>
      <c r="G1433" s="4">
        <v>0</v>
      </c>
      <c r="H1433" s="5">
        <f t="shared" si="22"/>
        <v>4.4117647058823442E-2</v>
      </c>
    </row>
    <row r="1434" spans="1:8" ht="13.5" x14ac:dyDescent="0.25">
      <c r="A1434" s="1"/>
      <c r="B1434" s="3">
        <v>44396</v>
      </c>
      <c r="C1434" s="4">
        <v>7.1</v>
      </c>
      <c r="D1434" s="4">
        <v>7.0857999999999999</v>
      </c>
      <c r="E1434" s="4">
        <v>0</v>
      </c>
      <c r="F1434" s="4">
        <v>0</v>
      </c>
      <c r="G1434" s="4">
        <v>0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7.4</v>
      </c>
      <c r="D1435" s="4">
        <v>7.3852000000000002</v>
      </c>
      <c r="E1435" s="4">
        <v>66</v>
      </c>
      <c r="F1435" s="4">
        <v>7.3514999999999997</v>
      </c>
      <c r="G1435" s="4">
        <v>485.19900000000001</v>
      </c>
      <c r="H1435" s="5">
        <f t="shared" si="22"/>
        <v>4.2253521126760611E-2</v>
      </c>
    </row>
    <row r="1436" spans="1:8" ht="13.5" x14ac:dyDescent="0.25">
      <c r="A1436" s="1"/>
      <c r="B1436" s="3">
        <v>44400</v>
      </c>
      <c r="C1436" s="4">
        <v>7.5</v>
      </c>
      <c r="D1436" s="4">
        <v>7.4850000000000003</v>
      </c>
      <c r="E1436" s="4">
        <v>100</v>
      </c>
      <c r="F1436" s="4">
        <v>7.5</v>
      </c>
      <c r="G1436" s="4">
        <v>750</v>
      </c>
      <c r="H1436" s="5">
        <f t="shared" si="22"/>
        <v>1.3513513513513528E-2</v>
      </c>
    </row>
    <row r="1437" spans="1:8" ht="13.5" x14ac:dyDescent="0.25">
      <c r="A1437" s="1"/>
      <c r="B1437" s="3">
        <v>44403</v>
      </c>
      <c r="C1437" s="4">
        <v>7.5</v>
      </c>
      <c r="D1437" s="4">
        <v>7.4850000000000003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7.5</v>
      </c>
      <c r="D1438" s="4">
        <v>7.4850000000000003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7.5</v>
      </c>
      <c r="D1439" s="4">
        <v>7.4850000000000003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7.5</v>
      </c>
      <c r="D1440" s="4">
        <v>7.4850000000000003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7.5</v>
      </c>
      <c r="D1441" s="4">
        <v>7.4850000000000003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7.5</v>
      </c>
      <c r="D1442" s="4">
        <v>7.4850000000000003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7.5</v>
      </c>
      <c r="D1443" s="4">
        <v>7.4850000000000003</v>
      </c>
      <c r="E1443" s="4">
        <v>311</v>
      </c>
      <c r="F1443" s="4">
        <v>7.5</v>
      </c>
      <c r="G1443" s="4">
        <v>2332.5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7.5</v>
      </c>
      <c r="D1444" s="4">
        <v>7.4850000000000003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7.5</v>
      </c>
      <c r="D1445" s="4">
        <v>7.4850000000000003</v>
      </c>
      <c r="E1445" s="4">
        <v>65</v>
      </c>
      <c r="F1445" s="4">
        <v>7.5</v>
      </c>
      <c r="G1445" s="4">
        <v>487.5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7.5</v>
      </c>
      <c r="D1446" s="4">
        <v>7.4850000000000003</v>
      </c>
      <c r="E1446" s="4">
        <v>230</v>
      </c>
      <c r="F1446" s="4">
        <v>7.5</v>
      </c>
      <c r="G1446" s="4">
        <v>1725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7.5</v>
      </c>
      <c r="D1447" s="4">
        <v>7.4850000000000003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7.5</v>
      </c>
      <c r="D1448" s="4">
        <v>7.4850000000000003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7.5</v>
      </c>
      <c r="D1449" s="4">
        <v>7.4850000000000003</v>
      </c>
      <c r="E1449" s="4">
        <v>65</v>
      </c>
      <c r="F1449" s="4">
        <v>7.5</v>
      </c>
      <c r="G1449" s="4">
        <v>487.5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7.5</v>
      </c>
      <c r="D1450" s="4">
        <v>7.4850000000000003</v>
      </c>
      <c r="E1450" s="4">
        <v>65</v>
      </c>
      <c r="F1450" s="4">
        <v>7.5</v>
      </c>
      <c r="G1450" s="4">
        <v>487.5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7.5</v>
      </c>
      <c r="D1451" s="4">
        <v>7.4850000000000003</v>
      </c>
      <c r="E1451" s="4">
        <v>20</v>
      </c>
      <c r="F1451" s="4">
        <v>7.5</v>
      </c>
      <c r="G1451" s="4">
        <v>150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7.5</v>
      </c>
      <c r="D1452" s="4">
        <v>7.4850000000000003</v>
      </c>
      <c r="E1452" s="4">
        <v>19</v>
      </c>
      <c r="F1452" s="4">
        <v>7.5</v>
      </c>
      <c r="G1452" s="4">
        <v>142.5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7.5</v>
      </c>
      <c r="D1453" s="4">
        <v>7.4850000000000003</v>
      </c>
      <c r="E1453" s="4">
        <v>165</v>
      </c>
      <c r="F1453" s="4">
        <v>7.5</v>
      </c>
      <c r="G1453" s="4">
        <v>1237.5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7.5</v>
      </c>
      <c r="D1454" s="4">
        <v>7.4850000000000003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7.5</v>
      </c>
      <c r="D1455" s="4">
        <v>7.4850000000000003</v>
      </c>
      <c r="E1455" s="4">
        <v>0</v>
      </c>
      <c r="F1455" s="4">
        <v>0</v>
      </c>
      <c r="G1455" s="4">
        <v>0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7.5</v>
      </c>
      <c r="D1456" s="4">
        <v>7.4850000000000003</v>
      </c>
      <c r="E1456" s="4">
        <v>80</v>
      </c>
      <c r="F1456" s="4">
        <v>7.5</v>
      </c>
      <c r="G1456" s="4">
        <v>600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7.5</v>
      </c>
      <c r="D1457" s="4">
        <v>7.4850000000000003</v>
      </c>
      <c r="E1457" s="4">
        <v>0</v>
      </c>
      <c r="F1457" s="4">
        <v>0</v>
      </c>
      <c r="G1457" s="4">
        <v>0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7.28</v>
      </c>
      <c r="D1458" s="4">
        <v>7.2653999999999996</v>
      </c>
      <c r="E1458" s="4">
        <v>4</v>
      </c>
      <c r="F1458" s="4">
        <v>7.28</v>
      </c>
      <c r="G1458" s="4">
        <v>29.12</v>
      </c>
      <c r="H1458" s="5">
        <f t="shared" si="22"/>
        <v>-2.9338677354709509E-2</v>
      </c>
    </row>
    <row r="1459" spans="1:8" ht="13.5" x14ac:dyDescent="0.25">
      <c r="A1459" s="1"/>
      <c r="B1459" s="3">
        <v>44435</v>
      </c>
      <c r="C1459" s="4">
        <v>7.28</v>
      </c>
      <c r="D1459" s="4">
        <v>7.2653999999999996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7.28</v>
      </c>
      <c r="D1460" s="4">
        <v>7.2653999999999996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7.28</v>
      </c>
      <c r="D1461" s="4">
        <v>7.2653999999999996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7.6</v>
      </c>
      <c r="D1462" s="4">
        <v>7.5848000000000004</v>
      </c>
      <c r="E1462" s="4">
        <v>1</v>
      </c>
      <c r="F1462" s="4">
        <v>7.6</v>
      </c>
      <c r="G1462" s="4">
        <v>7.6</v>
      </c>
      <c r="H1462" s="5">
        <f t="shared" si="22"/>
        <v>4.3961791504941339E-2</v>
      </c>
    </row>
    <row r="1463" spans="1:8" ht="13.5" x14ac:dyDescent="0.25">
      <c r="A1463" s="1"/>
      <c r="B1463" s="3">
        <v>44441</v>
      </c>
      <c r="C1463" s="4">
        <v>7.6</v>
      </c>
      <c r="D1463" s="4">
        <v>7.5848000000000004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7.6</v>
      </c>
      <c r="D1464" s="4">
        <v>7.5848000000000004</v>
      </c>
      <c r="E1464" s="4">
        <v>10</v>
      </c>
      <c r="F1464" s="4">
        <v>7.6</v>
      </c>
      <c r="G1464" s="4">
        <v>76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7.6</v>
      </c>
      <c r="D1465" s="4">
        <v>7.5848000000000004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7.6</v>
      </c>
      <c r="D1466" s="4">
        <v>7.5848000000000004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7.6</v>
      </c>
      <c r="D1467" s="4">
        <v>7.5848000000000004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7.6</v>
      </c>
      <c r="D1468" s="4">
        <v>7.5848000000000004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7.6</v>
      </c>
      <c r="D1469" s="4">
        <v>7.5848000000000004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7.6</v>
      </c>
      <c r="D1470" s="4">
        <v>7.5848000000000004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7.6</v>
      </c>
      <c r="D1471" s="4">
        <v>7.5848000000000004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7.6</v>
      </c>
      <c r="D1472" s="4">
        <v>7.5848000000000004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7.94</v>
      </c>
      <c r="D1473" s="4">
        <v>7.9241000000000001</v>
      </c>
      <c r="E1473" s="4">
        <v>0</v>
      </c>
      <c r="F1473" s="4">
        <v>0</v>
      </c>
      <c r="G1473" s="4">
        <v>0</v>
      </c>
      <c r="H1473" s="5">
        <f t="shared" si="22"/>
        <v>4.4734205252610446E-2</v>
      </c>
    </row>
    <row r="1474" spans="1:8" ht="13.5" x14ac:dyDescent="0.25">
      <c r="A1474" s="1"/>
      <c r="B1474" s="3">
        <v>44456</v>
      </c>
      <c r="C1474" s="4">
        <v>7.21</v>
      </c>
      <c r="D1474" s="4">
        <v>7.1955999999999998</v>
      </c>
      <c r="E1474" s="4">
        <v>22</v>
      </c>
      <c r="F1474" s="4">
        <v>7.21</v>
      </c>
      <c r="G1474" s="4">
        <v>158.62</v>
      </c>
      <c r="H1474" s="5">
        <f t="shared" si="22"/>
        <v>-9.1934730758067212E-2</v>
      </c>
    </row>
    <row r="1475" spans="1:8" ht="13.5" x14ac:dyDescent="0.25">
      <c r="A1475" s="1"/>
      <c r="B1475" s="3">
        <v>44459</v>
      </c>
      <c r="C1475" s="4">
        <v>7</v>
      </c>
      <c r="D1475" s="4">
        <v>6.9859999999999998</v>
      </c>
      <c r="E1475" s="4">
        <v>33</v>
      </c>
      <c r="F1475" s="4">
        <v>7</v>
      </c>
      <c r="G1475" s="4">
        <v>231</v>
      </c>
      <c r="H1475" s="5">
        <f t="shared" si="22"/>
        <v>-2.9128912112957921E-2</v>
      </c>
    </row>
    <row r="1476" spans="1:8" ht="13.5" x14ac:dyDescent="0.25">
      <c r="A1476" s="1"/>
      <c r="B1476" s="3">
        <v>44460</v>
      </c>
      <c r="C1476" s="4">
        <v>7</v>
      </c>
      <c r="D1476" s="4">
        <v>6.9859999999999998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7</v>
      </c>
      <c r="D1477" s="4">
        <v>6.9859999999999998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7</v>
      </c>
      <c r="D1478" s="4">
        <v>6.9859999999999998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6.7</v>
      </c>
      <c r="D1479" s="4">
        <v>6.6866000000000003</v>
      </c>
      <c r="E1479" s="4">
        <v>15</v>
      </c>
      <c r="F1479" s="4">
        <v>6.7</v>
      </c>
      <c r="G1479" s="4">
        <v>100.5</v>
      </c>
      <c r="H1479" s="5">
        <f t="shared" ref="H1479:H1542" si="23">(D1479-D1478)/D1478</f>
        <v>-4.2857142857142781E-2</v>
      </c>
    </row>
    <row r="1480" spans="1:8" ht="13.5" x14ac:dyDescent="0.25">
      <c r="A1480" s="1"/>
      <c r="B1480" s="3">
        <v>44466</v>
      </c>
      <c r="C1480" s="4">
        <v>6.7</v>
      </c>
      <c r="D1480" s="4">
        <v>6.6866000000000003</v>
      </c>
      <c r="E1480" s="4">
        <v>241</v>
      </c>
      <c r="F1480" s="4">
        <v>6.7</v>
      </c>
      <c r="G1480" s="4">
        <v>1614.7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6.4</v>
      </c>
      <c r="D1481" s="4">
        <v>6.3872</v>
      </c>
      <c r="E1481" s="4">
        <v>0</v>
      </c>
      <c r="F1481" s="4">
        <v>0</v>
      </c>
      <c r="G1481" s="4">
        <v>0</v>
      </c>
      <c r="H1481" s="5">
        <f t="shared" si="23"/>
        <v>-4.4776119402985121E-2</v>
      </c>
    </row>
    <row r="1482" spans="1:8" ht="13.5" x14ac:dyDescent="0.25">
      <c r="A1482" s="1"/>
      <c r="B1482" s="3">
        <v>44468</v>
      </c>
      <c r="C1482" s="4">
        <v>6.4</v>
      </c>
      <c r="D1482" s="4">
        <v>6.3872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6.4</v>
      </c>
      <c r="D1483" s="4">
        <v>6.3872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6.4</v>
      </c>
      <c r="D1484" s="4">
        <v>6.3872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6.4</v>
      </c>
      <c r="D1485" s="4">
        <v>6.3872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6.5</v>
      </c>
      <c r="D1486" s="4">
        <v>6.4870000000000001</v>
      </c>
      <c r="E1486" s="4">
        <v>27</v>
      </c>
      <c r="F1486" s="4">
        <v>6.5</v>
      </c>
      <c r="G1486" s="4">
        <v>175.5</v>
      </c>
      <c r="H1486" s="5">
        <f t="shared" si="23"/>
        <v>1.5625000000000017E-2</v>
      </c>
    </row>
    <row r="1487" spans="1:8" ht="13.5" x14ac:dyDescent="0.25">
      <c r="A1487" s="1"/>
      <c r="B1487" s="3">
        <v>44475</v>
      </c>
      <c r="C1487" s="4">
        <v>6.5</v>
      </c>
      <c r="D1487" s="4">
        <v>6.4870000000000001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6.6</v>
      </c>
      <c r="D1488" s="4">
        <v>6.5868000000000002</v>
      </c>
      <c r="E1488" s="4">
        <v>4</v>
      </c>
      <c r="F1488" s="4">
        <v>6.6</v>
      </c>
      <c r="G1488" s="4">
        <v>26.4</v>
      </c>
      <c r="H1488" s="5">
        <f t="shared" si="23"/>
        <v>1.5384615384615401E-2</v>
      </c>
    </row>
    <row r="1489" spans="1:8" ht="13.5" x14ac:dyDescent="0.25">
      <c r="A1489" s="1"/>
      <c r="B1489" s="3">
        <v>44477</v>
      </c>
      <c r="C1489" s="4">
        <v>6.73</v>
      </c>
      <c r="D1489" s="4">
        <v>6.7164999999999999</v>
      </c>
      <c r="E1489" s="4">
        <v>200</v>
      </c>
      <c r="F1489" s="4">
        <v>6.73</v>
      </c>
      <c r="G1489" s="4">
        <v>1346</v>
      </c>
      <c r="H1489" s="5">
        <f t="shared" si="23"/>
        <v>1.969089694540592E-2</v>
      </c>
    </row>
    <row r="1490" spans="1:8" ht="13.5" x14ac:dyDescent="0.25">
      <c r="A1490" s="1"/>
      <c r="B1490" s="3">
        <v>44480</v>
      </c>
      <c r="C1490" s="4">
        <v>6.86</v>
      </c>
      <c r="D1490" s="4">
        <v>6.8463000000000003</v>
      </c>
      <c r="E1490" s="4">
        <v>400</v>
      </c>
      <c r="F1490" s="4">
        <v>6.86</v>
      </c>
      <c r="G1490" s="4">
        <v>2744</v>
      </c>
      <c r="H1490" s="5">
        <f t="shared" si="23"/>
        <v>1.9325541576714116E-2</v>
      </c>
    </row>
    <row r="1491" spans="1:8" ht="13.5" x14ac:dyDescent="0.25">
      <c r="A1491" s="1"/>
      <c r="B1491" s="3">
        <v>44481</v>
      </c>
      <c r="C1491" s="4">
        <v>6.99</v>
      </c>
      <c r="D1491" s="4">
        <v>6.976</v>
      </c>
      <c r="E1491" s="4">
        <v>100</v>
      </c>
      <c r="F1491" s="4">
        <v>6.99</v>
      </c>
      <c r="G1491" s="4">
        <v>699</v>
      </c>
      <c r="H1491" s="5">
        <f t="shared" si="23"/>
        <v>1.8944539386237778E-2</v>
      </c>
    </row>
    <row r="1492" spans="1:8" ht="13.5" x14ac:dyDescent="0.25">
      <c r="A1492" s="1"/>
      <c r="B1492" s="3">
        <v>44482</v>
      </c>
      <c r="C1492" s="4">
        <v>7</v>
      </c>
      <c r="D1492" s="4">
        <v>6.9859999999999998</v>
      </c>
      <c r="E1492" s="4">
        <v>45</v>
      </c>
      <c r="F1492" s="4">
        <v>7</v>
      </c>
      <c r="G1492" s="4">
        <v>315</v>
      </c>
      <c r="H1492" s="5">
        <f t="shared" si="23"/>
        <v>1.4334862385320796E-3</v>
      </c>
    </row>
    <row r="1493" spans="1:8" ht="13.5" x14ac:dyDescent="0.25">
      <c r="A1493" s="1"/>
      <c r="B1493" s="3">
        <v>44483</v>
      </c>
      <c r="C1493" s="4">
        <v>6.7</v>
      </c>
      <c r="D1493" s="4">
        <v>6.6866000000000003</v>
      </c>
      <c r="E1493" s="4">
        <v>150</v>
      </c>
      <c r="F1493" s="4">
        <v>6.7</v>
      </c>
      <c r="G1493" s="4">
        <v>1005</v>
      </c>
      <c r="H1493" s="5">
        <f t="shared" si="23"/>
        <v>-4.2857142857142781E-2</v>
      </c>
    </row>
    <row r="1494" spans="1:8" ht="13.5" x14ac:dyDescent="0.25">
      <c r="A1494" s="1"/>
      <c r="B1494" s="3">
        <v>44488</v>
      </c>
      <c r="C1494" s="4">
        <v>6.7</v>
      </c>
      <c r="D1494" s="4">
        <v>6.6866000000000003</v>
      </c>
      <c r="E1494" s="4">
        <v>75</v>
      </c>
      <c r="F1494" s="4">
        <v>6.7</v>
      </c>
      <c r="G1494" s="4">
        <v>502.5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6.7</v>
      </c>
      <c r="D1495" s="4">
        <v>6.6866000000000003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6.8</v>
      </c>
      <c r="D1496" s="4">
        <v>6.7864000000000004</v>
      </c>
      <c r="E1496" s="4">
        <v>111</v>
      </c>
      <c r="F1496" s="4">
        <v>6.76</v>
      </c>
      <c r="G1496" s="4">
        <v>750.36</v>
      </c>
      <c r="H1496" s="5">
        <f t="shared" si="23"/>
        <v>1.4925373134328374E-2</v>
      </c>
    </row>
    <row r="1497" spans="1:8" ht="13.5" x14ac:dyDescent="0.25">
      <c r="A1497" s="1"/>
      <c r="B1497" s="3">
        <v>44491</v>
      </c>
      <c r="C1497" s="4">
        <v>6.8</v>
      </c>
      <c r="D1497" s="4">
        <v>6.7864000000000004</v>
      </c>
      <c r="E1497" s="4">
        <v>100</v>
      </c>
      <c r="F1497" s="4">
        <v>6.8</v>
      </c>
      <c r="G1497" s="4">
        <v>680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6.8</v>
      </c>
      <c r="D1498" s="4">
        <v>6.7864000000000004</v>
      </c>
      <c r="E1498" s="4">
        <v>10</v>
      </c>
      <c r="F1498" s="4">
        <v>6.8</v>
      </c>
      <c r="G1498" s="4">
        <v>68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6.8</v>
      </c>
      <c r="D1499" s="4">
        <v>6.7864000000000004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6.8</v>
      </c>
      <c r="D1500" s="4">
        <v>6.7864000000000004</v>
      </c>
      <c r="E1500" s="4">
        <v>6</v>
      </c>
      <c r="F1500" s="4">
        <v>6.8</v>
      </c>
      <c r="G1500" s="4">
        <v>40.799999999999997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6.8</v>
      </c>
      <c r="D1501" s="4">
        <v>6.7864000000000004</v>
      </c>
      <c r="E1501" s="4">
        <v>1050</v>
      </c>
      <c r="F1501" s="4">
        <v>6.8</v>
      </c>
      <c r="G1501" s="4">
        <v>7140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6.8</v>
      </c>
      <c r="D1502" s="4">
        <v>6.7864000000000004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6.8</v>
      </c>
      <c r="D1503" s="4">
        <v>6.7864000000000004</v>
      </c>
      <c r="E1503" s="4">
        <v>10</v>
      </c>
      <c r="F1503" s="4">
        <v>6.8</v>
      </c>
      <c r="G1503" s="4">
        <v>68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6.8</v>
      </c>
      <c r="D1504" s="4">
        <v>6.7864000000000004</v>
      </c>
      <c r="E1504" s="4">
        <v>61</v>
      </c>
      <c r="F1504" s="4">
        <v>6.8</v>
      </c>
      <c r="G1504" s="4">
        <v>414.8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6.8</v>
      </c>
      <c r="D1505" s="4">
        <v>6.7864000000000004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6.9</v>
      </c>
      <c r="D1506" s="4">
        <v>6.8861999999999997</v>
      </c>
      <c r="E1506" s="4">
        <v>373</v>
      </c>
      <c r="F1506" s="4">
        <v>6.9</v>
      </c>
      <c r="G1506" s="4">
        <v>2573.6999999999998</v>
      </c>
      <c r="H1506" s="5">
        <f t="shared" si="23"/>
        <v>1.4705882352941062E-2</v>
      </c>
    </row>
    <row r="1507" spans="1:8" ht="13.5" x14ac:dyDescent="0.25">
      <c r="A1507" s="1"/>
      <c r="B1507" s="3">
        <v>44505</v>
      </c>
      <c r="C1507" s="4">
        <v>7.2</v>
      </c>
      <c r="D1507" s="4">
        <v>7.1856</v>
      </c>
      <c r="E1507" s="4">
        <v>30</v>
      </c>
      <c r="F1507" s="4">
        <v>7.2</v>
      </c>
      <c r="G1507" s="4">
        <v>216</v>
      </c>
      <c r="H1507" s="5">
        <f t="shared" si="23"/>
        <v>4.3478260869565265E-2</v>
      </c>
    </row>
    <row r="1508" spans="1:8" ht="13.5" x14ac:dyDescent="0.25">
      <c r="A1508" s="1"/>
      <c r="B1508" s="3">
        <v>44508</v>
      </c>
      <c r="C1508" s="4">
        <v>7.52</v>
      </c>
      <c r="D1508" s="4">
        <v>7.5049999999999999</v>
      </c>
      <c r="E1508" s="4">
        <v>0</v>
      </c>
      <c r="F1508" s="4">
        <v>0</v>
      </c>
      <c r="G1508" s="4">
        <v>0</v>
      </c>
      <c r="H1508" s="5">
        <f t="shared" si="23"/>
        <v>4.4450011133377855E-2</v>
      </c>
    </row>
    <row r="1509" spans="1:8" ht="13.5" x14ac:dyDescent="0.25">
      <c r="A1509" s="1"/>
      <c r="B1509" s="3">
        <v>44509</v>
      </c>
      <c r="C1509" s="4">
        <v>7.53</v>
      </c>
      <c r="D1509" s="4">
        <v>7.5148999999999999</v>
      </c>
      <c r="E1509" s="4">
        <v>310</v>
      </c>
      <c r="F1509" s="4">
        <v>7.5259999999999998</v>
      </c>
      <c r="G1509" s="4">
        <v>2333.06</v>
      </c>
      <c r="H1509" s="5">
        <f t="shared" si="23"/>
        <v>1.3191205862758187E-3</v>
      </c>
    </row>
    <row r="1510" spans="1:8" ht="13.5" x14ac:dyDescent="0.25">
      <c r="A1510" s="1"/>
      <c r="B1510" s="3">
        <v>44510</v>
      </c>
      <c r="C1510" s="4">
        <v>7.53</v>
      </c>
      <c r="D1510" s="4">
        <v>7.5148999999999999</v>
      </c>
      <c r="E1510" s="4">
        <v>170</v>
      </c>
      <c r="F1510" s="4">
        <v>7.53</v>
      </c>
      <c r="G1510" s="4">
        <v>1280.0999999999999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7.6</v>
      </c>
      <c r="D1511" s="4">
        <v>7.5848000000000004</v>
      </c>
      <c r="E1511" s="4">
        <v>76</v>
      </c>
      <c r="F1511" s="4">
        <v>7.6</v>
      </c>
      <c r="G1511" s="4">
        <v>577.6</v>
      </c>
      <c r="H1511" s="5">
        <f t="shared" si="23"/>
        <v>9.3015209783231332E-3</v>
      </c>
    </row>
    <row r="1512" spans="1:8" ht="13.5" x14ac:dyDescent="0.25">
      <c r="A1512" s="1"/>
      <c r="B1512" s="3">
        <v>44512</v>
      </c>
      <c r="C1512" s="4">
        <v>7.6</v>
      </c>
      <c r="D1512" s="4">
        <v>7.5848000000000004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7.26</v>
      </c>
      <c r="D1513" s="4">
        <v>7.2454999999999998</v>
      </c>
      <c r="E1513" s="4">
        <v>0</v>
      </c>
      <c r="F1513" s="4">
        <v>0</v>
      </c>
      <c r="G1513" s="4">
        <v>0</v>
      </c>
      <c r="H1513" s="5">
        <f t="shared" si="23"/>
        <v>-4.4734205252610564E-2</v>
      </c>
    </row>
    <row r="1514" spans="1:8" ht="13.5" x14ac:dyDescent="0.25">
      <c r="A1514" s="1"/>
      <c r="B1514" s="3">
        <v>44516</v>
      </c>
      <c r="C1514" s="4">
        <v>7.58</v>
      </c>
      <c r="D1514" s="4">
        <v>7.5648</v>
      </c>
      <c r="E1514" s="4">
        <v>3</v>
      </c>
      <c r="F1514" s="4">
        <v>7.17</v>
      </c>
      <c r="G1514" s="4">
        <v>21.51</v>
      </c>
      <c r="H1514" s="5">
        <f t="shared" si="23"/>
        <v>4.4068732316610328E-2</v>
      </c>
    </row>
    <row r="1515" spans="1:8" ht="13.5" x14ac:dyDescent="0.25">
      <c r="A1515" s="1"/>
      <c r="B1515" s="3">
        <v>44517</v>
      </c>
      <c r="C1515" s="4">
        <v>7.58</v>
      </c>
      <c r="D1515" s="4">
        <v>7.5648</v>
      </c>
      <c r="E1515" s="4">
        <v>0</v>
      </c>
      <c r="F1515" s="4">
        <v>0</v>
      </c>
      <c r="G1515" s="4">
        <v>0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7.58</v>
      </c>
      <c r="D1516" s="4">
        <v>7.5648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7.58</v>
      </c>
      <c r="D1517" s="4">
        <v>7.5648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7.58</v>
      </c>
      <c r="D1518" s="4">
        <v>7.5648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7.74</v>
      </c>
      <c r="D1519" s="4">
        <v>7.7244999999999999</v>
      </c>
      <c r="E1519" s="4">
        <v>265</v>
      </c>
      <c r="F1519" s="4">
        <v>7.74</v>
      </c>
      <c r="G1519" s="4">
        <v>2051.1</v>
      </c>
      <c r="H1519" s="5">
        <f t="shared" si="23"/>
        <v>2.1110934856175968E-2</v>
      </c>
    </row>
    <row r="1520" spans="1:8" ht="13.5" x14ac:dyDescent="0.25">
      <c r="A1520" s="1"/>
      <c r="B1520" s="3">
        <v>44524</v>
      </c>
      <c r="C1520" s="4">
        <v>7.74</v>
      </c>
      <c r="D1520" s="4">
        <v>7.7244999999999999</v>
      </c>
      <c r="E1520" s="4">
        <v>150</v>
      </c>
      <c r="F1520" s="4">
        <v>7.74</v>
      </c>
      <c r="G1520" s="4">
        <v>1161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7.74</v>
      </c>
      <c r="D1521" s="4">
        <v>7.7244999999999999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7.74</v>
      </c>
      <c r="D1522" s="4">
        <v>7.7244999999999999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7.4</v>
      </c>
      <c r="D1523" s="4">
        <v>7.3852000000000002</v>
      </c>
      <c r="E1523" s="4">
        <v>0</v>
      </c>
      <c r="F1523" s="4">
        <v>0</v>
      </c>
      <c r="G1523" s="4">
        <v>0</v>
      </c>
      <c r="H1523" s="5">
        <f t="shared" si="23"/>
        <v>-4.3925173150365683E-2</v>
      </c>
    </row>
    <row r="1524" spans="1:8" ht="13.5" x14ac:dyDescent="0.25">
      <c r="A1524" s="1"/>
      <c r="B1524" s="3">
        <v>44530</v>
      </c>
      <c r="C1524" s="4">
        <v>7.73</v>
      </c>
      <c r="D1524" s="4">
        <v>7.7145000000000001</v>
      </c>
      <c r="E1524" s="4">
        <v>5</v>
      </c>
      <c r="F1524" s="4">
        <v>7.34</v>
      </c>
      <c r="G1524" s="4">
        <v>36.700000000000003</v>
      </c>
      <c r="H1524" s="5">
        <f t="shared" si="23"/>
        <v>4.4589178356713416E-2</v>
      </c>
    </row>
    <row r="1525" spans="1:8" ht="13.5" x14ac:dyDescent="0.25">
      <c r="A1525" s="1"/>
      <c r="B1525" s="3">
        <v>44531</v>
      </c>
      <c r="C1525" s="4">
        <v>7.73</v>
      </c>
      <c r="D1525" s="4">
        <v>7.7145000000000001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7.73</v>
      </c>
      <c r="D1526" s="4">
        <v>7.7145000000000001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7.39</v>
      </c>
      <c r="D1527" s="4">
        <v>7.3752000000000004</v>
      </c>
      <c r="E1527" s="4">
        <v>0</v>
      </c>
      <c r="F1527" s="4">
        <v>0</v>
      </c>
      <c r="G1527" s="4">
        <v>0</v>
      </c>
      <c r="H1527" s="5">
        <f t="shared" si="23"/>
        <v>-4.3982111608010847E-2</v>
      </c>
    </row>
    <row r="1528" spans="1:8" ht="13.5" x14ac:dyDescent="0.25">
      <c r="A1528" s="1"/>
      <c r="B1528" s="3">
        <v>44536</v>
      </c>
      <c r="C1528" s="4">
        <v>7.34</v>
      </c>
      <c r="D1528" s="4">
        <v>7.3253000000000004</v>
      </c>
      <c r="E1528" s="4">
        <v>65</v>
      </c>
      <c r="F1528" s="4">
        <v>7.34</v>
      </c>
      <c r="G1528" s="4">
        <v>477.1</v>
      </c>
      <c r="H1528" s="5">
        <f t="shared" si="23"/>
        <v>-6.765918212387468E-3</v>
      </c>
    </row>
    <row r="1529" spans="1:8" ht="13.5" x14ac:dyDescent="0.25">
      <c r="A1529" s="1"/>
      <c r="B1529" s="3">
        <v>44537</v>
      </c>
      <c r="C1529" s="4">
        <v>7.34</v>
      </c>
      <c r="D1529" s="4">
        <v>7.3253000000000004</v>
      </c>
      <c r="E1529" s="4">
        <v>200</v>
      </c>
      <c r="F1529" s="4">
        <v>7.34</v>
      </c>
      <c r="G1529" s="4">
        <v>1468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7.34</v>
      </c>
      <c r="D1530" s="4">
        <v>7.3253000000000004</v>
      </c>
      <c r="E1530" s="4">
        <v>14</v>
      </c>
      <c r="F1530" s="4">
        <v>7.34</v>
      </c>
      <c r="G1530" s="4">
        <v>102.76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7.33</v>
      </c>
      <c r="D1531" s="4">
        <v>7.3152999999999997</v>
      </c>
      <c r="E1531" s="4">
        <v>200</v>
      </c>
      <c r="F1531" s="4">
        <v>7.33</v>
      </c>
      <c r="G1531" s="4">
        <v>1466</v>
      </c>
      <c r="H1531" s="5">
        <f t="shared" si="23"/>
        <v>-1.3651318034757177E-3</v>
      </c>
    </row>
    <row r="1532" spans="1:8" ht="13.5" x14ac:dyDescent="0.25">
      <c r="A1532" s="1"/>
      <c r="B1532" s="3">
        <v>44540</v>
      </c>
      <c r="C1532" s="4">
        <v>7.33</v>
      </c>
      <c r="D1532" s="4">
        <v>7.3152999999999997</v>
      </c>
      <c r="E1532" s="4">
        <v>298</v>
      </c>
      <c r="F1532" s="4">
        <v>7.33</v>
      </c>
      <c r="G1532" s="4">
        <v>2184.34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7.33</v>
      </c>
      <c r="D1533" s="4">
        <v>7.3152999999999997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7.33</v>
      </c>
      <c r="D1534" s="4">
        <v>7.3152999999999997</v>
      </c>
      <c r="E1534" s="4">
        <v>20</v>
      </c>
      <c r="F1534" s="4">
        <v>7.33</v>
      </c>
      <c r="G1534" s="4">
        <v>146.6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7.33</v>
      </c>
      <c r="D1535" s="4">
        <v>7.3152999999999997</v>
      </c>
      <c r="E1535" s="4">
        <v>4</v>
      </c>
      <c r="F1535" s="4">
        <v>7.33</v>
      </c>
      <c r="G1535" s="4">
        <v>29.32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7.33</v>
      </c>
      <c r="D1536" s="4">
        <v>7.3152999999999997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7.33</v>
      </c>
      <c r="D1537" s="4">
        <v>7.3152999999999997</v>
      </c>
      <c r="E1537" s="4">
        <v>30</v>
      </c>
      <c r="F1537" s="4">
        <v>7.33</v>
      </c>
      <c r="G1537" s="4">
        <v>219.9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7.33</v>
      </c>
      <c r="D1538" s="4">
        <v>7.3152999999999997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7.33</v>
      </c>
      <c r="D1539" s="4">
        <v>7.3152999999999997</v>
      </c>
      <c r="E1539" s="4">
        <v>6800</v>
      </c>
      <c r="F1539" s="4">
        <v>7.33</v>
      </c>
      <c r="G1539" s="4">
        <v>49844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7.33</v>
      </c>
      <c r="D1540" s="4">
        <v>7.3152999999999997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7.33</v>
      </c>
      <c r="D1541" s="4">
        <v>7.3152999999999997</v>
      </c>
      <c r="E1541" s="4">
        <v>0</v>
      </c>
      <c r="F1541" s="4">
        <v>0</v>
      </c>
      <c r="G1541" s="4">
        <v>0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7.33</v>
      </c>
      <c r="D1542" s="4">
        <v>7.3152999999999997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7.33</v>
      </c>
      <c r="D1543" s="4">
        <v>7.3152999999999997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7.33</v>
      </c>
      <c r="D1544" s="4">
        <v>7.3152999999999997</v>
      </c>
      <c r="E1544" s="4">
        <v>0</v>
      </c>
      <c r="F1544" s="4">
        <v>0</v>
      </c>
      <c r="G1544" s="4">
        <v>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7.17</v>
      </c>
      <c r="D1545" s="4">
        <v>7.1557000000000004</v>
      </c>
      <c r="E1545" s="4">
        <v>46</v>
      </c>
      <c r="F1545" s="4">
        <v>7.17</v>
      </c>
      <c r="G1545" s="4">
        <v>329.82</v>
      </c>
      <c r="H1545" s="5">
        <f t="shared" si="24"/>
        <v>-2.1817287055896452E-2</v>
      </c>
    </row>
    <row r="1546" spans="1:8" ht="13.5" x14ac:dyDescent="0.25">
      <c r="A1546" s="1"/>
      <c r="B1546" s="3">
        <v>44561</v>
      </c>
      <c r="C1546" s="4">
        <v>7.33</v>
      </c>
      <c r="D1546" s="4">
        <v>7.3152999999999997</v>
      </c>
      <c r="E1546" s="4">
        <v>1175</v>
      </c>
      <c r="F1546" s="4">
        <v>7.1840000000000002</v>
      </c>
      <c r="G1546" s="4">
        <v>8441.2000000000007</v>
      </c>
      <c r="H1546" s="5">
        <f t="shared" si="24"/>
        <v>2.2303897592129251E-2</v>
      </c>
    </row>
    <row r="1547" spans="1:8" ht="13.5" x14ac:dyDescent="0.25">
      <c r="A1547" s="1"/>
      <c r="B1547" s="3">
        <v>44564</v>
      </c>
      <c r="C1547" s="4">
        <v>7.33</v>
      </c>
      <c r="D1547" s="4">
        <v>7.3152999999999997</v>
      </c>
      <c r="E1547" s="4">
        <v>726</v>
      </c>
      <c r="F1547" s="4">
        <v>7.33</v>
      </c>
      <c r="G1547" s="4">
        <v>5321.58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7.33</v>
      </c>
      <c r="D1548" s="4">
        <v>7.3152999999999997</v>
      </c>
      <c r="E1548" s="4">
        <v>209</v>
      </c>
      <c r="F1548" s="4">
        <v>7.33</v>
      </c>
      <c r="G1548" s="4">
        <v>1531.97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7.33</v>
      </c>
      <c r="D1549" s="4">
        <v>7.3152999999999997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7</v>
      </c>
      <c r="D1550" s="4">
        <v>6.9859999999999998</v>
      </c>
      <c r="E1550" s="4">
        <v>3730</v>
      </c>
      <c r="F1550" s="4">
        <v>7</v>
      </c>
      <c r="G1550" s="4">
        <v>26110</v>
      </c>
      <c r="H1550" s="5">
        <f t="shared" si="24"/>
        <v>-4.501524202698453E-2</v>
      </c>
    </row>
    <row r="1551" spans="1:8" ht="13.5" x14ac:dyDescent="0.25">
      <c r="A1551" s="1"/>
      <c r="B1551" s="3">
        <v>44568</v>
      </c>
      <c r="C1551" s="4">
        <v>7.01</v>
      </c>
      <c r="D1551" s="4">
        <v>6.9960000000000004</v>
      </c>
      <c r="E1551" s="4">
        <v>230</v>
      </c>
      <c r="F1551" s="4">
        <v>7.01</v>
      </c>
      <c r="G1551" s="4">
        <v>1612.3</v>
      </c>
      <c r="H1551" s="5">
        <f t="shared" si="24"/>
        <v>1.4314342971658567E-3</v>
      </c>
    </row>
    <row r="1552" spans="1:8" ht="13.5" x14ac:dyDescent="0.25">
      <c r="A1552" s="1"/>
      <c r="B1552" s="3">
        <v>44571</v>
      </c>
      <c r="C1552" s="4">
        <v>7</v>
      </c>
      <c r="D1552" s="4">
        <v>6.9859999999999998</v>
      </c>
      <c r="E1552" s="4">
        <v>120</v>
      </c>
      <c r="F1552" s="4">
        <v>7</v>
      </c>
      <c r="G1552" s="4">
        <v>840</v>
      </c>
      <c r="H1552" s="5">
        <f t="shared" si="24"/>
        <v>-1.4293882218411485E-3</v>
      </c>
    </row>
    <row r="1553" spans="1:8" ht="13.5" x14ac:dyDescent="0.25">
      <c r="A1553" s="1"/>
      <c r="B1553" s="3">
        <v>44572</v>
      </c>
      <c r="C1553" s="4">
        <v>7</v>
      </c>
      <c r="D1553" s="4">
        <v>6.9859999999999998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6.99</v>
      </c>
      <c r="D1554" s="4">
        <v>6.976</v>
      </c>
      <c r="E1554" s="4">
        <v>10</v>
      </c>
      <c r="F1554" s="4">
        <v>6.99</v>
      </c>
      <c r="G1554" s="4">
        <v>69.900000000000006</v>
      </c>
      <c r="H1554" s="5">
        <f t="shared" si="24"/>
        <v>-1.4314342971657296E-3</v>
      </c>
    </row>
    <row r="1555" spans="1:8" ht="13.5" x14ac:dyDescent="0.25">
      <c r="A1555" s="1"/>
      <c r="B1555" s="3">
        <v>44574</v>
      </c>
      <c r="C1555" s="4">
        <v>6.99</v>
      </c>
      <c r="D1555" s="4">
        <v>6.976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6.68</v>
      </c>
      <c r="D1556" s="4">
        <v>6.6665999999999999</v>
      </c>
      <c r="E1556" s="4">
        <v>20</v>
      </c>
      <c r="F1556" s="4">
        <v>6.68</v>
      </c>
      <c r="G1556" s="4">
        <v>133.6</v>
      </c>
      <c r="H1556" s="5">
        <f t="shared" si="24"/>
        <v>-4.4352064220183507E-2</v>
      </c>
    </row>
    <row r="1557" spans="1:8" ht="13.5" x14ac:dyDescent="0.25">
      <c r="A1557" s="1"/>
      <c r="B1557" s="3">
        <v>44578</v>
      </c>
      <c r="C1557" s="4">
        <v>6.68</v>
      </c>
      <c r="D1557" s="4">
        <v>6.6665999999999999</v>
      </c>
      <c r="E1557" s="4">
        <v>520</v>
      </c>
      <c r="F1557" s="4">
        <v>6.6790000000000003</v>
      </c>
      <c r="G1557" s="4">
        <v>3473.08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6.68</v>
      </c>
      <c r="D1558" s="4">
        <v>6.6665999999999999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6.68</v>
      </c>
      <c r="D1559" s="4">
        <v>6.6665999999999999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6.68</v>
      </c>
      <c r="D1560" s="4">
        <v>6.6665999999999999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6.68</v>
      </c>
      <c r="D1561" s="4">
        <v>6.6665999999999999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6.98</v>
      </c>
      <c r="D1562" s="4">
        <v>6.9660000000000002</v>
      </c>
      <c r="E1562" s="4">
        <v>0</v>
      </c>
      <c r="F1562" s="4">
        <v>0</v>
      </c>
      <c r="G1562" s="4">
        <v>0</v>
      </c>
      <c r="H1562" s="5">
        <f t="shared" si="24"/>
        <v>4.4910449104491094E-2</v>
      </c>
    </row>
    <row r="1563" spans="1:8" ht="13.5" x14ac:dyDescent="0.25">
      <c r="A1563" s="1"/>
      <c r="B1563" s="3">
        <v>44586</v>
      </c>
      <c r="C1563" s="4">
        <v>6.68</v>
      </c>
      <c r="D1563" s="4">
        <v>6.6665999999999999</v>
      </c>
      <c r="E1563" s="4">
        <v>80</v>
      </c>
      <c r="F1563" s="4">
        <v>6.68</v>
      </c>
      <c r="G1563" s="4">
        <v>534.4</v>
      </c>
      <c r="H1563" s="5">
        <f t="shared" si="24"/>
        <v>-4.2980189491817443E-2</v>
      </c>
    </row>
    <row r="1564" spans="1:8" ht="13.5" x14ac:dyDescent="0.25">
      <c r="A1564" s="1"/>
      <c r="B1564" s="3">
        <v>44587</v>
      </c>
      <c r="C1564" s="4">
        <v>6.5</v>
      </c>
      <c r="D1564" s="4">
        <v>6.4870000000000001</v>
      </c>
      <c r="E1564" s="4">
        <v>199</v>
      </c>
      <c r="F1564" s="4">
        <v>6.5</v>
      </c>
      <c r="G1564" s="4">
        <v>1293.5</v>
      </c>
      <c r="H1564" s="5">
        <f t="shared" si="24"/>
        <v>-2.6940269402693992E-2</v>
      </c>
    </row>
    <row r="1565" spans="1:8" ht="13.5" x14ac:dyDescent="0.25">
      <c r="A1565" s="1"/>
      <c r="B1565" s="3">
        <v>44588</v>
      </c>
      <c r="C1565" s="4">
        <v>6.5</v>
      </c>
      <c r="D1565" s="4">
        <v>6.4870000000000001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6.5</v>
      </c>
      <c r="D1566" s="4">
        <v>6.4870000000000001</v>
      </c>
      <c r="E1566" s="4">
        <v>0</v>
      </c>
      <c r="F1566" s="4">
        <v>0</v>
      </c>
      <c r="G1566" s="4">
        <v>0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6.5</v>
      </c>
      <c r="D1567" s="4">
        <v>6.4870000000000001</v>
      </c>
      <c r="E1567" s="4">
        <v>0</v>
      </c>
      <c r="F1567" s="4">
        <v>0</v>
      </c>
      <c r="G1567" s="4">
        <v>0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6.5</v>
      </c>
      <c r="D1568" s="4">
        <v>6.4870000000000001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6.5</v>
      </c>
      <c r="D1569" s="4">
        <v>6.4870000000000001</v>
      </c>
      <c r="E1569" s="4">
        <v>0</v>
      </c>
      <c r="F1569" s="4">
        <v>0</v>
      </c>
      <c r="G1569" s="4">
        <v>0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6.5</v>
      </c>
      <c r="D1570" s="4">
        <v>6.4870000000000001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6.51</v>
      </c>
      <c r="D1571" s="4">
        <v>6.4969999999999999</v>
      </c>
      <c r="E1571" s="4">
        <v>262</v>
      </c>
      <c r="F1571" s="4">
        <v>6.51</v>
      </c>
      <c r="G1571" s="4">
        <v>1705.62</v>
      </c>
      <c r="H1571" s="5">
        <f t="shared" si="24"/>
        <v>1.5415446277169396E-3</v>
      </c>
    </row>
    <row r="1572" spans="1:8" ht="13.5" x14ac:dyDescent="0.25">
      <c r="A1572" s="1"/>
      <c r="B1572" s="3">
        <v>44599</v>
      </c>
      <c r="C1572" s="4">
        <v>6.8</v>
      </c>
      <c r="D1572" s="4">
        <v>6.7864000000000004</v>
      </c>
      <c r="E1572" s="4">
        <v>5</v>
      </c>
      <c r="F1572" s="4">
        <v>6.8</v>
      </c>
      <c r="G1572" s="4">
        <v>34</v>
      </c>
      <c r="H1572" s="5">
        <f t="shared" si="24"/>
        <v>4.4543635524088125E-2</v>
      </c>
    </row>
    <row r="1573" spans="1:8" ht="13.5" x14ac:dyDescent="0.25">
      <c r="A1573" s="1"/>
      <c r="B1573" s="3">
        <v>44600</v>
      </c>
      <c r="C1573" s="4">
        <v>7.1</v>
      </c>
      <c r="D1573" s="4">
        <v>7.0857999999999999</v>
      </c>
      <c r="E1573" s="4">
        <v>0</v>
      </c>
      <c r="F1573" s="4">
        <v>0</v>
      </c>
      <c r="G1573" s="4">
        <v>0</v>
      </c>
      <c r="H1573" s="5">
        <f t="shared" si="24"/>
        <v>4.4117647058823442E-2</v>
      </c>
    </row>
    <row r="1574" spans="1:8" ht="13.5" x14ac:dyDescent="0.25">
      <c r="A1574" s="1"/>
      <c r="B1574" s="3">
        <v>44601</v>
      </c>
      <c r="C1574" s="4">
        <v>7.1</v>
      </c>
      <c r="D1574" s="4">
        <v>7.0857999999999999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7.1</v>
      </c>
      <c r="D1575" s="4">
        <v>7.0857999999999999</v>
      </c>
      <c r="E1575" s="4">
        <v>0</v>
      </c>
      <c r="F1575" s="4">
        <v>0</v>
      </c>
      <c r="G1575" s="4">
        <v>0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7.1</v>
      </c>
      <c r="D1576" s="4">
        <v>7.0857999999999999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6.99</v>
      </c>
      <c r="D1577" s="4">
        <v>6.976</v>
      </c>
      <c r="E1577" s="4">
        <v>245</v>
      </c>
      <c r="F1577" s="4">
        <v>6.9329999999999998</v>
      </c>
      <c r="G1577" s="4">
        <v>1698.585</v>
      </c>
      <c r="H1577" s="5">
        <f t="shared" si="24"/>
        <v>-1.5495780292980313E-2</v>
      </c>
    </row>
    <row r="1578" spans="1:8" ht="13.5" x14ac:dyDescent="0.25">
      <c r="A1578" s="1"/>
      <c r="B1578" s="3">
        <v>44607</v>
      </c>
      <c r="C1578" s="4">
        <v>6.8</v>
      </c>
      <c r="D1578" s="4">
        <v>6.7864000000000004</v>
      </c>
      <c r="E1578" s="4">
        <v>200</v>
      </c>
      <c r="F1578" s="4">
        <v>6.8</v>
      </c>
      <c r="G1578" s="4">
        <v>1360</v>
      </c>
      <c r="H1578" s="5">
        <f t="shared" si="24"/>
        <v>-2.7178899082568743E-2</v>
      </c>
    </row>
    <row r="1579" spans="1:8" ht="13.5" x14ac:dyDescent="0.25">
      <c r="A1579" s="1"/>
      <c r="B1579" s="3">
        <v>44608</v>
      </c>
      <c r="C1579" s="4">
        <v>6.99</v>
      </c>
      <c r="D1579" s="4">
        <v>6.976</v>
      </c>
      <c r="E1579" s="4">
        <v>10</v>
      </c>
      <c r="F1579" s="4">
        <v>6.99</v>
      </c>
      <c r="G1579" s="4">
        <v>69.900000000000006</v>
      </c>
      <c r="H1579" s="5">
        <f t="shared" si="24"/>
        <v>2.7938229399976356E-2</v>
      </c>
    </row>
    <row r="1580" spans="1:8" ht="13.5" x14ac:dyDescent="0.25">
      <c r="A1580" s="1"/>
      <c r="B1580" s="3">
        <v>44609</v>
      </c>
      <c r="C1580" s="4">
        <v>6.99</v>
      </c>
      <c r="D1580" s="4">
        <v>6.976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6.99</v>
      </c>
      <c r="D1581" s="4">
        <v>6.976</v>
      </c>
      <c r="E1581" s="4">
        <v>75</v>
      </c>
      <c r="F1581" s="4">
        <v>6.99</v>
      </c>
      <c r="G1581" s="4">
        <v>524.25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6.99</v>
      </c>
      <c r="D1582" s="4">
        <v>6.976</v>
      </c>
      <c r="E1582" s="4">
        <v>63</v>
      </c>
      <c r="F1582" s="4">
        <v>6.99</v>
      </c>
      <c r="G1582" s="4">
        <v>440.37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6.68</v>
      </c>
      <c r="D1583" s="4">
        <v>6.6665999999999999</v>
      </c>
      <c r="E1583" s="4">
        <v>110</v>
      </c>
      <c r="F1583" s="4">
        <v>6.68</v>
      </c>
      <c r="G1583" s="4">
        <v>734.8</v>
      </c>
      <c r="H1583" s="5">
        <f t="shared" si="24"/>
        <v>-4.4352064220183507E-2</v>
      </c>
    </row>
    <row r="1584" spans="1:8" ht="13.5" x14ac:dyDescent="0.25">
      <c r="A1584" s="1"/>
      <c r="B1584" s="3">
        <v>44615</v>
      </c>
      <c r="C1584" s="4">
        <v>6.98</v>
      </c>
      <c r="D1584" s="4">
        <v>6.9660000000000002</v>
      </c>
      <c r="E1584" s="4">
        <v>10</v>
      </c>
      <c r="F1584" s="4">
        <v>6.98</v>
      </c>
      <c r="G1584" s="4">
        <v>69.8</v>
      </c>
      <c r="H1584" s="5">
        <f t="shared" si="24"/>
        <v>4.4910449104491094E-2</v>
      </c>
    </row>
    <row r="1585" spans="1:8" ht="13.5" x14ac:dyDescent="0.25">
      <c r="A1585" s="1"/>
      <c r="B1585" s="3">
        <v>44616</v>
      </c>
      <c r="C1585" s="4">
        <v>7.29</v>
      </c>
      <c r="D1585" s="4">
        <v>7.2754000000000003</v>
      </c>
      <c r="E1585" s="4">
        <v>44</v>
      </c>
      <c r="F1585" s="4">
        <v>7.29</v>
      </c>
      <c r="G1585" s="4">
        <v>320.76</v>
      </c>
      <c r="H1585" s="5">
        <f t="shared" si="24"/>
        <v>4.44157335630204E-2</v>
      </c>
    </row>
    <row r="1586" spans="1:8" ht="13.5" x14ac:dyDescent="0.25">
      <c r="A1586" s="1"/>
      <c r="B1586" s="3">
        <v>44617</v>
      </c>
      <c r="C1586" s="4">
        <v>7.29</v>
      </c>
      <c r="D1586" s="4">
        <v>7.2754000000000003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7.29</v>
      </c>
      <c r="D1587" s="4">
        <v>7.2754000000000003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7.29</v>
      </c>
      <c r="D1588" s="4">
        <v>7.2754000000000003</v>
      </c>
      <c r="E1588" s="4">
        <v>0</v>
      </c>
      <c r="F1588" s="4">
        <v>0</v>
      </c>
      <c r="G1588" s="4">
        <v>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7.29</v>
      </c>
      <c r="D1589" s="4">
        <v>7.2754000000000003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7.28</v>
      </c>
      <c r="D1590" s="4">
        <v>7.2653999999999996</v>
      </c>
      <c r="E1590" s="4">
        <v>24</v>
      </c>
      <c r="F1590" s="4">
        <v>7.28</v>
      </c>
      <c r="G1590" s="4">
        <v>174.72</v>
      </c>
      <c r="H1590" s="5">
        <f t="shared" si="24"/>
        <v>-1.3744948731342159E-3</v>
      </c>
    </row>
    <row r="1591" spans="1:8" ht="13.5" x14ac:dyDescent="0.25">
      <c r="A1591" s="1"/>
      <c r="B1591" s="3">
        <v>44624</v>
      </c>
      <c r="C1591" s="4">
        <v>7.28</v>
      </c>
      <c r="D1591" s="4">
        <v>7.2653999999999996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7.28</v>
      </c>
      <c r="D1592" s="4">
        <v>7.2653999999999996</v>
      </c>
      <c r="E1592" s="4">
        <v>30</v>
      </c>
      <c r="F1592" s="4">
        <v>7.28</v>
      </c>
      <c r="G1592" s="4">
        <v>218.4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7.28</v>
      </c>
      <c r="D1593" s="4">
        <v>7.2653999999999996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7.27</v>
      </c>
      <c r="D1594" s="4">
        <v>7.2554999999999996</v>
      </c>
      <c r="E1594" s="4">
        <v>220</v>
      </c>
      <c r="F1594" s="4">
        <v>7.27</v>
      </c>
      <c r="G1594" s="4">
        <v>1599.4</v>
      </c>
      <c r="H1594" s="5">
        <f t="shared" si="24"/>
        <v>-1.3626228425138356E-3</v>
      </c>
    </row>
    <row r="1595" spans="1:8" ht="13.5" x14ac:dyDescent="0.25">
      <c r="A1595" s="1"/>
      <c r="B1595" s="3">
        <v>44630</v>
      </c>
      <c r="C1595" s="4">
        <v>7.27</v>
      </c>
      <c r="D1595" s="4">
        <v>7.2554999999999996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7.27</v>
      </c>
      <c r="D1596" s="4">
        <v>7.2554999999999996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7.27</v>
      </c>
      <c r="D1597" s="4">
        <v>7.2554999999999996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7.28</v>
      </c>
      <c r="D1598" s="4">
        <v>7.2653999999999996</v>
      </c>
      <c r="E1598" s="4">
        <v>65</v>
      </c>
      <c r="F1598" s="4">
        <v>7.28</v>
      </c>
      <c r="G1598" s="4">
        <v>473.2</v>
      </c>
      <c r="H1598" s="5">
        <f t="shared" si="24"/>
        <v>1.3644821170146813E-3</v>
      </c>
    </row>
    <row r="1599" spans="1:8" ht="13.5" x14ac:dyDescent="0.25">
      <c r="A1599" s="1"/>
      <c r="B1599" s="3">
        <v>44636</v>
      </c>
      <c r="C1599" s="4">
        <v>7.27</v>
      </c>
      <c r="D1599" s="4">
        <v>7.2554999999999996</v>
      </c>
      <c r="E1599" s="4">
        <v>205</v>
      </c>
      <c r="F1599" s="4">
        <v>7.2770000000000001</v>
      </c>
      <c r="G1599" s="4">
        <v>1491.7850000000001</v>
      </c>
      <c r="H1599" s="5">
        <f t="shared" si="24"/>
        <v>-1.3626228425138356E-3</v>
      </c>
    </row>
    <row r="1600" spans="1:8" ht="13.5" x14ac:dyDescent="0.25">
      <c r="A1600" s="1"/>
      <c r="B1600" s="3">
        <v>44637</v>
      </c>
      <c r="C1600" s="4">
        <v>7.27</v>
      </c>
      <c r="D1600" s="4">
        <v>7.2554999999999996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7.27</v>
      </c>
      <c r="D1601" s="4">
        <v>7.2554999999999996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7.27</v>
      </c>
      <c r="D1602" s="4">
        <v>7.2554999999999996</v>
      </c>
      <c r="E1602" s="4">
        <v>0</v>
      </c>
      <c r="F1602" s="4">
        <v>0</v>
      </c>
      <c r="G1602" s="4">
        <v>0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7.27</v>
      </c>
      <c r="D1603" s="4">
        <v>7.2554999999999996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7.27</v>
      </c>
      <c r="D1604" s="4">
        <v>7.2554999999999996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7.27</v>
      </c>
      <c r="D1605" s="4">
        <v>7.2554999999999996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7</v>
      </c>
      <c r="D1606" s="4">
        <v>6.9859999999999998</v>
      </c>
      <c r="E1606" s="4">
        <v>200</v>
      </c>
      <c r="F1606" s="4">
        <v>7</v>
      </c>
      <c r="G1606" s="4">
        <v>1400</v>
      </c>
      <c r="H1606" s="5">
        <f t="shared" si="24"/>
        <v>-3.7144235407621788E-2</v>
      </c>
    </row>
    <row r="1607" spans="1:8" ht="13.5" x14ac:dyDescent="0.25">
      <c r="A1607" s="1"/>
      <c r="B1607" s="3">
        <v>44648</v>
      </c>
      <c r="C1607" s="4">
        <v>7</v>
      </c>
      <c r="D1607" s="4">
        <v>6.9859999999999998</v>
      </c>
      <c r="E1607" s="4">
        <v>300</v>
      </c>
      <c r="F1607" s="4">
        <v>7</v>
      </c>
      <c r="G1607" s="4">
        <v>2100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6.69</v>
      </c>
      <c r="D1608" s="4">
        <v>6.6765999999999996</v>
      </c>
      <c r="E1608" s="4">
        <v>185</v>
      </c>
      <c r="F1608" s="4">
        <v>6.69</v>
      </c>
      <c r="G1608" s="4">
        <v>1237.6500000000001</v>
      </c>
      <c r="H1608" s="5">
        <f t="shared" si="25"/>
        <v>-4.4288577154308638E-2</v>
      </c>
    </row>
    <row r="1609" spans="1:8" ht="13.5" x14ac:dyDescent="0.25">
      <c r="A1609" s="1"/>
      <c r="B1609" s="3">
        <v>44650</v>
      </c>
      <c r="C1609" s="4">
        <v>6.69</v>
      </c>
      <c r="D1609" s="4">
        <v>6.6765999999999996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6.69</v>
      </c>
      <c r="D1610" s="4">
        <v>6.6765999999999996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6.69</v>
      </c>
      <c r="D1611" s="4">
        <v>6.6765999999999996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6.41</v>
      </c>
      <c r="D1612" s="4">
        <v>6.3971999999999998</v>
      </c>
      <c r="E1612" s="4">
        <v>466</v>
      </c>
      <c r="F1612" s="4">
        <v>6.41</v>
      </c>
      <c r="G1612" s="4">
        <v>2987.06</v>
      </c>
      <c r="H1612" s="5">
        <f t="shared" si="25"/>
        <v>-4.1847647005961101E-2</v>
      </c>
    </row>
    <row r="1613" spans="1:8" ht="13.5" x14ac:dyDescent="0.25">
      <c r="A1613" s="1"/>
      <c r="B1613" s="3">
        <v>44656</v>
      </c>
      <c r="C1613" s="4">
        <v>6.68</v>
      </c>
      <c r="D1613" s="4">
        <v>6.6665999999999999</v>
      </c>
      <c r="E1613" s="4">
        <v>37</v>
      </c>
      <c r="F1613" s="4">
        <v>6.681</v>
      </c>
      <c r="G1613" s="4">
        <v>247.197</v>
      </c>
      <c r="H1613" s="5">
        <f t="shared" si="25"/>
        <v>4.2112174076158332E-2</v>
      </c>
    </row>
    <row r="1614" spans="1:8" ht="13.5" x14ac:dyDescent="0.25">
      <c r="A1614" s="1"/>
      <c r="B1614" s="3">
        <v>44657</v>
      </c>
      <c r="C1614" s="4">
        <v>6.67</v>
      </c>
      <c r="D1614" s="4">
        <v>6.6566999999999998</v>
      </c>
      <c r="E1614" s="4">
        <v>586</v>
      </c>
      <c r="F1614" s="4">
        <v>6.6710000000000003</v>
      </c>
      <c r="G1614" s="4">
        <v>3909.2060000000001</v>
      </c>
      <c r="H1614" s="5">
        <f t="shared" si="25"/>
        <v>-1.4850148501485045E-3</v>
      </c>
    </row>
    <row r="1615" spans="1:8" ht="13.5" x14ac:dyDescent="0.25">
      <c r="A1615" s="1"/>
      <c r="B1615" s="3">
        <v>44658</v>
      </c>
      <c r="C1615" s="4">
        <v>6.95</v>
      </c>
      <c r="D1615" s="4">
        <v>6.9360999999999997</v>
      </c>
      <c r="E1615" s="4">
        <v>1</v>
      </c>
      <c r="F1615" s="4">
        <v>6.95</v>
      </c>
      <c r="G1615" s="4">
        <v>6.95</v>
      </c>
      <c r="H1615" s="5">
        <f t="shared" si="25"/>
        <v>4.1972749260143896E-2</v>
      </c>
    </row>
    <row r="1616" spans="1:8" ht="13.5" x14ac:dyDescent="0.25">
      <c r="A1616" s="1"/>
      <c r="B1616" s="3">
        <v>44659</v>
      </c>
      <c r="C1616" s="4">
        <v>6.9</v>
      </c>
      <c r="D1616" s="4">
        <v>6.8861999999999997</v>
      </c>
      <c r="E1616" s="4">
        <v>10</v>
      </c>
      <c r="F1616" s="4">
        <v>6.9</v>
      </c>
      <c r="G1616" s="4">
        <v>69</v>
      </c>
      <c r="H1616" s="5">
        <f t="shared" si="25"/>
        <v>-7.1942446043165549E-3</v>
      </c>
    </row>
    <row r="1617" spans="1:8" ht="13.5" x14ac:dyDescent="0.25">
      <c r="A1617" s="1"/>
      <c r="B1617" s="3">
        <v>44662</v>
      </c>
      <c r="C1617" s="4">
        <v>6.9</v>
      </c>
      <c r="D1617" s="4">
        <v>6.8861999999999997</v>
      </c>
      <c r="E1617" s="4">
        <v>80</v>
      </c>
      <c r="F1617" s="4">
        <v>6.9</v>
      </c>
      <c r="G1617" s="4">
        <v>552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6.59</v>
      </c>
      <c r="D1618" s="4">
        <v>6.5768000000000004</v>
      </c>
      <c r="E1618" s="4">
        <v>914</v>
      </c>
      <c r="F1618" s="4">
        <v>6.59</v>
      </c>
      <c r="G1618" s="4">
        <v>6023.26</v>
      </c>
      <c r="H1618" s="5">
        <f t="shared" si="25"/>
        <v>-4.4930440591327475E-2</v>
      </c>
    </row>
    <row r="1619" spans="1:8" ht="13.5" x14ac:dyDescent="0.25">
      <c r="A1619" s="1"/>
      <c r="B1619" s="3">
        <v>44664</v>
      </c>
      <c r="C1619" s="4">
        <v>6.85</v>
      </c>
      <c r="D1619" s="4">
        <v>6.8362999999999996</v>
      </c>
      <c r="E1619" s="4">
        <v>25</v>
      </c>
      <c r="F1619" s="4">
        <v>6.85</v>
      </c>
      <c r="G1619" s="4">
        <v>171.25</v>
      </c>
      <c r="H1619" s="5">
        <f t="shared" si="25"/>
        <v>3.9456878725215784E-2</v>
      </c>
    </row>
    <row r="1620" spans="1:8" ht="13.5" x14ac:dyDescent="0.25">
      <c r="A1620" s="1"/>
      <c r="B1620" s="3">
        <v>44665</v>
      </c>
      <c r="C1620" s="4">
        <v>6.55</v>
      </c>
      <c r="D1620" s="4">
        <v>6.5369000000000002</v>
      </c>
      <c r="E1620" s="4">
        <v>430</v>
      </c>
      <c r="F1620" s="4">
        <v>6.5570000000000004</v>
      </c>
      <c r="G1620" s="4">
        <v>2819.51</v>
      </c>
      <c r="H1620" s="5">
        <f t="shared" si="25"/>
        <v>-4.3795620437956123E-2</v>
      </c>
    </row>
    <row r="1621" spans="1:8" ht="13.5" x14ac:dyDescent="0.25">
      <c r="A1621" s="1"/>
      <c r="B1621" s="3">
        <v>44666</v>
      </c>
      <c r="C1621" s="4">
        <v>6.39</v>
      </c>
      <c r="D1621" s="4">
        <v>6.3772000000000002</v>
      </c>
      <c r="E1621" s="4">
        <v>556</v>
      </c>
      <c r="F1621" s="4">
        <v>6.4989999999999997</v>
      </c>
      <c r="G1621" s="4">
        <v>3613.444</v>
      </c>
      <c r="H1621" s="5">
        <f t="shared" si="25"/>
        <v>-2.4430540470253476E-2</v>
      </c>
    </row>
    <row r="1622" spans="1:8" ht="13.5" x14ac:dyDescent="0.25">
      <c r="A1622" s="1"/>
      <c r="B1622" s="3">
        <v>44669</v>
      </c>
      <c r="C1622" s="4">
        <v>6.6</v>
      </c>
      <c r="D1622" s="4">
        <v>6.5868000000000002</v>
      </c>
      <c r="E1622" s="4">
        <v>25</v>
      </c>
      <c r="F1622" s="4">
        <v>6.6</v>
      </c>
      <c r="G1622" s="4">
        <v>165</v>
      </c>
      <c r="H1622" s="5">
        <f t="shared" si="25"/>
        <v>3.2867089004578812E-2</v>
      </c>
    </row>
    <row r="1623" spans="1:8" ht="13.5" x14ac:dyDescent="0.25">
      <c r="A1623" s="1"/>
      <c r="B1623" s="3">
        <v>44670</v>
      </c>
      <c r="C1623" s="4">
        <v>6.6</v>
      </c>
      <c r="D1623" s="4">
        <v>6.5868000000000002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6.6</v>
      </c>
      <c r="D1624" s="4">
        <v>6.5868000000000002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6.6</v>
      </c>
      <c r="D1625" s="4">
        <v>6.5868000000000002</v>
      </c>
      <c r="E1625" s="4">
        <v>450</v>
      </c>
      <c r="F1625" s="4">
        <v>6.6</v>
      </c>
      <c r="G1625" s="4">
        <v>2970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6.31</v>
      </c>
      <c r="D1626" s="4">
        <v>6.2973999999999997</v>
      </c>
      <c r="E1626" s="4">
        <v>32</v>
      </c>
      <c r="F1626" s="4">
        <v>6.31</v>
      </c>
      <c r="G1626" s="4">
        <v>201.92</v>
      </c>
      <c r="H1626" s="5">
        <f t="shared" si="25"/>
        <v>-4.3936357563612152E-2</v>
      </c>
    </row>
    <row r="1627" spans="1:8" ht="13.5" x14ac:dyDescent="0.25">
      <c r="A1627" s="1"/>
      <c r="B1627" s="3">
        <v>44676</v>
      </c>
      <c r="C1627" s="4">
        <v>6.31</v>
      </c>
      <c r="D1627" s="4">
        <v>6.2973999999999997</v>
      </c>
      <c r="E1627" s="4">
        <v>287</v>
      </c>
      <c r="F1627" s="4">
        <v>6.31</v>
      </c>
      <c r="G1627" s="4">
        <v>1810.97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6.59</v>
      </c>
      <c r="D1628" s="4">
        <v>6.5768000000000004</v>
      </c>
      <c r="E1628" s="4">
        <v>10</v>
      </c>
      <c r="F1628" s="4">
        <v>6.59</v>
      </c>
      <c r="G1628" s="4">
        <v>65.900000000000006</v>
      </c>
      <c r="H1628" s="5">
        <f t="shared" si="25"/>
        <v>4.4367516752945785E-2</v>
      </c>
    </row>
    <row r="1629" spans="1:8" ht="13.5" x14ac:dyDescent="0.25">
      <c r="A1629" s="1"/>
      <c r="B1629" s="3">
        <v>44678</v>
      </c>
      <c r="C1629" s="4">
        <v>6.88</v>
      </c>
      <c r="D1629" s="4">
        <v>6.8662000000000001</v>
      </c>
      <c r="E1629" s="4">
        <v>192</v>
      </c>
      <c r="F1629" s="4">
        <v>6.88</v>
      </c>
      <c r="G1629" s="4">
        <v>1320.96</v>
      </c>
      <c r="H1629" s="5">
        <f t="shared" si="25"/>
        <v>4.400316263228312E-2</v>
      </c>
    </row>
    <row r="1630" spans="1:8" ht="13.5" x14ac:dyDescent="0.25">
      <c r="A1630" s="1"/>
      <c r="B1630" s="3">
        <v>44679</v>
      </c>
      <c r="C1630" s="4">
        <v>6.88</v>
      </c>
      <c r="D1630" s="4">
        <v>6.8662000000000001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6.88</v>
      </c>
      <c r="D1631" s="4">
        <v>6.8662000000000001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7.18</v>
      </c>
      <c r="D1632" s="4">
        <v>7.1656000000000004</v>
      </c>
      <c r="E1632" s="4">
        <v>25</v>
      </c>
      <c r="F1632" s="4">
        <v>7.18</v>
      </c>
      <c r="G1632" s="4">
        <v>179.5</v>
      </c>
      <c r="H1632" s="5">
        <f t="shared" si="25"/>
        <v>4.3604905187731254E-2</v>
      </c>
    </row>
    <row r="1633" spans="1:8" ht="13.5" x14ac:dyDescent="0.25">
      <c r="A1633" s="1"/>
      <c r="B1633" s="3">
        <v>44686</v>
      </c>
      <c r="C1633" s="4">
        <v>7.18</v>
      </c>
      <c r="D1633" s="4">
        <v>7.1656000000000004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7.32</v>
      </c>
      <c r="D1634" s="4">
        <v>7.3053999999999997</v>
      </c>
      <c r="E1634" s="4">
        <v>25</v>
      </c>
      <c r="F1634" s="4">
        <v>7.32</v>
      </c>
      <c r="G1634" s="4">
        <v>183</v>
      </c>
      <c r="H1634" s="5">
        <f t="shared" si="25"/>
        <v>1.9509880540359389E-2</v>
      </c>
    </row>
    <row r="1635" spans="1:8" ht="13.5" x14ac:dyDescent="0.25">
      <c r="A1635" s="1"/>
      <c r="B1635" s="3">
        <v>44690</v>
      </c>
      <c r="C1635" s="4">
        <v>7.32</v>
      </c>
      <c r="D1635" s="4">
        <v>7.3053999999999997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7.32</v>
      </c>
      <c r="D1636" s="4">
        <v>7.3053999999999997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7.3</v>
      </c>
      <c r="D1637" s="4">
        <v>7.2854000000000001</v>
      </c>
      <c r="E1637" s="4">
        <v>25</v>
      </c>
      <c r="F1637" s="4">
        <v>7.3</v>
      </c>
      <c r="G1637" s="4">
        <v>182.5</v>
      </c>
      <c r="H1637" s="5">
        <f t="shared" si="25"/>
        <v>-2.7377008788019241E-3</v>
      </c>
    </row>
    <row r="1638" spans="1:8" ht="13.5" x14ac:dyDescent="0.25">
      <c r="A1638" s="1"/>
      <c r="B1638" s="3">
        <v>44693</v>
      </c>
      <c r="C1638" s="4">
        <v>7.3</v>
      </c>
      <c r="D1638" s="4">
        <v>7.2854000000000001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7.25</v>
      </c>
      <c r="D1639" s="4">
        <v>7.2355</v>
      </c>
      <c r="E1639" s="4">
        <v>200</v>
      </c>
      <c r="F1639" s="4">
        <v>7.25</v>
      </c>
      <c r="G1639" s="4">
        <v>1450</v>
      </c>
      <c r="H1639" s="5">
        <f t="shared" si="25"/>
        <v>-6.8493150684931581E-3</v>
      </c>
    </row>
    <row r="1640" spans="1:8" ht="13.5" x14ac:dyDescent="0.25">
      <c r="A1640" s="1"/>
      <c r="B1640" s="3">
        <v>44697</v>
      </c>
      <c r="C1640" s="4">
        <v>7.24</v>
      </c>
      <c r="D1640" s="4">
        <v>7.2255000000000003</v>
      </c>
      <c r="E1640" s="4">
        <v>25</v>
      </c>
      <c r="F1640" s="4">
        <v>7.24</v>
      </c>
      <c r="G1640" s="4">
        <v>181</v>
      </c>
      <c r="H1640" s="5">
        <f t="shared" si="25"/>
        <v>-1.3820744938151872E-3</v>
      </c>
    </row>
    <row r="1641" spans="1:8" ht="13.5" x14ac:dyDescent="0.25">
      <c r="A1641" s="1"/>
      <c r="B1641" s="3">
        <v>44698</v>
      </c>
      <c r="C1641" s="4">
        <v>7.24</v>
      </c>
      <c r="D1641" s="4">
        <v>7.2255000000000003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7.24</v>
      </c>
      <c r="D1642" s="4">
        <v>7.2255000000000003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7.24</v>
      </c>
      <c r="D1643" s="4">
        <v>7.2255000000000003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7.24</v>
      </c>
      <c r="D1644" s="4">
        <v>7.2255000000000003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7.24</v>
      </c>
      <c r="D1645" s="4">
        <v>7.2255000000000003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7.24</v>
      </c>
      <c r="D1646" s="4">
        <v>7.2255000000000003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7.24</v>
      </c>
      <c r="D1647" s="4">
        <v>7.2255000000000003</v>
      </c>
      <c r="E1647" s="4">
        <v>0</v>
      </c>
      <c r="F1647" s="4">
        <v>0</v>
      </c>
      <c r="G1647" s="4">
        <v>0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7.24</v>
      </c>
      <c r="D1648" s="4">
        <v>7.2255000000000003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7.1</v>
      </c>
      <c r="D1649" s="4">
        <v>7.0857999999999999</v>
      </c>
      <c r="E1649" s="4">
        <v>100</v>
      </c>
      <c r="F1649" s="4">
        <v>7.1</v>
      </c>
      <c r="G1649" s="4">
        <v>710</v>
      </c>
      <c r="H1649" s="5">
        <f t="shared" si="25"/>
        <v>-1.9334302124420506E-2</v>
      </c>
    </row>
    <row r="1650" spans="1:8" ht="13.5" x14ac:dyDescent="0.25">
      <c r="A1650" s="1"/>
      <c r="B1650" s="3">
        <v>44711</v>
      </c>
      <c r="C1650" s="4">
        <v>7.09</v>
      </c>
      <c r="D1650" s="4">
        <v>7.0758000000000001</v>
      </c>
      <c r="E1650" s="4">
        <v>45</v>
      </c>
      <c r="F1650" s="4">
        <v>7.09</v>
      </c>
      <c r="G1650" s="4">
        <v>319.05</v>
      </c>
      <c r="H1650" s="5">
        <f t="shared" si="25"/>
        <v>-1.4112732507267757E-3</v>
      </c>
    </row>
    <row r="1651" spans="1:8" ht="13.5" x14ac:dyDescent="0.25">
      <c r="A1651" s="1"/>
      <c r="B1651" s="3">
        <v>44712</v>
      </c>
      <c r="C1651" s="4">
        <v>7.09</v>
      </c>
      <c r="D1651" s="4">
        <v>7.0758000000000001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7.09</v>
      </c>
      <c r="D1652" s="4">
        <v>7.0758000000000001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7</v>
      </c>
      <c r="D1653" s="4">
        <v>6.9859999999999998</v>
      </c>
      <c r="E1653" s="4">
        <v>10</v>
      </c>
      <c r="F1653" s="4">
        <v>7</v>
      </c>
      <c r="G1653" s="4">
        <v>70</v>
      </c>
      <c r="H1653" s="5">
        <f t="shared" si="25"/>
        <v>-1.2691144464230239E-2</v>
      </c>
    </row>
    <row r="1654" spans="1:8" ht="13.5" x14ac:dyDescent="0.25">
      <c r="A1654" s="1"/>
      <c r="B1654" s="3">
        <v>44715</v>
      </c>
      <c r="C1654" s="4">
        <v>7</v>
      </c>
      <c r="D1654" s="4">
        <v>6.9859999999999998</v>
      </c>
      <c r="E1654" s="4">
        <v>10</v>
      </c>
      <c r="F1654" s="4">
        <v>7</v>
      </c>
      <c r="G1654" s="4">
        <v>70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7</v>
      </c>
      <c r="D1655" s="4">
        <v>6.9859999999999998</v>
      </c>
      <c r="E1655" s="4">
        <v>0</v>
      </c>
      <c r="F1655" s="4">
        <v>0</v>
      </c>
      <c r="G1655" s="4">
        <v>0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7</v>
      </c>
      <c r="D1656" s="4">
        <v>6.9859999999999998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7</v>
      </c>
      <c r="D1657" s="4">
        <v>6.9859999999999998</v>
      </c>
      <c r="E1657" s="4">
        <v>0</v>
      </c>
      <c r="F1657" s="4">
        <v>0</v>
      </c>
      <c r="G1657" s="4">
        <v>0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7</v>
      </c>
      <c r="D1658" s="4">
        <v>6.9859999999999998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7</v>
      </c>
      <c r="D1659" s="4">
        <v>6.9859999999999998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6.9</v>
      </c>
      <c r="D1660" s="4">
        <v>6.8861999999999997</v>
      </c>
      <c r="E1660" s="4">
        <v>25</v>
      </c>
      <c r="F1660" s="4">
        <v>6.9</v>
      </c>
      <c r="G1660" s="4">
        <v>172.5</v>
      </c>
      <c r="H1660" s="5">
        <f t="shared" si="25"/>
        <v>-1.4285714285714303E-2</v>
      </c>
    </row>
    <row r="1661" spans="1:8" ht="13.5" x14ac:dyDescent="0.25">
      <c r="A1661" s="1"/>
      <c r="B1661" s="3">
        <v>44726</v>
      </c>
      <c r="C1661" s="4">
        <v>6.9</v>
      </c>
      <c r="D1661" s="4">
        <v>6.8861999999999997</v>
      </c>
      <c r="E1661" s="4">
        <v>885</v>
      </c>
      <c r="F1661" s="4">
        <v>6.9</v>
      </c>
      <c r="G1661" s="4">
        <v>6106.5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6.9</v>
      </c>
      <c r="D1662" s="4">
        <v>6.8861999999999997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6.9</v>
      </c>
      <c r="D1663" s="4">
        <v>6.8861999999999997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6.59</v>
      </c>
      <c r="D1664" s="4">
        <v>6.5768000000000004</v>
      </c>
      <c r="E1664" s="4">
        <v>25</v>
      </c>
      <c r="F1664" s="4">
        <v>6.59</v>
      </c>
      <c r="G1664" s="4">
        <v>164.75</v>
      </c>
      <c r="H1664" s="5">
        <f t="shared" si="25"/>
        <v>-4.4930440591327475E-2</v>
      </c>
    </row>
    <row r="1665" spans="1:8" ht="13.5" x14ac:dyDescent="0.25">
      <c r="A1665" s="1"/>
      <c r="B1665" s="3">
        <v>44732</v>
      </c>
      <c r="C1665" s="4">
        <v>6.59</v>
      </c>
      <c r="D1665" s="4">
        <v>6.5768000000000004</v>
      </c>
      <c r="E1665" s="4">
        <v>235</v>
      </c>
      <c r="F1665" s="4">
        <v>6.59</v>
      </c>
      <c r="G1665" s="4">
        <v>1548.65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6.85</v>
      </c>
      <c r="D1666" s="4">
        <v>6.8362999999999996</v>
      </c>
      <c r="E1666" s="4">
        <v>25</v>
      </c>
      <c r="F1666" s="4">
        <v>6.85</v>
      </c>
      <c r="G1666" s="4">
        <v>171.25</v>
      </c>
      <c r="H1666" s="5">
        <f t="shared" si="25"/>
        <v>3.9456878725215784E-2</v>
      </c>
    </row>
    <row r="1667" spans="1:8" ht="13.5" x14ac:dyDescent="0.25">
      <c r="A1667" s="1"/>
      <c r="B1667" s="3">
        <v>44734</v>
      </c>
      <c r="C1667" s="4">
        <v>6.85</v>
      </c>
      <c r="D1667" s="4">
        <v>6.8362999999999996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6.85</v>
      </c>
      <c r="D1668" s="4">
        <v>6.8362999999999996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6.85</v>
      </c>
      <c r="D1669" s="4">
        <v>6.8362999999999996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6.8</v>
      </c>
      <c r="D1670" s="4">
        <v>6.7864000000000004</v>
      </c>
      <c r="E1670" s="4">
        <v>600</v>
      </c>
      <c r="F1670" s="4">
        <v>6.8</v>
      </c>
      <c r="G1670" s="4">
        <v>4080</v>
      </c>
      <c r="H1670" s="5">
        <f t="shared" si="25"/>
        <v>-7.2992700729925791E-3</v>
      </c>
    </row>
    <row r="1671" spans="1:8" ht="13.5" x14ac:dyDescent="0.25">
      <c r="A1671" s="1"/>
      <c r="B1671" s="3">
        <v>44740</v>
      </c>
      <c r="C1671" s="4">
        <v>6.8</v>
      </c>
      <c r="D1671" s="4">
        <v>6.7864000000000004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6.8</v>
      </c>
      <c r="D1672" s="4">
        <v>6.7864000000000004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6.8</v>
      </c>
      <c r="D1673" s="4">
        <v>6.7864000000000004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6.8</v>
      </c>
      <c r="D1674" s="4">
        <v>6.7864000000000004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6.79</v>
      </c>
      <c r="D1675" s="4">
        <v>6.7763999999999998</v>
      </c>
      <c r="E1675" s="4">
        <v>989</v>
      </c>
      <c r="F1675" s="4">
        <v>6.79</v>
      </c>
      <c r="G1675" s="4">
        <v>6715.31</v>
      </c>
      <c r="H1675" s="5">
        <f t="shared" si="26"/>
        <v>-1.4735353059060288E-3</v>
      </c>
    </row>
    <row r="1676" spans="1:8" ht="13.5" x14ac:dyDescent="0.25">
      <c r="A1676" s="1"/>
      <c r="B1676" s="3">
        <v>44747</v>
      </c>
      <c r="C1676" s="4">
        <v>6.49</v>
      </c>
      <c r="D1676" s="4">
        <v>6.4770000000000003</v>
      </c>
      <c r="E1676" s="4">
        <v>200</v>
      </c>
      <c r="F1676" s="4">
        <v>6.49</v>
      </c>
      <c r="G1676" s="4">
        <v>1298</v>
      </c>
      <c r="H1676" s="5">
        <f t="shared" si="26"/>
        <v>-4.4182751903665586E-2</v>
      </c>
    </row>
    <row r="1677" spans="1:8" ht="13.5" x14ac:dyDescent="0.25">
      <c r="A1677" s="1"/>
      <c r="B1677" s="3">
        <v>44748</v>
      </c>
      <c r="C1677" s="4">
        <v>6.49</v>
      </c>
      <c r="D1677" s="4">
        <v>6.4770000000000003</v>
      </c>
      <c r="E1677" s="4">
        <v>200</v>
      </c>
      <c r="F1677" s="4">
        <v>6.49</v>
      </c>
      <c r="G1677" s="4">
        <v>1298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6.49</v>
      </c>
      <c r="D1678" s="4">
        <v>6.4770000000000003</v>
      </c>
      <c r="E1678" s="4">
        <v>0</v>
      </c>
      <c r="F1678" s="4">
        <v>0</v>
      </c>
      <c r="G1678" s="4">
        <v>0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6.49</v>
      </c>
      <c r="D1679" s="4">
        <v>6.4770000000000003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6.49</v>
      </c>
      <c r="D1680" s="4">
        <v>6.4770000000000003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6.49</v>
      </c>
      <c r="D1681" s="4">
        <v>6.4770000000000003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6.49</v>
      </c>
      <c r="D1682" s="4">
        <v>6.4770000000000003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6.49</v>
      </c>
      <c r="D1683" s="4">
        <v>6.4770000000000003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6.2</v>
      </c>
      <c r="D1684" s="4">
        <v>6.1875999999999998</v>
      </c>
      <c r="E1684" s="4">
        <v>867</v>
      </c>
      <c r="F1684" s="4">
        <v>6.2</v>
      </c>
      <c r="G1684" s="4">
        <v>5375.4</v>
      </c>
      <c r="H1684" s="5">
        <f t="shared" si="26"/>
        <v>-4.4681179558437631E-2</v>
      </c>
    </row>
    <row r="1685" spans="1:8" ht="13.5" x14ac:dyDescent="0.25">
      <c r="A1685" s="1"/>
      <c r="B1685" s="3">
        <v>44760</v>
      </c>
      <c r="C1685" s="4">
        <v>6.2</v>
      </c>
      <c r="D1685" s="4">
        <v>6.1875999999999998</v>
      </c>
      <c r="E1685" s="4">
        <v>44</v>
      </c>
      <c r="F1685" s="4">
        <v>6.2</v>
      </c>
      <c r="G1685" s="4">
        <v>272.8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6.2</v>
      </c>
      <c r="D1686" s="4">
        <v>6.1875999999999998</v>
      </c>
      <c r="E1686" s="4">
        <v>200</v>
      </c>
      <c r="F1686" s="4">
        <v>6.2</v>
      </c>
      <c r="G1686" s="4">
        <v>1240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6.2</v>
      </c>
      <c r="D1687" s="4">
        <v>6.1875999999999998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6.2</v>
      </c>
      <c r="D1688" s="4">
        <v>6.1875999999999998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6.2</v>
      </c>
      <c r="D1689" s="4">
        <v>6.1875999999999998</v>
      </c>
      <c r="E1689" s="4">
        <v>214</v>
      </c>
      <c r="F1689" s="4">
        <v>6.2</v>
      </c>
      <c r="G1689" s="4">
        <v>1326.8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6.2</v>
      </c>
      <c r="D1690" s="4">
        <v>6.1875999999999998</v>
      </c>
      <c r="E1690" s="4">
        <v>500</v>
      </c>
      <c r="F1690" s="4">
        <v>6.2</v>
      </c>
      <c r="G1690" s="4">
        <v>3100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6.47</v>
      </c>
      <c r="D1691" s="4">
        <v>6.4570999999999996</v>
      </c>
      <c r="E1691" s="4">
        <v>0</v>
      </c>
      <c r="F1691" s="4">
        <v>0</v>
      </c>
      <c r="G1691" s="4">
        <v>0</v>
      </c>
      <c r="H1691" s="5">
        <f t="shared" si="26"/>
        <v>4.3554851638761369E-2</v>
      </c>
    </row>
    <row r="1692" spans="1:8" ht="13.5" x14ac:dyDescent="0.25">
      <c r="A1692" s="1"/>
      <c r="B1692" s="3">
        <v>44770</v>
      </c>
      <c r="C1692" s="4">
        <v>6.47</v>
      </c>
      <c r="D1692" s="4">
        <v>6.4570999999999996</v>
      </c>
      <c r="E1692" s="4">
        <v>1</v>
      </c>
      <c r="F1692" s="4">
        <v>6.47</v>
      </c>
      <c r="G1692" s="4">
        <v>6.47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6.47</v>
      </c>
      <c r="D1693" s="4">
        <v>6.4570999999999996</v>
      </c>
      <c r="E1693" s="4">
        <v>50</v>
      </c>
      <c r="F1693" s="4">
        <v>6.47</v>
      </c>
      <c r="G1693" s="4">
        <v>323.5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6.47</v>
      </c>
      <c r="D1694" s="4">
        <v>6.4570999999999996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6.47</v>
      </c>
      <c r="D1695" s="4">
        <v>6.4570999999999996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6.18</v>
      </c>
      <c r="D1696" s="4">
        <v>6.1676000000000002</v>
      </c>
      <c r="E1696" s="4">
        <v>6</v>
      </c>
      <c r="F1696" s="4">
        <v>6.18</v>
      </c>
      <c r="G1696" s="4">
        <v>37.08</v>
      </c>
      <c r="H1696" s="5">
        <f t="shared" si="26"/>
        <v>-4.4834368369701484E-2</v>
      </c>
    </row>
    <row r="1697" spans="1:8" ht="13.5" x14ac:dyDescent="0.25">
      <c r="A1697" s="1"/>
      <c r="B1697" s="3">
        <v>44777</v>
      </c>
      <c r="C1697" s="4">
        <v>6.18</v>
      </c>
      <c r="D1697" s="4">
        <v>6.1676000000000002</v>
      </c>
      <c r="E1697" s="4">
        <v>300</v>
      </c>
      <c r="F1697" s="4">
        <v>6.18</v>
      </c>
      <c r="G1697" s="4">
        <v>1854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6.18</v>
      </c>
      <c r="D1698" s="4">
        <v>6.1676000000000002</v>
      </c>
      <c r="E1698" s="4">
        <v>100</v>
      </c>
      <c r="F1698" s="4">
        <v>6.18</v>
      </c>
      <c r="G1698" s="4">
        <v>618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6.04</v>
      </c>
      <c r="D1699" s="4">
        <v>6.0278999999999998</v>
      </c>
      <c r="E1699" s="4">
        <v>64</v>
      </c>
      <c r="F1699" s="4">
        <v>6.04</v>
      </c>
      <c r="G1699" s="4">
        <v>386.56</v>
      </c>
      <c r="H1699" s="5">
        <f t="shared" si="26"/>
        <v>-2.2650625851222579E-2</v>
      </c>
    </row>
    <row r="1700" spans="1:8" ht="13.5" x14ac:dyDescent="0.25">
      <c r="A1700" s="1"/>
      <c r="B1700" s="3">
        <v>44782</v>
      </c>
      <c r="C1700" s="4">
        <v>6.3</v>
      </c>
      <c r="D1700" s="4">
        <v>6.2873999999999999</v>
      </c>
      <c r="E1700" s="4">
        <v>130</v>
      </c>
      <c r="F1700" s="4">
        <v>6.3</v>
      </c>
      <c r="G1700" s="4">
        <v>819</v>
      </c>
      <c r="H1700" s="5">
        <f t="shared" si="26"/>
        <v>4.304981834469717E-2</v>
      </c>
    </row>
    <row r="1701" spans="1:8" ht="13.5" x14ac:dyDescent="0.25">
      <c r="A1701" s="1"/>
      <c r="B1701" s="3">
        <v>44783</v>
      </c>
      <c r="C1701" s="4">
        <v>6.58</v>
      </c>
      <c r="D1701" s="4">
        <v>6.5667999999999997</v>
      </c>
      <c r="E1701" s="4">
        <v>29</v>
      </c>
      <c r="F1701" s="4">
        <v>6.5410000000000004</v>
      </c>
      <c r="G1701" s="4">
        <v>189.68899999999999</v>
      </c>
      <c r="H1701" s="5">
        <f t="shared" si="26"/>
        <v>4.4438082514234797E-2</v>
      </c>
    </row>
    <row r="1702" spans="1:8" ht="13.5" x14ac:dyDescent="0.25">
      <c r="A1702" s="1"/>
      <c r="B1702" s="3">
        <v>44784</v>
      </c>
      <c r="C1702" s="4">
        <v>6.58</v>
      </c>
      <c r="D1702" s="4">
        <v>6.5667999999999997</v>
      </c>
      <c r="E1702" s="4">
        <v>10</v>
      </c>
      <c r="F1702" s="4">
        <v>6.58</v>
      </c>
      <c r="G1702" s="4">
        <v>65.8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6.58</v>
      </c>
      <c r="D1703" s="4">
        <v>6.5667999999999997</v>
      </c>
      <c r="E1703" s="4">
        <v>5</v>
      </c>
      <c r="F1703" s="4">
        <v>6.58</v>
      </c>
      <c r="G1703" s="4">
        <v>32.9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6.58</v>
      </c>
      <c r="D1704" s="4">
        <v>6.5667999999999997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6.58</v>
      </c>
      <c r="D1705" s="4">
        <v>6.5667999999999997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6.58</v>
      </c>
      <c r="D1706" s="4">
        <v>6.5667999999999997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6.5</v>
      </c>
      <c r="D1707" s="4">
        <v>6.4870000000000001</v>
      </c>
      <c r="E1707" s="4">
        <v>147</v>
      </c>
      <c r="F1707" s="4">
        <v>6.5</v>
      </c>
      <c r="G1707" s="4">
        <v>955.5</v>
      </c>
      <c r="H1707" s="5">
        <f t="shared" si="26"/>
        <v>-1.2152037522080716E-2</v>
      </c>
    </row>
    <row r="1708" spans="1:8" ht="13.5" x14ac:dyDescent="0.25">
      <c r="A1708" s="1"/>
      <c r="B1708" s="3">
        <v>44792</v>
      </c>
      <c r="C1708" s="4">
        <v>6.49</v>
      </c>
      <c r="D1708" s="4">
        <v>6.4770000000000003</v>
      </c>
      <c r="E1708" s="4">
        <v>50</v>
      </c>
      <c r="F1708" s="4">
        <v>6.49</v>
      </c>
      <c r="G1708" s="4">
        <v>324.5</v>
      </c>
      <c r="H1708" s="5">
        <f t="shared" si="26"/>
        <v>-1.5415446277169396E-3</v>
      </c>
    </row>
    <row r="1709" spans="1:8" ht="13.5" x14ac:dyDescent="0.25">
      <c r="A1709" s="1"/>
      <c r="B1709" s="3">
        <v>44795</v>
      </c>
      <c r="C1709" s="4">
        <v>6.49</v>
      </c>
      <c r="D1709" s="4">
        <v>6.4770000000000003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6.49</v>
      </c>
      <c r="D1710" s="4">
        <v>6.4770000000000003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6.49</v>
      </c>
      <c r="D1711" s="4">
        <v>6.4770000000000003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6.49</v>
      </c>
      <c r="D1712" s="4">
        <v>6.4770000000000003</v>
      </c>
      <c r="E1712" s="4">
        <v>30</v>
      </c>
      <c r="F1712" s="4">
        <v>6.49</v>
      </c>
      <c r="G1712" s="4">
        <v>194.7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6.49</v>
      </c>
      <c r="D1713" s="4">
        <v>6.4770000000000003</v>
      </c>
      <c r="E1713" s="4">
        <v>10</v>
      </c>
      <c r="F1713" s="4">
        <v>6.49</v>
      </c>
      <c r="G1713" s="4">
        <v>64.900000000000006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6.49</v>
      </c>
      <c r="D1714" s="4">
        <v>6.4770000000000003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6.49</v>
      </c>
      <c r="D1715" s="4">
        <v>6.4770000000000003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6.49</v>
      </c>
      <c r="D1716" s="4">
        <v>6.4770000000000003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6.4</v>
      </c>
      <c r="D1717" s="4">
        <v>6.3872</v>
      </c>
      <c r="E1717" s="4">
        <v>3</v>
      </c>
      <c r="F1717" s="4">
        <v>6.4</v>
      </c>
      <c r="G1717" s="4">
        <v>19.2</v>
      </c>
      <c r="H1717" s="5">
        <f t="shared" si="26"/>
        <v>-1.386444341516139E-2</v>
      </c>
    </row>
    <row r="1718" spans="1:8" ht="13.5" x14ac:dyDescent="0.25">
      <c r="A1718" s="1"/>
      <c r="B1718" s="3">
        <v>44806</v>
      </c>
      <c r="C1718" s="4">
        <v>6.12</v>
      </c>
      <c r="D1718" s="4">
        <v>6.1078000000000001</v>
      </c>
      <c r="E1718" s="4">
        <v>259</v>
      </c>
      <c r="F1718" s="4">
        <v>6.12</v>
      </c>
      <c r="G1718" s="4">
        <v>1585.08</v>
      </c>
      <c r="H1718" s="5">
        <f t="shared" si="26"/>
        <v>-4.3743737474949883E-2</v>
      </c>
    </row>
    <row r="1719" spans="1:8" ht="13.5" x14ac:dyDescent="0.25">
      <c r="A1719" s="1"/>
      <c r="B1719" s="3">
        <v>44809</v>
      </c>
      <c r="C1719" s="4">
        <v>5.95</v>
      </c>
      <c r="D1719" s="4">
        <v>5.9381000000000004</v>
      </c>
      <c r="E1719" s="4">
        <v>1000</v>
      </c>
      <c r="F1719" s="4">
        <v>5.95</v>
      </c>
      <c r="G1719" s="4">
        <v>5950</v>
      </c>
      <c r="H1719" s="5">
        <f t="shared" si="26"/>
        <v>-2.778414486394442E-2</v>
      </c>
    </row>
    <row r="1720" spans="1:8" ht="13.5" x14ac:dyDescent="0.25">
      <c r="A1720" s="1"/>
      <c r="B1720" s="3">
        <v>44810</v>
      </c>
      <c r="C1720" s="4">
        <v>6.21</v>
      </c>
      <c r="D1720" s="4">
        <v>6.1976000000000004</v>
      </c>
      <c r="E1720" s="4">
        <v>0</v>
      </c>
      <c r="F1720" s="4">
        <v>0</v>
      </c>
      <c r="G1720" s="4">
        <v>0</v>
      </c>
      <c r="H1720" s="5">
        <f t="shared" si="26"/>
        <v>4.3700847072295858E-2</v>
      </c>
    </row>
    <row r="1721" spans="1:8" ht="13.5" x14ac:dyDescent="0.25">
      <c r="A1721" s="1"/>
      <c r="B1721" s="3">
        <v>44811</v>
      </c>
      <c r="C1721" s="4">
        <v>6.35</v>
      </c>
      <c r="D1721" s="4">
        <v>6.3372999999999999</v>
      </c>
      <c r="E1721" s="4">
        <v>1</v>
      </c>
      <c r="F1721" s="4">
        <v>6.35</v>
      </c>
      <c r="G1721" s="4">
        <v>6.35</v>
      </c>
      <c r="H1721" s="5">
        <f t="shared" si="26"/>
        <v>2.2540983606557295E-2</v>
      </c>
    </row>
    <row r="1722" spans="1:8" ht="13.5" x14ac:dyDescent="0.25">
      <c r="A1722" s="1"/>
      <c r="B1722" s="3">
        <v>44812</v>
      </c>
      <c r="C1722" s="4">
        <v>6.07</v>
      </c>
      <c r="D1722" s="4">
        <v>6.0579000000000001</v>
      </c>
      <c r="E1722" s="4">
        <v>139</v>
      </c>
      <c r="F1722" s="4">
        <v>6.07</v>
      </c>
      <c r="G1722" s="4">
        <v>843.73</v>
      </c>
      <c r="H1722" s="5">
        <f t="shared" si="26"/>
        <v>-4.4088176352705392E-2</v>
      </c>
    </row>
    <row r="1723" spans="1:8" ht="13.5" x14ac:dyDescent="0.25">
      <c r="A1723" s="1"/>
      <c r="B1723" s="3">
        <v>44813</v>
      </c>
      <c r="C1723" s="4">
        <v>6.32</v>
      </c>
      <c r="D1723" s="4">
        <v>6.3074000000000003</v>
      </c>
      <c r="E1723" s="4">
        <v>100</v>
      </c>
      <c r="F1723" s="4">
        <v>6.32</v>
      </c>
      <c r="G1723" s="4">
        <v>632</v>
      </c>
      <c r="H1723" s="5">
        <f t="shared" si="26"/>
        <v>4.1185889499661642E-2</v>
      </c>
    </row>
    <row r="1724" spans="1:8" ht="13.5" x14ac:dyDescent="0.25">
      <c r="A1724" s="1"/>
      <c r="B1724" s="3">
        <v>44816</v>
      </c>
      <c r="C1724" s="4">
        <v>6.3</v>
      </c>
      <c r="D1724" s="4">
        <v>6.2873999999999999</v>
      </c>
      <c r="E1724" s="4">
        <v>40</v>
      </c>
      <c r="F1724" s="4">
        <v>6.3</v>
      </c>
      <c r="G1724" s="4">
        <v>252</v>
      </c>
      <c r="H1724" s="5">
        <f t="shared" si="26"/>
        <v>-3.1708786504741193E-3</v>
      </c>
    </row>
    <row r="1725" spans="1:8" ht="13.5" x14ac:dyDescent="0.25">
      <c r="A1725" s="1"/>
      <c r="B1725" s="3">
        <v>44817</v>
      </c>
      <c r="C1725" s="4">
        <v>6.3</v>
      </c>
      <c r="D1725" s="4">
        <v>6.2873999999999999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6.3</v>
      </c>
      <c r="D1726" s="4">
        <v>6.2873999999999999</v>
      </c>
      <c r="E1726" s="4">
        <v>77</v>
      </c>
      <c r="F1726" s="4">
        <v>6.3</v>
      </c>
      <c r="G1726" s="4">
        <v>485.1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6.3</v>
      </c>
      <c r="D1727" s="4">
        <v>6.2873999999999999</v>
      </c>
      <c r="E1727" s="4">
        <v>300</v>
      </c>
      <c r="F1727" s="4">
        <v>6.3</v>
      </c>
      <c r="G1727" s="4">
        <v>1890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6.3</v>
      </c>
      <c r="D1728" s="4">
        <v>6.2873999999999999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6.3</v>
      </c>
      <c r="D1729" s="4">
        <v>6.2873999999999999</v>
      </c>
      <c r="E1729" s="4">
        <v>153</v>
      </c>
      <c r="F1729" s="4">
        <v>6.3</v>
      </c>
      <c r="G1729" s="4">
        <v>963.9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6.3</v>
      </c>
      <c r="D1730" s="4">
        <v>6.2873999999999999</v>
      </c>
      <c r="E1730" s="4">
        <v>4173</v>
      </c>
      <c r="F1730" s="4">
        <v>6.3</v>
      </c>
      <c r="G1730" s="4">
        <v>26289.9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6.29</v>
      </c>
      <c r="D1731" s="4">
        <v>6.2774000000000001</v>
      </c>
      <c r="E1731" s="4">
        <v>3079</v>
      </c>
      <c r="F1731" s="4">
        <v>6.2910000000000004</v>
      </c>
      <c r="G1731" s="4">
        <v>19369.989000000001</v>
      </c>
      <c r="H1731" s="5">
        <f t="shared" si="26"/>
        <v>-1.5904825524063661E-3</v>
      </c>
    </row>
    <row r="1732" spans="1:8" ht="13.5" x14ac:dyDescent="0.25">
      <c r="A1732" s="1"/>
      <c r="B1732" s="3">
        <v>44826</v>
      </c>
      <c r="C1732" s="4">
        <v>6.29</v>
      </c>
      <c r="D1732" s="4">
        <v>6.2774000000000001</v>
      </c>
      <c r="E1732" s="4">
        <v>101</v>
      </c>
      <c r="F1732" s="4">
        <v>6.29</v>
      </c>
      <c r="G1732" s="4">
        <v>635.29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6.31</v>
      </c>
      <c r="D1733" s="4">
        <v>6.2973999999999997</v>
      </c>
      <c r="E1733" s="4">
        <v>98</v>
      </c>
      <c r="F1733" s="4">
        <v>6.31</v>
      </c>
      <c r="G1733" s="4">
        <v>618.38</v>
      </c>
      <c r="H1733" s="5">
        <f t="shared" si="26"/>
        <v>3.1860324338101082E-3</v>
      </c>
    </row>
    <row r="1734" spans="1:8" ht="13.5" x14ac:dyDescent="0.25">
      <c r="A1734" s="1"/>
      <c r="B1734" s="3">
        <v>44830</v>
      </c>
      <c r="C1734" s="4">
        <v>6.35</v>
      </c>
      <c r="D1734" s="4">
        <v>6.3372999999999999</v>
      </c>
      <c r="E1734" s="4">
        <v>3185</v>
      </c>
      <c r="F1734" s="4">
        <v>6.35</v>
      </c>
      <c r="G1734" s="4">
        <v>20224.75</v>
      </c>
      <c r="H1734" s="5">
        <f t="shared" si="26"/>
        <v>6.3359481690856978E-3</v>
      </c>
    </row>
    <row r="1735" spans="1:8" ht="13.5" x14ac:dyDescent="0.25">
      <c r="A1735" s="1"/>
      <c r="B1735" s="3">
        <v>44831</v>
      </c>
      <c r="C1735" s="4">
        <v>6.35</v>
      </c>
      <c r="D1735" s="4">
        <v>6.3372999999999999</v>
      </c>
      <c r="E1735" s="4">
        <v>64</v>
      </c>
      <c r="F1735" s="4">
        <v>6.35</v>
      </c>
      <c r="G1735" s="4">
        <v>406.4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6.63</v>
      </c>
      <c r="D1736" s="4">
        <v>6.6166999999999998</v>
      </c>
      <c r="E1736" s="4">
        <v>1</v>
      </c>
      <c r="F1736" s="4">
        <v>6.63</v>
      </c>
      <c r="G1736" s="4">
        <v>6.63</v>
      </c>
      <c r="H1736" s="5">
        <f t="shared" si="27"/>
        <v>4.4088176352705392E-2</v>
      </c>
    </row>
    <row r="1737" spans="1:8" ht="13.5" x14ac:dyDescent="0.25">
      <c r="A1737" s="1"/>
      <c r="B1737" s="3">
        <v>44833</v>
      </c>
      <c r="C1737" s="4">
        <v>6.35</v>
      </c>
      <c r="D1737" s="4">
        <v>6.3372999999999999</v>
      </c>
      <c r="E1737" s="4">
        <v>50</v>
      </c>
      <c r="F1737" s="4">
        <v>6.35</v>
      </c>
      <c r="G1737" s="4">
        <v>317.5</v>
      </c>
      <c r="H1737" s="5">
        <f t="shared" si="27"/>
        <v>-4.2226487523992301E-2</v>
      </c>
    </row>
    <row r="1738" spans="1:8" ht="13.5" x14ac:dyDescent="0.25">
      <c r="A1738" s="1"/>
      <c r="B1738" s="3">
        <v>44834</v>
      </c>
      <c r="C1738" s="4">
        <v>6.35</v>
      </c>
      <c r="D1738" s="4">
        <v>6.3372999999999999</v>
      </c>
      <c r="E1738" s="4">
        <v>64</v>
      </c>
      <c r="F1738" s="4">
        <v>6.35</v>
      </c>
      <c r="G1738" s="4">
        <v>406.4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6.35</v>
      </c>
      <c r="D1739" s="4">
        <v>6.3372999999999999</v>
      </c>
      <c r="E1739" s="4">
        <v>8</v>
      </c>
      <c r="F1739" s="4">
        <v>6.35</v>
      </c>
      <c r="G1739" s="4">
        <v>50.8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6.63</v>
      </c>
      <c r="D1740" s="4">
        <v>6.6166999999999998</v>
      </c>
      <c r="E1740" s="4">
        <v>100</v>
      </c>
      <c r="F1740" s="4">
        <v>6.63</v>
      </c>
      <c r="G1740" s="4">
        <v>663</v>
      </c>
      <c r="H1740" s="5">
        <f t="shared" si="27"/>
        <v>4.4088176352705392E-2</v>
      </c>
    </row>
    <row r="1741" spans="1:8" ht="13.5" x14ac:dyDescent="0.25">
      <c r="A1741" s="1"/>
      <c r="B1741" s="3">
        <v>44839</v>
      </c>
      <c r="C1741" s="4">
        <v>6.35</v>
      </c>
      <c r="D1741" s="4">
        <v>6.3372999999999999</v>
      </c>
      <c r="E1741" s="4">
        <v>4</v>
      </c>
      <c r="F1741" s="4">
        <v>6.35</v>
      </c>
      <c r="G1741" s="4">
        <v>25.4</v>
      </c>
      <c r="H1741" s="5">
        <f t="shared" si="27"/>
        <v>-4.2226487523992301E-2</v>
      </c>
    </row>
    <row r="1742" spans="1:8" ht="13.5" x14ac:dyDescent="0.25">
      <c r="A1742" s="1"/>
      <c r="B1742" s="3">
        <v>44840</v>
      </c>
      <c r="C1742" s="4">
        <v>6.35</v>
      </c>
      <c r="D1742" s="4">
        <v>6.3372999999999999</v>
      </c>
      <c r="E1742" s="4">
        <v>1520</v>
      </c>
      <c r="F1742" s="4">
        <v>6.35</v>
      </c>
      <c r="G1742" s="4">
        <v>9652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6.35</v>
      </c>
      <c r="D1743" s="4">
        <v>6.3372999999999999</v>
      </c>
      <c r="E1743" s="4">
        <v>1565</v>
      </c>
      <c r="F1743" s="4">
        <v>6.35</v>
      </c>
      <c r="G1743" s="4">
        <v>9937.75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6.35</v>
      </c>
      <c r="D1744" s="4">
        <v>6.3372999999999999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6.35</v>
      </c>
      <c r="D1745" s="4">
        <v>6.3372999999999999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6.35</v>
      </c>
      <c r="D1746" s="4">
        <v>6.3372999999999999</v>
      </c>
      <c r="E1746" s="4">
        <v>2755</v>
      </c>
      <c r="F1746" s="4">
        <v>6.35</v>
      </c>
      <c r="G1746" s="4">
        <v>17494.25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6.35</v>
      </c>
      <c r="D1747" s="4">
        <v>6.3372999999999999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6.35</v>
      </c>
      <c r="D1748" s="4">
        <v>6.3372999999999999</v>
      </c>
      <c r="E1748" s="4">
        <v>2891</v>
      </c>
      <c r="F1748" s="4">
        <v>6.3470000000000004</v>
      </c>
      <c r="G1748" s="4">
        <v>18349.177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6.34</v>
      </c>
      <c r="D1749" s="4">
        <v>6.3273000000000001</v>
      </c>
      <c r="E1749" s="4">
        <v>500</v>
      </c>
      <c r="F1749" s="4">
        <v>6.34</v>
      </c>
      <c r="G1749" s="4">
        <v>3170</v>
      </c>
      <c r="H1749" s="5">
        <f t="shared" si="27"/>
        <v>-1.5779590677417491E-3</v>
      </c>
    </row>
    <row r="1750" spans="1:8" ht="13.5" x14ac:dyDescent="0.25">
      <c r="A1750" s="1"/>
      <c r="B1750" s="3">
        <v>44852</v>
      </c>
      <c r="C1750" s="4">
        <v>6.35</v>
      </c>
      <c r="D1750" s="4">
        <v>6.3372999999999999</v>
      </c>
      <c r="E1750" s="4">
        <v>9389</v>
      </c>
      <c r="F1750" s="4">
        <v>6.35</v>
      </c>
      <c r="G1750" s="4">
        <v>59620.15</v>
      </c>
      <c r="H1750" s="5">
        <f t="shared" si="27"/>
        <v>1.5804529578176769E-3</v>
      </c>
    </row>
    <row r="1751" spans="1:8" ht="13.5" x14ac:dyDescent="0.25">
      <c r="A1751" s="1"/>
      <c r="B1751" s="3">
        <v>44853</v>
      </c>
      <c r="C1751" s="4">
        <v>6.3</v>
      </c>
      <c r="D1751" s="4">
        <v>6.2873999999999999</v>
      </c>
      <c r="E1751" s="4">
        <v>3</v>
      </c>
      <c r="F1751" s="4">
        <v>6.3</v>
      </c>
      <c r="G1751" s="4">
        <v>18.899999999999999</v>
      </c>
      <c r="H1751" s="5">
        <f t="shared" si="27"/>
        <v>-7.8740157480315046E-3</v>
      </c>
    </row>
    <row r="1752" spans="1:8" ht="13.5" x14ac:dyDescent="0.25">
      <c r="A1752" s="1"/>
      <c r="B1752" s="3">
        <v>44854</v>
      </c>
      <c r="C1752" s="4">
        <v>6.3</v>
      </c>
      <c r="D1752" s="4">
        <v>6.2873999999999999</v>
      </c>
      <c r="E1752" s="4">
        <v>0</v>
      </c>
      <c r="F1752" s="4">
        <v>0</v>
      </c>
      <c r="G1752" s="4">
        <v>0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6.35</v>
      </c>
      <c r="D1753" s="4">
        <v>6.3372999999999999</v>
      </c>
      <c r="E1753" s="4">
        <v>12</v>
      </c>
      <c r="F1753" s="4">
        <v>6.35</v>
      </c>
      <c r="G1753" s="4">
        <v>76.2</v>
      </c>
      <c r="H1753" s="5">
        <f t="shared" si="27"/>
        <v>7.9365079365079447E-3</v>
      </c>
    </row>
    <row r="1754" spans="1:8" ht="13.5" x14ac:dyDescent="0.25">
      <c r="A1754" s="1"/>
      <c r="B1754" s="3">
        <v>44858</v>
      </c>
      <c r="C1754" s="4">
        <v>6.36</v>
      </c>
      <c r="D1754" s="4">
        <v>6.3472999999999997</v>
      </c>
      <c r="E1754" s="4">
        <v>750</v>
      </c>
      <c r="F1754" s="4">
        <v>6.36</v>
      </c>
      <c r="G1754" s="4">
        <v>4770</v>
      </c>
      <c r="H1754" s="5">
        <f t="shared" si="27"/>
        <v>1.5779590677417491E-3</v>
      </c>
    </row>
    <row r="1755" spans="1:8" ht="13.5" x14ac:dyDescent="0.25">
      <c r="A1755" s="1"/>
      <c r="B1755" s="3">
        <v>44859</v>
      </c>
      <c r="C1755" s="4">
        <v>6.36</v>
      </c>
      <c r="D1755" s="4">
        <v>6.3472999999999997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6.36</v>
      </c>
      <c r="D1756" s="4">
        <v>6.3472999999999997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6.36</v>
      </c>
      <c r="D1757" s="4">
        <v>6.3472999999999997</v>
      </c>
      <c r="E1757" s="4">
        <v>300</v>
      </c>
      <c r="F1757" s="4">
        <v>6.36</v>
      </c>
      <c r="G1757" s="4">
        <v>1908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6.36</v>
      </c>
      <c r="D1758" s="4">
        <v>6.3472999999999997</v>
      </c>
      <c r="E1758" s="4">
        <v>50</v>
      </c>
      <c r="F1758" s="4">
        <v>6.36</v>
      </c>
      <c r="G1758" s="4">
        <v>318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6.36</v>
      </c>
      <c r="D1759" s="4">
        <v>6.3472999999999997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6.36</v>
      </c>
      <c r="D1760" s="4">
        <v>6.3472999999999997</v>
      </c>
      <c r="E1760" s="4">
        <v>603</v>
      </c>
      <c r="F1760" s="4">
        <v>6.36</v>
      </c>
      <c r="G1760" s="4">
        <v>3835.08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6.36</v>
      </c>
      <c r="D1761" s="4">
        <v>6.3472999999999997</v>
      </c>
      <c r="E1761" s="4">
        <v>1217</v>
      </c>
      <c r="F1761" s="4">
        <v>6.36</v>
      </c>
      <c r="G1761" s="4">
        <v>7740.12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6.36</v>
      </c>
      <c r="D1762" s="4">
        <v>6.3472999999999997</v>
      </c>
      <c r="E1762" s="4">
        <v>686</v>
      </c>
      <c r="F1762" s="4">
        <v>6.36</v>
      </c>
      <c r="G1762" s="4">
        <v>4362.96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6.36</v>
      </c>
      <c r="D1763" s="4">
        <v>6.3472999999999997</v>
      </c>
      <c r="E1763" s="4">
        <v>2000</v>
      </c>
      <c r="F1763" s="4">
        <v>6.36</v>
      </c>
      <c r="G1763" s="4">
        <v>12720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6.36</v>
      </c>
      <c r="D1764" s="4">
        <v>6.3472999999999997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6.36</v>
      </c>
      <c r="D1765" s="4">
        <v>6.3472999999999997</v>
      </c>
      <c r="E1765" s="4">
        <v>1000</v>
      </c>
      <c r="F1765" s="4">
        <v>6.36</v>
      </c>
      <c r="G1765" s="4">
        <v>6360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6.36</v>
      </c>
      <c r="D1766" s="4">
        <v>6.3472999999999997</v>
      </c>
      <c r="E1766" s="4">
        <v>2350</v>
      </c>
      <c r="F1766" s="4">
        <v>6.36</v>
      </c>
      <c r="G1766" s="4">
        <v>14946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6.36</v>
      </c>
      <c r="D1767" s="4">
        <v>6.3472999999999997</v>
      </c>
      <c r="E1767" s="4">
        <v>1990</v>
      </c>
      <c r="F1767" s="4">
        <v>6.36</v>
      </c>
      <c r="G1767" s="4">
        <v>12656.4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6.36</v>
      </c>
      <c r="D1768" s="4">
        <v>6.3472999999999997</v>
      </c>
      <c r="E1768" s="4">
        <v>5888</v>
      </c>
      <c r="F1768" s="4">
        <v>6.36</v>
      </c>
      <c r="G1768" s="4">
        <v>37447.68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6.36</v>
      </c>
      <c r="D1769" s="4">
        <v>6.3472999999999997</v>
      </c>
      <c r="E1769" s="4">
        <v>40</v>
      </c>
      <c r="F1769" s="4">
        <v>6.36</v>
      </c>
      <c r="G1769" s="4">
        <v>254.4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6.11</v>
      </c>
      <c r="D1770" s="4">
        <v>6.0978000000000003</v>
      </c>
      <c r="E1770" s="4">
        <v>11</v>
      </c>
      <c r="F1770" s="4">
        <v>6.11</v>
      </c>
      <c r="G1770" s="4">
        <v>67.209999999999994</v>
      </c>
      <c r="H1770" s="5">
        <f t="shared" si="27"/>
        <v>-3.930805224268577E-2</v>
      </c>
    </row>
    <row r="1771" spans="1:8" ht="13.5" x14ac:dyDescent="0.25">
      <c r="A1771" s="1"/>
      <c r="B1771" s="3">
        <v>44881</v>
      </c>
      <c r="C1771" s="4">
        <v>6.1</v>
      </c>
      <c r="D1771" s="4">
        <v>6.0877999999999997</v>
      </c>
      <c r="E1771" s="4">
        <v>4</v>
      </c>
      <c r="F1771" s="4">
        <v>6.1</v>
      </c>
      <c r="G1771" s="4">
        <v>24.4</v>
      </c>
      <c r="H1771" s="5">
        <f t="shared" si="27"/>
        <v>-1.6399357145201014E-3</v>
      </c>
    </row>
    <row r="1772" spans="1:8" ht="13.5" x14ac:dyDescent="0.25">
      <c r="A1772" s="1"/>
      <c r="B1772" s="3">
        <v>44882</v>
      </c>
      <c r="C1772" s="4">
        <v>6.1</v>
      </c>
      <c r="D1772" s="4">
        <v>6.0877999999999997</v>
      </c>
      <c r="E1772" s="4">
        <v>407</v>
      </c>
      <c r="F1772" s="4">
        <v>6.1</v>
      </c>
      <c r="G1772" s="4">
        <v>2482.6999999999998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6.1</v>
      </c>
      <c r="D1773" s="4">
        <v>6.0877999999999997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6.1</v>
      </c>
      <c r="D1774" s="4">
        <v>6.0877999999999997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6.1</v>
      </c>
      <c r="D1775" s="4">
        <v>6.0877999999999997</v>
      </c>
      <c r="E1775" s="4">
        <v>0</v>
      </c>
      <c r="F1775" s="4">
        <v>0</v>
      </c>
      <c r="G1775" s="4">
        <v>0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6.1</v>
      </c>
      <c r="D1776" s="4">
        <v>6.0877999999999997</v>
      </c>
      <c r="E1776" s="4">
        <v>0</v>
      </c>
      <c r="F1776" s="4">
        <v>0</v>
      </c>
      <c r="G1776" s="4">
        <v>0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6.1</v>
      </c>
      <c r="D1777" s="4">
        <v>6.0877999999999997</v>
      </c>
      <c r="E1777" s="4">
        <v>10</v>
      </c>
      <c r="F1777" s="4">
        <v>6.1</v>
      </c>
      <c r="G1777" s="4">
        <v>61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6.1</v>
      </c>
      <c r="D1778" s="4">
        <v>6.0877999999999997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6.37</v>
      </c>
      <c r="D1779" s="4">
        <v>6.3573000000000004</v>
      </c>
      <c r="E1779" s="4">
        <v>0</v>
      </c>
      <c r="F1779" s="4">
        <v>0</v>
      </c>
      <c r="G1779" s="4">
        <v>0</v>
      </c>
      <c r="H1779" s="5">
        <f t="shared" si="27"/>
        <v>4.4268865600052686E-2</v>
      </c>
    </row>
    <row r="1780" spans="1:8" ht="13.5" x14ac:dyDescent="0.25">
      <c r="A1780" s="1"/>
      <c r="B1780" s="3">
        <v>44894</v>
      </c>
      <c r="C1780" s="4">
        <v>6.37</v>
      </c>
      <c r="D1780" s="4">
        <v>6.3573000000000004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6.37</v>
      </c>
      <c r="D1781" s="4">
        <v>6.3573000000000004</v>
      </c>
      <c r="E1781" s="4">
        <v>1000</v>
      </c>
      <c r="F1781" s="4">
        <v>6.37</v>
      </c>
      <c r="G1781" s="4">
        <v>6370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6.37</v>
      </c>
      <c r="D1782" s="4">
        <v>6.3573000000000004</v>
      </c>
      <c r="E1782" s="4">
        <v>1000</v>
      </c>
      <c r="F1782" s="4">
        <v>6.37</v>
      </c>
      <c r="G1782" s="4">
        <v>6370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6.36</v>
      </c>
      <c r="D1783" s="4">
        <v>6.3472999999999997</v>
      </c>
      <c r="E1783" s="4">
        <v>1400</v>
      </c>
      <c r="F1783" s="4">
        <v>6.367</v>
      </c>
      <c r="G1783" s="4">
        <v>8913.7999999999993</v>
      </c>
      <c r="H1783" s="5">
        <f t="shared" si="27"/>
        <v>-1.5729948248471323E-3</v>
      </c>
    </row>
    <row r="1784" spans="1:8" ht="13.5" x14ac:dyDescent="0.25">
      <c r="A1784" s="1"/>
      <c r="B1784" s="3">
        <v>44900</v>
      </c>
      <c r="C1784" s="4">
        <v>6.36</v>
      </c>
      <c r="D1784" s="4">
        <v>6.3472999999999997</v>
      </c>
      <c r="E1784" s="4">
        <v>138</v>
      </c>
      <c r="F1784" s="4">
        <v>6.36</v>
      </c>
      <c r="G1784" s="4">
        <v>877.68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6.08</v>
      </c>
      <c r="D1785" s="4">
        <v>6.0678000000000001</v>
      </c>
      <c r="E1785" s="4">
        <v>110</v>
      </c>
      <c r="F1785" s="4">
        <v>6.08</v>
      </c>
      <c r="G1785" s="4">
        <v>668.8</v>
      </c>
      <c r="H1785" s="5">
        <f t="shared" si="27"/>
        <v>-4.4034471350022787E-2</v>
      </c>
    </row>
    <row r="1786" spans="1:8" ht="13.5" x14ac:dyDescent="0.25">
      <c r="A1786" s="1"/>
      <c r="B1786" s="3">
        <v>44902</v>
      </c>
      <c r="C1786" s="4">
        <v>6.08</v>
      </c>
      <c r="D1786" s="4">
        <v>6.0678000000000001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6.1</v>
      </c>
      <c r="D1787" s="4">
        <v>6.0877999999999997</v>
      </c>
      <c r="E1787" s="4">
        <v>70</v>
      </c>
      <c r="F1787" s="4">
        <v>6.1</v>
      </c>
      <c r="G1787" s="4">
        <v>427</v>
      </c>
      <c r="H1787" s="5">
        <f t="shared" si="27"/>
        <v>3.2960875440851004E-3</v>
      </c>
    </row>
    <row r="1788" spans="1:8" ht="13.5" x14ac:dyDescent="0.25">
      <c r="A1788" s="1"/>
      <c r="B1788" s="3">
        <v>44904</v>
      </c>
      <c r="C1788" s="4">
        <v>6.36</v>
      </c>
      <c r="D1788" s="4">
        <v>6.3472999999999997</v>
      </c>
      <c r="E1788" s="4">
        <v>1140</v>
      </c>
      <c r="F1788" s="4">
        <v>6.36</v>
      </c>
      <c r="G1788" s="4">
        <v>7250.4</v>
      </c>
      <c r="H1788" s="5">
        <f t="shared" si="27"/>
        <v>4.2626236078714817E-2</v>
      </c>
    </row>
    <row r="1789" spans="1:8" ht="13.5" x14ac:dyDescent="0.25">
      <c r="A1789" s="1"/>
      <c r="B1789" s="3">
        <v>44907</v>
      </c>
      <c r="C1789" s="4">
        <v>6.36</v>
      </c>
      <c r="D1789" s="4">
        <v>6.3472999999999997</v>
      </c>
      <c r="E1789" s="4">
        <v>0</v>
      </c>
      <c r="F1789" s="4">
        <v>0</v>
      </c>
      <c r="G1789" s="4">
        <v>0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6.36</v>
      </c>
      <c r="D1790" s="4">
        <v>6.3472999999999997</v>
      </c>
      <c r="E1790" s="4">
        <v>300</v>
      </c>
      <c r="F1790" s="4">
        <v>6.36</v>
      </c>
      <c r="G1790" s="4">
        <v>1908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6.36</v>
      </c>
      <c r="D1791" s="4">
        <v>6.3472999999999997</v>
      </c>
      <c r="E1791" s="4">
        <v>200</v>
      </c>
      <c r="F1791" s="4">
        <v>6.36</v>
      </c>
      <c r="G1791" s="4">
        <v>1272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6.1</v>
      </c>
      <c r="D1792" s="4">
        <v>6.0877999999999997</v>
      </c>
      <c r="E1792" s="4">
        <v>33</v>
      </c>
      <c r="F1792" s="4">
        <v>6.1</v>
      </c>
      <c r="G1792" s="4">
        <v>201.3</v>
      </c>
      <c r="H1792" s="5">
        <f t="shared" si="27"/>
        <v>-4.0883525278464873E-2</v>
      </c>
    </row>
    <row r="1793" spans="1:8" ht="13.5" x14ac:dyDescent="0.25">
      <c r="A1793" s="1"/>
      <c r="B1793" s="3">
        <v>44911</v>
      </c>
      <c r="C1793" s="4">
        <v>6.1</v>
      </c>
      <c r="D1793" s="4">
        <v>6.0877999999999997</v>
      </c>
      <c r="E1793" s="4">
        <v>1505</v>
      </c>
      <c r="F1793" s="4">
        <v>6.2859999999999996</v>
      </c>
      <c r="G1793" s="4">
        <v>9460.43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6.1</v>
      </c>
      <c r="D1794" s="4">
        <v>6.0877999999999997</v>
      </c>
      <c r="E1794" s="4">
        <v>225</v>
      </c>
      <c r="F1794" s="4">
        <v>6.1269999999999998</v>
      </c>
      <c r="G1794" s="4">
        <v>1378.575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6.1</v>
      </c>
      <c r="D1795" s="4">
        <v>6.0877999999999997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6.1</v>
      </c>
      <c r="D1796" s="4">
        <v>6.0877999999999997</v>
      </c>
      <c r="E1796" s="4">
        <v>399</v>
      </c>
      <c r="F1796" s="4">
        <v>6.1</v>
      </c>
      <c r="G1796" s="4">
        <v>2433.9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6.1</v>
      </c>
      <c r="D1797" s="4">
        <v>6.0877999999999997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6.35</v>
      </c>
      <c r="D1798" s="4">
        <v>6.3372999999999999</v>
      </c>
      <c r="E1798" s="4">
        <v>100</v>
      </c>
      <c r="F1798" s="4">
        <v>6.35</v>
      </c>
      <c r="G1798" s="4">
        <v>635</v>
      </c>
      <c r="H1798" s="5">
        <f t="shared" si="27"/>
        <v>4.0983606557377095E-2</v>
      </c>
    </row>
    <row r="1799" spans="1:8" ht="13.5" x14ac:dyDescent="0.25">
      <c r="A1799" s="1"/>
      <c r="B1799" s="3">
        <v>44921</v>
      </c>
      <c r="C1799" s="4">
        <v>6.33</v>
      </c>
      <c r="D1799" s="4">
        <v>6.3173000000000004</v>
      </c>
      <c r="E1799" s="4">
        <v>7800</v>
      </c>
      <c r="F1799" s="4">
        <v>6.33</v>
      </c>
      <c r="G1799" s="4">
        <v>49374</v>
      </c>
      <c r="H1799" s="5">
        <f t="shared" ref="H1799:H1862" si="28">(D1799-D1798)/D1798</f>
        <v>-3.1559181354834983E-3</v>
      </c>
    </row>
    <row r="1800" spans="1:8" ht="13.5" x14ac:dyDescent="0.25">
      <c r="A1800" s="1"/>
      <c r="B1800" s="3">
        <v>44922</v>
      </c>
      <c r="C1800" s="4">
        <v>6.33</v>
      </c>
      <c r="D1800" s="4">
        <v>6.3173000000000004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6.33</v>
      </c>
      <c r="D1801" s="4">
        <v>6.3173000000000004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6.32</v>
      </c>
      <c r="D1802" s="4">
        <v>6.3074000000000003</v>
      </c>
      <c r="E1802" s="4">
        <v>25</v>
      </c>
      <c r="F1802" s="4">
        <v>6.32</v>
      </c>
      <c r="G1802" s="4">
        <v>158</v>
      </c>
      <c r="H1802" s="5">
        <f t="shared" si="28"/>
        <v>-1.5671251958906526E-3</v>
      </c>
    </row>
    <row r="1803" spans="1:8" ht="13.5" x14ac:dyDescent="0.25">
      <c r="A1803" s="1"/>
      <c r="B1803" s="3">
        <v>44925</v>
      </c>
      <c r="C1803" s="4">
        <v>6.35</v>
      </c>
      <c r="D1803" s="4">
        <v>6.3372999999999999</v>
      </c>
      <c r="E1803" s="4">
        <v>3500</v>
      </c>
      <c r="F1803" s="4">
        <v>6.35</v>
      </c>
      <c r="G1803" s="4">
        <v>22225</v>
      </c>
      <c r="H1803" s="5">
        <f t="shared" si="28"/>
        <v>4.7404635824586346E-3</v>
      </c>
    </row>
    <row r="1804" spans="1:8" ht="13.5" x14ac:dyDescent="0.25">
      <c r="A1804" s="1"/>
      <c r="B1804" s="3">
        <v>44928</v>
      </c>
      <c r="C1804" s="4">
        <v>6.1</v>
      </c>
      <c r="D1804" s="4">
        <v>6.0877999999999997</v>
      </c>
      <c r="E1804" s="4">
        <v>1975</v>
      </c>
      <c r="F1804" s="4">
        <v>6.1</v>
      </c>
      <c r="G1804" s="4">
        <v>12047.5</v>
      </c>
      <c r="H1804" s="5">
        <f t="shared" si="28"/>
        <v>-3.9370078740157521E-2</v>
      </c>
    </row>
    <row r="1805" spans="1:8" ht="13.5" x14ac:dyDescent="0.25">
      <c r="A1805" s="1"/>
      <c r="B1805" s="3">
        <v>44929</v>
      </c>
      <c r="C1805" s="4">
        <v>6.1</v>
      </c>
      <c r="D1805" s="4">
        <v>6.0877999999999997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6.09</v>
      </c>
      <c r="D1806" s="4">
        <v>6.0777999999999999</v>
      </c>
      <c r="E1806" s="4">
        <v>2859</v>
      </c>
      <c r="F1806" s="4">
        <v>6.09</v>
      </c>
      <c r="G1806" s="4">
        <v>17411.310000000001</v>
      </c>
      <c r="H1806" s="5">
        <f t="shared" si="28"/>
        <v>-1.6426295213377226E-3</v>
      </c>
    </row>
    <row r="1807" spans="1:8" ht="13.5" x14ac:dyDescent="0.25">
      <c r="A1807" s="1"/>
      <c r="B1807" s="3">
        <v>44931</v>
      </c>
      <c r="C1807" s="4">
        <v>6.09</v>
      </c>
      <c r="D1807" s="4">
        <v>6.0777999999999999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6.09</v>
      </c>
      <c r="D1808" s="4">
        <v>6.0777999999999999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5.91</v>
      </c>
      <c r="D1809" s="4">
        <v>5.8982000000000001</v>
      </c>
      <c r="E1809" s="4">
        <v>4</v>
      </c>
      <c r="F1809" s="4">
        <v>5.91</v>
      </c>
      <c r="G1809" s="4">
        <v>23.64</v>
      </c>
      <c r="H1809" s="5">
        <f t="shared" si="28"/>
        <v>-2.9550166178551409E-2</v>
      </c>
    </row>
    <row r="1810" spans="1:8" ht="13.5" x14ac:dyDescent="0.25">
      <c r="A1810" s="1"/>
      <c r="B1810" s="3">
        <v>44936</v>
      </c>
      <c r="C1810" s="4">
        <v>5.9</v>
      </c>
      <c r="D1810" s="4">
        <v>5.8882000000000003</v>
      </c>
      <c r="E1810" s="4">
        <v>2108</v>
      </c>
      <c r="F1810" s="4">
        <v>5.9</v>
      </c>
      <c r="G1810" s="4">
        <v>12437.2</v>
      </c>
      <c r="H1810" s="5">
        <f t="shared" si="28"/>
        <v>-1.6954325048319464E-3</v>
      </c>
    </row>
    <row r="1811" spans="1:8" ht="13.5" x14ac:dyDescent="0.25">
      <c r="A1811" s="1"/>
      <c r="B1811" s="3">
        <v>44937</v>
      </c>
      <c r="C1811" s="4">
        <v>5.9</v>
      </c>
      <c r="D1811" s="4">
        <v>5.8882000000000003</v>
      </c>
      <c r="E1811" s="4">
        <v>506</v>
      </c>
      <c r="F1811" s="4">
        <v>5.9</v>
      </c>
      <c r="G1811" s="4">
        <v>2985.4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5.9</v>
      </c>
      <c r="D1812" s="4">
        <v>5.8882000000000003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5.9</v>
      </c>
      <c r="D1813" s="4">
        <v>5.8882000000000003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6.1</v>
      </c>
      <c r="D1814" s="4">
        <v>6.0877999999999997</v>
      </c>
      <c r="E1814" s="4">
        <v>20</v>
      </c>
      <c r="F1814" s="4">
        <v>6.1</v>
      </c>
      <c r="G1814" s="4">
        <v>122</v>
      </c>
      <c r="H1814" s="5">
        <f t="shared" si="28"/>
        <v>3.3898305084745645E-2</v>
      </c>
    </row>
    <row r="1815" spans="1:8" ht="13.5" x14ac:dyDescent="0.25">
      <c r="A1815" s="1"/>
      <c r="B1815" s="3">
        <v>44943</v>
      </c>
      <c r="C1815" s="4">
        <v>6.1</v>
      </c>
      <c r="D1815" s="4">
        <v>6.0877999999999997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6.1</v>
      </c>
      <c r="D1816" s="4">
        <v>6.0877999999999997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6.1</v>
      </c>
      <c r="D1817" s="4">
        <v>6.0877999999999997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6.1</v>
      </c>
      <c r="D1818" s="4">
        <v>6.0877999999999997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6.09</v>
      </c>
      <c r="D1819" s="4">
        <v>6.0777999999999999</v>
      </c>
      <c r="E1819" s="4">
        <v>75</v>
      </c>
      <c r="F1819" s="4">
        <v>6.09</v>
      </c>
      <c r="G1819" s="4">
        <v>456.75</v>
      </c>
      <c r="H1819" s="5">
        <f t="shared" si="28"/>
        <v>-1.6426295213377226E-3</v>
      </c>
    </row>
    <row r="1820" spans="1:8" ht="13.5" x14ac:dyDescent="0.25">
      <c r="A1820" s="1"/>
      <c r="B1820" s="3">
        <v>44950</v>
      </c>
      <c r="C1820" s="4">
        <v>6.09</v>
      </c>
      <c r="D1820" s="4">
        <v>6.0777999999999999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6.09</v>
      </c>
      <c r="D1821" s="4">
        <v>6.0777999999999999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6.09</v>
      </c>
      <c r="D1822" s="4">
        <v>6.0777999999999999</v>
      </c>
      <c r="E1822" s="4">
        <v>1215</v>
      </c>
      <c r="F1822" s="4">
        <v>6.09</v>
      </c>
      <c r="G1822" s="4">
        <v>7399.35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6.09</v>
      </c>
      <c r="D1823" s="4">
        <v>6.0777999999999999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5.82</v>
      </c>
      <c r="D1824" s="4">
        <v>5.8083999999999998</v>
      </c>
      <c r="E1824" s="4">
        <v>4</v>
      </c>
      <c r="F1824" s="4">
        <v>5.82</v>
      </c>
      <c r="G1824" s="4">
        <v>23.28</v>
      </c>
      <c r="H1824" s="5">
        <f t="shared" si="28"/>
        <v>-4.4325249267827188E-2</v>
      </c>
    </row>
    <row r="1825" spans="1:8" ht="13.5" x14ac:dyDescent="0.25">
      <c r="A1825" s="1"/>
      <c r="B1825" s="3">
        <v>44957</v>
      </c>
      <c r="C1825" s="4">
        <v>5.82</v>
      </c>
      <c r="D1825" s="4">
        <v>5.8083999999999998</v>
      </c>
      <c r="E1825" s="4">
        <v>54</v>
      </c>
      <c r="F1825" s="4">
        <v>5.82</v>
      </c>
      <c r="G1825" s="4">
        <v>314.27999999999997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5.82</v>
      </c>
      <c r="D1826" s="4">
        <v>5.8083999999999998</v>
      </c>
      <c r="E1826" s="4">
        <v>50</v>
      </c>
      <c r="F1826" s="4">
        <v>5.82</v>
      </c>
      <c r="G1826" s="4">
        <v>291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5.82</v>
      </c>
      <c r="D1827" s="4">
        <v>5.8083999999999998</v>
      </c>
      <c r="E1827" s="4">
        <v>26</v>
      </c>
      <c r="F1827" s="4">
        <v>5.82</v>
      </c>
      <c r="G1827" s="4">
        <v>151.32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5.82</v>
      </c>
      <c r="D1828" s="4">
        <v>5.8083999999999998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6.02</v>
      </c>
      <c r="D1829" s="4">
        <v>6.008</v>
      </c>
      <c r="E1829" s="4">
        <v>11</v>
      </c>
      <c r="F1829" s="4">
        <v>6.02</v>
      </c>
      <c r="G1829" s="4">
        <v>66.22</v>
      </c>
      <c r="H1829" s="5">
        <f t="shared" si="28"/>
        <v>3.4364024516217929E-2</v>
      </c>
    </row>
    <row r="1830" spans="1:8" ht="13.5" x14ac:dyDescent="0.25">
      <c r="A1830" s="1"/>
      <c r="B1830" s="3">
        <v>44964</v>
      </c>
      <c r="C1830" s="4">
        <v>6.09</v>
      </c>
      <c r="D1830" s="4">
        <v>6.0777999999999999</v>
      </c>
      <c r="E1830" s="4">
        <v>19</v>
      </c>
      <c r="F1830" s="4">
        <v>6.09</v>
      </c>
      <c r="G1830" s="4">
        <v>115.71</v>
      </c>
      <c r="H1830" s="5">
        <f t="shared" si="28"/>
        <v>1.161784287616509E-2</v>
      </c>
    </row>
    <row r="1831" spans="1:8" ht="13.5" x14ac:dyDescent="0.25">
      <c r="A1831" s="1"/>
      <c r="B1831" s="3">
        <v>44965</v>
      </c>
      <c r="C1831" s="4">
        <v>6.09</v>
      </c>
      <c r="D1831" s="4">
        <v>6.0777999999999999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6.05</v>
      </c>
      <c r="D1832" s="4">
        <v>6.0378999999999996</v>
      </c>
      <c r="E1832" s="4">
        <v>20</v>
      </c>
      <c r="F1832" s="4">
        <v>6.05</v>
      </c>
      <c r="G1832" s="4">
        <v>121</v>
      </c>
      <c r="H1832" s="5">
        <f t="shared" si="28"/>
        <v>-6.5648754483530669E-3</v>
      </c>
    </row>
    <row r="1833" spans="1:8" ht="13.5" x14ac:dyDescent="0.25">
      <c r="A1833" s="1"/>
      <c r="B1833" s="3">
        <v>44967</v>
      </c>
      <c r="C1833" s="4">
        <v>6.05</v>
      </c>
      <c r="D1833" s="4">
        <v>6.0378999999999996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6.05</v>
      </c>
      <c r="D1834" s="4">
        <v>6.0378999999999996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6.05</v>
      </c>
      <c r="D1835" s="4">
        <v>6.0378999999999996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5.9</v>
      </c>
      <c r="D1836" s="4">
        <v>5.8882000000000003</v>
      </c>
      <c r="E1836" s="4">
        <v>673</v>
      </c>
      <c r="F1836" s="4">
        <v>5.9</v>
      </c>
      <c r="G1836" s="4">
        <v>3970.7</v>
      </c>
      <c r="H1836" s="5">
        <f t="shared" si="28"/>
        <v>-2.4793388429751949E-2</v>
      </c>
    </row>
    <row r="1837" spans="1:8" ht="13.5" x14ac:dyDescent="0.25">
      <c r="A1837" s="1"/>
      <c r="B1837" s="3">
        <v>44973</v>
      </c>
      <c r="C1837" s="4">
        <v>5.9</v>
      </c>
      <c r="D1837" s="4">
        <v>5.8882000000000003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5.72</v>
      </c>
      <c r="D1838" s="4">
        <v>5.7085999999999997</v>
      </c>
      <c r="E1838" s="4">
        <v>8</v>
      </c>
      <c r="F1838" s="4">
        <v>5.72</v>
      </c>
      <c r="G1838" s="4">
        <v>45.76</v>
      </c>
      <c r="H1838" s="5">
        <f t="shared" si="28"/>
        <v>-3.0501681328759321E-2</v>
      </c>
    </row>
    <row r="1839" spans="1:8" ht="13.5" x14ac:dyDescent="0.25">
      <c r="A1839" s="1"/>
      <c r="B1839" s="3">
        <v>44977</v>
      </c>
      <c r="C1839" s="4">
        <v>5.97</v>
      </c>
      <c r="D1839" s="4">
        <v>5.9581</v>
      </c>
      <c r="E1839" s="4">
        <v>26</v>
      </c>
      <c r="F1839" s="4">
        <v>5.97</v>
      </c>
      <c r="G1839" s="4">
        <v>155.22</v>
      </c>
      <c r="H1839" s="5">
        <f t="shared" si="28"/>
        <v>4.370598745752028E-2</v>
      </c>
    </row>
    <row r="1840" spans="1:8" ht="13.5" x14ac:dyDescent="0.25">
      <c r="A1840" s="1"/>
      <c r="B1840" s="3">
        <v>44978</v>
      </c>
      <c r="C1840" s="4">
        <v>5.97</v>
      </c>
      <c r="D1840" s="4">
        <v>5.9581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6</v>
      </c>
      <c r="D1841" s="4">
        <v>5.9880000000000004</v>
      </c>
      <c r="E1841" s="4">
        <v>34</v>
      </c>
      <c r="F1841" s="4">
        <v>6</v>
      </c>
      <c r="G1841" s="4">
        <v>204</v>
      </c>
      <c r="H1841" s="5">
        <f t="shared" si="28"/>
        <v>5.0183783420890016E-3</v>
      </c>
    </row>
    <row r="1842" spans="1:8" ht="13.5" x14ac:dyDescent="0.25">
      <c r="A1842" s="1"/>
      <c r="B1842" s="3">
        <v>44980</v>
      </c>
      <c r="C1842" s="4">
        <v>6</v>
      </c>
      <c r="D1842" s="4">
        <v>5.9880000000000004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6</v>
      </c>
      <c r="D1843" s="4">
        <v>5.9880000000000004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6</v>
      </c>
      <c r="D1844" s="4">
        <v>5.9880000000000004</v>
      </c>
      <c r="E1844" s="4">
        <v>14</v>
      </c>
      <c r="F1844" s="4">
        <v>5.9290000000000003</v>
      </c>
      <c r="G1844" s="4">
        <v>83.006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5.75</v>
      </c>
      <c r="D1845" s="4">
        <v>5.7385000000000002</v>
      </c>
      <c r="E1845" s="4">
        <v>10</v>
      </c>
      <c r="F1845" s="4">
        <v>5.875</v>
      </c>
      <c r="G1845" s="4">
        <v>58.75</v>
      </c>
      <c r="H1845" s="5">
        <f t="shared" si="28"/>
        <v>-4.1666666666666713E-2</v>
      </c>
    </row>
    <row r="1846" spans="1:8" ht="13.5" x14ac:dyDescent="0.25">
      <c r="A1846" s="1"/>
      <c r="B1846" s="3">
        <v>44986</v>
      </c>
      <c r="C1846" s="4">
        <v>6</v>
      </c>
      <c r="D1846" s="4">
        <v>5.9880000000000004</v>
      </c>
      <c r="E1846" s="4">
        <v>50</v>
      </c>
      <c r="F1846" s="4">
        <v>6</v>
      </c>
      <c r="G1846" s="4">
        <v>300</v>
      </c>
      <c r="H1846" s="5">
        <f t="shared" si="28"/>
        <v>4.3478260869565265E-2</v>
      </c>
    </row>
    <row r="1847" spans="1:8" ht="13.5" x14ac:dyDescent="0.25">
      <c r="A1847" s="1"/>
      <c r="B1847" s="3">
        <v>44987</v>
      </c>
      <c r="C1847" s="4">
        <v>6</v>
      </c>
      <c r="D1847" s="4">
        <v>5.9880000000000004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6</v>
      </c>
      <c r="D1848" s="4">
        <v>5.9880000000000004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6</v>
      </c>
      <c r="D1849" s="4">
        <v>5.9880000000000004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6</v>
      </c>
      <c r="D1850" s="4">
        <v>5.9880000000000004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6</v>
      </c>
      <c r="D1851" s="4">
        <v>5.9880000000000004</v>
      </c>
      <c r="E1851" s="4">
        <v>120</v>
      </c>
      <c r="F1851" s="4">
        <v>6</v>
      </c>
      <c r="G1851" s="4">
        <v>720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6</v>
      </c>
      <c r="D1852" s="4">
        <v>5.9880000000000004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6</v>
      </c>
      <c r="D1853" s="4">
        <v>5.9880000000000004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5.73</v>
      </c>
      <c r="D1854" s="4">
        <v>5.7184999999999997</v>
      </c>
      <c r="E1854" s="4">
        <v>0</v>
      </c>
      <c r="F1854" s="4">
        <v>0</v>
      </c>
      <c r="G1854" s="4">
        <v>0</v>
      </c>
      <c r="H1854" s="5">
        <f t="shared" si="28"/>
        <v>-4.500668002672023E-2</v>
      </c>
    </row>
    <row r="1855" spans="1:8" ht="13.5" x14ac:dyDescent="0.25">
      <c r="A1855" s="1"/>
      <c r="B1855" s="3">
        <v>44999</v>
      </c>
      <c r="C1855" s="4">
        <v>5.98</v>
      </c>
      <c r="D1855" s="4">
        <v>5.968</v>
      </c>
      <c r="E1855" s="4">
        <v>113</v>
      </c>
      <c r="F1855" s="4">
        <v>5.657</v>
      </c>
      <c r="G1855" s="4">
        <v>639.24099999999999</v>
      </c>
      <c r="H1855" s="5">
        <f t="shared" si="28"/>
        <v>4.363032263705522E-2</v>
      </c>
    </row>
    <row r="1856" spans="1:8" ht="13.5" x14ac:dyDescent="0.25">
      <c r="A1856" s="1"/>
      <c r="B1856" s="3">
        <v>45000</v>
      </c>
      <c r="C1856" s="4">
        <v>5.98</v>
      </c>
      <c r="D1856" s="4">
        <v>5.968</v>
      </c>
      <c r="E1856" s="4">
        <v>25</v>
      </c>
      <c r="F1856" s="4">
        <v>5.98</v>
      </c>
      <c r="G1856" s="4">
        <v>149.5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5.72</v>
      </c>
      <c r="D1857" s="4">
        <v>5.7085999999999997</v>
      </c>
      <c r="E1857" s="4">
        <v>11</v>
      </c>
      <c r="F1857" s="4">
        <v>5.72</v>
      </c>
      <c r="G1857" s="4">
        <v>62.92</v>
      </c>
      <c r="H1857" s="5">
        <f t="shared" si="28"/>
        <v>-4.3465147453083157E-2</v>
      </c>
    </row>
    <row r="1858" spans="1:8" ht="13.5" x14ac:dyDescent="0.25">
      <c r="A1858" s="1"/>
      <c r="B1858" s="3">
        <v>45002</v>
      </c>
      <c r="C1858" s="4">
        <v>5.47</v>
      </c>
      <c r="D1858" s="4">
        <v>5.4591000000000003</v>
      </c>
      <c r="E1858" s="4">
        <v>44</v>
      </c>
      <c r="F1858" s="4">
        <v>5.47</v>
      </c>
      <c r="G1858" s="4">
        <v>240.68</v>
      </c>
      <c r="H1858" s="5">
        <f t="shared" si="28"/>
        <v>-4.3705987457520128E-2</v>
      </c>
    </row>
    <row r="1859" spans="1:8" ht="13.5" x14ac:dyDescent="0.25">
      <c r="A1859" s="1"/>
      <c r="B1859" s="3">
        <v>45006</v>
      </c>
      <c r="C1859" s="4">
        <v>5.71</v>
      </c>
      <c r="D1859" s="4">
        <v>5.6985999999999999</v>
      </c>
      <c r="E1859" s="4">
        <v>200</v>
      </c>
      <c r="F1859" s="4">
        <v>5.71</v>
      </c>
      <c r="G1859" s="4">
        <v>1142</v>
      </c>
      <c r="H1859" s="5">
        <f t="shared" si="28"/>
        <v>4.3871700463446281E-2</v>
      </c>
    </row>
    <row r="1860" spans="1:8" ht="13.5" x14ac:dyDescent="0.25">
      <c r="A1860" s="1"/>
      <c r="B1860" s="3">
        <v>45007</v>
      </c>
      <c r="C1860" s="4">
        <v>5.7</v>
      </c>
      <c r="D1860" s="4">
        <v>5.6886000000000001</v>
      </c>
      <c r="E1860" s="4">
        <v>15</v>
      </c>
      <c r="F1860" s="4">
        <v>5.7</v>
      </c>
      <c r="G1860" s="4">
        <v>85.5</v>
      </c>
      <c r="H1860" s="5">
        <f t="shared" si="28"/>
        <v>-1.7548169725897216E-3</v>
      </c>
    </row>
    <row r="1861" spans="1:8" ht="13.5" x14ac:dyDescent="0.25">
      <c r="A1861" s="1"/>
      <c r="B1861" s="3">
        <v>45008</v>
      </c>
      <c r="C1861" s="4">
        <v>5.71</v>
      </c>
      <c r="D1861" s="4">
        <v>5.6985999999999999</v>
      </c>
      <c r="E1861" s="4">
        <v>20</v>
      </c>
      <c r="F1861" s="4">
        <v>5.71</v>
      </c>
      <c r="G1861" s="4">
        <v>114.2</v>
      </c>
      <c r="H1861" s="5">
        <f t="shared" si="28"/>
        <v>1.7579017684491416E-3</v>
      </c>
    </row>
    <row r="1862" spans="1:8" ht="13.5" x14ac:dyDescent="0.25">
      <c r="A1862" s="1"/>
      <c r="B1862" s="3">
        <v>45009</v>
      </c>
      <c r="C1862" s="4">
        <v>5.71</v>
      </c>
      <c r="D1862" s="4">
        <v>5.6985999999999999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5.69</v>
      </c>
      <c r="D1863" s="4">
        <v>5.6786000000000003</v>
      </c>
      <c r="E1863" s="4">
        <v>608</v>
      </c>
      <c r="F1863" s="4">
        <v>5.681</v>
      </c>
      <c r="G1863" s="4">
        <v>3454.0479999999998</v>
      </c>
      <c r="H1863" s="5">
        <f t="shared" ref="H1863:H1926" si="29">(D1863-D1862)/D1862</f>
        <v>-3.5096339451794432E-3</v>
      </c>
    </row>
    <row r="1864" spans="1:8" ht="13.5" x14ac:dyDescent="0.25">
      <c r="A1864" s="1"/>
      <c r="B1864" s="3">
        <v>45013</v>
      </c>
      <c r="C1864" s="4">
        <v>5.69</v>
      </c>
      <c r="D1864" s="4">
        <v>5.6786000000000003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5.68</v>
      </c>
      <c r="D1865" s="4">
        <v>5.6685999999999996</v>
      </c>
      <c r="E1865" s="4">
        <v>78</v>
      </c>
      <c r="F1865" s="4">
        <v>5.68</v>
      </c>
      <c r="G1865" s="4">
        <v>443.04</v>
      </c>
      <c r="H1865" s="5">
        <f t="shared" si="29"/>
        <v>-1.7609974289438724E-3</v>
      </c>
    </row>
    <row r="1866" spans="1:8" ht="13.5" x14ac:dyDescent="0.25">
      <c r="A1866" s="1"/>
      <c r="B1866" s="3">
        <v>45015</v>
      </c>
      <c r="C1866" s="4">
        <v>5.68</v>
      </c>
      <c r="D1866" s="4">
        <v>5.6685999999999996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5.69</v>
      </c>
      <c r="D1867" s="4">
        <v>5.6786000000000003</v>
      </c>
      <c r="E1867" s="4">
        <v>297</v>
      </c>
      <c r="F1867" s="4">
        <v>5.4390000000000001</v>
      </c>
      <c r="G1867" s="4">
        <v>1615.383</v>
      </c>
      <c r="H1867" s="5">
        <f t="shared" si="29"/>
        <v>1.7641040115726416E-3</v>
      </c>
    </row>
    <row r="1868" spans="1:8" ht="13.5" x14ac:dyDescent="0.25">
      <c r="A1868" s="1"/>
      <c r="B1868" s="3">
        <v>45019</v>
      </c>
      <c r="C1868" s="4">
        <v>5.69</v>
      </c>
      <c r="D1868" s="4">
        <v>5.6786000000000003</v>
      </c>
      <c r="E1868" s="4">
        <v>0</v>
      </c>
      <c r="F1868" s="4">
        <v>0</v>
      </c>
      <c r="G1868" s="4">
        <v>0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5.69</v>
      </c>
      <c r="D1869" s="4">
        <v>5.6786000000000003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5.69</v>
      </c>
      <c r="D1870" s="4">
        <v>5.6786000000000003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5.69</v>
      </c>
      <c r="D1871" s="4">
        <v>5.6786000000000003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5.69</v>
      </c>
      <c r="D1872" s="4">
        <v>5.6786000000000003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5.44</v>
      </c>
      <c r="D1873" s="4">
        <v>5.4291</v>
      </c>
      <c r="E1873" s="4">
        <v>198</v>
      </c>
      <c r="F1873" s="4">
        <v>5.44</v>
      </c>
      <c r="G1873" s="4">
        <v>1077.1199999999999</v>
      </c>
      <c r="H1873" s="5">
        <f t="shared" si="29"/>
        <v>-4.3936885852146702E-2</v>
      </c>
    </row>
    <row r="1874" spans="1:8" ht="13.5" x14ac:dyDescent="0.25">
      <c r="A1874" s="1"/>
      <c r="B1874" s="3">
        <v>45027</v>
      </c>
      <c r="C1874" s="4">
        <v>5.2</v>
      </c>
      <c r="D1874" s="4">
        <v>5.1896000000000004</v>
      </c>
      <c r="E1874" s="4">
        <v>766</v>
      </c>
      <c r="F1874" s="4">
        <v>5.2</v>
      </c>
      <c r="G1874" s="4">
        <v>3983.2</v>
      </c>
      <c r="H1874" s="5">
        <f t="shared" si="29"/>
        <v>-4.411412572986307E-2</v>
      </c>
    </row>
    <row r="1875" spans="1:8" ht="13.5" x14ac:dyDescent="0.25">
      <c r="A1875" s="1"/>
      <c r="B1875" s="3">
        <v>45028</v>
      </c>
      <c r="C1875" s="4">
        <v>5.2</v>
      </c>
      <c r="D1875" s="4">
        <v>5.1896000000000004</v>
      </c>
      <c r="E1875" s="4">
        <v>100</v>
      </c>
      <c r="F1875" s="4">
        <v>5.2</v>
      </c>
      <c r="G1875" s="4">
        <v>520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5.2</v>
      </c>
      <c r="D1876" s="4">
        <v>5.1896000000000004</v>
      </c>
      <c r="E1876" s="4">
        <v>15</v>
      </c>
      <c r="F1876" s="4">
        <v>5.2</v>
      </c>
      <c r="G1876" s="4">
        <v>78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5.2</v>
      </c>
      <c r="D1877" s="4">
        <v>5.1896000000000004</v>
      </c>
      <c r="E1877" s="4">
        <v>9</v>
      </c>
      <c r="F1877" s="4">
        <v>5.2</v>
      </c>
      <c r="G1877" s="4">
        <v>46.8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5.0199999999999996</v>
      </c>
      <c r="D1878" s="4">
        <v>5.01</v>
      </c>
      <c r="E1878" s="4">
        <v>56</v>
      </c>
      <c r="F1878" s="4">
        <v>5.0199999999999996</v>
      </c>
      <c r="G1878" s="4">
        <v>281.12</v>
      </c>
      <c r="H1878" s="5">
        <f t="shared" si="29"/>
        <v>-3.4607676892246156E-2</v>
      </c>
    </row>
    <row r="1879" spans="1:8" ht="13.5" x14ac:dyDescent="0.25">
      <c r="A1879" s="1"/>
      <c r="B1879" s="3">
        <v>45034</v>
      </c>
      <c r="C1879" s="4">
        <v>5.2</v>
      </c>
      <c r="D1879" s="4">
        <v>5.1896000000000004</v>
      </c>
      <c r="E1879" s="4">
        <v>50</v>
      </c>
      <c r="F1879" s="4">
        <v>5.2</v>
      </c>
      <c r="G1879" s="4">
        <v>260</v>
      </c>
      <c r="H1879" s="5">
        <f t="shared" si="29"/>
        <v>3.5848303393213703E-2</v>
      </c>
    </row>
    <row r="1880" spans="1:8" ht="13.5" x14ac:dyDescent="0.25">
      <c r="A1880" s="1"/>
      <c r="B1880" s="3">
        <v>45035</v>
      </c>
      <c r="C1880" s="4">
        <v>5.2</v>
      </c>
      <c r="D1880" s="4">
        <v>5.1896000000000004</v>
      </c>
      <c r="E1880" s="4">
        <v>0</v>
      </c>
      <c r="F1880" s="4">
        <v>0</v>
      </c>
      <c r="G1880" s="4">
        <v>0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5.2</v>
      </c>
      <c r="D1881" s="4">
        <v>5.1896000000000004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5.01</v>
      </c>
      <c r="D1882" s="4">
        <v>5</v>
      </c>
      <c r="E1882" s="4">
        <v>3</v>
      </c>
      <c r="F1882" s="4">
        <v>5.01</v>
      </c>
      <c r="G1882" s="4">
        <v>15.03</v>
      </c>
      <c r="H1882" s="5">
        <f t="shared" si="29"/>
        <v>-3.6534607676892324E-2</v>
      </c>
    </row>
    <row r="1883" spans="1:8" ht="13.5" x14ac:dyDescent="0.25">
      <c r="A1883" s="1"/>
      <c r="B1883" s="3">
        <v>45041</v>
      </c>
      <c r="C1883" s="4">
        <v>5.2</v>
      </c>
      <c r="D1883" s="4">
        <v>5.1896000000000004</v>
      </c>
      <c r="E1883" s="4">
        <v>20</v>
      </c>
      <c r="F1883" s="4">
        <v>5.2</v>
      </c>
      <c r="G1883" s="4">
        <v>104</v>
      </c>
      <c r="H1883" s="5">
        <f t="shared" si="29"/>
        <v>3.7920000000000086E-2</v>
      </c>
    </row>
    <row r="1884" spans="1:8" ht="13.5" x14ac:dyDescent="0.25">
      <c r="A1884" s="1"/>
      <c r="B1884" s="3">
        <v>45042</v>
      </c>
      <c r="C1884" s="4">
        <v>5.2</v>
      </c>
      <c r="D1884" s="4">
        <v>5.1896000000000004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5.2</v>
      </c>
      <c r="D1885" s="4">
        <v>5.1896000000000004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5.2</v>
      </c>
      <c r="D1886" s="4">
        <v>5.1896000000000004</v>
      </c>
      <c r="E1886" s="4">
        <v>1000</v>
      </c>
      <c r="F1886" s="4">
        <v>5.2</v>
      </c>
      <c r="G1886" s="4">
        <v>5200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5.2</v>
      </c>
      <c r="D1887" s="4">
        <v>5.1896000000000004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5.2</v>
      </c>
      <c r="D1888" s="4">
        <v>5.1896000000000004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5.2</v>
      </c>
      <c r="D1889" s="4">
        <v>5.1896000000000004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5.2</v>
      </c>
      <c r="D1890" s="4">
        <v>5.1896000000000004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5.2</v>
      </c>
      <c r="D1891" s="4">
        <v>5.1896000000000004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5.2</v>
      </c>
      <c r="D1892" s="4">
        <v>5.1896000000000004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5.2</v>
      </c>
      <c r="D1893" s="4">
        <v>5.1896000000000004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5.2</v>
      </c>
      <c r="D1894" s="4">
        <v>5.1896000000000004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5.2</v>
      </c>
      <c r="D1895" s="4">
        <v>5.1896000000000004</v>
      </c>
      <c r="E1895" s="4">
        <v>0</v>
      </c>
      <c r="F1895" s="4">
        <v>0</v>
      </c>
      <c r="G1895" s="4">
        <v>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5.18</v>
      </c>
      <c r="D1896" s="4">
        <v>5.1696</v>
      </c>
      <c r="E1896" s="4">
        <v>300</v>
      </c>
      <c r="F1896" s="4">
        <v>5.18</v>
      </c>
      <c r="G1896" s="4">
        <v>1554</v>
      </c>
      <c r="H1896" s="5">
        <f t="shared" si="29"/>
        <v>-3.8538615692925199E-3</v>
      </c>
    </row>
    <row r="1897" spans="1:8" ht="13.5" x14ac:dyDescent="0.25">
      <c r="A1897" s="1"/>
      <c r="B1897" s="3">
        <v>45062</v>
      </c>
      <c r="C1897" s="4">
        <v>5.18</v>
      </c>
      <c r="D1897" s="4">
        <v>5.1696</v>
      </c>
      <c r="E1897" s="4">
        <v>0</v>
      </c>
      <c r="F1897" s="4">
        <v>0</v>
      </c>
      <c r="G1897" s="4">
        <v>0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5.18</v>
      </c>
      <c r="D1898" s="4">
        <v>5.1696</v>
      </c>
      <c r="E1898" s="4">
        <v>0</v>
      </c>
      <c r="F1898" s="4">
        <v>0</v>
      </c>
      <c r="G1898" s="4">
        <v>0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5.18</v>
      </c>
      <c r="D1899" s="4">
        <v>5.1696</v>
      </c>
      <c r="E1899" s="4">
        <v>0</v>
      </c>
      <c r="F1899" s="4">
        <v>0</v>
      </c>
      <c r="G1899" s="4">
        <v>0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5.18</v>
      </c>
      <c r="D1900" s="4">
        <v>5.1696</v>
      </c>
      <c r="E1900" s="4">
        <v>0</v>
      </c>
      <c r="F1900" s="4">
        <v>0</v>
      </c>
      <c r="G1900" s="4">
        <v>0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4.95</v>
      </c>
      <c r="D1901" s="4">
        <v>4.9401000000000002</v>
      </c>
      <c r="E1901" s="4">
        <v>300</v>
      </c>
      <c r="F1901" s="4">
        <v>4.95</v>
      </c>
      <c r="G1901" s="4">
        <v>1485</v>
      </c>
      <c r="H1901" s="5">
        <f t="shared" si="29"/>
        <v>-4.4394150417827259E-2</v>
      </c>
    </row>
    <row r="1902" spans="1:8" ht="13.5" x14ac:dyDescent="0.25">
      <c r="A1902" s="1"/>
      <c r="B1902" s="3">
        <v>45069</v>
      </c>
      <c r="C1902" s="4">
        <v>4.95</v>
      </c>
      <c r="D1902" s="4">
        <v>4.9401000000000002</v>
      </c>
      <c r="E1902" s="4">
        <v>300</v>
      </c>
      <c r="F1902" s="4">
        <v>4.95</v>
      </c>
      <c r="G1902" s="4">
        <v>1485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4.9000000000000004</v>
      </c>
      <c r="D1903" s="4">
        <v>4.8902000000000001</v>
      </c>
      <c r="E1903" s="4">
        <v>1316</v>
      </c>
      <c r="F1903" s="4">
        <v>4.9000000000000004</v>
      </c>
      <c r="G1903" s="4">
        <v>6448.4</v>
      </c>
      <c r="H1903" s="5">
        <f t="shared" si="29"/>
        <v>-1.0101010101010112E-2</v>
      </c>
    </row>
    <row r="1904" spans="1:8" ht="13.5" x14ac:dyDescent="0.25">
      <c r="A1904" s="1"/>
      <c r="B1904" s="3">
        <v>45071</v>
      </c>
      <c r="C1904" s="4">
        <v>4.9000000000000004</v>
      </c>
      <c r="D1904" s="4">
        <v>4.8902000000000001</v>
      </c>
      <c r="E1904" s="4">
        <v>96</v>
      </c>
      <c r="F1904" s="4">
        <v>4.9000000000000004</v>
      </c>
      <c r="G1904" s="4">
        <v>470.4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4.9000000000000004</v>
      </c>
      <c r="D1905" s="4">
        <v>4.8902000000000001</v>
      </c>
      <c r="E1905" s="4">
        <v>0</v>
      </c>
      <c r="F1905" s="4">
        <v>0</v>
      </c>
      <c r="G1905" s="4">
        <v>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4.9000000000000004</v>
      </c>
      <c r="D1906" s="4">
        <v>4.8902000000000001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5</v>
      </c>
      <c r="D1907" s="4">
        <v>4.99</v>
      </c>
      <c r="E1907" s="4">
        <v>14</v>
      </c>
      <c r="F1907" s="4">
        <v>5</v>
      </c>
      <c r="G1907" s="4">
        <v>70</v>
      </c>
      <c r="H1907" s="5">
        <f t="shared" si="29"/>
        <v>2.0408163265306145E-2</v>
      </c>
    </row>
    <row r="1908" spans="1:8" ht="13.5" x14ac:dyDescent="0.25">
      <c r="A1908" s="1"/>
      <c r="B1908" s="3">
        <v>45077</v>
      </c>
      <c r="C1908" s="4">
        <v>5.18</v>
      </c>
      <c r="D1908" s="4">
        <v>5.1696</v>
      </c>
      <c r="E1908" s="4">
        <v>20</v>
      </c>
      <c r="F1908" s="4">
        <v>5.18</v>
      </c>
      <c r="G1908" s="4">
        <v>103.6</v>
      </c>
      <c r="H1908" s="5">
        <f t="shared" si="29"/>
        <v>3.599198396793582E-2</v>
      </c>
    </row>
    <row r="1909" spans="1:8" ht="13.5" x14ac:dyDescent="0.25">
      <c r="A1909" s="1"/>
      <c r="B1909" s="3">
        <v>45078</v>
      </c>
      <c r="C1909" s="4">
        <v>5.17</v>
      </c>
      <c r="D1909" s="4">
        <v>5.1597</v>
      </c>
      <c r="E1909" s="4">
        <v>46</v>
      </c>
      <c r="F1909" s="4">
        <v>5.1710000000000003</v>
      </c>
      <c r="G1909" s="4">
        <v>237.86600000000001</v>
      </c>
      <c r="H1909" s="5">
        <f t="shared" si="29"/>
        <v>-1.9150417827298088E-3</v>
      </c>
    </row>
    <row r="1910" spans="1:8" ht="13.5" x14ac:dyDescent="0.25">
      <c r="A1910" s="1"/>
      <c r="B1910" s="3">
        <v>45079</v>
      </c>
      <c r="C1910" s="4">
        <v>5.17</v>
      </c>
      <c r="D1910" s="4">
        <v>5.1597</v>
      </c>
      <c r="E1910" s="4">
        <v>0</v>
      </c>
      <c r="F1910" s="4">
        <v>0</v>
      </c>
      <c r="G1910" s="4">
        <v>0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5.17</v>
      </c>
      <c r="D1911" s="4">
        <v>5.1597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4.9400000000000004</v>
      </c>
      <c r="D1912" s="4">
        <v>4.9301000000000004</v>
      </c>
      <c r="E1912" s="4">
        <v>140</v>
      </c>
      <c r="F1912" s="4">
        <v>4.9400000000000004</v>
      </c>
      <c r="G1912" s="4">
        <v>691.6</v>
      </c>
      <c r="H1912" s="5">
        <f t="shared" si="29"/>
        <v>-4.449871116537775E-2</v>
      </c>
    </row>
    <row r="1913" spans="1:8" ht="13.5" x14ac:dyDescent="0.25">
      <c r="A1913" s="1"/>
      <c r="B1913" s="3">
        <v>45084</v>
      </c>
      <c r="C1913" s="4">
        <v>5.16</v>
      </c>
      <c r="D1913" s="4">
        <v>5.1497000000000002</v>
      </c>
      <c r="E1913" s="4">
        <v>10</v>
      </c>
      <c r="F1913" s="4">
        <v>5.16</v>
      </c>
      <c r="G1913" s="4">
        <v>51.6</v>
      </c>
      <c r="H1913" s="5">
        <f t="shared" si="29"/>
        <v>4.4542707044481815E-2</v>
      </c>
    </row>
    <row r="1914" spans="1:8" ht="13.5" x14ac:dyDescent="0.25">
      <c r="A1914" s="1"/>
      <c r="B1914" s="3">
        <v>45085</v>
      </c>
      <c r="C1914" s="4">
        <v>5.16</v>
      </c>
      <c r="D1914" s="4">
        <v>5.1497000000000002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5.18</v>
      </c>
      <c r="D1915" s="4">
        <v>5.1696</v>
      </c>
      <c r="E1915" s="4">
        <v>50</v>
      </c>
      <c r="F1915" s="4">
        <v>5.18</v>
      </c>
      <c r="G1915" s="4">
        <v>259</v>
      </c>
      <c r="H1915" s="5">
        <f t="shared" si="29"/>
        <v>3.8643027749188895E-3</v>
      </c>
    </row>
    <row r="1916" spans="1:8" ht="13.5" x14ac:dyDescent="0.25">
      <c r="A1916" s="1"/>
      <c r="B1916" s="3">
        <v>45089</v>
      </c>
      <c r="C1916" s="4">
        <v>4.95</v>
      </c>
      <c r="D1916" s="4">
        <v>4.9401000000000002</v>
      </c>
      <c r="E1916" s="4">
        <v>0</v>
      </c>
      <c r="F1916" s="4">
        <v>0</v>
      </c>
      <c r="G1916" s="4">
        <v>0</v>
      </c>
      <c r="H1916" s="5">
        <f t="shared" si="29"/>
        <v>-4.4394150417827259E-2</v>
      </c>
    </row>
    <row r="1917" spans="1:8" ht="13.5" x14ac:dyDescent="0.25">
      <c r="A1917" s="1"/>
      <c r="B1917" s="3">
        <v>45090</v>
      </c>
      <c r="C1917" s="4">
        <v>4.7300000000000004</v>
      </c>
      <c r="D1917" s="4">
        <v>4.7205000000000004</v>
      </c>
      <c r="E1917" s="4">
        <v>696</v>
      </c>
      <c r="F1917" s="4">
        <v>4.7300000000000004</v>
      </c>
      <c r="G1917" s="4">
        <v>3292.08</v>
      </c>
      <c r="H1917" s="5">
        <f t="shared" si="29"/>
        <v>-4.4452541446529381E-2</v>
      </c>
    </row>
    <row r="1918" spans="1:8" ht="13.5" x14ac:dyDescent="0.25">
      <c r="A1918" s="1"/>
      <c r="B1918" s="3">
        <v>45091</v>
      </c>
      <c r="C1918" s="4">
        <v>4.93</v>
      </c>
      <c r="D1918" s="4">
        <v>4.9200999999999997</v>
      </c>
      <c r="E1918" s="4">
        <v>70</v>
      </c>
      <c r="F1918" s="4">
        <v>4.9089999999999998</v>
      </c>
      <c r="G1918" s="4">
        <v>343.63</v>
      </c>
      <c r="H1918" s="5">
        <f t="shared" si="29"/>
        <v>4.2283656392331177E-2</v>
      </c>
    </row>
    <row r="1919" spans="1:8" ht="13.5" x14ac:dyDescent="0.25">
      <c r="A1919" s="1"/>
      <c r="B1919" s="3">
        <v>45092</v>
      </c>
      <c r="C1919" s="4">
        <v>4.93</v>
      </c>
      <c r="D1919" s="4">
        <v>4.9200999999999997</v>
      </c>
      <c r="E1919" s="4">
        <v>57</v>
      </c>
      <c r="F1919" s="4">
        <v>4.93</v>
      </c>
      <c r="G1919" s="4">
        <v>281.01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4.93</v>
      </c>
      <c r="D1920" s="4">
        <v>4.9200999999999997</v>
      </c>
      <c r="E1920" s="4">
        <v>0</v>
      </c>
      <c r="F1920" s="4">
        <v>0</v>
      </c>
      <c r="G1920" s="4">
        <v>0</v>
      </c>
      <c r="H1920" s="5">
        <f t="shared" si="29"/>
        <v>0</v>
      </c>
    </row>
    <row r="1921" spans="1:8" ht="13.5" x14ac:dyDescent="0.25">
      <c r="A1921" s="1"/>
      <c r="B1921" s="3">
        <v>45096</v>
      </c>
      <c r="C1921" s="4">
        <v>4.93</v>
      </c>
      <c r="D1921" s="4">
        <v>4.9200999999999997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4.8099999999999996</v>
      </c>
      <c r="D1922" s="4">
        <v>4.8003999999999998</v>
      </c>
      <c r="E1922" s="4">
        <v>20</v>
      </c>
      <c r="F1922" s="4">
        <v>4.8099999999999996</v>
      </c>
      <c r="G1922" s="4">
        <v>96.2</v>
      </c>
      <c r="H1922" s="5">
        <f t="shared" si="29"/>
        <v>-2.4328773805410445E-2</v>
      </c>
    </row>
    <row r="1923" spans="1:8" ht="13.5" x14ac:dyDescent="0.25">
      <c r="A1923" s="1"/>
      <c r="B1923" s="3">
        <v>45098</v>
      </c>
      <c r="C1923" s="4">
        <v>4.9400000000000004</v>
      </c>
      <c r="D1923" s="4">
        <v>4.9301000000000004</v>
      </c>
      <c r="E1923" s="4">
        <v>35</v>
      </c>
      <c r="F1923" s="4">
        <v>4.9400000000000004</v>
      </c>
      <c r="G1923" s="4">
        <v>172.9</v>
      </c>
      <c r="H1923" s="5">
        <f t="shared" si="29"/>
        <v>2.7018581784851389E-2</v>
      </c>
    </row>
    <row r="1924" spans="1:8" ht="13.5" x14ac:dyDescent="0.25">
      <c r="A1924" s="1"/>
      <c r="B1924" s="3">
        <v>45099</v>
      </c>
      <c r="C1924" s="4">
        <v>4.93</v>
      </c>
      <c r="D1924" s="4">
        <v>4.9200999999999997</v>
      </c>
      <c r="E1924" s="4">
        <v>187</v>
      </c>
      <c r="F1924" s="4">
        <v>4.9390000000000001</v>
      </c>
      <c r="G1924" s="4">
        <v>923.59299999999996</v>
      </c>
      <c r="H1924" s="5">
        <f t="shared" si="29"/>
        <v>-2.0283564227907497E-3</v>
      </c>
    </row>
    <row r="1925" spans="1:8" ht="13.5" x14ac:dyDescent="0.25">
      <c r="A1925" s="1"/>
      <c r="B1925" s="3">
        <v>45100</v>
      </c>
      <c r="C1925" s="4">
        <v>4.9400000000000004</v>
      </c>
      <c r="D1925" s="4">
        <v>4.9301000000000004</v>
      </c>
      <c r="E1925" s="4">
        <v>30</v>
      </c>
      <c r="F1925" s="4">
        <v>4.9400000000000004</v>
      </c>
      <c r="G1925" s="4">
        <v>148.19999999999999</v>
      </c>
      <c r="H1925" s="5">
        <f t="shared" si="29"/>
        <v>2.032479014654311E-3</v>
      </c>
    </row>
    <row r="1926" spans="1:8" ht="13.5" x14ac:dyDescent="0.25">
      <c r="A1926" s="1"/>
      <c r="B1926" s="3">
        <v>45103</v>
      </c>
      <c r="C1926" s="4">
        <v>4.76</v>
      </c>
      <c r="D1926" s="4">
        <v>4.7504999999999997</v>
      </c>
      <c r="E1926" s="4">
        <v>19</v>
      </c>
      <c r="F1926" s="4">
        <v>4.76</v>
      </c>
      <c r="G1926" s="4">
        <v>90.44</v>
      </c>
      <c r="H1926" s="5">
        <f t="shared" si="29"/>
        <v>-3.6429281353319534E-2</v>
      </c>
    </row>
    <row r="1927" spans="1:8" ht="13.5" x14ac:dyDescent="0.25">
      <c r="A1927" s="1"/>
      <c r="B1927" s="3">
        <v>45104</v>
      </c>
      <c r="C1927" s="4">
        <v>4.9400000000000004</v>
      </c>
      <c r="D1927" s="4">
        <v>4.9301000000000004</v>
      </c>
      <c r="E1927" s="4">
        <v>25</v>
      </c>
      <c r="F1927" s="4">
        <v>4.9400000000000004</v>
      </c>
      <c r="G1927" s="4">
        <v>123.5</v>
      </c>
      <c r="H1927" s="5">
        <f t="shared" ref="H1927:H1990" si="30">(D1927-D1926)/D1926</f>
        <v>3.7806546679297053E-2</v>
      </c>
    </row>
    <row r="1928" spans="1:8" ht="13.5" x14ac:dyDescent="0.25">
      <c r="A1928" s="1"/>
      <c r="B1928" s="3">
        <v>45107</v>
      </c>
      <c r="C1928" s="4">
        <v>4.9400000000000004</v>
      </c>
      <c r="D1928" s="4">
        <v>4.9301000000000004</v>
      </c>
      <c r="E1928" s="4">
        <v>265</v>
      </c>
      <c r="F1928" s="4">
        <v>4.9400000000000004</v>
      </c>
      <c r="G1928" s="4">
        <v>1309.0999999999999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5</v>
      </c>
      <c r="D1929" s="4">
        <v>4.99</v>
      </c>
      <c r="E1929" s="4">
        <v>67</v>
      </c>
      <c r="F1929" s="4">
        <v>5</v>
      </c>
      <c r="G1929" s="4">
        <v>335</v>
      </c>
      <c r="H1929" s="5">
        <f t="shared" si="30"/>
        <v>1.2149854972515738E-2</v>
      </c>
    </row>
    <row r="1930" spans="1:8" ht="13.5" x14ac:dyDescent="0.25">
      <c r="A1930" s="1"/>
      <c r="B1930" s="3">
        <v>45111</v>
      </c>
      <c r="C1930" s="4">
        <v>5</v>
      </c>
      <c r="D1930" s="4">
        <v>4.99</v>
      </c>
      <c r="E1930" s="4">
        <v>33</v>
      </c>
      <c r="F1930" s="4">
        <v>5</v>
      </c>
      <c r="G1930" s="4">
        <v>165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5.14</v>
      </c>
      <c r="D1931" s="4">
        <v>5.1296999999999997</v>
      </c>
      <c r="E1931" s="4">
        <v>30</v>
      </c>
      <c r="F1931" s="4">
        <v>5.14</v>
      </c>
      <c r="G1931" s="4">
        <v>154.19999999999999</v>
      </c>
      <c r="H1931" s="5">
        <f t="shared" si="30"/>
        <v>2.7995991983967832E-2</v>
      </c>
    </row>
    <row r="1932" spans="1:8" ht="13.5" x14ac:dyDescent="0.25">
      <c r="A1932" s="1"/>
      <c r="B1932" s="3">
        <v>45113</v>
      </c>
      <c r="C1932" s="4">
        <v>5.14</v>
      </c>
      <c r="D1932" s="4">
        <v>5.1296999999999997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5.14</v>
      </c>
      <c r="D1933" s="4">
        <v>5.1296999999999997</v>
      </c>
      <c r="E1933" s="4">
        <v>281</v>
      </c>
      <c r="F1933" s="4">
        <v>5.14</v>
      </c>
      <c r="G1933" s="4">
        <v>1444.34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5.14</v>
      </c>
      <c r="D1934" s="4">
        <v>5.1296999999999997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5.14</v>
      </c>
      <c r="D1935" s="4">
        <v>5.1296999999999997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4.91</v>
      </c>
      <c r="D1936" s="4">
        <v>4.9001999999999999</v>
      </c>
      <c r="E1936" s="4">
        <v>702</v>
      </c>
      <c r="F1936" s="4">
        <v>4.91</v>
      </c>
      <c r="G1936" s="4">
        <v>3446.82</v>
      </c>
      <c r="H1936" s="5">
        <f t="shared" si="30"/>
        <v>-4.4739458447862417E-2</v>
      </c>
    </row>
    <row r="1937" spans="1:8" ht="13.5" x14ac:dyDescent="0.25">
      <c r="A1937" s="1"/>
      <c r="B1937" s="3">
        <v>45120</v>
      </c>
      <c r="C1937" s="4">
        <v>4.92</v>
      </c>
      <c r="D1937" s="4">
        <v>4.9101999999999997</v>
      </c>
      <c r="E1937" s="4">
        <v>18</v>
      </c>
      <c r="F1937" s="4">
        <v>4.92</v>
      </c>
      <c r="G1937" s="4">
        <v>88.56</v>
      </c>
      <c r="H1937" s="5">
        <f t="shared" si="30"/>
        <v>2.0407330313048011E-3</v>
      </c>
    </row>
    <row r="1938" spans="1:8" ht="13.5" x14ac:dyDescent="0.25">
      <c r="A1938" s="1"/>
      <c r="B1938" s="3">
        <v>45121</v>
      </c>
      <c r="C1938" s="4">
        <v>4.92</v>
      </c>
      <c r="D1938" s="4">
        <v>4.9101999999999997</v>
      </c>
      <c r="E1938" s="4">
        <v>14</v>
      </c>
      <c r="F1938" s="4">
        <v>4.92</v>
      </c>
      <c r="G1938" s="4">
        <v>68.88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4.84</v>
      </c>
      <c r="D1939" s="4">
        <v>4.8303000000000003</v>
      </c>
      <c r="E1939" s="4">
        <v>20</v>
      </c>
      <c r="F1939" s="4">
        <v>4.84</v>
      </c>
      <c r="G1939" s="4">
        <v>96.8</v>
      </c>
      <c r="H1939" s="5">
        <f t="shared" si="30"/>
        <v>-1.6272249602867384E-2</v>
      </c>
    </row>
    <row r="1940" spans="1:8" ht="13.5" x14ac:dyDescent="0.25">
      <c r="A1940" s="1"/>
      <c r="B1940" s="3">
        <v>45125</v>
      </c>
      <c r="C1940" s="4">
        <v>5</v>
      </c>
      <c r="D1940" s="4">
        <v>4.99</v>
      </c>
      <c r="E1940" s="4">
        <v>145</v>
      </c>
      <c r="F1940" s="4">
        <v>5</v>
      </c>
      <c r="G1940" s="4">
        <v>725</v>
      </c>
      <c r="H1940" s="5">
        <f t="shared" si="30"/>
        <v>3.3062128646253845E-2</v>
      </c>
    </row>
    <row r="1941" spans="1:8" ht="13.5" x14ac:dyDescent="0.25">
      <c r="A1941" s="1"/>
      <c r="B1941" s="3">
        <v>45127</v>
      </c>
      <c r="C1941" s="4">
        <v>5</v>
      </c>
      <c r="D1941" s="4">
        <v>4.99</v>
      </c>
      <c r="E1941" s="4">
        <v>10</v>
      </c>
      <c r="F1941" s="4">
        <v>5</v>
      </c>
      <c r="G1941" s="4">
        <v>50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5</v>
      </c>
      <c r="D1942" s="4">
        <v>4.99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5</v>
      </c>
      <c r="D1943" s="4">
        <v>4.99</v>
      </c>
      <c r="E1943" s="4">
        <v>445</v>
      </c>
      <c r="F1943" s="4">
        <v>5</v>
      </c>
      <c r="G1943" s="4">
        <v>2225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5</v>
      </c>
      <c r="D1944" s="4">
        <v>4.99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5.15</v>
      </c>
      <c r="D1945" s="4">
        <v>5.1397000000000004</v>
      </c>
      <c r="E1945" s="4">
        <v>417</v>
      </c>
      <c r="F1945" s="4">
        <v>5.15</v>
      </c>
      <c r="G1945" s="4">
        <v>2147.5500000000002</v>
      </c>
      <c r="H1945" s="5">
        <f t="shared" si="30"/>
        <v>3.0000000000000034E-2</v>
      </c>
    </row>
    <row r="1946" spans="1:8" ht="13.5" x14ac:dyDescent="0.25">
      <c r="A1946" s="1"/>
      <c r="B1946" s="3">
        <v>45135</v>
      </c>
      <c r="C1946" s="4">
        <v>5</v>
      </c>
      <c r="D1946" s="4">
        <v>4.99</v>
      </c>
      <c r="E1946" s="4">
        <v>2230</v>
      </c>
      <c r="F1946" s="4">
        <v>5</v>
      </c>
      <c r="G1946" s="4">
        <v>11150</v>
      </c>
      <c r="H1946" s="5">
        <f t="shared" si="30"/>
        <v>-2.9126213592233038E-2</v>
      </c>
    </row>
    <row r="1947" spans="1:8" ht="13.5" x14ac:dyDescent="0.25">
      <c r="A1947" s="1"/>
      <c r="B1947" s="3">
        <v>45138</v>
      </c>
      <c r="C1947" s="4">
        <v>4.92</v>
      </c>
      <c r="D1947" s="4">
        <v>4.9101999999999997</v>
      </c>
      <c r="E1947" s="4">
        <v>481</v>
      </c>
      <c r="F1947" s="4">
        <v>4.92</v>
      </c>
      <c r="G1947" s="4">
        <v>2366.52</v>
      </c>
      <c r="H1947" s="5">
        <f t="shared" si="30"/>
        <v>-1.5991983967935979E-2</v>
      </c>
    </row>
    <row r="1948" spans="1:8" ht="13.5" x14ac:dyDescent="0.25">
      <c r="A1948" s="1"/>
      <c r="B1948" s="3">
        <v>45139</v>
      </c>
      <c r="C1948" s="4">
        <v>4.92</v>
      </c>
      <c r="D1948" s="4">
        <v>4.9101999999999997</v>
      </c>
      <c r="E1948" s="4">
        <v>370</v>
      </c>
      <c r="F1948" s="4">
        <v>4.92</v>
      </c>
      <c r="G1948" s="4">
        <v>1820.4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4.92</v>
      </c>
      <c r="D1949" s="4">
        <v>4.9101999999999997</v>
      </c>
      <c r="E1949" s="4">
        <v>845</v>
      </c>
      <c r="F1949" s="4">
        <v>4.92</v>
      </c>
      <c r="G1949" s="4">
        <v>4157.3999999999996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4.8899999999999997</v>
      </c>
      <c r="D1950" s="4">
        <v>4.8802000000000003</v>
      </c>
      <c r="E1950" s="4">
        <v>1900</v>
      </c>
      <c r="F1950" s="4">
        <v>4.8899999999999997</v>
      </c>
      <c r="G1950" s="4">
        <v>9291</v>
      </c>
      <c r="H1950" s="5">
        <f t="shared" si="30"/>
        <v>-6.1097307645308465E-3</v>
      </c>
    </row>
    <row r="1951" spans="1:8" ht="13.5" x14ac:dyDescent="0.25">
      <c r="A1951" s="1"/>
      <c r="B1951" s="3">
        <v>45142</v>
      </c>
      <c r="C1951" s="4">
        <v>4.8899999999999997</v>
      </c>
      <c r="D1951" s="4">
        <v>4.8802000000000003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4.8899999999999997</v>
      </c>
      <c r="D1952" s="4">
        <v>4.8802000000000003</v>
      </c>
      <c r="E1952" s="4">
        <v>300</v>
      </c>
      <c r="F1952" s="4">
        <v>4.8899999999999997</v>
      </c>
      <c r="G1952" s="4">
        <v>1467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4.8899999999999997</v>
      </c>
      <c r="D1953" s="4">
        <v>4.8802000000000003</v>
      </c>
      <c r="E1953" s="4">
        <v>1205</v>
      </c>
      <c r="F1953" s="4">
        <v>4.8899999999999997</v>
      </c>
      <c r="G1953" s="4">
        <v>5892.45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4.8899999999999997</v>
      </c>
      <c r="D1954" s="4">
        <v>4.8802000000000003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4.8899999999999997</v>
      </c>
      <c r="D1955" s="4">
        <v>4.8802000000000003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4.8899999999999997</v>
      </c>
      <c r="D1956" s="4">
        <v>4.8802000000000003</v>
      </c>
      <c r="E1956" s="4">
        <v>2400</v>
      </c>
      <c r="F1956" s="4">
        <v>4.8959999999999999</v>
      </c>
      <c r="G1956" s="4">
        <v>11750.4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4.87</v>
      </c>
      <c r="D1957" s="4">
        <v>4.8602999999999996</v>
      </c>
      <c r="E1957" s="4">
        <v>203</v>
      </c>
      <c r="F1957" s="4">
        <v>4.875</v>
      </c>
      <c r="G1957" s="4">
        <v>989.625</v>
      </c>
      <c r="H1957" s="5">
        <f t="shared" si="30"/>
        <v>-4.0777017335356528E-3</v>
      </c>
    </row>
    <row r="1958" spans="1:8" ht="13.5" x14ac:dyDescent="0.25">
      <c r="A1958" s="1"/>
      <c r="B1958" s="3">
        <v>45153</v>
      </c>
      <c r="C1958" s="4">
        <v>4.87</v>
      </c>
      <c r="D1958" s="4">
        <v>4.8602999999999996</v>
      </c>
      <c r="E1958" s="4">
        <v>508</v>
      </c>
      <c r="F1958" s="4">
        <v>4.87</v>
      </c>
      <c r="G1958" s="4">
        <v>2473.96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4.7</v>
      </c>
      <c r="D1959" s="4">
        <v>4.6905999999999999</v>
      </c>
      <c r="E1959" s="4">
        <v>678</v>
      </c>
      <c r="F1959" s="4">
        <v>4.8250000000000002</v>
      </c>
      <c r="G1959" s="4">
        <v>3271.35</v>
      </c>
      <c r="H1959" s="5">
        <f t="shared" si="30"/>
        <v>-3.4915540192992152E-2</v>
      </c>
    </row>
    <row r="1960" spans="1:8" ht="13.5" x14ac:dyDescent="0.25">
      <c r="A1960" s="1"/>
      <c r="B1960" s="3">
        <v>45155</v>
      </c>
      <c r="C1960" s="4">
        <v>4.7</v>
      </c>
      <c r="D1960" s="4">
        <v>4.6905999999999999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4.7</v>
      </c>
      <c r="D1961" s="4">
        <v>4.6905999999999999</v>
      </c>
      <c r="E1961" s="4">
        <v>222</v>
      </c>
      <c r="F1961" s="4">
        <v>4.7</v>
      </c>
      <c r="G1961" s="4">
        <v>1043.4000000000001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4.7</v>
      </c>
      <c r="D1962" s="4">
        <v>4.6905999999999999</v>
      </c>
      <c r="E1962" s="4">
        <v>1000</v>
      </c>
      <c r="F1962" s="4">
        <v>4.7</v>
      </c>
      <c r="G1962" s="4">
        <v>4700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4.7</v>
      </c>
      <c r="D1963" s="4">
        <v>4.6905999999999999</v>
      </c>
      <c r="E1963" s="4">
        <v>30</v>
      </c>
      <c r="F1963" s="4">
        <v>4.7</v>
      </c>
      <c r="G1963" s="4">
        <v>141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4.7</v>
      </c>
      <c r="D1964" s="4">
        <v>4.6905999999999999</v>
      </c>
      <c r="E1964" s="4">
        <v>6</v>
      </c>
      <c r="F1964" s="4">
        <v>4.7</v>
      </c>
      <c r="G1964" s="4">
        <v>28.2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4.7</v>
      </c>
      <c r="D1965" s="4">
        <v>4.6905999999999999</v>
      </c>
      <c r="E1965" s="4">
        <v>279</v>
      </c>
      <c r="F1965" s="4">
        <v>4.7</v>
      </c>
      <c r="G1965" s="4">
        <v>1311.3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4.7</v>
      </c>
      <c r="D1966" s="4">
        <v>4.6905999999999999</v>
      </c>
      <c r="E1966" s="4">
        <v>178</v>
      </c>
      <c r="F1966" s="4">
        <v>4.71</v>
      </c>
      <c r="G1966" s="4">
        <v>838.38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4.57</v>
      </c>
      <c r="D1967" s="4">
        <v>4.5609000000000002</v>
      </c>
      <c r="E1967" s="4">
        <v>32</v>
      </c>
      <c r="F1967" s="4">
        <v>4.57</v>
      </c>
      <c r="G1967" s="4">
        <v>146.24</v>
      </c>
      <c r="H1967" s="5">
        <f t="shared" si="30"/>
        <v>-2.76510467743998E-2</v>
      </c>
    </row>
    <row r="1968" spans="1:8" ht="13.5" x14ac:dyDescent="0.25">
      <c r="A1968" s="1"/>
      <c r="B1968" s="3">
        <v>45167</v>
      </c>
      <c r="C1968" s="4">
        <v>4.7699999999999996</v>
      </c>
      <c r="D1968" s="4">
        <v>4.7605000000000004</v>
      </c>
      <c r="E1968" s="4">
        <v>0</v>
      </c>
      <c r="F1968" s="4">
        <v>0</v>
      </c>
      <c r="G1968" s="4">
        <v>0</v>
      </c>
      <c r="H1968" s="5">
        <f t="shared" si="30"/>
        <v>4.3763292332653692E-2</v>
      </c>
    </row>
    <row r="1969" spans="1:8" ht="13.5" x14ac:dyDescent="0.25">
      <c r="A1969" s="1"/>
      <c r="B1969" s="3">
        <v>45168</v>
      </c>
      <c r="C1969" s="4">
        <v>4.88</v>
      </c>
      <c r="D1969" s="4">
        <v>4.8701999999999996</v>
      </c>
      <c r="E1969" s="4">
        <v>10</v>
      </c>
      <c r="F1969" s="4">
        <v>4.88</v>
      </c>
      <c r="G1969" s="4">
        <v>48.8</v>
      </c>
      <c r="H1969" s="5">
        <f t="shared" si="30"/>
        <v>2.3043797920386352E-2</v>
      </c>
    </row>
    <row r="1970" spans="1:8" ht="13.5" x14ac:dyDescent="0.25">
      <c r="A1970" s="1"/>
      <c r="B1970" s="3">
        <v>45169</v>
      </c>
      <c r="C1970" s="4">
        <v>4.88</v>
      </c>
      <c r="D1970" s="4">
        <v>4.8701999999999996</v>
      </c>
      <c r="E1970" s="4">
        <v>0</v>
      </c>
      <c r="F1970" s="4">
        <v>0</v>
      </c>
      <c r="G1970" s="4">
        <v>0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4.88</v>
      </c>
      <c r="D1971" s="4">
        <v>4.8701999999999996</v>
      </c>
      <c r="E1971" s="4">
        <v>243</v>
      </c>
      <c r="F1971" s="4">
        <v>4.88</v>
      </c>
      <c r="G1971" s="4">
        <v>1185.8399999999999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4.88</v>
      </c>
      <c r="D1972" s="4">
        <v>4.8701999999999996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4.88</v>
      </c>
      <c r="D1973" s="4">
        <v>4.8701999999999996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4.88</v>
      </c>
      <c r="D1974" s="4">
        <v>4.8701999999999996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4.88</v>
      </c>
      <c r="D1975" s="4">
        <v>4.8701999999999996</v>
      </c>
      <c r="E1975" s="4">
        <v>36</v>
      </c>
      <c r="F1975" s="4">
        <v>4.88</v>
      </c>
      <c r="G1975" s="4">
        <v>175.68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4.9000000000000004</v>
      </c>
      <c r="D1976" s="4">
        <v>4.8902000000000001</v>
      </c>
      <c r="E1976" s="4">
        <v>322</v>
      </c>
      <c r="F1976" s="4">
        <v>4.9000000000000004</v>
      </c>
      <c r="G1976" s="4">
        <v>1577.8</v>
      </c>
      <c r="H1976" s="5">
        <f t="shared" si="30"/>
        <v>4.1066075315183076E-3</v>
      </c>
    </row>
    <row r="1977" spans="1:8" ht="13.5" x14ac:dyDescent="0.25">
      <c r="A1977" s="1"/>
      <c r="B1977" s="3">
        <v>45180</v>
      </c>
      <c r="C1977" s="4">
        <v>4.99</v>
      </c>
      <c r="D1977" s="4">
        <v>4.9800000000000004</v>
      </c>
      <c r="E1977" s="4">
        <v>9</v>
      </c>
      <c r="F1977" s="4">
        <v>4.99</v>
      </c>
      <c r="G1977" s="4">
        <v>44.91</v>
      </c>
      <c r="H1977" s="5">
        <f t="shared" si="30"/>
        <v>1.8363257126497959E-2</v>
      </c>
    </row>
    <row r="1978" spans="1:8" ht="13.5" x14ac:dyDescent="0.25">
      <c r="A1978" s="1"/>
      <c r="B1978" s="3">
        <v>45181</v>
      </c>
      <c r="C1978" s="4">
        <v>4.99</v>
      </c>
      <c r="D1978" s="4">
        <v>4.9800000000000004</v>
      </c>
      <c r="E1978" s="4">
        <v>21</v>
      </c>
      <c r="F1978" s="4">
        <v>5.0330000000000004</v>
      </c>
      <c r="G1978" s="4">
        <v>105.693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5.0999999999999996</v>
      </c>
      <c r="D1979" s="4">
        <v>5.0898000000000003</v>
      </c>
      <c r="E1979" s="4">
        <v>80</v>
      </c>
      <c r="F1979" s="4">
        <v>5.1180000000000003</v>
      </c>
      <c r="G1979" s="4">
        <v>409.44</v>
      </c>
      <c r="H1979" s="5">
        <f t="shared" si="30"/>
        <v>2.2048192771084316E-2</v>
      </c>
    </row>
    <row r="1980" spans="1:8" ht="13.5" x14ac:dyDescent="0.25">
      <c r="A1980" s="1"/>
      <c r="B1980" s="3">
        <v>45183</v>
      </c>
      <c r="C1980" s="4">
        <v>5.03</v>
      </c>
      <c r="D1980" s="4">
        <v>5.0198999999999998</v>
      </c>
      <c r="E1980" s="4">
        <v>156</v>
      </c>
      <c r="F1980" s="4">
        <v>5.03</v>
      </c>
      <c r="G1980" s="4">
        <v>784.68</v>
      </c>
      <c r="H1980" s="5">
        <f t="shared" si="30"/>
        <v>-1.3733349051043365E-2</v>
      </c>
    </row>
    <row r="1981" spans="1:8" ht="13.5" x14ac:dyDescent="0.25">
      <c r="A1981" s="1"/>
      <c r="B1981" s="3">
        <v>45184</v>
      </c>
      <c r="C1981" s="4">
        <v>5.2</v>
      </c>
      <c r="D1981" s="4">
        <v>5.1896000000000004</v>
      </c>
      <c r="E1981" s="4">
        <v>45</v>
      </c>
      <c r="F1981" s="4">
        <v>5.2</v>
      </c>
      <c r="G1981" s="4">
        <v>234</v>
      </c>
      <c r="H1981" s="5">
        <f t="shared" si="30"/>
        <v>3.3805454291918294E-2</v>
      </c>
    </row>
    <row r="1982" spans="1:8" ht="13.5" x14ac:dyDescent="0.25">
      <c r="A1982" s="1"/>
      <c r="B1982" s="3">
        <v>45187</v>
      </c>
      <c r="C1982" s="4">
        <v>5.2</v>
      </c>
      <c r="D1982" s="4">
        <v>5.1896000000000004</v>
      </c>
      <c r="E1982" s="4">
        <v>420</v>
      </c>
      <c r="F1982" s="4">
        <v>5.2</v>
      </c>
      <c r="G1982" s="4">
        <v>2184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5.24</v>
      </c>
      <c r="D1983" s="4">
        <v>5.2294999999999998</v>
      </c>
      <c r="E1983" s="4">
        <v>551</v>
      </c>
      <c r="F1983" s="4">
        <v>5.2069999999999999</v>
      </c>
      <c r="G1983" s="4">
        <v>2869.0569999999998</v>
      </c>
      <c r="H1983" s="5">
        <f t="shared" si="30"/>
        <v>7.6884538307382799E-3</v>
      </c>
    </row>
    <row r="1984" spans="1:8" ht="13.5" x14ac:dyDescent="0.25">
      <c r="A1984" s="1"/>
      <c r="B1984" s="3">
        <v>45189</v>
      </c>
      <c r="C1984" s="4">
        <v>5.24</v>
      </c>
      <c r="D1984" s="4">
        <v>5.2294999999999998</v>
      </c>
      <c r="E1984" s="4">
        <v>20</v>
      </c>
      <c r="F1984" s="4">
        <v>5.24</v>
      </c>
      <c r="G1984" s="4">
        <v>104.8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5.28</v>
      </c>
      <c r="D1985" s="4">
        <v>5.2694000000000001</v>
      </c>
      <c r="E1985" s="4">
        <v>30</v>
      </c>
      <c r="F1985" s="4">
        <v>5.28</v>
      </c>
      <c r="G1985" s="4">
        <v>158.4</v>
      </c>
      <c r="H1985" s="5">
        <f t="shared" si="30"/>
        <v>7.6297925231858243E-3</v>
      </c>
    </row>
    <row r="1986" spans="1:8" ht="13.5" x14ac:dyDescent="0.25">
      <c r="A1986" s="1"/>
      <c r="B1986" s="3">
        <v>45191</v>
      </c>
      <c r="C1986" s="4">
        <v>5.29</v>
      </c>
      <c r="D1986" s="4">
        <v>5.2793999999999999</v>
      </c>
      <c r="E1986" s="4">
        <v>21</v>
      </c>
      <c r="F1986" s="4">
        <v>5.2949999999999999</v>
      </c>
      <c r="G1986" s="4">
        <v>111.19499999999999</v>
      </c>
      <c r="H1986" s="5">
        <f t="shared" si="30"/>
        <v>1.8977492693664907E-3</v>
      </c>
    </row>
    <row r="1987" spans="1:8" ht="13.5" x14ac:dyDescent="0.25">
      <c r="A1987" s="1"/>
      <c r="B1987" s="3">
        <v>45194</v>
      </c>
      <c r="C1987" s="4">
        <v>5.0599999999999996</v>
      </c>
      <c r="D1987" s="4">
        <v>5.0499000000000001</v>
      </c>
      <c r="E1987" s="4">
        <v>120</v>
      </c>
      <c r="F1987" s="4">
        <v>5.0599999999999996</v>
      </c>
      <c r="G1987" s="4">
        <v>607.20000000000005</v>
      </c>
      <c r="H1987" s="5">
        <f t="shared" si="30"/>
        <v>-4.3470848960109068E-2</v>
      </c>
    </row>
    <row r="1988" spans="1:8" ht="13.5" x14ac:dyDescent="0.25">
      <c r="A1988" s="1"/>
      <c r="B1988" s="3">
        <v>45195</v>
      </c>
      <c r="C1988" s="4">
        <v>4.99</v>
      </c>
      <c r="D1988" s="4">
        <v>4.9800000000000004</v>
      </c>
      <c r="E1988" s="4">
        <v>550</v>
      </c>
      <c r="F1988" s="4">
        <v>4.99</v>
      </c>
      <c r="G1988" s="4">
        <v>2744.5</v>
      </c>
      <c r="H1988" s="5">
        <f t="shared" si="30"/>
        <v>-1.384185825461883E-2</v>
      </c>
    </row>
    <row r="1989" spans="1:8" ht="13.5" x14ac:dyDescent="0.25">
      <c r="A1989" s="1"/>
      <c r="B1989" s="3">
        <v>45197</v>
      </c>
      <c r="C1989" s="4">
        <v>4.99</v>
      </c>
      <c r="D1989" s="4">
        <v>4.9800000000000004</v>
      </c>
      <c r="E1989" s="4">
        <v>200</v>
      </c>
      <c r="F1989" s="4">
        <v>4.99</v>
      </c>
      <c r="G1989" s="4">
        <v>998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4.9800000000000004</v>
      </c>
      <c r="D1990" s="4">
        <v>4.97</v>
      </c>
      <c r="E1990" s="4">
        <v>1135</v>
      </c>
      <c r="F1990" s="4">
        <v>4.984</v>
      </c>
      <c r="G1990" s="4">
        <v>5656.84</v>
      </c>
      <c r="H1990" s="5">
        <f t="shared" si="30"/>
        <v>-2.0080321285141918E-3</v>
      </c>
    </row>
    <row r="1991" spans="1:8" ht="13.5" x14ac:dyDescent="0.25">
      <c r="A1991" s="1"/>
      <c r="B1991" s="3">
        <v>45201</v>
      </c>
      <c r="C1991" s="4">
        <v>4.97</v>
      </c>
      <c r="D1991" s="4">
        <v>4.9600999999999997</v>
      </c>
      <c r="E1991" s="4">
        <v>550</v>
      </c>
      <c r="F1991" s="4">
        <v>4.97</v>
      </c>
      <c r="G1991" s="4">
        <v>2733.5</v>
      </c>
      <c r="H1991" s="5">
        <f t="shared" ref="H1991:H2054" si="31">(D1991-D1990)/D1990</f>
        <v>-1.9919517102615736E-3</v>
      </c>
    </row>
    <row r="1992" spans="1:8" ht="13.5" x14ac:dyDescent="0.25">
      <c r="A1992" s="1"/>
      <c r="B1992" s="3">
        <v>45202</v>
      </c>
      <c r="C1992" s="4">
        <v>4.97</v>
      </c>
      <c r="D1992" s="4">
        <v>4.9600999999999997</v>
      </c>
      <c r="E1992" s="4">
        <v>600</v>
      </c>
      <c r="F1992" s="4">
        <v>4.97</v>
      </c>
      <c r="G1992" s="4">
        <v>2982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4.97</v>
      </c>
      <c r="D1993" s="4">
        <v>4.9600999999999997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4.9400000000000004</v>
      </c>
      <c r="D1994" s="4">
        <v>4.9301000000000004</v>
      </c>
      <c r="E1994" s="4">
        <v>55</v>
      </c>
      <c r="F1994" s="4">
        <v>4.9400000000000004</v>
      </c>
      <c r="G1994" s="4">
        <v>271.7</v>
      </c>
      <c r="H1994" s="5">
        <f t="shared" si="31"/>
        <v>-6.0482651559443084E-3</v>
      </c>
    </row>
    <row r="1995" spans="1:8" ht="13.5" x14ac:dyDescent="0.25">
      <c r="A1995" s="1"/>
      <c r="B1995" s="3">
        <v>45205</v>
      </c>
      <c r="C1995" s="4">
        <v>4.93</v>
      </c>
      <c r="D1995" s="4">
        <v>4.9200999999999997</v>
      </c>
      <c r="E1995" s="4">
        <v>45</v>
      </c>
      <c r="F1995" s="4">
        <v>4.93</v>
      </c>
      <c r="G1995" s="4">
        <v>221.85</v>
      </c>
      <c r="H1995" s="5">
        <f t="shared" si="31"/>
        <v>-2.0283564227907497E-3</v>
      </c>
    </row>
    <row r="1996" spans="1:8" ht="13.5" x14ac:dyDescent="0.25">
      <c r="A1996" s="1"/>
      <c r="B1996" s="3">
        <v>45208</v>
      </c>
      <c r="C1996" s="4">
        <v>4.93</v>
      </c>
      <c r="D1996" s="4">
        <v>4.9200999999999997</v>
      </c>
      <c r="E1996" s="4">
        <v>45</v>
      </c>
      <c r="F1996" s="4">
        <v>4.93</v>
      </c>
      <c r="G1996" s="4">
        <v>221.85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4.93</v>
      </c>
      <c r="D1997" s="4">
        <v>4.9200999999999997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4.71</v>
      </c>
      <c r="D1998" s="4">
        <v>4.7005999999999997</v>
      </c>
      <c r="E1998" s="4">
        <v>517</v>
      </c>
      <c r="F1998" s="4">
        <v>4.71</v>
      </c>
      <c r="G1998" s="4">
        <v>2435.0700000000002</v>
      </c>
      <c r="H1998" s="5">
        <f t="shared" si="31"/>
        <v>-4.4612914371659124E-2</v>
      </c>
    </row>
    <row r="1999" spans="1:8" ht="13.5" x14ac:dyDescent="0.25">
      <c r="A1999" s="1"/>
      <c r="B1999" s="3">
        <v>45211</v>
      </c>
      <c r="C1999" s="4">
        <v>4.51</v>
      </c>
      <c r="D1999" s="4">
        <v>4.5010000000000003</v>
      </c>
      <c r="E1999" s="4">
        <v>1866</v>
      </c>
      <c r="F1999" s="4">
        <v>4.51</v>
      </c>
      <c r="G1999" s="4">
        <v>8415.66</v>
      </c>
      <c r="H1999" s="5">
        <f t="shared" si="31"/>
        <v>-4.2462664340722323E-2</v>
      </c>
    </row>
    <row r="2000" spans="1:8" ht="13.5" x14ac:dyDescent="0.25">
      <c r="A2000" s="1"/>
      <c r="B2000" s="3">
        <v>45212</v>
      </c>
      <c r="C2000" s="4">
        <v>4.71</v>
      </c>
      <c r="D2000" s="4">
        <v>4.7005999999999997</v>
      </c>
      <c r="E2000" s="4">
        <v>5</v>
      </c>
      <c r="F2000" s="4">
        <v>4.71</v>
      </c>
      <c r="G2000" s="4">
        <v>23.55</v>
      </c>
      <c r="H2000" s="5">
        <f t="shared" si="31"/>
        <v>4.4345700955343105E-2</v>
      </c>
    </row>
    <row r="2001" spans="1:8" ht="13.5" x14ac:dyDescent="0.25">
      <c r="A2001" s="1"/>
      <c r="B2001" s="3">
        <v>45215</v>
      </c>
      <c r="C2001" s="4">
        <v>4.92</v>
      </c>
      <c r="D2001" s="4">
        <v>4.9101999999999997</v>
      </c>
      <c r="E2001" s="4">
        <v>0</v>
      </c>
      <c r="F2001" s="4">
        <v>0</v>
      </c>
      <c r="G2001" s="4">
        <v>0</v>
      </c>
      <c r="H2001" s="5">
        <f t="shared" si="31"/>
        <v>4.4590052333744634E-2</v>
      </c>
    </row>
    <row r="2002" spans="1:8" ht="13.5" x14ac:dyDescent="0.25">
      <c r="A2002" s="1"/>
      <c r="B2002" s="3">
        <v>45216</v>
      </c>
      <c r="C2002" s="4">
        <v>4.96</v>
      </c>
      <c r="D2002" s="4">
        <v>4.9500999999999999</v>
      </c>
      <c r="E2002" s="4">
        <v>5</v>
      </c>
      <c r="F2002" s="4">
        <v>4.96</v>
      </c>
      <c r="G2002" s="4">
        <v>24.8</v>
      </c>
      <c r="H2002" s="5">
        <f t="shared" si="31"/>
        <v>8.1259419168262532E-3</v>
      </c>
    </row>
    <row r="2003" spans="1:8" ht="13.5" x14ac:dyDescent="0.25">
      <c r="A2003" s="1"/>
      <c r="B2003" s="3">
        <v>45217</v>
      </c>
      <c r="C2003" s="4">
        <v>4.96</v>
      </c>
      <c r="D2003" s="4">
        <v>4.9500999999999999</v>
      </c>
      <c r="E2003" s="4">
        <v>0</v>
      </c>
      <c r="F2003" s="4">
        <v>0</v>
      </c>
      <c r="G2003" s="4">
        <v>0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4.74</v>
      </c>
      <c r="D2004" s="4">
        <v>4.7305000000000001</v>
      </c>
      <c r="E2004" s="4">
        <v>0</v>
      </c>
      <c r="F2004" s="4">
        <v>0</v>
      </c>
      <c r="G2004" s="4">
        <v>0</v>
      </c>
      <c r="H2004" s="5">
        <f t="shared" si="31"/>
        <v>-4.4362740146663665E-2</v>
      </c>
    </row>
    <row r="2005" spans="1:8" ht="13.5" x14ac:dyDescent="0.25">
      <c r="A2005" s="1"/>
      <c r="B2005" s="3">
        <v>45219</v>
      </c>
      <c r="C2005" s="4">
        <v>4.95</v>
      </c>
      <c r="D2005" s="4">
        <v>4.9401000000000002</v>
      </c>
      <c r="E2005" s="4">
        <v>100</v>
      </c>
      <c r="F2005" s="4">
        <v>4.95</v>
      </c>
      <c r="G2005" s="4">
        <v>495</v>
      </c>
      <c r="H2005" s="5">
        <f t="shared" si="31"/>
        <v>4.4308212662509248E-2</v>
      </c>
    </row>
    <row r="2006" spans="1:8" ht="13.5" x14ac:dyDescent="0.25">
      <c r="A2006" s="1"/>
      <c r="B2006" s="3">
        <v>45222</v>
      </c>
      <c r="C2006" s="4">
        <v>4.95</v>
      </c>
      <c r="D2006" s="4">
        <v>4.9401000000000002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4.95</v>
      </c>
      <c r="D2007" s="4">
        <v>4.9401000000000002</v>
      </c>
      <c r="E2007" s="4">
        <v>0</v>
      </c>
      <c r="F2007" s="4">
        <v>0</v>
      </c>
      <c r="G2007" s="4">
        <v>0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4.95</v>
      </c>
      <c r="D2008" s="4">
        <v>4.9401000000000002</v>
      </c>
      <c r="E2008" s="4">
        <v>0</v>
      </c>
      <c r="F2008" s="4">
        <v>0</v>
      </c>
      <c r="G2008" s="4">
        <v>0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4.95</v>
      </c>
      <c r="D2009" s="4">
        <v>4.9401000000000002</v>
      </c>
      <c r="E2009" s="4">
        <v>5</v>
      </c>
      <c r="F2009" s="4">
        <v>4.95</v>
      </c>
      <c r="G2009" s="4">
        <v>24.75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4.95</v>
      </c>
      <c r="D2010" s="4">
        <v>4.9401000000000002</v>
      </c>
      <c r="E2010" s="4">
        <v>5</v>
      </c>
      <c r="F2010" s="4">
        <v>4.95</v>
      </c>
      <c r="G2010" s="4">
        <v>24.75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4.7300000000000004</v>
      </c>
      <c r="D2011" s="4">
        <v>4.7205000000000004</v>
      </c>
      <c r="E2011" s="4">
        <v>0</v>
      </c>
      <c r="F2011" s="4">
        <v>0</v>
      </c>
      <c r="G2011" s="4">
        <v>0</v>
      </c>
      <c r="H2011" s="5">
        <f t="shared" si="31"/>
        <v>-4.4452541446529381E-2</v>
      </c>
    </row>
    <row r="2012" spans="1:8" ht="13.5" x14ac:dyDescent="0.25">
      <c r="A2012" s="1"/>
      <c r="B2012" s="3">
        <v>45230</v>
      </c>
      <c r="C2012" s="4">
        <v>4.5199999999999996</v>
      </c>
      <c r="D2012" s="4">
        <v>4.5110000000000001</v>
      </c>
      <c r="E2012" s="4">
        <v>0</v>
      </c>
      <c r="F2012" s="4">
        <v>0</v>
      </c>
      <c r="G2012" s="4">
        <v>0</v>
      </c>
      <c r="H2012" s="5">
        <f t="shared" si="31"/>
        <v>-4.438089185467646E-2</v>
      </c>
    </row>
    <row r="2013" spans="1:8" ht="13.5" x14ac:dyDescent="0.25">
      <c r="A2013" s="1"/>
      <c r="B2013" s="3">
        <v>45231</v>
      </c>
      <c r="C2013" s="4">
        <v>4.53</v>
      </c>
      <c r="D2013" s="4">
        <v>4.5209000000000001</v>
      </c>
      <c r="E2013" s="4">
        <v>4</v>
      </c>
      <c r="F2013" s="4">
        <v>4.53</v>
      </c>
      <c r="G2013" s="4">
        <v>18.12</v>
      </c>
      <c r="H2013" s="5">
        <f t="shared" si="31"/>
        <v>2.1946353358457149E-3</v>
      </c>
    </row>
    <row r="2014" spans="1:8" ht="13.5" x14ac:dyDescent="0.25">
      <c r="A2014" s="1"/>
      <c r="B2014" s="3">
        <v>45232</v>
      </c>
      <c r="C2014" s="4">
        <v>4.5199999999999996</v>
      </c>
      <c r="D2014" s="4">
        <v>4.5110000000000001</v>
      </c>
      <c r="E2014" s="4">
        <v>388</v>
      </c>
      <c r="F2014" s="4">
        <v>4.5199999999999996</v>
      </c>
      <c r="G2014" s="4">
        <v>1753.76</v>
      </c>
      <c r="H2014" s="5">
        <f t="shared" si="31"/>
        <v>-2.1898294587360968E-3</v>
      </c>
    </row>
    <row r="2015" spans="1:8" ht="13.5" x14ac:dyDescent="0.25">
      <c r="A2015" s="1"/>
      <c r="B2015" s="3">
        <v>45233</v>
      </c>
      <c r="C2015" s="4">
        <v>4.5199999999999996</v>
      </c>
      <c r="D2015" s="4">
        <v>4.5110000000000001</v>
      </c>
      <c r="E2015" s="4">
        <v>70</v>
      </c>
      <c r="F2015" s="4">
        <v>4.4169999999999998</v>
      </c>
      <c r="G2015" s="4">
        <v>309.19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4.5199999999999996</v>
      </c>
      <c r="D2016" s="4">
        <v>4.5110000000000001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4.5199999999999996</v>
      </c>
      <c r="D2017" s="4">
        <v>4.5110000000000001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4.5199999999999996</v>
      </c>
      <c r="D2018" s="4">
        <v>4.5110000000000001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4.5199999999999996</v>
      </c>
      <c r="D2019" s="4">
        <v>4.5110000000000001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4.5199999999999996</v>
      </c>
      <c r="D2020" s="4">
        <v>4.5110000000000001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4.5199999999999996</v>
      </c>
      <c r="D2021" s="4">
        <v>4.5110000000000001</v>
      </c>
      <c r="E2021" s="4">
        <v>0</v>
      </c>
      <c r="F2021" s="4">
        <v>0</v>
      </c>
      <c r="G2021" s="4">
        <v>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4.3899999999999997</v>
      </c>
      <c r="D2022" s="4">
        <v>4.3811999999999998</v>
      </c>
      <c r="E2022" s="4">
        <v>76</v>
      </c>
      <c r="F2022" s="4">
        <v>4.3869999999999996</v>
      </c>
      <c r="G2022" s="4">
        <v>333.41199999999998</v>
      </c>
      <c r="H2022" s="5">
        <f t="shared" si="31"/>
        <v>-2.877410773664384E-2</v>
      </c>
    </row>
    <row r="2023" spans="1:8" ht="13.5" x14ac:dyDescent="0.25">
      <c r="A2023" s="1"/>
      <c r="B2023" s="3">
        <v>45245</v>
      </c>
      <c r="C2023" s="4">
        <v>4.5199999999999996</v>
      </c>
      <c r="D2023" s="4">
        <v>4.5110000000000001</v>
      </c>
      <c r="E2023" s="4">
        <v>61</v>
      </c>
      <c r="F2023" s="4">
        <v>4.3920000000000003</v>
      </c>
      <c r="G2023" s="4">
        <v>267.91199999999998</v>
      </c>
      <c r="H2023" s="5">
        <f t="shared" si="31"/>
        <v>2.9626586323381804E-2</v>
      </c>
    </row>
    <row r="2024" spans="1:8" ht="13.5" x14ac:dyDescent="0.25">
      <c r="A2024" s="1"/>
      <c r="B2024" s="3">
        <v>45246</v>
      </c>
      <c r="C2024" s="4">
        <v>4.32</v>
      </c>
      <c r="D2024" s="4">
        <v>4.3113999999999999</v>
      </c>
      <c r="E2024" s="4">
        <v>0</v>
      </c>
      <c r="F2024" s="4">
        <v>0</v>
      </c>
      <c r="G2024" s="4">
        <v>0</v>
      </c>
      <c r="H2024" s="5">
        <f t="shared" si="31"/>
        <v>-4.4247395256040836E-2</v>
      </c>
    </row>
    <row r="2025" spans="1:8" ht="13.5" x14ac:dyDescent="0.25">
      <c r="A2025" s="1"/>
      <c r="B2025" s="3">
        <v>45247</v>
      </c>
      <c r="C2025" s="4">
        <v>4.13</v>
      </c>
      <c r="D2025" s="4">
        <v>4.1216999999999997</v>
      </c>
      <c r="E2025" s="4">
        <v>421</v>
      </c>
      <c r="F2025" s="4">
        <v>4.13</v>
      </c>
      <c r="G2025" s="4">
        <v>1738.73</v>
      </c>
      <c r="H2025" s="5">
        <f t="shared" si="31"/>
        <v>-4.3999628890847568E-2</v>
      </c>
    </row>
    <row r="2026" spans="1:8" ht="13.5" x14ac:dyDescent="0.25">
      <c r="A2026" s="1"/>
      <c r="B2026" s="3">
        <v>45250</v>
      </c>
      <c r="C2026" s="4">
        <v>4.0999999999999996</v>
      </c>
      <c r="D2026" s="4">
        <v>4.0918000000000001</v>
      </c>
      <c r="E2026" s="4">
        <v>5</v>
      </c>
      <c r="F2026" s="4">
        <v>4.0999999999999996</v>
      </c>
      <c r="G2026" s="4">
        <v>20.5</v>
      </c>
      <c r="H2026" s="5">
        <f t="shared" si="31"/>
        <v>-7.2542882791080373E-3</v>
      </c>
    </row>
    <row r="2027" spans="1:8" ht="13.5" x14ac:dyDescent="0.25">
      <c r="A2027" s="1"/>
      <c r="B2027" s="3">
        <v>45251</v>
      </c>
      <c r="C2027" s="4">
        <v>4.0999999999999996</v>
      </c>
      <c r="D2027" s="4">
        <v>4.0918000000000001</v>
      </c>
      <c r="E2027" s="4">
        <v>2</v>
      </c>
      <c r="F2027" s="4">
        <v>4.0999999999999996</v>
      </c>
      <c r="G2027" s="4">
        <v>8.1999999999999993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4.0999999999999996</v>
      </c>
      <c r="D2028" s="4">
        <v>4.0918000000000001</v>
      </c>
      <c r="E2028" s="4">
        <v>10</v>
      </c>
      <c r="F2028" s="4">
        <v>4.0999999999999996</v>
      </c>
      <c r="G2028" s="4">
        <v>41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4.28</v>
      </c>
      <c r="D2029" s="4">
        <v>4.2713999999999999</v>
      </c>
      <c r="E2029" s="4">
        <v>0</v>
      </c>
      <c r="F2029" s="4">
        <v>0</v>
      </c>
      <c r="G2029" s="4">
        <v>0</v>
      </c>
      <c r="H2029" s="5">
        <f t="shared" si="31"/>
        <v>4.3892663375531493E-2</v>
      </c>
    </row>
    <row r="2030" spans="1:8" ht="13.5" x14ac:dyDescent="0.25">
      <c r="A2030" s="1"/>
      <c r="B2030" s="3">
        <v>45254</v>
      </c>
      <c r="C2030" s="4">
        <v>4.3600000000000003</v>
      </c>
      <c r="D2030" s="4">
        <v>4.3513000000000002</v>
      </c>
      <c r="E2030" s="4">
        <v>20</v>
      </c>
      <c r="F2030" s="4">
        <v>4.3600000000000003</v>
      </c>
      <c r="G2030" s="4">
        <v>87.2</v>
      </c>
      <c r="H2030" s="5">
        <f t="shared" si="31"/>
        <v>1.8705810741209042E-2</v>
      </c>
    </row>
    <row r="2031" spans="1:8" ht="13.5" x14ac:dyDescent="0.25">
      <c r="A2031" s="1"/>
      <c r="B2031" s="3">
        <v>45257</v>
      </c>
      <c r="C2031" s="4">
        <v>4.5199999999999996</v>
      </c>
      <c r="D2031" s="4">
        <v>4.5110000000000001</v>
      </c>
      <c r="E2031" s="4">
        <v>10</v>
      </c>
      <c r="F2031" s="4">
        <v>4.5199999999999996</v>
      </c>
      <c r="G2031" s="4">
        <v>45.2</v>
      </c>
      <c r="H2031" s="5">
        <f t="shared" si="31"/>
        <v>3.6701675361386243E-2</v>
      </c>
    </row>
    <row r="2032" spans="1:8" ht="13.5" x14ac:dyDescent="0.25">
      <c r="A2032" s="1"/>
      <c r="B2032" s="3">
        <v>45258</v>
      </c>
      <c r="C2032" s="4">
        <v>4.5199999999999996</v>
      </c>
      <c r="D2032" s="4">
        <v>4.5110000000000001</v>
      </c>
      <c r="E2032" s="4">
        <v>20</v>
      </c>
      <c r="F2032" s="4">
        <v>4.5199999999999996</v>
      </c>
      <c r="G2032" s="4">
        <v>90.4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4.5199999999999996</v>
      </c>
      <c r="D2033" s="4">
        <v>4.5110000000000001</v>
      </c>
      <c r="E2033" s="4">
        <v>0</v>
      </c>
      <c r="F2033" s="4">
        <v>0</v>
      </c>
      <c r="G2033" s="4">
        <v>0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4.5199999999999996</v>
      </c>
      <c r="D2034" s="4">
        <v>4.5110000000000001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4.32</v>
      </c>
      <c r="D2035" s="4">
        <v>4.3113999999999999</v>
      </c>
      <c r="E2035" s="4">
        <v>679</v>
      </c>
      <c r="F2035" s="4">
        <v>4.492</v>
      </c>
      <c r="G2035" s="4">
        <v>3050.0680000000002</v>
      </c>
      <c r="H2035" s="5">
        <f t="shared" si="31"/>
        <v>-4.4247395256040836E-2</v>
      </c>
    </row>
    <row r="2036" spans="1:8" ht="13.5" x14ac:dyDescent="0.25">
      <c r="A2036" s="1"/>
      <c r="B2036" s="3">
        <v>45264</v>
      </c>
      <c r="C2036" s="4">
        <v>4.51</v>
      </c>
      <c r="D2036" s="4">
        <v>4.5010000000000003</v>
      </c>
      <c r="E2036" s="4">
        <v>295</v>
      </c>
      <c r="F2036" s="4">
        <v>4.51</v>
      </c>
      <c r="G2036" s="4">
        <v>1330.45</v>
      </c>
      <c r="H2036" s="5">
        <f t="shared" si="31"/>
        <v>4.3976434568817654E-2</v>
      </c>
    </row>
    <row r="2037" spans="1:8" ht="13.5" x14ac:dyDescent="0.25">
      <c r="A2037" s="1"/>
      <c r="B2037" s="3">
        <v>45265</v>
      </c>
      <c r="C2037" s="4">
        <v>4.71</v>
      </c>
      <c r="D2037" s="4">
        <v>4.7005999999999997</v>
      </c>
      <c r="E2037" s="4">
        <v>5</v>
      </c>
      <c r="F2037" s="4">
        <v>4.71</v>
      </c>
      <c r="G2037" s="4">
        <v>23.55</v>
      </c>
      <c r="H2037" s="5">
        <f t="shared" si="31"/>
        <v>4.4345700955343105E-2</v>
      </c>
    </row>
    <row r="2038" spans="1:8" ht="13.5" x14ac:dyDescent="0.25">
      <c r="A2038" s="1"/>
      <c r="B2038" s="3">
        <v>45266</v>
      </c>
      <c r="C2038" s="4">
        <v>4.88</v>
      </c>
      <c r="D2038" s="4">
        <v>4.8701999999999996</v>
      </c>
      <c r="E2038" s="4">
        <v>25</v>
      </c>
      <c r="F2038" s="4">
        <v>4.88</v>
      </c>
      <c r="G2038" s="4">
        <v>122</v>
      </c>
      <c r="H2038" s="5">
        <f t="shared" si="31"/>
        <v>3.6080500361655957E-2</v>
      </c>
    </row>
    <row r="2039" spans="1:8" ht="13.5" x14ac:dyDescent="0.25">
      <c r="A2039" s="1"/>
      <c r="B2039" s="3">
        <v>45267</v>
      </c>
      <c r="C2039" s="4">
        <v>4.92</v>
      </c>
      <c r="D2039" s="4">
        <v>4.9101999999999997</v>
      </c>
      <c r="E2039" s="4">
        <v>5</v>
      </c>
      <c r="F2039" s="4">
        <v>4.92</v>
      </c>
      <c r="G2039" s="4">
        <v>24.6</v>
      </c>
      <c r="H2039" s="5">
        <f t="shared" si="31"/>
        <v>8.2132150630364331E-3</v>
      </c>
    </row>
    <row r="2040" spans="1:8" ht="13.5" x14ac:dyDescent="0.25">
      <c r="A2040" s="1"/>
      <c r="B2040" s="3">
        <v>45268</v>
      </c>
      <c r="C2040" s="4">
        <v>4.92</v>
      </c>
      <c r="D2040" s="4">
        <v>4.9101999999999997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4.97</v>
      </c>
      <c r="D2041" s="4">
        <v>4.9600999999999997</v>
      </c>
      <c r="E2041" s="4">
        <v>29</v>
      </c>
      <c r="F2041" s="4">
        <v>4.9290000000000003</v>
      </c>
      <c r="G2041" s="4">
        <v>142.941</v>
      </c>
      <c r="H2041" s="5">
        <f t="shared" si="31"/>
        <v>1.0162518838336536E-2</v>
      </c>
    </row>
    <row r="2042" spans="1:8" ht="13.5" x14ac:dyDescent="0.25">
      <c r="A2042" s="1"/>
      <c r="B2042" s="3">
        <v>45272</v>
      </c>
      <c r="C2042" s="4">
        <v>4.96</v>
      </c>
      <c r="D2042" s="4">
        <v>4.9500999999999999</v>
      </c>
      <c r="E2042" s="4">
        <v>40</v>
      </c>
      <c r="F2042" s="4">
        <v>4.96</v>
      </c>
      <c r="G2042" s="4">
        <v>198.4</v>
      </c>
      <c r="H2042" s="5">
        <f t="shared" si="31"/>
        <v>-2.0160883853147693E-3</v>
      </c>
    </row>
    <row r="2043" spans="1:8" ht="13.5" x14ac:dyDescent="0.25">
      <c r="A2043" s="1"/>
      <c r="B2043" s="3">
        <v>45273</v>
      </c>
      <c r="C2043" s="4">
        <v>4.95</v>
      </c>
      <c r="D2043" s="4">
        <v>4.9401000000000002</v>
      </c>
      <c r="E2043" s="4">
        <v>8400</v>
      </c>
      <c r="F2043" s="4">
        <v>4.95</v>
      </c>
      <c r="G2043" s="4">
        <v>41580</v>
      </c>
      <c r="H2043" s="5">
        <f t="shared" si="31"/>
        <v>-2.0201612088644244E-3</v>
      </c>
    </row>
    <row r="2044" spans="1:8" ht="13.5" x14ac:dyDescent="0.25">
      <c r="A2044" s="1"/>
      <c r="B2044" s="3">
        <v>45274</v>
      </c>
      <c r="C2044" s="4">
        <v>4.96</v>
      </c>
      <c r="D2044" s="4">
        <v>4.9500999999999999</v>
      </c>
      <c r="E2044" s="4">
        <v>50</v>
      </c>
      <c r="F2044" s="4">
        <v>4.9539999999999997</v>
      </c>
      <c r="G2044" s="4">
        <v>247.7</v>
      </c>
      <c r="H2044" s="5">
        <f t="shared" si="31"/>
        <v>2.024250521244466E-3</v>
      </c>
    </row>
    <row r="2045" spans="1:8" ht="13.5" x14ac:dyDescent="0.25">
      <c r="A2045" s="1"/>
      <c r="B2045" s="3">
        <v>45275</v>
      </c>
      <c r="C2045" s="4">
        <v>4.74</v>
      </c>
      <c r="D2045" s="4">
        <v>4.7305000000000001</v>
      </c>
      <c r="E2045" s="4">
        <v>0</v>
      </c>
      <c r="F2045" s="4">
        <v>0</v>
      </c>
      <c r="G2045" s="4">
        <v>0</v>
      </c>
      <c r="H2045" s="5">
        <f t="shared" si="31"/>
        <v>-4.4362740146663665E-2</v>
      </c>
    </row>
    <row r="2046" spans="1:8" ht="13.5" x14ac:dyDescent="0.25">
      <c r="A2046" s="1"/>
      <c r="B2046" s="3">
        <v>45278</v>
      </c>
      <c r="C2046" s="4">
        <v>4.95</v>
      </c>
      <c r="D2046" s="4">
        <v>4.9401000000000002</v>
      </c>
      <c r="E2046" s="4">
        <v>70</v>
      </c>
      <c r="F2046" s="4">
        <v>4.95</v>
      </c>
      <c r="G2046" s="4">
        <v>346.5</v>
      </c>
      <c r="H2046" s="5">
        <f t="shared" si="31"/>
        <v>4.4308212662509248E-2</v>
      </c>
    </row>
    <row r="2047" spans="1:8" ht="13.5" x14ac:dyDescent="0.25">
      <c r="A2047" s="1"/>
      <c r="B2047" s="3">
        <v>45279</v>
      </c>
      <c r="C2047" s="4">
        <v>4.95</v>
      </c>
      <c r="D2047" s="4">
        <v>4.9401000000000002</v>
      </c>
      <c r="E2047" s="4">
        <v>42</v>
      </c>
      <c r="F2047" s="4">
        <v>4.9450000000000003</v>
      </c>
      <c r="G2047" s="4">
        <v>207.69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4.95</v>
      </c>
      <c r="D2048" s="4">
        <v>4.9401000000000002</v>
      </c>
      <c r="E2048" s="4">
        <v>51</v>
      </c>
      <c r="F2048" s="4">
        <v>4.9450000000000003</v>
      </c>
      <c r="G2048" s="4">
        <v>252.19499999999999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4.9000000000000004</v>
      </c>
      <c r="D2049" s="4">
        <v>4.8902000000000001</v>
      </c>
      <c r="E2049" s="4">
        <v>71</v>
      </c>
      <c r="F2049" s="4">
        <v>4.9000000000000004</v>
      </c>
      <c r="G2049" s="4">
        <v>347.9</v>
      </c>
      <c r="H2049" s="5">
        <f t="shared" si="31"/>
        <v>-1.0101010101010112E-2</v>
      </c>
    </row>
    <row r="2050" spans="1:8" ht="13.5" x14ac:dyDescent="0.25">
      <c r="A2050" s="1"/>
      <c r="B2050" s="3">
        <v>45282</v>
      </c>
      <c r="C2050" s="4">
        <v>4.9000000000000004</v>
      </c>
      <c r="D2050" s="4">
        <v>4.8902000000000001</v>
      </c>
      <c r="E2050" s="4">
        <v>26</v>
      </c>
      <c r="F2050" s="4">
        <v>4.9000000000000004</v>
      </c>
      <c r="G2050" s="4">
        <v>127.4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4.95</v>
      </c>
      <c r="D2051" s="4">
        <v>4.9401000000000002</v>
      </c>
      <c r="E2051" s="4">
        <v>26</v>
      </c>
      <c r="F2051" s="4">
        <v>4.95</v>
      </c>
      <c r="G2051" s="4">
        <v>128.69999999999999</v>
      </c>
      <c r="H2051" s="5">
        <f t="shared" si="31"/>
        <v>1.0204081632653073E-2</v>
      </c>
    </row>
    <row r="2052" spans="1:8" ht="13.5" x14ac:dyDescent="0.25">
      <c r="A2052" s="1"/>
      <c r="B2052" s="3">
        <v>45286</v>
      </c>
      <c r="C2052" s="4">
        <v>4.95</v>
      </c>
      <c r="D2052" s="4">
        <v>4.9401000000000002</v>
      </c>
      <c r="E2052" s="4">
        <v>31</v>
      </c>
      <c r="F2052" s="4">
        <v>4.95</v>
      </c>
      <c r="G2052" s="4">
        <v>153.44999999999999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4.95</v>
      </c>
      <c r="D2053" s="4">
        <v>4.9401000000000002</v>
      </c>
      <c r="E2053" s="4">
        <v>10021</v>
      </c>
      <c r="F2053" s="4">
        <v>4.95</v>
      </c>
      <c r="G2053" s="4">
        <v>49603.95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4.97</v>
      </c>
      <c r="D2054" s="4">
        <v>4.9600999999999997</v>
      </c>
      <c r="E2054" s="4">
        <v>30</v>
      </c>
      <c r="F2054" s="4">
        <v>4.97</v>
      </c>
      <c r="G2054" s="4">
        <v>149.1</v>
      </c>
      <c r="H2054" s="5">
        <f t="shared" si="31"/>
        <v>4.048501042488932E-3</v>
      </c>
    </row>
    <row r="2055" spans="1:8" ht="13.5" x14ac:dyDescent="0.25">
      <c r="A2055" s="1"/>
      <c r="B2055" s="3">
        <v>45289</v>
      </c>
      <c r="C2055" s="4">
        <v>4.97</v>
      </c>
      <c r="D2055" s="4">
        <v>4.9600999999999997</v>
      </c>
      <c r="E2055" s="4">
        <v>102</v>
      </c>
      <c r="F2055" s="4">
        <v>4.97</v>
      </c>
      <c r="G2055" s="4">
        <v>506.94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4.97</v>
      </c>
      <c r="D2056" s="4">
        <v>4.9600999999999997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4.75</v>
      </c>
      <c r="D2057" s="4">
        <v>4.7404999999999999</v>
      </c>
      <c r="E2057" s="4">
        <v>0</v>
      </c>
      <c r="F2057" s="4">
        <v>0</v>
      </c>
      <c r="G2057" s="4">
        <v>0</v>
      </c>
      <c r="H2057" s="5">
        <f t="shared" si="32"/>
        <v>-4.4273300941513237E-2</v>
      </c>
    </row>
    <row r="2058" spans="1:8" ht="13.5" x14ac:dyDescent="0.25">
      <c r="A2058" s="1"/>
      <c r="B2058" s="3">
        <v>45295</v>
      </c>
      <c r="C2058" s="4">
        <v>4.54</v>
      </c>
      <c r="D2058" s="4">
        <v>4.5308999999999999</v>
      </c>
      <c r="E2058" s="4">
        <v>18</v>
      </c>
      <c r="F2058" s="4">
        <v>4.6500000000000004</v>
      </c>
      <c r="G2058" s="4">
        <v>83.7</v>
      </c>
      <c r="H2058" s="5">
        <f t="shared" si="32"/>
        <v>-4.4214745280033753E-2</v>
      </c>
    </row>
    <row r="2059" spans="1:8" ht="13.5" x14ac:dyDescent="0.25">
      <c r="A2059" s="1"/>
      <c r="B2059" s="3">
        <v>45296</v>
      </c>
      <c r="C2059" s="4">
        <v>4.34</v>
      </c>
      <c r="D2059" s="4">
        <v>4.3312999999999997</v>
      </c>
      <c r="E2059" s="4">
        <v>846</v>
      </c>
      <c r="F2059" s="4">
        <v>4.54</v>
      </c>
      <c r="G2059" s="4">
        <v>3840.84</v>
      </c>
      <c r="H2059" s="5">
        <f t="shared" si="32"/>
        <v>-4.4053057891368208E-2</v>
      </c>
    </row>
    <row r="2060" spans="1:8" ht="13.5" x14ac:dyDescent="0.25">
      <c r="A2060" s="1"/>
      <c r="B2060" s="3">
        <v>45299</v>
      </c>
      <c r="C2060" s="4">
        <v>4.1500000000000004</v>
      </c>
      <c r="D2060" s="4">
        <v>4.1417000000000002</v>
      </c>
      <c r="E2060" s="4">
        <v>100</v>
      </c>
      <c r="F2060" s="4">
        <v>4.1500000000000004</v>
      </c>
      <c r="G2060" s="4">
        <v>415</v>
      </c>
      <c r="H2060" s="5">
        <f t="shared" si="32"/>
        <v>-4.3774386442869247E-2</v>
      </c>
    </row>
    <row r="2061" spans="1:8" ht="13.5" x14ac:dyDescent="0.25">
      <c r="A2061" s="1"/>
      <c r="B2061" s="3">
        <v>45300</v>
      </c>
      <c r="C2061" s="4">
        <v>4.1500000000000004</v>
      </c>
      <c r="D2061" s="4">
        <v>4.1417000000000002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4.1500000000000004</v>
      </c>
      <c r="D2062" s="4">
        <v>4.1417000000000002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4.2</v>
      </c>
      <c r="D2063" s="4">
        <v>4.1916000000000002</v>
      </c>
      <c r="E2063" s="4">
        <v>5</v>
      </c>
      <c r="F2063" s="4">
        <v>4.2</v>
      </c>
      <c r="G2063" s="4">
        <v>21</v>
      </c>
      <c r="H2063" s="5">
        <f t="shared" si="32"/>
        <v>1.204819277108435E-2</v>
      </c>
    </row>
    <row r="2064" spans="1:8" ht="13.5" x14ac:dyDescent="0.25">
      <c r="A2064" s="1"/>
      <c r="B2064" s="3">
        <v>45303</v>
      </c>
      <c r="C2064" s="4">
        <v>4.2</v>
      </c>
      <c r="D2064" s="4">
        <v>4.1916000000000002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4.1900000000000004</v>
      </c>
      <c r="D2065" s="4">
        <v>4.1816000000000004</v>
      </c>
      <c r="E2065" s="4">
        <v>150</v>
      </c>
      <c r="F2065" s="4">
        <v>4.1900000000000004</v>
      </c>
      <c r="G2065" s="4">
        <v>628.5</v>
      </c>
      <c r="H2065" s="5">
        <f t="shared" si="32"/>
        <v>-2.3857238286095492E-3</v>
      </c>
    </row>
    <row r="2066" spans="1:8" ht="13.5" x14ac:dyDescent="0.25">
      <c r="A2066" s="1"/>
      <c r="B2066" s="3">
        <v>45307</v>
      </c>
      <c r="C2066" s="4">
        <v>4.2</v>
      </c>
      <c r="D2066" s="4">
        <v>4.1916000000000002</v>
      </c>
      <c r="E2066" s="4">
        <v>5</v>
      </c>
      <c r="F2066" s="4">
        <v>4.2</v>
      </c>
      <c r="G2066" s="4">
        <v>21</v>
      </c>
      <c r="H2066" s="5">
        <f t="shared" si="32"/>
        <v>2.39142911804089E-3</v>
      </c>
    </row>
    <row r="2067" spans="1:8" ht="13.5" x14ac:dyDescent="0.25">
      <c r="A2067" s="1"/>
      <c r="B2067" s="3">
        <v>45308</v>
      </c>
      <c r="C2067" s="4">
        <v>4.05</v>
      </c>
      <c r="D2067" s="4">
        <v>4.0419</v>
      </c>
      <c r="E2067" s="4">
        <v>12</v>
      </c>
      <c r="F2067" s="4">
        <v>4.05</v>
      </c>
      <c r="G2067" s="4">
        <v>48.6</v>
      </c>
      <c r="H2067" s="5">
        <f t="shared" si="32"/>
        <v>-3.5714285714285754E-2</v>
      </c>
    </row>
    <row r="2068" spans="1:8" ht="13.5" x14ac:dyDescent="0.25">
      <c r="A2068" s="1"/>
      <c r="B2068" s="3">
        <v>45309</v>
      </c>
      <c r="C2068" s="4">
        <v>4.05</v>
      </c>
      <c r="D2068" s="4">
        <v>4.0419</v>
      </c>
      <c r="E2068" s="4">
        <v>120</v>
      </c>
      <c r="F2068" s="4">
        <v>4.05</v>
      </c>
      <c r="G2068" s="4">
        <v>486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4.2300000000000004</v>
      </c>
      <c r="D2069" s="4">
        <v>4.2214999999999998</v>
      </c>
      <c r="E2069" s="4">
        <v>0</v>
      </c>
      <c r="F2069" s="4">
        <v>0</v>
      </c>
      <c r="G2069" s="4">
        <v>0</v>
      </c>
      <c r="H2069" s="5">
        <f t="shared" si="32"/>
        <v>4.4434548108562746E-2</v>
      </c>
    </row>
    <row r="2070" spans="1:8" ht="13.5" x14ac:dyDescent="0.25">
      <c r="A2070" s="1"/>
      <c r="B2070" s="3">
        <v>45313</v>
      </c>
      <c r="C2070" s="4">
        <v>4.2300000000000004</v>
      </c>
      <c r="D2070" s="4">
        <v>4.2214999999999998</v>
      </c>
      <c r="E2070" s="4">
        <v>0</v>
      </c>
      <c r="F2070" s="4">
        <v>0</v>
      </c>
      <c r="G2070" s="4">
        <v>0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4.2300000000000004</v>
      </c>
      <c r="D2071" s="4">
        <v>4.2214999999999998</v>
      </c>
      <c r="E2071" s="4">
        <v>0</v>
      </c>
      <c r="F2071" s="4">
        <v>0</v>
      </c>
      <c r="G2071" s="4">
        <v>0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4.2300000000000004</v>
      </c>
      <c r="D2072" s="4">
        <v>4.2214999999999998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4.2300000000000004</v>
      </c>
      <c r="D2073" s="4">
        <v>4.2214999999999998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4.2300000000000004</v>
      </c>
      <c r="D2074" s="4">
        <v>4.2214999999999998</v>
      </c>
      <c r="E2074" s="4">
        <v>0</v>
      </c>
      <c r="F2074" s="4">
        <v>0</v>
      </c>
      <c r="G2074" s="4">
        <v>0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4.2300000000000004</v>
      </c>
      <c r="D2075" s="4">
        <v>4.2214999999999998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4.2300000000000004</v>
      </c>
      <c r="D2076" s="4">
        <v>4.2214999999999998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4.2300000000000004</v>
      </c>
      <c r="D2077" s="4">
        <v>4.2214999999999998</v>
      </c>
      <c r="E2077" s="4">
        <v>2057</v>
      </c>
      <c r="F2077" s="4">
        <v>4.2300000000000004</v>
      </c>
      <c r="G2077" s="4">
        <v>8701.11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4.2300000000000004</v>
      </c>
      <c r="D2078" s="4">
        <v>4.2214999999999998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4.2300000000000004</v>
      </c>
      <c r="D2079" s="4">
        <v>4.2214999999999998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4.03</v>
      </c>
      <c r="D2080" s="4">
        <v>4.0218999999999996</v>
      </c>
      <c r="E2080" s="4">
        <v>12</v>
      </c>
      <c r="F2080" s="4">
        <v>4.03</v>
      </c>
      <c r="G2080" s="4">
        <v>48.36</v>
      </c>
      <c r="H2080" s="5">
        <f t="shared" si="32"/>
        <v>-4.728177188203251E-2</v>
      </c>
    </row>
    <row r="2081" spans="1:8" ht="13.5" x14ac:dyDescent="0.25">
      <c r="A2081" s="1"/>
      <c r="B2081" s="3">
        <v>45328</v>
      </c>
      <c r="C2081" s="4">
        <v>4.03</v>
      </c>
      <c r="D2081" s="4">
        <v>4.0218999999999996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4.21</v>
      </c>
      <c r="D2082" s="4">
        <v>4.2016</v>
      </c>
      <c r="E2082" s="4">
        <v>1</v>
      </c>
      <c r="F2082" s="4">
        <v>4.21</v>
      </c>
      <c r="G2082" s="4">
        <v>4.21</v>
      </c>
      <c r="H2082" s="5">
        <f t="shared" si="32"/>
        <v>4.4680374947164384E-2</v>
      </c>
    </row>
    <row r="2083" spans="1:8" ht="13.5" x14ac:dyDescent="0.25">
      <c r="A2083" s="1"/>
      <c r="B2083" s="3">
        <v>45330</v>
      </c>
      <c r="C2083" s="4">
        <v>4.03</v>
      </c>
      <c r="D2083" s="4">
        <v>4.0218999999999996</v>
      </c>
      <c r="E2083" s="4">
        <v>22</v>
      </c>
      <c r="F2083" s="4">
        <v>4.03</v>
      </c>
      <c r="G2083" s="4">
        <v>88.66</v>
      </c>
      <c r="H2083" s="5">
        <f t="shared" si="32"/>
        <v>-4.2769421172886617E-2</v>
      </c>
    </row>
    <row r="2084" spans="1:8" ht="13.5" x14ac:dyDescent="0.25">
      <c r="A2084" s="1"/>
      <c r="B2084" s="3">
        <v>45331</v>
      </c>
      <c r="C2084" s="4">
        <v>4.03</v>
      </c>
      <c r="D2084" s="4">
        <v>4.0218999999999996</v>
      </c>
      <c r="E2084" s="4">
        <v>8</v>
      </c>
      <c r="F2084" s="4">
        <v>4.03</v>
      </c>
      <c r="G2084" s="4">
        <v>32.24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4.04</v>
      </c>
      <c r="D2085" s="4">
        <v>4.0319000000000003</v>
      </c>
      <c r="E2085" s="4">
        <v>3</v>
      </c>
      <c r="F2085" s="4">
        <v>4.04</v>
      </c>
      <c r="G2085" s="4">
        <v>12.12</v>
      </c>
      <c r="H2085" s="5">
        <f t="shared" si="32"/>
        <v>2.4863870310054144E-3</v>
      </c>
    </row>
    <row r="2086" spans="1:8" ht="13.5" x14ac:dyDescent="0.25">
      <c r="A2086" s="1"/>
      <c r="B2086" s="3">
        <v>45335</v>
      </c>
      <c r="C2086" s="4">
        <v>4.04</v>
      </c>
      <c r="D2086" s="4">
        <v>4.0319000000000003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4.0999999999999996</v>
      </c>
      <c r="D2087" s="4">
        <v>4.0918000000000001</v>
      </c>
      <c r="E2087" s="4">
        <v>20</v>
      </c>
      <c r="F2087" s="4">
        <v>4.0999999999999996</v>
      </c>
      <c r="G2087" s="4">
        <v>82</v>
      </c>
      <c r="H2087" s="5">
        <f t="shared" si="32"/>
        <v>1.4856519258910151E-2</v>
      </c>
    </row>
    <row r="2088" spans="1:8" ht="13.5" x14ac:dyDescent="0.25">
      <c r="A2088" s="1"/>
      <c r="B2088" s="3">
        <v>45337</v>
      </c>
      <c r="C2088" s="4">
        <v>4.0999999999999996</v>
      </c>
      <c r="D2088" s="4">
        <v>4.0918000000000001</v>
      </c>
      <c r="E2088" s="4">
        <v>50</v>
      </c>
      <c r="F2088" s="4">
        <v>4.0999999999999996</v>
      </c>
      <c r="G2088" s="4">
        <v>205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4.0999999999999996</v>
      </c>
      <c r="D2089" s="4">
        <v>4.0918000000000001</v>
      </c>
      <c r="E2089" s="4">
        <v>45</v>
      </c>
      <c r="F2089" s="4">
        <v>4.0999999999999996</v>
      </c>
      <c r="G2089" s="4">
        <v>184.5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4.03</v>
      </c>
      <c r="D2090" s="4">
        <v>4.0218999999999996</v>
      </c>
      <c r="E2090" s="4">
        <v>44</v>
      </c>
      <c r="F2090" s="4">
        <v>4.03</v>
      </c>
      <c r="G2090" s="4">
        <v>177.32</v>
      </c>
      <c r="H2090" s="5">
        <f t="shared" si="32"/>
        <v>-1.7082946380566136E-2</v>
      </c>
    </row>
    <row r="2091" spans="1:8" ht="13.5" x14ac:dyDescent="0.25">
      <c r="A2091" s="1"/>
      <c r="B2091" s="3">
        <v>45342</v>
      </c>
      <c r="C2091" s="4">
        <v>4.21</v>
      </c>
      <c r="D2091" s="4">
        <v>4.2016</v>
      </c>
      <c r="E2091" s="4">
        <v>66</v>
      </c>
      <c r="F2091" s="4">
        <v>3.9049999999999998</v>
      </c>
      <c r="G2091" s="4">
        <v>257.73</v>
      </c>
      <c r="H2091" s="5">
        <f t="shared" si="32"/>
        <v>4.4680374947164384E-2</v>
      </c>
    </row>
    <row r="2092" spans="1:8" ht="13.5" x14ac:dyDescent="0.25">
      <c r="A2092" s="1"/>
      <c r="B2092" s="3">
        <v>45343</v>
      </c>
      <c r="C2092" s="4">
        <v>4.21</v>
      </c>
      <c r="D2092" s="4">
        <v>4.2016</v>
      </c>
      <c r="E2092" s="4">
        <v>65</v>
      </c>
      <c r="F2092" s="4">
        <v>4.0579999999999998</v>
      </c>
      <c r="G2092" s="4">
        <v>263.77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4.21</v>
      </c>
      <c r="D2093" s="4">
        <v>4.2016</v>
      </c>
      <c r="E2093" s="4">
        <v>10</v>
      </c>
      <c r="F2093" s="4">
        <v>4.21</v>
      </c>
      <c r="G2093" s="4">
        <v>42.1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4.2</v>
      </c>
      <c r="D2094" s="4">
        <v>4.1916000000000002</v>
      </c>
      <c r="E2094" s="4">
        <v>10</v>
      </c>
      <c r="F2094" s="4">
        <v>4.2</v>
      </c>
      <c r="G2094" s="4">
        <v>42</v>
      </c>
      <c r="H2094" s="5">
        <f t="shared" si="32"/>
        <v>-2.3800456968773292E-3</v>
      </c>
    </row>
    <row r="2095" spans="1:8" ht="13.5" x14ac:dyDescent="0.25">
      <c r="A2095" s="1"/>
      <c r="B2095" s="3">
        <v>45348</v>
      </c>
      <c r="C2095" s="4">
        <v>4.0199999999999996</v>
      </c>
      <c r="D2095" s="4">
        <v>4.0119999999999996</v>
      </c>
      <c r="E2095" s="4">
        <v>0</v>
      </c>
      <c r="F2095" s="4">
        <v>0</v>
      </c>
      <c r="G2095" s="4">
        <v>0</v>
      </c>
      <c r="H2095" s="5">
        <f t="shared" si="32"/>
        <v>-4.2847599961828568E-2</v>
      </c>
    </row>
    <row r="2096" spans="1:8" ht="13.5" x14ac:dyDescent="0.25">
      <c r="A2096" s="1"/>
      <c r="B2096" s="3">
        <v>45349</v>
      </c>
      <c r="C2096" s="4">
        <v>3.88</v>
      </c>
      <c r="D2096" s="4">
        <v>3.8721999999999999</v>
      </c>
      <c r="E2096" s="4">
        <v>55</v>
      </c>
      <c r="F2096" s="4">
        <v>3.8740000000000001</v>
      </c>
      <c r="G2096" s="4">
        <v>213.07</v>
      </c>
      <c r="H2096" s="5">
        <f t="shared" si="32"/>
        <v>-3.4845463609172414E-2</v>
      </c>
    </row>
    <row r="2097" spans="1:8" ht="13.5" x14ac:dyDescent="0.25">
      <c r="A2097" s="1"/>
      <c r="B2097" s="3">
        <v>45350</v>
      </c>
      <c r="C2097" s="4">
        <v>3.89</v>
      </c>
      <c r="D2097" s="4">
        <v>3.8822000000000001</v>
      </c>
      <c r="E2097" s="4">
        <v>50</v>
      </c>
      <c r="F2097" s="4">
        <v>3.89</v>
      </c>
      <c r="G2097" s="4">
        <v>194.5</v>
      </c>
      <c r="H2097" s="5">
        <f t="shared" si="32"/>
        <v>2.5825112339239271E-3</v>
      </c>
    </row>
    <row r="2098" spans="1:8" ht="13.5" x14ac:dyDescent="0.25">
      <c r="A2098" s="1"/>
      <c r="B2098" s="3">
        <v>45351</v>
      </c>
      <c r="C2098" s="4">
        <v>3.99</v>
      </c>
      <c r="D2098" s="4">
        <v>3.9820000000000002</v>
      </c>
      <c r="E2098" s="4">
        <v>10</v>
      </c>
      <c r="F2098" s="4">
        <v>3.99</v>
      </c>
      <c r="G2098" s="4">
        <v>39.9</v>
      </c>
      <c r="H2098" s="5">
        <f t="shared" si="32"/>
        <v>2.5707073308948562E-2</v>
      </c>
    </row>
    <row r="2099" spans="1:8" ht="13.5" x14ac:dyDescent="0.25">
      <c r="A2099" s="1"/>
      <c r="B2099" s="3">
        <v>45352</v>
      </c>
      <c r="C2099" s="4">
        <v>3.83</v>
      </c>
      <c r="D2099" s="4">
        <v>3.8222999999999998</v>
      </c>
      <c r="E2099" s="4">
        <v>111</v>
      </c>
      <c r="F2099" s="4">
        <v>3.83</v>
      </c>
      <c r="G2099" s="4">
        <v>425.13</v>
      </c>
      <c r="H2099" s="5">
        <f t="shared" si="32"/>
        <v>-4.0105474635861477E-2</v>
      </c>
    </row>
    <row r="2100" spans="1:8" ht="13.5" x14ac:dyDescent="0.25">
      <c r="A2100" s="1"/>
      <c r="B2100" s="3">
        <v>45355</v>
      </c>
      <c r="C2100" s="4">
        <v>3.83</v>
      </c>
      <c r="D2100" s="4">
        <v>3.8222999999999998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3.83</v>
      </c>
      <c r="D2101" s="4">
        <v>3.8222999999999998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3.79</v>
      </c>
      <c r="D2102" s="4">
        <v>3.7824</v>
      </c>
      <c r="E2102" s="4">
        <v>24</v>
      </c>
      <c r="F2102" s="4">
        <v>3.79</v>
      </c>
      <c r="G2102" s="4">
        <v>90.96</v>
      </c>
      <c r="H2102" s="5">
        <f t="shared" si="32"/>
        <v>-1.04387410721293E-2</v>
      </c>
    </row>
    <row r="2103" spans="1:8" ht="13.5" x14ac:dyDescent="0.25">
      <c r="A2103" s="1"/>
      <c r="B2103" s="3">
        <v>45358</v>
      </c>
      <c r="C2103" s="4">
        <v>3.96</v>
      </c>
      <c r="D2103" s="4">
        <v>3.9521000000000002</v>
      </c>
      <c r="E2103" s="4">
        <v>0</v>
      </c>
      <c r="F2103" s="4">
        <v>0</v>
      </c>
      <c r="G2103" s="4">
        <v>0</v>
      </c>
      <c r="H2103" s="5">
        <f t="shared" si="32"/>
        <v>4.4865693739424756E-2</v>
      </c>
    </row>
    <row r="2104" spans="1:8" ht="13.5" x14ac:dyDescent="0.25">
      <c r="A2104" s="1"/>
      <c r="B2104" s="3">
        <v>45359</v>
      </c>
      <c r="C2104" s="4">
        <v>3.96</v>
      </c>
      <c r="D2104" s="4">
        <v>3.9521000000000002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3.96</v>
      </c>
      <c r="D2105" s="4">
        <v>3.9521000000000002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3.96</v>
      </c>
      <c r="D2106" s="4">
        <v>3.9521000000000002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3.96</v>
      </c>
      <c r="D2107" s="4">
        <v>3.9521000000000002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3.79</v>
      </c>
      <c r="D2108" s="4">
        <v>3.7824</v>
      </c>
      <c r="E2108" s="4">
        <v>0</v>
      </c>
      <c r="F2108" s="4">
        <v>0</v>
      </c>
      <c r="G2108" s="4">
        <v>0</v>
      </c>
      <c r="H2108" s="5">
        <f t="shared" si="32"/>
        <v>-4.2939196882670019E-2</v>
      </c>
    </row>
    <row r="2109" spans="1:8" ht="13.5" x14ac:dyDescent="0.25">
      <c r="A2109" s="1"/>
      <c r="B2109" s="3">
        <v>45366</v>
      </c>
      <c r="C2109" s="4">
        <v>3.62</v>
      </c>
      <c r="D2109" s="4">
        <v>3.6128</v>
      </c>
      <c r="E2109" s="4">
        <v>88</v>
      </c>
      <c r="F2109" s="4">
        <v>3.62</v>
      </c>
      <c r="G2109" s="4">
        <v>318.56</v>
      </c>
      <c r="H2109" s="5">
        <f t="shared" si="32"/>
        <v>-4.483925549915397E-2</v>
      </c>
    </row>
    <row r="2110" spans="1:8" ht="13.5" x14ac:dyDescent="0.25">
      <c r="A2110" s="1"/>
      <c r="B2110" s="3">
        <v>45369</v>
      </c>
      <c r="C2110" s="4">
        <v>3.62</v>
      </c>
      <c r="D2110" s="4">
        <v>3.6128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3.78</v>
      </c>
      <c r="D2111" s="4">
        <v>3.7724000000000002</v>
      </c>
      <c r="E2111" s="4">
        <v>5</v>
      </c>
      <c r="F2111" s="4">
        <v>3.78</v>
      </c>
      <c r="G2111" s="4">
        <v>18.899999999999999</v>
      </c>
      <c r="H2111" s="5">
        <f t="shared" si="32"/>
        <v>4.417626217891945E-2</v>
      </c>
    </row>
    <row r="2112" spans="1:8" ht="13.5" x14ac:dyDescent="0.25">
      <c r="A2112" s="1"/>
      <c r="B2112" s="3">
        <v>45372</v>
      </c>
      <c r="C2112" s="4">
        <v>3.78</v>
      </c>
      <c r="D2112" s="4">
        <v>3.7724000000000002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3.78</v>
      </c>
      <c r="D2113" s="4">
        <v>3.7724000000000002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3.85</v>
      </c>
      <c r="D2114" s="4">
        <v>3.8422999999999998</v>
      </c>
      <c r="E2114" s="4">
        <v>9</v>
      </c>
      <c r="F2114" s="4">
        <v>3.85</v>
      </c>
      <c r="G2114" s="4">
        <v>34.65</v>
      </c>
      <c r="H2114" s="5">
        <f t="shared" si="32"/>
        <v>1.8529318205916558E-2</v>
      </c>
    </row>
    <row r="2115" spans="1:8" ht="13.5" x14ac:dyDescent="0.25">
      <c r="A2115" s="1"/>
      <c r="B2115" s="3">
        <v>45377</v>
      </c>
      <c r="C2115" s="4">
        <v>3.98</v>
      </c>
      <c r="D2115" s="4">
        <v>3.972</v>
      </c>
      <c r="E2115" s="4">
        <v>6</v>
      </c>
      <c r="F2115" s="4">
        <v>3.98</v>
      </c>
      <c r="G2115" s="4">
        <v>23.88</v>
      </c>
      <c r="H2115" s="5">
        <f t="shared" si="32"/>
        <v>3.3755823334981692E-2</v>
      </c>
    </row>
    <row r="2116" spans="1:8" ht="13.5" x14ac:dyDescent="0.25">
      <c r="A2116" s="1"/>
      <c r="B2116" s="3">
        <v>45378</v>
      </c>
      <c r="C2116" s="4">
        <v>3.98</v>
      </c>
      <c r="D2116" s="4">
        <v>3.972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3.81</v>
      </c>
      <c r="D2117" s="4">
        <v>3.8024</v>
      </c>
      <c r="E2117" s="4">
        <v>0</v>
      </c>
      <c r="F2117" s="4">
        <v>0</v>
      </c>
      <c r="G2117" s="4">
        <v>0</v>
      </c>
      <c r="H2117" s="5">
        <f t="shared" si="32"/>
        <v>-4.2698892245720037E-2</v>
      </c>
    </row>
    <row r="2118" spans="1:8" ht="13.5" x14ac:dyDescent="0.25">
      <c r="A2118" s="1"/>
      <c r="B2118" s="3">
        <v>45380</v>
      </c>
      <c r="C2118" s="4">
        <v>3.97</v>
      </c>
      <c r="D2118" s="4">
        <v>3.9621</v>
      </c>
      <c r="E2118" s="4">
        <v>329</v>
      </c>
      <c r="F2118" s="4">
        <v>3.6629999999999998</v>
      </c>
      <c r="G2118" s="4">
        <v>1205.127</v>
      </c>
      <c r="H2118" s="5">
        <f t="shared" si="32"/>
        <v>4.199978960656426E-2</v>
      </c>
    </row>
    <row r="2119" spans="1:8" ht="13.5" x14ac:dyDescent="0.25">
      <c r="A2119" s="1"/>
      <c r="B2119" s="3">
        <v>45383</v>
      </c>
      <c r="C2119" s="4">
        <v>3.97</v>
      </c>
      <c r="D2119" s="4">
        <v>3.9621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3.97</v>
      </c>
      <c r="D2120" s="4">
        <v>3.9621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3.97</v>
      </c>
      <c r="D2121" s="4">
        <v>3.9621</v>
      </c>
      <c r="E2121" s="4">
        <v>0</v>
      </c>
      <c r="F2121" s="4">
        <v>0</v>
      </c>
      <c r="G2121" s="4">
        <v>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3.97</v>
      </c>
      <c r="D2122" s="4">
        <v>3.9621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3.97</v>
      </c>
      <c r="D2123" s="4">
        <v>3.9621</v>
      </c>
      <c r="E2123" s="4">
        <v>0</v>
      </c>
      <c r="F2123" s="4">
        <v>0</v>
      </c>
      <c r="G2123" s="4">
        <v>0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3.97</v>
      </c>
      <c r="D2124" s="4">
        <v>3.9621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3.81</v>
      </c>
      <c r="D2125" s="4">
        <v>3.8024</v>
      </c>
      <c r="E2125" s="4">
        <v>1359</v>
      </c>
      <c r="F2125" s="4">
        <v>3.87</v>
      </c>
      <c r="G2125" s="4">
        <v>5259.33</v>
      </c>
      <c r="H2125" s="5">
        <f t="shared" si="33"/>
        <v>-4.0306907952853271E-2</v>
      </c>
    </row>
    <row r="2126" spans="1:8" ht="13.5" x14ac:dyDescent="0.25">
      <c r="A2126" s="1"/>
      <c r="B2126" s="3">
        <v>45397</v>
      </c>
      <c r="C2126" s="4">
        <v>3.8</v>
      </c>
      <c r="D2126" s="4">
        <v>3.7924000000000002</v>
      </c>
      <c r="E2126" s="4">
        <v>1042</v>
      </c>
      <c r="F2126" s="4">
        <v>3.65</v>
      </c>
      <c r="G2126" s="4">
        <v>3803.3</v>
      </c>
      <c r="H2126" s="5">
        <f t="shared" si="33"/>
        <v>-2.6299179465600112E-3</v>
      </c>
    </row>
    <row r="2127" spans="1:8" ht="13.5" x14ac:dyDescent="0.25">
      <c r="A2127" s="1"/>
      <c r="B2127" s="3">
        <v>45398</v>
      </c>
      <c r="C2127" s="4">
        <v>3.8</v>
      </c>
      <c r="D2127" s="4">
        <v>3.7924000000000002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3.66</v>
      </c>
      <c r="D2128" s="4">
        <v>3.6526999999999998</v>
      </c>
      <c r="E2128" s="4">
        <v>1835</v>
      </c>
      <c r="F2128" s="4">
        <v>3.66</v>
      </c>
      <c r="G2128" s="4">
        <v>6716.1</v>
      </c>
      <c r="H2128" s="5">
        <f t="shared" si="33"/>
        <v>-3.6836831557852646E-2</v>
      </c>
    </row>
    <row r="2129" spans="1:8" ht="13.5" x14ac:dyDescent="0.25">
      <c r="A2129" s="1"/>
      <c r="B2129" s="3">
        <v>45400</v>
      </c>
      <c r="C2129" s="4">
        <v>3.5</v>
      </c>
      <c r="D2129" s="4">
        <v>3.4929999999999999</v>
      </c>
      <c r="E2129" s="4">
        <v>1810</v>
      </c>
      <c r="F2129" s="4">
        <v>3.5</v>
      </c>
      <c r="G2129" s="4">
        <v>6335</v>
      </c>
      <c r="H2129" s="5">
        <f t="shared" si="33"/>
        <v>-4.3721083034467645E-2</v>
      </c>
    </row>
    <row r="2130" spans="1:8" ht="13.5" x14ac:dyDescent="0.25">
      <c r="A2130" s="1"/>
      <c r="B2130" s="3">
        <v>45401</v>
      </c>
      <c r="C2130" s="4">
        <v>3.5</v>
      </c>
      <c r="D2130" s="4">
        <v>3.4929999999999999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3.65</v>
      </c>
      <c r="D2131" s="4">
        <v>3.6427</v>
      </c>
      <c r="E2131" s="4">
        <v>0</v>
      </c>
      <c r="F2131" s="4">
        <v>0</v>
      </c>
      <c r="G2131" s="4">
        <v>0</v>
      </c>
      <c r="H2131" s="5">
        <f t="shared" si="33"/>
        <v>4.2857142857142906E-2</v>
      </c>
    </row>
    <row r="2132" spans="1:8" ht="13.5" x14ac:dyDescent="0.25">
      <c r="A2132" s="1"/>
      <c r="B2132" s="3">
        <v>45405</v>
      </c>
      <c r="C2132" s="4">
        <v>3.81</v>
      </c>
      <c r="D2132" s="4">
        <v>3.8024</v>
      </c>
      <c r="E2132" s="4">
        <v>103</v>
      </c>
      <c r="F2132" s="4">
        <v>3.81</v>
      </c>
      <c r="G2132" s="4">
        <v>392.43</v>
      </c>
      <c r="H2132" s="5">
        <f t="shared" si="33"/>
        <v>4.3841106871276785E-2</v>
      </c>
    </row>
    <row r="2133" spans="1:8" ht="13.5" x14ac:dyDescent="0.25">
      <c r="A2133" s="1"/>
      <c r="B2133" s="3">
        <v>45406</v>
      </c>
      <c r="C2133" s="4">
        <v>3.88</v>
      </c>
      <c r="D2133" s="4">
        <v>3.8721999999999999</v>
      </c>
      <c r="E2133" s="4">
        <v>1</v>
      </c>
      <c r="F2133" s="4">
        <v>3.88</v>
      </c>
      <c r="G2133" s="4">
        <v>3.88</v>
      </c>
      <c r="H2133" s="5">
        <f t="shared" si="33"/>
        <v>1.8356827266989232E-2</v>
      </c>
    </row>
    <row r="2134" spans="1:8" ht="13.5" x14ac:dyDescent="0.25">
      <c r="A2134" s="1"/>
      <c r="B2134" s="3">
        <v>45407</v>
      </c>
      <c r="C2134" s="4">
        <v>3.71</v>
      </c>
      <c r="D2134" s="4">
        <v>3.7025999999999999</v>
      </c>
      <c r="E2134" s="4">
        <v>200</v>
      </c>
      <c r="F2134" s="4">
        <v>3.71</v>
      </c>
      <c r="G2134" s="4">
        <v>742</v>
      </c>
      <c r="H2134" s="5">
        <f t="shared" si="33"/>
        <v>-4.379939052734879E-2</v>
      </c>
    </row>
    <row r="2135" spans="1:8" ht="13.5" x14ac:dyDescent="0.25">
      <c r="A2135" s="1"/>
      <c r="B2135" s="3">
        <v>45408</v>
      </c>
      <c r="C2135" s="4">
        <v>3.87</v>
      </c>
      <c r="D2135" s="4">
        <v>3.8622999999999998</v>
      </c>
      <c r="E2135" s="4">
        <v>4</v>
      </c>
      <c r="F2135" s="4">
        <v>3.87</v>
      </c>
      <c r="G2135" s="4">
        <v>15.48</v>
      </c>
      <c r="H2135" s="5">
        <f t="shared" si="33"/>
        <v>4.3131853292281086E-2</v>
      </c>
    </row>
    <row r="2136" spans="1:8" ht="13.5" x14ac:dyDescent="0.25">
      <c r="A2136" s="1"/>
      <c r="B2136" s="3">
        <v>45411</v>
      </c>
      <c r="C2136" s="4">
        <v>3.88</v>
      </c>
      <c r="D2136" s="4">
        <v>3.8721999999999999</v>
      </c>
      <c r="E2136" s="4">
        <v>4</v>
      </c>
      <c r="F2136" s="4">
        <v>3.88</v>
      </c>
      <c r="G2136" s="4">
        <v>15.52</v>
      </c>
      <c r="H2136" s="5">
        <f t="shared" si="33"/>
        <v>2.5632395204929757E-3</v>
      </c>
    </row>
    <row r="2137" spans="1:8" ht="13.5" x14ac:dyDescent="0.25">
      <c r="A2137" s="1"/>
      <c r="B2137" s="3">
        <v>45412</v>
      </c>
      <c r="C2137" s="4">
        <v>3.88</v>
      </c>
      <c r="D2137" s="4">
        <v>3.8721999999999999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3.72</v>
      </c>
      <c r="D2138" s="4">
        <v>3.7126000000000001</v>
      </c>
      <c r="E2138" s="4">
        <v>5717</v>
      </c>
      <c r="F2138" s="4">
        <v>3.72</v>
      </c>
      <c r="G2138" s="4">
        <v>21267.24</v>
      </c>
      <c r="H2138" s="5">
        <f t="shared" si="33"/>
        <v>-4.1216879293424859E-2</v>
      </c>
    </row>
    <row r="2139" spans="1:8" ht="13.5" x14ac:dyDescent="0.25">
      <c r="A2139" s="1"/>
      <c r="B2139" s="3">
        <v>45415</v>
      </c>
      <c r="C2139" s="4">
        <v>3.56</v>
      </c>
      <c r="D2139" s="4">
        <v>3.5529000000000002</v>
      </c>
      <c r="E2139" s="4">
        <v>1390</v>
      </c>
      <c r="F2139" s="4">
        <v>3.56</v>
      </c>
      <c r="G2139" s="4">
        <v>4948.3999999999996</v>
      </c>
      <c r="H2139" s="5">
        <f t="shared" si="33"/>
        <v>-4.3015676345418294E-2</v>
      </c>
    </row>
    <row r="2140" spans="1:8" ht="13.5" x14ac:dyDescent="0.25">
      <c r="A2140" s="1"/>
      <c r="B2140" s="3">
        <v>45418</v>
      </c>
      <c r="C2140" s="4">
        <v>3.61</v>
      </c>
      <c r="D2140" s="4">
        <v>3.6027999999999998</v>
      </c>
      <c r="E2140" s="4">
        <v>2530</v>
      </c>
      <c r="F2140" s="4">
        <v>3.61</v>
      </c>
      <c r="G2140" s="4">
        <v>9133.2999999999993</v>
      </c>
      <c r="H2140" s="5">
        <f t="shared" si="33"/>
        <v>1.4044864758366294E-2</v>
      </c>
    </row>
    <row r="2141" spans="1:8" ht="13.5" x14ac:dyDescent="0.25">
      <c r="A2141" s="1"/>
      <c r="B2141" s="3">
        <v>45419</v>
      </c>
      <c r="C2141" s="4">
        <v>3.77</v>
      </c>
      <c r="D2141" s="4">
        <v>3.7625000000000002</v>
      </c>
      <c r="E2141" s="4">
        <v>0</v>
      </c>
      <c r="F2141" s="4">
        <v>0</v>
      </c>
      <c r="G2141" s="4">
        <v>0</v>
      </c>
      <c r="H2141" s="5">
        <f t="shared" si="33"/>
        <v>4.4326634839569334E-2</v>
      </c>
    </row>
    <row r="2142" spans="1:8" ht="13.5" x14ac:dyDescent="0.25">
      <c r="A2142" s="1"/>
      <c r="B2142" s="3">
        <v>45420</v>
      </c>
      <c r="C2142" s="4">
        <v>3.93</v>
      </c>
      <c r="D2142" s="4">
        <v>3.9220999999999999</v>
      </c>
      <c r="E2142" s="4">
        <v>4051</v>
      </c>
      <c r="F2142" s="4">
        <v>3.93</v>
      </c>
      <c r="G2142" s="4">
        <v>15920.43</v>
      </c>
      <c r="H2142" s="5">
        <f t="shared" si="33"/>
        <v>4.241860465116272E-2</v>
      </c>
    </row>
    <row r="2143" spans="1:8" ht="13.5" x14ac:dyDescent="0.25">
      <c r="A2143" s="1"/>
      <c r="B2143" s="3">
        <v>45421</v>
      </c>
      <c r="C2143" s="4">
        <v>4.0999999999999996</v>
      </c>
      <c r="D2143" s="4">
        <v>4.0918000000000001</v>
      </c>
      <c r="E2143" s="4">
        <v>2200</v>
      </c>
      <c r="F2143" s="4">
        <v>4.0999999999999996</v>
      </c>
      <c r="G2143" s="4">
        <v>9020</v>
      </c>
      <c r="H2143" s="5">
        <f t="shared" si="33"/>
        <v>4.3267637235154685E-2</v>
      </c>
    </row>
    <row r="2144" spans="1:8" ht="13.5" x14ac:dyDescent="0.25">
      <c r="A2144" s="1"/>
      <c r="B2144" s="3">
        <v>45422</v>
      </c>
      <c r="C2144" s="4">
        <v>4.0999999999999996</v>
      </c>
      <c r="D2144" s="4">
        <v>4.0918000000000001</v>
      </c>
      <c r="E2144" s="4">
        <v>4076</v>
      </c>
      <c r="F2144" s="4">
        <v>4.0999999999999996</v>
      </c>
      <c r="G2144" s="4">
        <v>16711.599999999999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4.0999999999999996</v>
      </c>
      <c r="D2145" s="4">
        <v>4.0918000000000001</v>
      </c>
      <c r="E2145" s="4">
        <v>3</v>
      </c>
      <c r="F2145" s="4">
        <v>4.0999999999999996</v>
      </c>
      <c r="G2145" s="4">
        <v>12.3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4.0999999999999996</v>
      </c>
      <c r="D2146" s="4">
        <v>4.0918000000000001</v>
      </c>
      <c r="E2146" s="4">
        <v>250</v>
      </c>
      <c r="F2146" s="4">
        <v>4.0999999999999996</v>
      </c>
      <c r="G2146" s="4">
        <v>1025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4.18</v>
      </c>
      <c r="D2147" s="4">
        <v>4.1715999999999998</v>
      </c>
      <c r="E2147" s="4">
        <v>31564</v>
      </c>
      <c r="F2147" s="4">
        <v>4.18</v>
      </c>
      <c r="G2147" s="4">
        <v>131937.51999999999</v>
      </c>
      <c r="H2147" s="5">
        <f t="shared" si="33"/>
        <v>1.950241947309244E-2</v>
      </c>
    </row>
    <row r="2148" spans="1:8" ht="13.5" x14ac:dyDescent="0.25">
      <c r="A2148" s="1"/>
      <c r="B2148" s="3">
        <v>45428</v>
      </c>
      <c r="C2148" s="4">
        <v>4</v>
      </c>
      <c r="D2148" s="4">
        <v>3.992</v>
      </c>
      <c r="E2148" s="4">
        <v>3010</v>
      </c>
      <c r="F2148" s="4">
        <v>4.0069999999999997</v>
      </c>
      <c r="G2148" s="4">
        <v>12061.07</v>
      </c>
      <c r="H2148" s="5">
        <f t="shared" si="33"/>
        <v>-4.3053025218141666E-2</v>
      </c>
    </row>
    <row r="2149" spans="1:8" ht="13.5" x14ac:dyDescent="0.25">
      <c r="A2149" s="1"/>
      <c r="B2149" s="3">
        <v>45429</v>
      </c>
      <c r="C2149" s="4">
        <v>4</v>
      </c>
      <c r="D2149" s="4">
        <v>3.992</v>
      </c>
      <c r="E2149" s="4">
        <v>13643</v>
      </c>
      <c r="F2149" s="4">
        <v>4</v>
      </c>
      <c r="G2149" s="4">
        <v>54572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4</v>
      </c>
      <c r="D2150" s="4">
        <v>3.992</v>
      </c>
      <c r="E2150" s="4">
        <v>5300</v>
      </c>
      <c r="F2150" s="4">
        <v>4</v>
      </c>
      <c r="G2150" s="4">
        <v>21200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4</v>
      </c>
      <c r="D2151" s="4">
        <v>3.992</v>
      </c>
      <c r="E2151" s="4">
        <v>705</v>
      </c>
      <c r="F2151" s="4">
        <v>4</v>
      </c>
      <c r="G2151" s="4">
        <v>2820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4</v>
      </c>
      <c r="D2152" s="4">
        <v>3.992</v>
      </c>
      <c r="E2152" s="4">
        <v>3075</v>
      </c>
      <c r="F2152" s="4">
        <v>4</v>
      </c>
      <c r="G2152" s="4">
        <v>12300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4</v>
      </c>
      <c r="D2153" s="4">
        <v>3.992</v>
      </c>
      <c r="E2153" s="4">
        <v>1500</v>
      </c>
      <c r="F2153" s="4">
        <v>4</v>
      </c>
      <c r="G2153" s="4">
        <v>6000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3.83</v>
      </c>
      <c r="D2154" s="4">
        <v>3.8222999999999998</v>
      </c>
      <c r="E2154" s="4">
        <v>300</v>
      </c>
      <c r="F2154" s="4">
        <v>3.83</v>
      </c>
      <c r="G2154" s="4">
        <v>1149</v>
      </c>
      <c r="H2154" s="5">
        <f t="shared" si="33"/>
        <v>-4.2510020040080206E-2</v>
      </c>
    </row>
    <row r="2155" spans="1:8" ht="13.5" x14ac:dyDescent="0.25">
      <c r="A2155" s="1"/>
      <c r="B2155" s="3">
        <v>45439</v>
      </c>
      <c r="C2155" s="4">
        <v>3.79</v>
      </c>
      <c r="D2155" s="4">
        <v>3.7824</v>
      </c>
      <c r="E2155" s="4">
        <v>1930</v>
      </c>
      <c r="F2155" s="4">
        <v>3.7949999999999999</v>
      </c>
      <c r="G2155" s="4">
        <v>7324.35</v>
      </c>
      <c r="H2155" s="5">
        <f t="shared" si="33"/>
        <v>-1.04387410721293E-2</v>
      </c>
    </row>
    <row r="2156" spans="1:8" ht="13.5" x14ac:dyDescent="0.25">
      <c r="A2156" s="1"/>
      <c r="B2156" s="3">
        <v>45440</v>
      </c>
      <c r="C2156" s="4">
        <v>3.79</v>
      </c>
      <c r="D2156" s="4">
        <v>3.7824</v>
      </c>
      <c r="E2156" s="4">
        <v>1195</v>
      </c>
      <c r="F2156" s="4">
        <v>3.79</v>
      </c>
      <c r="G2156" s="4">
        <v>4529.05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3.79</v>
      </c>
      <c r="D2157" s="4">
        <v>3.7824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3.7</v>
      </c>
      <c r="D2158" s="4">
        <v>3.6926000000000001</v>
      </c>
      <c r="E2158" s="4">
        <v>2155</v>
      </c>
      <c r="F2158" s="4">
        <v>3.7</v>
      </c>
      <c r="G2158" s="4">
        <v>7973.5</v>
      </c>
      <c r="H2158" s="5">
        <f t="shared" si="33"/>
        <v>-2.3741539763113335E-2</v>
      </c>
    </row>
    <row r="2159" spans="1:8" ht="13.5" x14ac:dyDescent="0.25">
      <c r="A2159" s="1"/>
      <c r="B2159" s="3">
        <v>45443</v>
      </c>
      <c r="C2159" s="4">
        <v>3.55</v>
      </c>
      <c r="D2159" s="4">
        <v>3.5428999999999999</v>
      </c>
      <c r="E2159" s="4">
        <v>500</v>
      </c>
      <c r="F2159" s="4">
        <v>3.55</v>
      </c>
      <c r="G2159" s="4">
        <v>1775</v>
      </c>
      <c r="H2159" s="5">
        <f t="shared" si="33"/>
        <v>-4.0540540540540584E-2</v>
      </c>
    </row>
    <row r="2160" spans="1:8" ht="13.5" x14ac:dyDescent="0.25">
      <c r="A2160" s="1"/>
      <c r="B2160" s="3">
        <v>45446</v>
      </c>
      <c r="C2160" s="4">
        <v>3.55</v>
      </c>
      <c r="D2160" s="4">
        <v>3.5428999999999999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3.55</v>
      </c>
      <c r="D2161" s="4">
        <v>3.5428999999999999</v>
      </c>
      <c r="E2161" s="4">
        <v>1414</v>
      </c>
      <c r="F2161" s="4">
        <v>3.55</v>
      </c>
      <c r="G2161" s="4">
        <v>5019.7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3.6</v>
      </c>
      <c r="D2162" s="4">
        <v>3.5928</v>
      </c>
      <c r="E2162" s="4">
        <v>2689</v>
      </c>
      <c r="F2162" s="4">
        <v>3.6</v>
      </c>
      <c r="G2162" s="4">
        <v>9680.4</v>
      </c>
      <c r="H2162" s="5">
        <f t="shared" si="33"/>
        <v>1.4084507042253537E-2</v>
      </c>
    </row>
    <row r="2163" spans="1:8" ht="13.5" x14ac:dyDescent="0.25">
      <c r="A2163" s="1"/>
      <c r="B2163" s="3">
        <v>45449</v>
      </c>
      <c r="C2163" s="4">
        <v>3.51</v>
      </c>
      <c r="D2163" s="4">
        <v>3.5030000000000001</v>
      </c>
      <c r="E2163" s="4">
        <v>1220</v>
      </c>
      <c r="F2163" s="4">
        <v>3.524</v>
      </c>
      <c r="G2163" s="4">
        <v>4299.28</v>
      </c>
      <c r="H2163" s="5">
        <f t="shared" si="33"/>
        <v>-2.4994433311066544E-2</v>
      </c>
    </row>
    <row r="2164" spans="1:8" ht="13.5" x14ac:dyDescent="0.25">
      <c r="A2164" s="1"/>
      <c r="B2164" s="3">
        <v>45450</v>
      </c>
      <c r="C2164" s="4">
        <v>3.52</v>
      </c>
      <c r="D2164" s="4">
        <v>3.5129999999999999</v>
      </c>
      <c r="E2164" s="4">
        <v>450</v>
      </c>
      <c r="F2164" s="4">
        <v>3.52</v>
      </c>
      <c r="G2164" s="4">
        <v>1584</v>
      </c>
      <c r="H2164" s="5">
        <f t="shared" si="33"/>
        <v>2.8546959748786144E-3</v>
      </c>
    </row>
    <row r="2165" spans="1:8" ht="13.5" x14ac:dyDescent="0.25">
      <c r="A2165" s="1"/>
      <c r="B2165" s="3">
        <v>45453</v>
      </c>
      <c r="C2165" s="4">
        <v>3.59</v>
      </c>
      <c r="D2165" s="4">
        <v>3.5828000000000002</v>
      </c>
      <c r="E2165" s="4">
        <v>501</v>
      </c>
      <c r="F2165" s="4">
        <v>3.59</v>
      </c>
      <c r="G2165" s="4">
        <v>1798.59</v>
      </c>
      <c r="H2165" s="5">
        <f t="shared" si="33"/>
        <v>1.9869057785368717E-2</v>
      </c>
    </row>
    <row r="2166" spans="1:8" ht="13.5" x14ac:dyDescent="0.25">
      <c r="A2166" s="1"/>
      <c r="B2166" s="3">
        <v>45454</v>
      </c>
      <c r="C2166" s="4">
        <v>3.52</v>
      </c>
      <c r="D2166" s="4">
        <v>3.5129999999999999</v>
      </c>
      <c r="E2166" s="4">
        <v>550</v>
      </c>
      <c r="F2166" s="4">
        <v>3.52</v>
      </c>
      <c r="G2166" s="4">
        <v>1936</v>
      </c>
      <c r="H2166" s="5">
        <f t="shared" si="33"/>
        <v>-1.9481969409400553E-2</v>
      </c>
    </row>
    <row r="2167" spans="1:8" ht="13.5" x14ac:dyDescent="0.25">
      <c r="A2167" s="1"/>
      <c r="B2167" s="3">
        <v>45455</v>
      </c>
      <c r="C2167" s="4">
        <v>3.51</v>
      </c>
      <c r="D2167" s="4">
        <v>3.5030000000000001</v>
      </c>
      <c r="E2167" s="4">
        <v>253</v>
      </c>
      <c r="F2167" s="4">
        <v>3.52</v>
      </c>
      <c r="G2167" s="4">
        <v>890.56</v>
      </c>
      <c r="H2167" s="5">
        <f t="shared" si="33"/>
        <v>-2.8465698832905741E-3</v>
      </c>
    </row>
    <row r="2168" spans="1:8" ht="13.5" x14ac:dyDescent="0.25">
      <c r="A2168" s="1"/>
      <c r="B2168" s="3">
        <v>45456</v>
      </c>
      <c r="C2168" s="4">
        <v>3.51</v>
      </c>
      <c r="D2168" s="4">
        <v>3.5030000000000001</v>
      </c>
      <c r="E2168" s="4">
        <v>1355</v>
      </c>
      <c r="F2168" s="4">
        <v>3.51</v>
      </c>
      <c r="G2168" s="4">
        <v>4756.05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3.51</v>
      </c>
      <c r="D2169" s="4">
        <v>3.5030000000000001</v>
      </c>
      <c r="E2169" s="4">
        <v>15</v>
      </c>
      <c r="F2169" s="4">
        <v>3.51</v>
      </c>
      <c r="G2169" s="4">
        <v>52.65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3.59</v>
      </c>
      <c r="D2170" s="4">
        <v>3.5828000000000002</v>
      </c>
      <c r="E2170" s="4">
        <v>1000</v>
      </c>
      <c r="F2170" s="4">
        <v>3.59</v>
      </c>
      <c r="G2170" s="4">
        <v>3590</v>
      </c>
      <c r="H2170" s="5">
        <f t="shared" si="33"/>
        <v>2.2780473879531856E-2</v>
      </c>
    </row>
    <row r="2171" spans="1:8" ht="13.5" x14ac:dyDescent="0.25">
      <c r="A2171" s="1"/>
      <c r="B2171" s="3">
        <v>45462</v>
      </c>
      <c r="C2171" s="4">
        <v>3.59</v>
      </c>
      <c r="D2171" s="4">
        <v>3.5828000000000002</v>
      </c>
      <c r="E2171" s="4">
        <v>2240</v>
      </c>
      <c r="F2171" s="4">
        <v>3.59</v>
      </c>
      <c r="G2171" s="4">
        <v>8041.6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3.6</v>
      </c>
      <c r="D2172" s="4">
        <v>3.5928</v>
      </c>
      <c r="E2172" s="4">
        <v>6000</v>
      </c>
      <c r="F2172" s="4">
        <v>3.597</v>
      </c>
      <c r="G2172" s="4">
        <v>21582</v>
      </c>
      <c r="H2172" s="5">
        <f t="shared" si="33"/>
        <v>2.7911130959025862E-3</v>
      </c>
    </row>
    <row r="2173" spans="1:8" ht="13.5" x14ac:dyDescent="0.25">
      <c r="A2173" s="1"/>
      <c r="B2173" s="3">
        <v>45464</v>
      </c>
      <c r="C2173" s="4">
        <v>3.76</v>
      </c>
      <c r="D2173" s="4">
        <v>3.7524999999999999</v>
      </c>
      <c r="E2173" s="4">
        <v>261</v>
      </c>
      <c r="F2173" s="4">
        <v>3.69</v>
      </c>
      <c r="G2173" s="4">
        <v>963.09</v>
      </c>
      <c r="H2173" s="5">
        <f t="shared" si="33"/>
        <v>4.4450011133377855E-2</v>
      </c>
    </row>
    <row r="2174" spans="1:8" ht="13.5" x14ac:dyDescent="0.25">
      <c r="A2174" s="1"/>
      <c r="B2174" s="3">
        <v>45467</v>
      </c>
      <c r="C2174" s="4">
        <v>3.92</v>
      </c>
      <c r="D2174" s="4">
        <v>3.9121999999999999</v>
      </c>
      <c r="E2174" s="4">
        <v>622</v>
      </c>
      <c r="F2174" s="4">
        <v>3.919</v>
      </c>
      <c r="G2174" s="4">
        <v>2437.6179999999999</v>
      </c>
      <c r="H2174" s="5">
        <f t="shared" si="33"/>
        <v>4.2558294470353086E-2</v>
      </c>
    </row>
    <row r="2175" spans="1:8" ht="13.5" x14ac:dyDescent="0.25">
      <c r="A2175" s="1"/>
      <c r="B2175" s="3">
        <v>45468</v>
      </c>
      <c r="C2175" s="4">
        <v>3.99</v>
      </c>
      <c r="D2175" s="4">
        <v>3.9820000000000002</v>
      </c>
      <c r="E2175" s="4">
        <v>575</v>
      </c>
      <c r="F2175" s="4">
        <v>3.9910000000000001</v>
      </c>
      <c r="G2175" s="4">
        <v>2294.8249999999998</v>
      </c>
      <c r="H2175" s="5">
        <f t="shared" si="33"/>
        <v>1.7841623638873347E-2</v>
      </c>
    </row>
    <row r="2176" spans="1:8" ht="13.5" x14ac:dyDescent="0.25">
      <c r="A2176" s="1"/>
      <c r="B2176" s="3">
        <v>45469</v>
      </c>
      <c r="C2176" s="4">
        <v>3.82</v>
      </c>
      <c r="D2176" s="4">
        <v>3.8123999999999998</v>
      </c>
      <c r="E2176" s="4">
        <v>20</v>
      </c>
      <c r="F2176" s="4">
        <v>3.99</v>
      </c>
      <c r="G2176" s="4">
        <v>79.8</v>
      </c>
      <c r="H2176" s="5">
        <f t="shared" si="33"/>
        <v>-4.2591662481165346E-2</v>
      </c>
    </row>
    <row r="2177" spans="1:8" ht="13.5" x14ac:dyDescent="0.25">
      <c r="A2177" s="1"/>
      <c r="B2177" s="3">
        <v>45470</v>
      </c>
      <c r="C2177" s="4">
        <v>3.85</v>
      </c>
      <c r="D2177" s="4">
        <v>3.8422999999999998</v>
      </c>
      <c r="E2177" s="4">
        <v>14</v>
      </c>
      <c r="F2177" s="4">
        <v>3.85</v>
      </c>
      <c r="G2177" s="4">
        <v>53.9</v>
      </c>
      <c r="H2177" s="5">
        <f t="shared" si="33"/>
        <v>7.8428286643584203E-3</v>
      </c>
    </row>
    <row r="2178" spans="1:8" ht="13.5" x14ac:dyDescent="0.25">
      <c r="A2178" s="1"/>
      <c r="B2178" s="3">
        <v>45471</v>
      </c>
      <c r="C2178" s="4">
        <v>3.8</v>
      </c>
      <c r="D2178" s="4">
        <v>3.7924000000000002</v>
      </c>
      <c r="E2178" s="4">
        <v>100</v>
      </c>
      <c r="F2178" s="4">
        <v>3.8</v>
      </c>
      <c r="G2178" s="4">
        <v>380</v>
      </c>
      <c r="H2178" s="5">
        <f t="shared" si="33"/>
        <v>-1.2987012987012887E-2</v>
      </c>
    </row>
    <row r="2179" spans="1:8" ht="13.5" x14ac:dyDescent="0.25">
      <c r="A2179" s="1"/>
      <c r="B2179" s="3">
        <v>45474</v>
      </c>
      <c r="C2179" s="4">
        <v>3.8</v>
      </c>
      <c r="D2179" s="4">
        <v>3.7924000000000002</v>
      </c>
      <c r="E2179" s="4">
        <v>90</v>
      </c>
      <c r="F2179" s="4">
        <v>3.8</v>
      </c>
      <c r="G2179" s="4">
        <v>342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3.8</v>
      </c>
      <c r="D2180" s="4">
        <v>3.7924000000000002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3.89</v>
      </c>
      <c r="D2181" s="4">
        <v>3.8822000000000001</v>
      </c>
      <c r="E2181" s="4">
        <v>2</v>
      </c>
      <c r="F2181" s="4">
        <v>3.89</v>
      </c>
      <c r="G2181" s="4">
        <v>7.78</v>
      </c>
      <c r="H2181" s="5">
        <f t="shared" si="33"/>
        <v>2.367893682101041E-2</v>
      </c>
    </row>
    <row r="2182" spans="1:8" ht="13.5" x14ac:dyDescent="0.25">
      <c r="A2182" s="1"/>
      <c r="B2182" s="3">
        <v>45477</v>
      </c>
      <c r="C2182" s="4">
        <v>3.89</v>
      </c>
      <c r="D2182" s="4">
        <v>3.8822000000000001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3.89</v>
      </c>
      <c r="D2183" s="4">
        <v>3.8822000000000001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3.89</v>
      </c>
      <c r="D2184" s="4">
        <v>3.8822000000000001</v>
      </c>
      <c r="E2184" s="4">
        <v>200</v>
      </c>
      <c r="F2184" s="4">
        <v>3.89</v>
      </c>
      <c r="G2184" s="4">
        <v>778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3.88</v>
      </c>
      <c r="D2185" s="4">
        <v>3.8721999999999999</v>
      </c>
      <c r="E2185" s="4">
        <v>600</v>
      </c>
      <c r="F2185" s="4">
        <v>3.88</v>
      </c>
      <c r="G2185" s="4">
        <v>2328</v>
      </c>
      <c r="H2185" s="5">
        <f t="shared" si="34"/>
        <v>-2.5758590489928985E-3</v>
      </c>
    </row>
    <row r="2186" spans="1:8" ht="13.5" x14ac:dyDescent="0.25">
      <c r="A2186" s="1"/>
      <c r="B2186" s="3">
        <v>45483</v>
      </c>
      <c r="C2186" s="4">
        <v>3.71</v>
      </c>
      <c r="D2186" s="4">
        <v>3.7025999999999999</v>
      </c>
      <c r="E2186" s="4">
        <v>4</v>
      </c>
      <c r="F2186" s="4">
        <v>3.71</v>
      </c>
      <c r="G2186" s="4">
        <v>14.84</v>
      </c>
      <c r="H2186" s="5">
        <f t="shared" si="34"/>
        <v>-4.379939052734879E-2</v>
      </c>
    </row>
    <row r="2187" spans="1:8" ht="13.5" x14ac:dyDescent="0.25">
      <c r="A2187" s="1"/>
      <c r="B2187" s="3">
        <v>45484</v>
      </c>
      <c r="C2187" s="4">
        <v>3.71</v>
      </c>
      <c r="D2187" s="4">
        <v>3.7025999999999999</v>
      </c>
      <c r="E2187" s="4">
        <v>605</v>
      </c>
      <c r="F2187" s="4">
        <v>3.71</v>
      </c>
      <c r="G2187" s="4">
        <v>2244.5500000000002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3.69</v>
      </c>
      <c r="D2188" s="4">
        <v>3.6825999999999999</v>
      </c>
      <c r="E2188" s="4">
        <v>292</v>
      </c>
      <c r="F2188" s="4">
        <v>3.7050000000000001</v>
      </c>
      <c r="G2188" s="4">
        <v>1081.8599999999999</v>
      </c>
      <c r="H2188" s="5">
        <f t="shared" si="34"/>
        <v>-5.4016096796845508E-3</v>
      </c>
    </row>
    <row r="2189" spans="1:8" ht="13.5" x14ac:dyDescent="0.25">
      <c r="A2189" s="1"/>
      <c r="B2189" s="3">
        <v>45488</v>
      </c>
      <c r="C2189" s="4">
        <v>3.59</v>
      </c>
      <c r="D2189" s="4">
        <v>3.5828000000000002</v>
      </c>
      <c r="E2189" s="4">
        <v>3</v>
      </c>
      <c r="F2189" s="4">
        <v>3.59</v>
      </c>
      <c r="G2189" s="4">
        <v>10.77</v>
      </c>
      <c r="H2189" s="5">
        <f t="shared" si="34"/>
        <v>-2.7100418182805536E-2</v>
      </c>
    </row>
    <row r="2190" spans="1:8" ht="13.5" x14ac:dyDescent="0.25">
      <c r="A2190" s="1"/>
      <c r="B2190" s="3">
        <v>45489</v>
      </c>
      <c r="C2190" s="4">
        <v>3.59</v>
      </c>
      <c r="D2190" s="4">
        <v>3.5828000000000002</v>
      </c>
      <c r="E2190" s="4">
        <v>616</v>
      </c>
      <c r="F2190" s="4">
        <v>3.59</v>
      </c>
      <c r="G2190" s="4">
        <v>2211.44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3.6</v>
      </c>
      <c r="D2191" s="4">
        <v>3.5928</v>
      </c>
      <c r="E2191" s="4">
        <v>889</v>
      </c>
      <c r="F2191" s="4">
        <v>3.6</v>
      </c>
      <c r="G2191" s="4">
        <v>3200.4</v>
      </c>
      <c r="H2191" s="5">
        <f t="shared" si="34"/>
        <v>2.7911130959025862E-3</v>
      </c>
    </row>
    <row r="2192" spans="1:8" ht="13.5" x14ac:dyDescent="0.25">
      <c r="A2192" s="1"/>
      <c r="B2192" s="3">
        <v>45491</v>
      </c>
      <c r="C2192" s="4">
        <v>3.76</v>
      </c>
      <c r="D2192" s="4">
        <v>3.7524999999999999</v>
      </c>
      <c r="E2192" s="4">
        <v>0</v>
      </c>
      <c r="F2192" s="4">
        <v>0</v>
      </c>
      <c r="G2192" s="4">
        <v>0</v>
      </c>
      <c r="H2192" s="5">
        <f t="shared" si="34"/>
        <v>4.4450011133377855E-2</v>
      </c>
    </row>
    <row r="2193" spans="1:8" ht="13.5" x14ac:dyDescent="0.25">
      <c r="A2193" s="1"/>
      <c r="B2193" s="3">
        <v>45492</v>
      </c>
      <c r="C2193" s="4">
        <v>3.76</v>
      </c>
      <c r="D2193" s="4">
        <v>3.7524999999999999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3.86</v>
      </c>
      <c r="D2194" s="4">
        <v>3.8523000000000001</v>
      </c>
      <c r="E2194" s="4">
        <v>1</v>
      </c>
      <c r="F2194" s="4">
        <v>3.86</v>
      </c>
      <c r="G2194" s="4">
        <v>3.86</v>
      </c>
      <c r="H2194" s="5">
        <f t="shared" si="34"/>
        <v>2.6595602931379112E-2</v>
      </c>
    </row>
    <row r="2195" spans="1:8" ht="13.5" x14ac:dyDescent="0.25">
      <c r="A2195" s="1"/>
      <c r="B2195" s="3">
        <v>45496</v>
      </c>
      <c r="C2195" s="4">
        <v>3.88</v>
      </c>
      <c r="D2195" s="4">
        <v>3.8721999999999999</v>
      </c>
      <c r="E2195" s="4">
        <v>567</v>
      </c>
      <c r="F2195" s="4">
        <v>3.8679999999999999</v>
      </c>
      <c r="G2195" s="4">
        <v>2193.1559999999999</v>
      </c>
      <c r="H2195" s="5">
        <f t="shared" si="34"/>
        <v>5.1657451392674008E-3</v>
      </c>
    </row>
    <row r="2196" spans="1:8" ht="13.5" x14ac:dyDescent="0.25">
      <c r="A2196" s="1"/>
      <c r="B2196" s="3">
        <v>45497</v>
      </c>
      <c r="C2196" s="4">
        <v>3.99</v>
      </c>
      <c r="D2196" s="4">
        <v>3.9820000000000002</v>
      </c>
      <c r="E2196" s="4">
        <v>75</v>
      </c>
      <c r="F2196" s="4">
        <v>3.9609999999999999</v>
      </c>
      <c r="G2196" s="4">
        <v>297.07499999999999</v>
      </c>
      <c r="H2196" s="5">
        <f t="shared" si="34"/>
        <v>2.8355973348484154E-2</v>
      </c>
    </row>
    <row r="2197" spans="1:8" ht="13.5" x14ac:dyDescent="0.25">
      <c r="A2197" s="1"/>
      <c r="B2197" s="3">
        <v>45499</v>
      </c>
      <c r="C2197" s="4">
        <v>3.99</v>
      </c>
      <c r="D2197" s="4">
        <v>3.9820000000000002</v>
      </c>
      <c r="E2197" s="4">
        <v>220</v>
      </c>
      <c r="F2197" s="4">
        <v>3.99</v>
      </c>
      <c r="G2197" s="4">
        <v>877.8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4</v>
      </c>
      <c r="D2198" s="4">
        <v>3.992</v>
      </c>
      <c r="E2198" s="4">
        <v>831</v>
      </c>
      <c r="F2198" s="4">
        <v>4</v>
      </c>
      <c r="G2198" s="4">
        <v>3324</v>
      </c>
      <c r="H2198" s="5">
        <f t="shared" si="34"/>
        <v>2.5113008538422367E-3</v>
      </c>
    </row>
    <row r="2199" spans="1:8" ht="13.5" x14ac:dyDescent="0.25">
      <c r="A2199" s="1"/>
      <c r="B2199" s="3">
        <v>45503</v>
      </c>
      <c r="C2199" s="4">
        <v>4.18</v>
      </c>
      <c r="D2199" s="4">
        <v>4.1715999999999998</v>
      </c>
      <c r="E2199" s="4">
        <v>0</v>
      </c>
      <c r="F2199" s="4">
        <v>0</v>
      </c>
      <c r="G2199" s="4">
        <v>0</v>
      </c>
      <c r="H2199" s="5">
        <f t="shared" si="34"/>
        <v>4.4989979959919782E-2</v>
      </c>
    </row>
    <row r="2200" spans="1:8" ht="13.5" x14ac:dyDescent="0.25">
      <c r="A2200" s="1"/>
      <c r="B2200" s="3">
        <v>45504</v>
      </c>
      <c r="C2200" s="4">
        <v>4.3600000000000003</v>
      </c>
      <c r="D2200" s="4">
        <v>4.3513000000000002</v>
      </c>
      <c r="E2200" s="4">
        <v>350</v>
      </c>
      <c r="F2200" s="4">
        <v>4.26</v>
      </c>
      <c r="G2200" s="4">
        <v>1491</v>
      </c>
      <c r="H2200" s="5">
        <f t="shared" si="34"/>
        <v>4.3076996835746575E-2</v>
      </c>
    </row>
    <row r="2201" spans="1:8" ht="13.5" x14ac:dyDescent="0.25">
      <c r="A2201" s="1"/>
      <c r="B2201" s="3">
        <v>45505</v>
      </c>
      <c r="C2201" s="4">
        <v>4.55</v>
      </c>
      <c r="D2201" s="4">
        <v>4.5408999999999997</v>
      </c>
      <c r="E2201" s="4">
        <v>0</v>
      </c>
      <c r="F2201" s="4">
        <v>0</v>
      </c>
      <c r="G2201" s="4">
        <v>0</v>
      </c>
      <c r="H2201" s="5">
        <f t="shared" si="34"/>
        <v>4.3573185025164787E-2</v>
      </c>
    </row>
    <row r="2202" spans="1:8" ht="13.5" x14ac:dyDescent="0.25">
      <c r="A2202" s="1"/>
      <c r="B2202" s="3">
        <v>45506</v>
      </c>
      <c r="C2202" s="4">
        <v>4.75</v>
      </c>
      <c r="D2202" s="4">
        <v>4.7404999999999999</v>
      </c>
      <c r="E2202" s="4">
        <v>860</v>
      </c>
      <c r="F2202" s="4">
        <v>4.75</v>
      </c>
      <c r="G2202" s="4">
        <v>4085</v>
      </c>
      <c r="H2202" s="5">
        <f t="shared" si="34"/>
        <v>4.3956043956044008E-2</v>
      </c>
    </row>
    <row r="2203" spans="1:8" ht="13.5" x14ac:dyDescent="0.25">
      <c r="A2203" s="1"/>
      <c r="B2203" s="3">
        <v>45509</v>
      </c>
      <c r="C2203" s="4">
        <v>4.7</v>
      </c>
      <c r="D2203" s="4">
        <v>4.6905999999999999</v>
      </c>
      <c r="E2203" s="4">
        <v>519</v>
      </c>
      <c r="F2203" s="4">
        <v>4.7</v>
      </c>
      <c r="G2203" s="4">
        <v>2439.3000000000002</v>
      </c>
      <c r="H2203" s="5">
        <f t="shared" si="34"/>
        <v>-1.0526315789473696E-2</v>
      </c>
    </row>
    <row r="2204" spans="1:8" ht="13.5" x14ac:dyDescent="0.25">
      <c r="A2204" s="1"/>
      <c r="B2204" s="3">
        <v>45510</v>
      </c>
      <c r="C2204" s="4">
        <v>4.7</v>
      </c>
      <c r="D2204" s="4">
        <v>4.6905999999999999</v>
      </c>
      <c r="E2204" s="4">
        <v>369</v>
      </c>
      <c r="F2204" s="4">
        <v>4.7140000000000004</v>
      </c>
      <c r="G2204" s="4">
        <v>1739.4659999999999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4.91</v>
      </c>
      <c r="D2205" s="4">
        <v>4.9001999999999999</v>
      </c>
      <c r="E2205" s="4">
        <v>94</v>
      </c>
      <c r="F2205" s="4">
        <v>4.8840000000000003</v>
      </c>
      <c r="G2205" s="4">
        <v>459.096</v>
      </c>
      <c r="H2205" s="5">
        <f t="shared" si="34"/>
        <v>4.468511491067241E-2</v>
      </c>
    </row>
    <row r="2206" spans="1:8" ht="13.5" x14ac:dyDescent="0.25">
      <c r="A2206" s="1"/>
      <c r="B2206" s="3">
        <v>45512</v>
      </c>
      <c r="C2206" s="4">
        <v>5.13</v>
      </c>
      <c r="D2206" s="4">
        <v>5.1196999999999999</v>
      </c>
      <c r="E2206" s="4">
        <v>215</v>
      </c>
      <c r="F2206" s="4">
        <v>4.95</v>
      </c>
      <c r="G2206" s="4">
        <v>1064.25</v>
      </c>
      <c r="H2206" s="5">
        <f t="shared" si="34"/>
        <v>4.4794090037141347E-2</v>
      </c>
    </row>
    <row r="2207" spans="1:8" ht="13.5" x14ac:dyDescent="0.25">
      <c r="A2207" s="1"/>
      <c r="B2207" s="3">
        <v>45513</v>
      </c>
      <c r="C2207" s="4">
        <v>5.13</v>
      </c>
      <c r="D2207" s="4">
        <v>5.1196999999999999</v>
      </c>
      <c r="E2207" s="4">
        <v>580</v>
      </c>
      <c r="F2207" s="4">
        <v>5.0679999999999996</v>
      </c>
      <c r="G2207" s="4">
        <v>2939.44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5.2</v>
      </c>
      <c r="D2208" s="4">
        <v>5.2</v>
      </c>
      <c r="E2208" s="4">
        <v>82</v>
      </c>
      <c r="F2208" s="4">
        <v>5.2</v>
      </c>
      <c r="G2208" s="4">
        <v>426.4</v>
      </c>
      <c r="H2208" s="5">
        <f t="shared" si="34"/>
        <v>1.5684512764419841E-2</v>
      </c>
    </row>
    <row r="2209" spans="1:8" ht="13.5" x14ac:dyDescent="0.25">
      <c r="A2209" s="1"/>
      <c r="B2209" s="3">
        <v>45518</v>
      </c>
      <c r="C2209" s="4">
        <v>5.19</v>
      </c>
      <c r="D2209" s="4">
        <v>5.19</v>
      </c>
      <c r="E2209" s="4">
        <v>3000</v>
      </c>
      <c r="F2209" s="4">
        <v>5.19</v>
      </c>
      <c r="G2209" s="4">
        <v>15570</v>
      </c>
      <c r="H2209" s="5">
        <f t="shared" si="34"/>
        <v>-1.923076923076882E-3</v>
      </c>
    </row>
    <row r="2210" spans="1:8" ht="13.5" x14ac:dyDescent="0.25">
      <c r="A2210" s="1"/>
      <c r="B2210" s="3">
        <v>45519</v>
      </c>
      <c r="C2210" s="4">
        <v>5.19</v>
      </c>
      <c r="D2210" s="4">
        <v>5.19</v>
      </c>
      <c r="E2210" s="4">
        <v>920</v>
      </c>
      <c r="F2210" s="4">
        <v>5.19</v>
      </c>
      <c r="G2210" s="4">
        <v>4774.8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4.96</v>
      </c>
      <c r="D2211" s="4">
        <v>4.96</v>
      </c>
      <c r="E2211" s="4">
        <v>1671</v>
      </c>
      <c r="F2211" s="4">
        <v>4.96</v>
      </c>
      <c r="G2211" s="4">
        <v>8288.16</v>
      </c>
      <c r="H2211" s="5">
        <f t="shared" si="34"/>
        <v>-4.4315992292870983E-2</v>
      </c>
    </row>
    <row r="2212" spans="1:8" ht="13.5" x14ac:dyDescent="0.25">
      <c r="A2212" s="1"/>
      <c r="B2212" s="3">
        <v>45523</v>
      </c>
      <c r="C2212" s="4">
        <v>4.96</v>
      </c>
      <c r="D2212" s="4">
        <v>4.96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5</v>
      </c>
      <c r="D2213" s="4">
        <v>5</v>
      </c>
      <c r="E2213" s="4">
        <v>2845</v>
      </c>
      <c r="F2213" s="4">
        <v>5</v>
      </c>
      <c r="G2213" s="4">
        <v>14225</v>
      </c>
      <c r="H2213" s="5">
        <f t="shared" si="34"/>
        <v>8.0645161290322648E-3</v>
      </c>
    </row>
    <row r="2214" spans="1:8" ht="13.5" x14ac:dyDescent="0.25">
      <c r="A2214" s="1"/>
      <c r="B2214" s="3">
        <v>45525</v>
      </c>
      <c r="C2214" s="4">
        <v>5</v>
      </c>
      <c r="D2214" s="4">
        <v>5</v>
      </c>
      <c r="E2214" s="4">
        <v>3537</v>
      </c>
      <c r="F2214" s="4">
        <v>5</v>
      </c>
      <c r="G2214" s="4">
        <v>17685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5</v>
      </c>
      <c r="D2215" s="4">
        <v>5</v>
      </c>
      <c r="E2215" s="4">
        <v>0</v>
      </c>
      <c r="F2215" s="4">
        <v>0</v>
      </c>
      <c r="G2215" s="4">
        <v>0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4.78</v>
      </c>
      <c r="D2216" s="4">
        <v>4.78</v>
      </c>
      <c r="E2216" s="4">
        <v>732</v>
      </c>
      <c r="F2216" s="4">
        <v>4.78</v>
      </c>
      <c r="G2216" s="4">
        <v>3498.96</v>
      </c>
      <c r="H2216" s="5">
        <f t="shared" si="34"/>
        <v>-4.3999999999999949E-2</v>
      </c>
    </row>
    <row r="2217" spans="1:8" ht="13.5" x14ac:dyDescent="0.25">
      <c r="A2217" s="1"/>
      <c r="B2217" s="3">
        <v>45530</v>
      </c>
      <c r="C2217" s="4">
        <v>4.78</v>
      </c>
      <c r="D2217" s="4">
        <v>4.78</v>
      </c>
      <c r="E2217" s="4">
        <v>150</v>
      </c>
      <c r="F2217" s="4">
        <v>4.78</v>
      </c>
      <c r="G2217" s="4">
        <v>717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4.8899999999999997</v>
      </c>
      <c r="D2218" s="4">
        <v>4.8899999999999997</v>
      </c>
      <c r="E2218" s="4">
        <v>10</v>
      </c>
      <c r="F2218" s="4">
        <v>4.8899999999999997</v>
      </c>
      <c r="G2218" s="4">
        <v>48.9</v>
      </c>
      <c r="H2218" s="5">
        <f t="shared" si="34"/>
        <v>2.301255230125511E-2</v>
      </c>
    </row>
    <row r="2219" spans="1:8" ht="13.5" x14ac:dyDescent="0.25">
      <c r="A2219" s="1"/>
      <c r="B2219" s="3">
        <v>45532</v>
      </c>
      <c r="C2219" s="4">
        <v>4.8899999999999997</v>
      </c>
      <c r="D2219" s="4">
        <v>4.8899999999999997</v>
      </c>
      <c r="E2219" s="4">
        <v>10</v>
      </c>
      <c r="F2219" s="4">
        <v>4.8899999999999997</v>
      </c>
      <c r="G2219" s="4">
        <v>48.9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4.8</v>
      </c>
      <c r="D2220" s="4">
        <v>4.8</v>
      </c>
      <c r="E2220" s="4">
        <v>45</v>
      </c>
      <c r="F2220" s="4">
        <v>4.8</v>
      </c>
      <c r="G2220" s="4">
        <v>216</v>
      </c>
      <c r="H2220" s="5">
        <f t="shared" si="34"/>
        <v>-1.8404907975460096E-2</v>
      </c>
    </row>
    <row r="2221" spans="1:8" ht="13.5" x14ac:dyDescent="0.25">
      <c r="A2221" s="1"/>
      <c r="B2221" s="3">
        <v>45534</v>
      </c>
      <c r="C2221" s="4">
        <v>4.87</v>
      </c>
      <c r="D2221" s="4">
        <v>4.87</v>
      </c>
      <c r="E2221" s="4">
        <v>462</v>
      </c>
      <c r="F2221" s="4">
        <v>4.87</v>
      </c>
      <c r="G2221" s="4">
        <v>2249.94</v>
      </c>
      <c r="H2221" s="5">
        <f t="shared" si="34"/>
        <v>1.4583333333333393E-2</v>
      </c>
    </row>
    <row r="2222" spans="1:8" ht="13.5" x14ac:dyDescent="0.25">
      <c r="A2222" s="1"/>
      <c r="B2222" s="3">
        <v>45537</v>
      </c>
      <c r="C2222" s="4">
        <v>4.66</v>
      </c>
      <c r="D2222" s="4">
        <v>4.66</v>
      </c>
      <c r="E2222" s="4">
        <v>50</v>
      </c>
      <c r="F2222" s="4">
        <v>4.87</v>
      </c>
      <c r="G2222" s="4">
        <v>243.5</v>
      </c>
      <c r="H2222" s="5">
        <f t="shared" si="34"/>
        <v>-4.3121149897330589E-2</v>
      </c>
    </row>
    <row r="2223" spans="1:8" ht="13.5" x14ac:dyDescent="0.25">
      <c r="A2223" s="1"/>
      <c r="B2223" s="3">
        <v>45538</v>
      </c>
      <c r="C2223" s="4">
        <v>4.8</v>
      </c>
      <c r="D2223" s="4">
        <v>4.8</v>
      </c>
      <c r="E2223" s="4">
        <v>390</v>
      </c>
      <c r="F2223" s="4">
        <v>4.7080000000000002</v>
      </c>
      <c r="G2223" s="4">
        <v>1836.12</v>
      </c>
      <c r="H2223" s="5">
        <f t="shared" si="34"/>
        <v>3.0042918454935553E-2</v>
      </c>
    </row>
    <row r="2224" spans="1:8" ht="13.5" x14ac:dyDescent="0.25">
      <c r="A2224" s="1"/>
      <c r="B2224" s="3">
        <v>45539</v>
      </c>
      <c r="C2224" s="4">
        <v>4.8</v>
      </c>
      <c r="D2224" s="4">
        <v>4.8</v>
      </c>
      <c r="E2224" s="4">
        <v>210</v>
      </c>
      <c r="F2224" s="4">
        <v>4.8</v>
      </c>
      <c r="G2224" s="4">
        <v>1008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4.8</v>
      </c>
      <c r="D2225" s="4">
        <v>4.8</v>
      </c>
      <c r="E2225" s="4">
        <v>200</v>
      </c>
      <c r="F2225" s="4">
        <v>4.8</v>
      </c>
      <c r="G2225" s="4">
        <v>960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4.8</v>
      </c>
      <c r="D2226" s="4">
        <v>4.8</v>
      </c>
      <c r="E2226" s="4">
        <v>1645</v>
      </c>
      <c r="F2226" s="4">
        <v>4.8</v>
      </c>
      <c r="G2226" s="4">
        <v>7896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4.8</v>
      </c>
      <c r="D2227" s="4">
        <v>4.8</v>
      </c>
      <c r="E2227" s="4">
        <v>1258</v>
      </c>
      <c r="F2227" s="4">
        <v>4.8</v>
      </c>
      <c r="G2227" s="4">
        <v>6038.4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4.8</v>
      </c>
      <c r="D2228" s="4">
        <v>4.8</v>
      </c>
      <c r="E2228" s="4">
        <v>110</v>
      </c>
      <c r="F2228" s="4">
        <v>4.8</v>
      </c>
      <c r="G2228" s="4">
        <v>528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4.8</v>
      </c>
      <c r="D2229" s="4">
        <v>4.8</v>
      </c>
      <c r="E2229" s="4">
        <v>0</v>
      </c>
      <c r="F2229" s="4">
        <v>0</v>
      </c>
      <c r="G2229" s="4">
        <v>0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4.78</v>
      </c>
      <c r="D2230" s="4">
        <v>4.78</v>
      </c>
      <c r="E2230" s="4">
        <v>454</v>
      </c>
      <c r="F2230" s="4">
        <v>4.7889999999999997</v>
      </c>
      <c r="G2230" s="4">
        <v>2174.2060000000001</v>
      </c>
      <c r="H2230" s="5">
        <f t="shared" si="34"/>
        <v>-4.1666666666665781E-3</v>
      </c>
    </row>
    <row r="2231" spans="1:8" ht="13.5" x14ac:dyDescent="0.25">
      <c r="A2231" s="1"/>
      <c r="B2231" s="3">
        <v>45548</v>
      </c>
      <c r="C2231" s="4">
        <v>4.78</v>
      </c>
      <c r="D2231" s="4">
        <v>4.78</v>
      </c>
      <c r="E2231" s="4">
        <v>710</v>
      </c>
      <c r="F2231" s="4">
        <v>4.7690000000000001</v>
      </c>
      <c r="G2231" s="4">
        <v>3385.99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4.78</v>
      </c>
      <c r="D2232" s="4">
        <v>4.78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4.9400000000000004</v>
      </c>
      <c r="D2233" s="4">
        <v>4.9400000000000004</v>
      </c>
      <c r="E2233" s="4">
        <v>1</v>
      </c>
      <c r="F2233" s="4">
        <v>4.9400000000000004</v>
      </c>
      <c r="G2233" s="4">
        <v>4.9400000000000004</v>
      </c>
      <c r="H2233" s="5">
        <f t="shared" si="34"/>
        <v>3.347280334728036E-2</v>
      </c>
    </row>
    <row r="2234" spans="1:8" ht="13.5" x14ac:dyDescent="0.25">
      <c r="A2234" s="1"/>
      <c r="B2234" s="3">
        <v>45553</v>
      </c>
      <c r="C2234" s="4">
        <v>4.9400000000000004</v>
      </c>
      <c r="D2234" s="4">
        <v>4.9400000000000004</v>
      </c>
      <c r="E2234" s="4">
        <v>683</v>
      </c>
      <c r="F2234" s="4">
        <v>4.9400000000000004</v>
      </c>
      <c r="G2234" s="4">
        <v>3374.02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4.9400000000000004</v>
      </c>
      <c r="D2235" s="4">
        <v>4.9400000000000004</v>
      </c>
      <c r="E2235" s="4">
        <v>0</v>
      </c>
      <c r="F2235" s="4">
        <v>0</v>
      </c>
      <c r="G2235" s="4">
        <v>0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4.9400000000000004</v>
      </c>
      <c r="D2236" s="4">
        <v>4.9400000000000004</v>
      </c>
      <c r="E2236" s="4">
        <v>0</v>
      </c>
      <c r="F2236" s="4">
        <v>0</v>
      </c>
      <c r="G2236" s="4">
        <v>0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4.9400000000000004</v>
      </c>
      <c r="D2237" s="4">
        <v>4.9400000000000004</v>
      </c>
      <c r="E2237" s="4">
        <v>470</v>
      </c>
      <c r="F2237" s="4">
        <v>4.9400000000000004</v>
      </c>
      <c r="G2237" s="4">
        <v>2321.8000000000002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4.8899999999999997</v>
      </c>
      <c r="D2238" s="4">
        <v>4.8899999999999997</v>
      </c>
      <c r="E2238" s="4">
        <v>100</v>
      </c>
      <c r="F2238" s="4">
        <v>4.8899999999999997</v>
      </c>
      <c r="G2238" s="4">
        <v>489</v>
      </c>
      <c r="H2238" s="5">
        <f t="shared" si="34"/>
        <v>-1.0121457489878685E-2</v>
      </c>
    </row>
    <row r="2239" spans="1:8" ht="13.5" x14ac:dyDescent="0.25">
      <c r="A2239" s="1"/>
      <c r="B2239" s="3">
        <v>45560</v>
      </c>
      <c r="C2239" s="4">
        <v>4.67</v>
      </c>
      <c r="D2239" s="4">
        <v>4.67</v>
      </c>
      <c r="E2239" s="4">
        <v>0</v>
      </c>
      <c r="F2239" s="4">
        <v>0</v>
      </c>
      <c r="G2239" s="4">
        <v>0</v>
      </c>
      <c r="H2239" s="5">
        <f t="shared" si="34"/>
        <v>-4.4989775051124697E-2</v>
      </c>
    </row>
    <row r="2240" spans="1:8" ht="13.5" x14ac:dyDescent="0.25">
      <c r="A2240" s="1"/>
      <c r="B2240" s="3">
        <v>45561</v>
      </c>
      <c r="C2240" s="4">
        <v>4.46</v>
      </c>
      <c r="D2240" s="4">
        <v>4.46</v>
      </c>
      <c r="E2240" s="4">
        <v>55</v>
      </c>
      <c r="F2240" s="4">
        <v>4.58</v>
      </c>
      <c r="G2240" s="4">
        <v>251.9</v>
      </c>
      <c r="H2240" s="5">
        <f t="shared" si="34"/>
        <v>-4.4967880085653097E-2</v>
      </c>
    </row>
    <row r="2241" spans="1:8" ht="13.5" x14ac:dyDescent="0.25">
      <c r="A2241" s="1"/>
      <c r="B2241" s="3">
        <v>45562</v>
      </c>
      <c r="C2241" s="4">
        <v>4.4000000000000004</v>
      </c>
      <c r="D2241" s="4">
        <v>4.4000000000000004</v>
      </c>
      <c r="E2241" s="4">
        <v>121</v>
      </c>
      <c r="F2241" s="4">
        <v>4.423</v>
      </c>
      <c r="G2241" s="4">
        <v>535.18299999999999</v>
      </c>
      <c r="H2241" s="5">
        <f t="shared" si="34"/>
        <v>-1.345291479820619E-2</v>
      </c>
    </row>
    <row r="2242" spans="1:8" ht="13.5" x14ac:dyDescent="0.25">
      <c r="A2242" s="1"/>
      <c r="B2242" s="3">
        <v>45565</v>
      </c>
      <c r="C2242" s="4">
        <v>4.21</v>
      </c>
      <c r="D2242" s="4">
        <v>4.21</v>
      </c>
      <c r="E2242" s="4">
        <v>100</v>
      </c>
      <c r="F2242" s="4">
        <v>4.3</v>
      </c>
      <c r="G2242" s="4">
        <v>430</v>
      </c>
      <c r="H2242" s="5">
        <f t="shared" si="34"/>
        <v>-4.3181818181818266E-2</v>
      </c>
    </row>
    <row r="2243" spans="1:8" ht="13.5" x14ac:dyDescent="0.25">
      <c r="A2243" s="1"/>
      <c r="B2243" s="3">
        <v>45566</v>
      </c>
      <c r="C2243" s="4">
        <v>4.3</v>
      </c>
      <c r="D2243" s="4">
        <v>4.3</v>
      </c>
      <c r="E2243" s="4">
        <v>51</v>
      </c>
      <c r="F2243" s="4">
        <v>4.0650000000000004</v>
      </c>
      <c r="G2243" s="4">
        <v>207.315</v>
      </c>
      <c r="H2243" s="5">
        <f t="shared" si="34"/>
        <v>2.1377672209026095E-2</v>
      </c>
    </row>
    <row r="2244" spans="1:8" ht="13.5" x14ac:dyDescent="0.25">
      <c r="A2244" s="1"/>
      <c r="B2244" s="3">
        <v>45567</v>
      </c>
      <c r="C2244" s="4">
        <v>4.1100000000000003</v>
      </c>
      <c r="D2244" s="4">
        <v>4.1100000000000003</v>
      </c>
      <c r="E2244" s="4">
        <v>0</v>
      </c>
      <c r="F2244" s="4">
        <v>0</v>
      </c>
      <c r="G2244" s="4">
        <v>0</v>
      </c>
      <c r="H2244" s="5">
        <f t="shared" si="34"/>
        <v>-4.4186046511627795E-2</v>
      </c>
    </row>
    <row r="2245" spans="1:8" ht="13.5" x14ac:dyDescent="0.25">
      <c r="A2245" s="1"/>
      <c r="B2245" s="3">
        <v>45568</v>
      </c>
      <c r="C2245" s="4">
        <v>4.05</v>
      </c>
      <c r="D2245" s="4">
        <v>4.05</v>
      </c>
      <c r="E2245" s="4">
        <v>78</v>
      </c>
      <c r="F2245" s="4">
        <v>4.05</v>
      </c>
      <c r="G2245" s="4">
        <v>315.89999999999998</v>
      </c>
      <c r="H2245" s="5">
        <f t="shared" si="34"/>
        <v>-1.4598540145985521E-2</v>
      </c>
    </row>
    <row r="2246" spans="1:8" ht="13.5" x14ac:dyDescent="0.25">
      <c r="A2246" s="1"/>
      <c r="B2246" s="3">
        <v>45569</v>
      </c>
      <c r="C2246" s="4">
        <v>3.87</v>
      </c>
      <c r="D2246" s="4">
        <v>3.87</v>
      </c>
      <c r="E2246" s="4">
        <v>0</v>
      </c>
      <c r="F2246" s="4">
        <v>0</v>
      </c>
      <c r="G2246" s="4">
        <v>0</v>
      </c>
      <c r="H2246" s="5">
        <f t="shared" si="34"/>
        <v>-4.4444444444444377E-2</v>
      </c>
    </row>
    <row r="2247" spans="1:8" ht="13.5" x14ac:dyDescent="0.25">
      <c r="A2247" s="1"/>
      <c r="B2247" s="3">
        <v>45572</v>
      </c>
      <c r="C2247" s="4">
        <v>3.87</v>
      </c>
      <c r="D2247" s="4">
        <v>3.87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3.86</v>
      </c>
      <c r="D2248" s="4">
        <v>3.86</v>
      </c>
      <c r="E2248" s="4">
        <v>15</v>
      </c>
      <c r="F2248" s="4">
        <v>3.86</v>
      </c>
      <c r="G2248" s="4">
        <v>57.9</v>
      </c>
      <c r="H2248" s="5">
        <f t="shared" si="35"/>
        <v>-2.5839793281654342E-3</v>
      </c>
    </row>
    <row r="2249" spans="1:8" ht="13.5" x14ac:dyDescent="0.25">
      <c r="A2249" s="1"/>
      <c r="B2249" s="3">
        <v>45574</v>
      </c>
      <c r="C2249" s="4">
        <v>3.86</v>
      </c>
      <c r="D2249" s="4">
        <v>3.86</v>
      </c>
      <c r="E2249" s="4">
        <v>0</v>
      </c>
      <c r="F2249" s="4">
        <v>0</v>
      </c>
      <c r="G2249" s="4">
        <v>0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3.69</v>
      </c>
      <c r="D2250" s="4">
        <v>3.69</v>
      </c>
      <c r="E2250" s="4">
        <v>0</v>
      </c>
      <c r="F2250" s="4">
        <v>0</v>
      </c>
      <c r="G2250" s="4">
        <v>0</v>
      </c>
      <c r="H2250" s="5">
        <f t="shared" si="35"/>
        <v>-4.4041450777202056E-2</v>
      </c>
    </row>
    <row r="2251" spans="1:8" ht="13.5" x14ac:dyDescent="0.25">
      <c r="A2251" s="1"/>
      <c r="B2251" s="3">
        <v>45576</v>
      </c>
      <c r="C2251" s="4">
        <v>3.53</v>
      </c>
      <c r="D2251" s="4">
        <v>3.53</v>
      </c>
      <c r="E2251" s="4">
        <v>0</v>
      </c>
      <c r="F2251" s="4">
        <v>0</v>
      </c>
      <c r="G2251" s="4">
        <v>0</v>
      </c>
      <c r="H2251" s="5">
        <f t="shared" si="35"/>
        <v>-4.3360433604336085E-2</v>
      </c>
    </row>
    <row r="2252" spans="1:8" ht="13.5" x14ac:dyDescent="0.25">
      <c r="A2252" s="1"/>
      <c r="B2252" s="3">
        <v>45579</v>
      </c>
      <c r="C2252" s="4">
        <v>3.52</v>
      </c>
      <c r="D2252" s="4">
        <v>3.52</v>
      </c>
      <c r="E2252" s="4">
        <v>1788</v>
      </c>
      <c r="F2252" s="4">
        <v>3.524</v>
      </c>
      <c r="G2252" s="4">
        <v>6300.9120000000003</v>
      </c>
      <c r="H2252" s="5">
        <f t="shared" si="35"/>
        <v>-2.8328611898016396E-3</v>
      </c>
    </row>
    <row r="2253" spans="1:8" ht="13.5" x14ac:dyDescent="0.25">
      <c r="A2253" s="1"/>
      <c r="B2253" s="3">
        <v>45581</v>
      </c>
      <c r="C2253" s="4">
        <v>3.67</v>
      </c>
      <c r="D2253" s="4">
        <v>3.67</v>
      </c>
      <c r="E2253" s="4">
        <v>0</v>
      </c>
      <c r="F2253" s="4">
        <v>0</v>
      </c>
      <c r="G2253" s="4">
        <v>0</v>
      </c>
      <c r="H2253" s="5">
        <f t="shared" si="35"/>
        <v>4.261363636363634E-2</v>
      </c>
    </row>
    <row r="2254" spans="1:8" ht="13.5" x14ac:dyDescent="0.25">
      <c r="A2254" s="1"/>
      <c r="B2254" s="3">
        <v>45582</v>
      </c>
      <c r="C2254" s="4">
        <v>3.83</v>
      </c>
      <c r="D2254" s="4">
        <v>3.83</v>
      </c>
      <c r="E2254" s="4">
        <v>0</v>
      </c>
      <c r="F2254" s="4">
        <v>0</v>
      </c>
      <c r="G2254" s="4">
        <v>0</v>
      </c>
      <c r="H2254" s="5">
        <f t="shared" si="35"/>
        <v>4.3596730245231648E-2</v>
      </c>
    </row>
    <row r="2255" spans="1:8" ht="13.5" x14ac:dyDescent="0.25">
      <c r="A2255" s="1"/>
      <c r="B2255" s="3">
        <v>45583</v>
      </c>
      <c r="C2255" s="4">
        <v>4</v>
      </c>
      <c r="D2255" s="4">
        <v>4</v>
      </c>
      <c r="E2255" s="4">
        <v>1</v>
      </c>
      <c r="F2255" s="4">
        <v>4</v>
      </c>
      <c r="G2255" s="4">
        <v>4</v>
      </c>
      <c r="H2255" s="5">
        <f t="shared" si="35"/>
        <v>4.4386422976501284E-2</v>
      </c>
    </row>
    <row r="2256" spans="1:8" ht="13.5" x14ac:dyDescent="0.25">
      <c r="A2256" s="1"/>
      <c r="B2256" s="3">
        <v>45586</v>
      </c>
      <c r="C2256" s="4">
        <v>4</v>
      </c>
      <c r="D2256" s="4">
        <v>4</v>
      </c>
      <c r="E2256" s="4">
        <v>10</v>
      </c>
      <c r="F2256" s="4">
        <v>4</v>
      </c>
      <c r="G2256" s="4">
        <v>40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4</v>
      </c>
      <c r="D2257" s="4">
        <v>4</v>
      </c>
      <c r="E2257" s="4">
        <v>0</v>
      </c>
      <c r="F2257" s="4">
        <v>0</v>
      </c>
      <c r="G2257" s="4">
        <v>0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4</v>
      </c>
      <c r="D2258" s="4">
        <v>4</v>
      </c>
      <c r="E2258" s="4">
        <v>0</v>
      </c>
      <c r="F2258" s="4">
        <v>0</v>
      </c>
      <c r="G2258" s="4">
        <v>0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4</v>
      </c>
      <c r="D2259" s="4">
        <v>4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4</v>
      </c>
      <c r="D2260" s="4">
        <v>4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3.96</v>
      </c>
      <c r="D2261" s="4">
        <v>3.96</v>
      </c>
      <c r="E2261" s="4">
        <v>2000</v>
      </c>
      <c r="F2261" s="4">
        <v>3.96</v>
      </c>
      <c r="G2261" s="4">
        <v>7920</v>
      </c>
      <c r="H2261" s="5">
        <f t="shared" si="35"/>
        <v>-1.0000000000000009E-2</v>
      </c>
    </row>
    <row r="2262" spans="1:8" ht="13.5" x14ac:dyDescent="0.25">
      <c r="A2262" s="1"/>
      <c r="B2262" s="3">
        <v>45594</v>
      </c>
      <c r="C2262" s="4">
        <v>3.96</v>
      </c>
      <c r="D2262" s="4">
        <v>3.96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3.79</v>
      </c>
      <c r="D2263" s="4">
        <v>3.79</v>
      </c>
      <c r="E2263" s="4">
        <v>0</v>
      </c>
      <c r="F2263" s="4">
        <v>0</v>
      </c>
      <c r="G2263" s="4">
        <v>0</v>
      </c>
      <c r="H2263" s="5">
        <f t="shared" si="35"/>
        <v>-4.2929292929292914E-2</v>
      </c>
    </row>
    <row r="2264" spans="1:8" ht="13.5" x14ac:dyDescent="0.25">
      <c r="A2264" s="1"/>
      <c r="B2264" s="3">
        <v>45596</v>
      </c>
      <c r="C2264" s="4">
        <v>3.62</v>
      </c>
      <c r="D2264" s="4">
        <v>3.62</v>
      </c>
      <c r="E2264" s="4">
        <v>0</v>
      </c>
      <c r="F2264" s="4">
        <v>0</v>
      </c>
      <c r="G2264" s="4">
        <v>0</v>
      </c>
      <c r="H2264" s="5">
        <f t="shared" si="35"/>
        <v>-4.4854881266490745E-2</v>
      </c>
    </row>
    <row r="2265" spans="1:8" ht="13.5" x14ac:dyDescent="0.25">
      <c r="A2265" s="1"/>
      <c r="B2265" s="3">
        <v>45597</v>
      </c>
      <c r="C2265" s="4">
        <v>3.52</v>
      </c>
      <c r="D2265" s="4">
        <v>3.52</v>
      </c>
      <c r="E2265" s="4">
        <v>9</v>
      </c>
      <c r="F2265" s="4">
        <v>3.52</v>
      </c>
      <c r="G2265" s="4">
        <v>31.68</v>
      </c>
      <c r="H2265" s="5">
        <f t="shared" si="35"/>
        <v>-2.7624309392265217E-2</v>
      </c>
    </row>
    <row r="2266" spans="1:8" ht="13.5" x14ac:dyDescent="0.25">
      <c r="A2266" s="1"/>
      <c r="B2266" s="3">
        <v>45600</v>
      </c>
      <c r="C2266" s="4">
        <v>3.52</v>
      </c>
      <c r="D2266" s="4">
        <v>3.52</v>
      </c>
      <c r="E2266" s="4">
        <v>10</v>
      </c>
      <c r="F2266" s="4">
        <v>3.52</v>
      </c>
      <c r="G2266" s="4">
        <v>35.200000000000003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3.52</v>
      </c>
      <c r="D2267" s="4">
        <v>3.52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3.52</v>
      </c>
      <c r="D2268" s="4">
        <v>3.52</v>
      </c>
      <c r="E2268" s="4">
        <v>0</v>
      </c>
      <c r="F2268" s="4">
        <v>0</v>
      </c>
      <c r="G2268" s="4">
        <v>0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3.52</v>
      </c>
      <c r="D2269" s="4">
        <v>3.52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3.52</v>
      </c>
      <c r="D2270" s="4">
        <v>3.52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3.67</v>
      </c>
      <c r="D2271" s="4">
        <v>3.67</v>
      </c>
      <c r="E2271" s="4">
        <v>0</v>
      </c>
      <c r="F2271" s="4">
        <v>0</v>
      </c>
      <c r="G2271" s="4">
        <v>0</v>
      </c>
      <c r="H2271" s="5">
        <f t="shared" si="35"/>
        <v>4.261363636363634E-2</v>
      </c>
    </row>
    <row r="2272" spans="1:8" ht="13.5" x14ac:dyDescent="0.25">
      <c r="A2272" s="1"/>
      <c r="B2272" s="3">
        <v>45608</v>
      </c>
      <c r="C2272" s="4">
        <v>3.52</v>
      </c>
      <c r="D2272" s="4">
        <v>3.52</v>
      </c>
      <c r="E2272" s="4">
        <v>170</v>
      </c>
      <c r="F2272" s="4">
        <v>3.52</v>
      </c>
      <c r="G2272" s="4">
        <v>598.4</v>
      </c>
      <c r="H2272" s="5">
        <f t="shared" si="35"/>
        <v>-4.0871934604904611E-2</v>
      </c>
    </row>
    <row r="2273" spans="1:8" ht="13.5" x14ac:dyDescent="0.25">
      <c r="A2273" s="1"/>
      <c r="B2273" s="3">
        <v>45609</v>
      </c>
      <c r="C2273" s="4">
        <v>3.52</v>
      </c>
      <c r="D2273" s="4">
        <v>3.52</v>
      </c>
      <c r="E2273" s="4">
        <v>102</v>
      </c>
      <c r="F2273" s="4">
        <v>3.52</v>
      </c>
      <c r="G2273" s="4">
        <v>359.04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3.52</v>
      </c>
      <c r="D2274" s="4">
        <v>3.52</v>
      </c>
      <c r="E2274" s="4">
        <v>7</v>
      </c>
      <c r="F2274" s="4">
        <v>3.52</v>
      </c>
      <c r="G2274" s="4">
        <v>24.64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3.52</v>
      </c>
      <c r="D2275" s="4">
        <v>3.52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3.52</v>
      </c>
      <c r="D2276" s="4">
        <v>3.52</v>
      </c>
      <c r="E2276" s="4">
        <v>0</v>
      </c>
      <c r="F2276" s="4">
        <v>0</v>
      </c>
      <c r="G2276" s="4">
        <v>0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3.42</v>
      </c>
      <c r="D2277" s="4">
        <v>3.42</v>
      </c>
      <c r="E2277" s="4">
        <v>6</v>
      </c>
      <c r="F2277" s="4">
        <v>3.42</v>
      </c>
      <c r="G2277" s="4">
        <v>20.52</v>
      </c>
      <c r="H2277" s="5">
        <f t="shared" si="35"/>
        <v>-2.8409090909090936E-2</v>
      </c>
    </row>
    <row r="2278" spans="1:8" ht="13.5" x14ac:dyDescent="0.25">
      <c r="A2278" s="1"/>
      <c r="B2278" s="3">
        <v>45616</v>
      </c>
      <c r="C2278" s="4">
        <v>3.57</v>
      </c>
      <c r="D2278" s="4">
        <v>3.57</v>
      </c>
      <c r="E2278" s="4">
        <v>1186</v>
      </c>
      <c r="F2278" s="4">
        <v>3.42</v>
      </c>
      <c r="G2278" s="4">
        <v>4056.12</v>
      </c>
      <c r="H2278" s="5">
        <f t="shared" si="35"/>
        <v>4.3859649122806994E-2</v>
      </c>
    </row>
    <row r="2279" spans="1:8" ht="13.5" x14ac:dyDescent="0.25">
      <c r="A2279" s="1"/>
      <c r="B2279" s="3">
        <v>45617</v>
      </c>
      <c r="C2279" s="4">
        <v>3.72</v>
      </c>
      <c r="D2279" s="4">
        <v>3.72</v>
      </c>
      <c r="E2279" s="4">
        <v>15</v>
      </c>
      <c r="F2279" s="4">
        <v>3.72</v>
      </c>
      <c r="G2279" s="4">
        <v>55.8</v>
      </c>
      <c r="H2279" s="5">
        <f t="shared" si="35"/>
        <v>4.2016806722689176E-2</v>
      </c>
    </row>
    <row r="2280" spans="1:8" ht="13.5" x14ac:dyDescent="0.25">
      <c r="A2280" s="1"/>
      <c r="B2280" s="3">
        <v>45618</v>
      </c>
      <c r="C2280" s="4">
        <v>3.72</v>
      </c>
      <c r="D2280" s="4">
        <v>3.72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3.72</v>
      </c>
      <c r="D2281" s="4">
        <v>3.72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3.72</v>
      </c>
      <c r="D2282" s="4">
        <v>3.72</v>
      </c>
      <c r="E2282" s="4">
        <v>0</v>
      </c>
      <c r="F2282" s="4">
        <v>0</v>
      </c>
      <c r="G2282" s="4">
        <v>0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3.72</v>
      </c>
      <c r="D2283" s="4">
        <v>3.72</v>
      </c>
      <c r="E2283" s="4">
        <v>0</v>
      </c>
      <c r="F2283" s="4">
        <v>0</v>
      </c>
      <c r="G2283" s="4">
        <v>0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3.72</v>
      </c>
      <c r="D2284" s="4">
        <v>3.72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3.72</v>
      </c>
      <c r="D2285" s="4">
        <v>3.72</v>
      </c>
      <c r="E2285" s="4">
        <v>0</v>
      </c>
      <c r="F2285" s="4">
        <v>0</v>
      </c>
      <c r="G2285" s="4">
        <v>0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3.56</v>
      </c>
      <c r="D2286" s="4">
        <v>3.56</v>
      </c>
      <c r="E2286" s="4">
        <v>0</v>
      </c>
      <c r="F2286" s="4">
        <v>0</v>
      </c>
      <c r="G2286" s="4">
        <v>0</v>
      </c>
      <c r="H2286" s="5">
        <f t="shared" si="35"/>
        <v>-4.3010752688172081E-2</v>
      </c>
    </row>
    <row r="2287" spans="1:8" ht="13.5" x14ac:dyDescent="0.25">
      <c r="A2287" s="1"/>
      <c r="B2287" s="3">
        <v>45629</v>
      </c>
      <c r="C2287" s="4">
        <v>3.59</v>
      </c>
      <c r="D2287" s="4">
        <v>3.59</v>
      </c>
      <c r="E2287" s="4">
        <v>20000</v>
      </c>
      <c r="F2287" s="4">
        <v>3.59</v>
      </c>
      <c r="G2287" s="4">
        <v>71800</v>
      </c>
      <c r="H2287" s="5">
        <f t="shared" si="35"/>
        <v>8.4269662921347757E-3</v>
      </c>
    </row>
    <row r="2288" spans="1:8" ht="13.5" x14ac:dyDescent="0.25">
      <c r="A2288" s="1"/>
      <c r="B2288" s="3">
        <v>45630</v>
      </c>
      <c r="C2288" s="4">
        <v>3.59</v>
      </c>
      <c r="D2288" s="4">
        <v>3.59</v>
      </c>
      <c r="E2288" s="4">
        <v>23262</v>
      </c>
      <c r="F2288" s="4">
        <v>3.59</v>
      </c>
      <c r="G2288" s="4">
        <v>83510.58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3.75</v>
      </c>
      <c r="D2289" s="4">
        <v>3.75</v>
      </c>
      <c r="E2289" s="4">
        <v>15</v>
      </c>
      <c r="F2289" s="4">
        <v>3.75</v>
      </c>
      <c r="G2289" s="4">
        <v>56.25</v>
      </c>
      <c r="H2289" s="5">
        <f t="shared" si="35"/>
        <v>4.4568245125348231E-2</v>
      </c>
    </row>
    <row r="2290" spans="1:8" ht="13.5" x14ac:dyDescent="0.25">
      <c r="A2290" s="1"/>
      <c r="B2290" s="3">
        <v>45632</v>
      </c>
      <c r="C2290" s="4">
        <v>3.91</v>
      </c>
      <c r="D2290" s="4">
        <v>3.91</v>
      </c>
      <c r="E2290" s="4">
        <v>0</v>
      </c>
      <c r="F2290" s="4">
        <v>0</v>
      </c>
      <c r="G2290" s="4">
        <v>0</v>
      </c>
      <c r="H2290" s="5">
        <f t="shared" si="35"/>
        <v>4.2666666666666707E-2</v>
      </c>
    </row>
    <row r="2291" spans="1:8" ht="13.5" x14ac:dyDescent="0.25">
      <c r="A2291" s="1"/>
      <c r="B2291" s="3">
        <v>45635</v>
      </c>
      <c r="C2291" s="4">
        <v>3.82</v>
      </c>
      <c r="D2291" s="4">
        <v>3.82</v>
      </c>
      <c r="E2291" s="4">
        <v>275</v>
      </c>
      <c r="F2291" s="4">
        <v>3.82</v>
      </c>
      <c r="G2291" s="4">
        <v>1050.5</v>
      </c>
      <c r="H2291" s="5">
        <f t="shared" si="35"/>
        <v>-2.301790281329931E-2</v>
      </c>
    </row>
    <row r="2292" spans="1:8" ht="13.5" x14ac:dyDescent="0.25">
      <c r="A2292" s="1"/>
      <c r="B2292" s="3">
        <v>45636</v>
      </c>
      <c r="C2292" s="4">
        <v>3.81</v>
      </c>
      <c r="D2292" s="4">
        <v>3.81</v>
      </c>
      <c r="E2292" s="4">
        <v>85</v>
      </c>
      <c r="F2292" s="4">
        <v>3.81</v>
      </c>
      <c r="G2292" s="4">
        <v>323.85000000000002</v>
      </c>
      <c r="H2292" s="5">
        <f t="shared" si="35"/>
        <v>-2.6178010471203631E-3</v>
      </c>
    </row>
    <row r="2293" spans="1:8" ht="13.5" x14ac:dyDescent="0.25">
      <c r="A2293" s="1"/>
      <c r="B2293" s="3">
        <v>45637</v>
      </c>
      <c r="C2293" s="4">
        <v>3.81</v>
      </c>
      <c r="D2293" s="4">
        <v>3.81</v>
      </c>
      <c r="E2293" s="4">
        <v>0</v>
      </c>
      <c r="F2293" s="4">
        <v>0</v>
      </c>
      <c r="G2293" s="4">
        <v>0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3.81</v>
      </c>
      <c r="D2294" s="4">
        <v>3.81</v>
      </c>
      <c r="E2294" s="4">
        <v>0</v>
      </c>
      <c r="F2294" s="4">
        <v>0</v>
      </c>
      <c r="G2294" s="4">
        <v>0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3.81</v>
      </c>
      <c r="D2295" s="4">
        <v>3.81</v>
      </c>
      <c r="E2295" s="4">
        <v>0</v>
      </c>
      <c r="F2295" s="4">
        <v>0</v>
      </c>
      <c r="G2295" s="4">
        <v>0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3.81</v>
      </c>
      <c r="D2296" s="4">
        <v>3.81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3.81</v>
      </c>
      <c r="D2297" s="4">
        <v>3.81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3.64</v>
      </c>
      <c r="D2298" s="4">
        <v>3.64</v>
      </c>
      <c r="E2298" s="4">
        <v>0</v>
      </c>
      <c r="F2298" s="4">
        <v>0</v>
      </c>
      <c r="G2298" s="4">
        <v>0</v>
      </c>
      <c r="H2298" s="5">
        <f t="shared" si="35"/>
        <v>-4.4619422572178456E-2</v>
      </c>
    </row>
    <row r="2299" spans="1:8" ht="13.5" x14ac:dyDescent="0.25">
      <c r="A2299" s="1"/>
      <c r="B2299" s="3">
        <v>45646</v>
      </c>
      <c r="C2299" s="4">
        <v>3.48</v>
      </c>
      <c r="D2299" s="4">
        <v>3.48</v>
      </c>
      <c r="E2299" s="4">
        <v>77</v>
      </c>
      <c r="F2299" s="4">
        <v>3.48</v>
      </c>
      <c r="G2299" s="4">
        <v>267.95999999999998</v>
      </c>
      <c r="H2299" s="5">
        <f t="shared" si="35"/>
        <v>-4.3956043956043994E-2</v>
      </c>
    </row>
    <row r="2300" spans="1:8" ht="13.5" x14ac:dyDescent="0.25">
      <c r="A2300" s="1"/>
      <c r="B2300" s="3">
        <v>45649</v>
      </c>
      <c r="C2300" s="4">
        <v>3.43</v>
      </c>
      <c r="D2300" s="4">
        <v>3.43</v>
      </c>
      <c r="E2300" s="4">
        <v>625</v>
      </c>
      <c r="F2300" s="4">
        <v>3.43</v>
      </c>
      <c r="G2300" s="4">
        <v>2143.75</v>
      </c>
      <c r="H2300" s="5">
        <f t="shared" si="35"/>
        <v>-1.4367816091953972E-2</v>
      </c>
    </row>
    <row r="2301" spans="1:8" ht="13.5" x14ac:dyDescent="0.25">
      <c r="A2301" s="1"/>
      <c r="B2301" s="3">
        <v>45650</v>
      </c>
      <c r="C2301" s="4">
        <v>3.42</v>
      </c>
      <c r="D2301" s="4">
        <v>3.42</v>
      </c>
      <c r="E2301" s="4">
        <v>292</v>
      </c>
      <c r="F2301" s="4">
        <v>3.42</v>
      </c>
      <c r="G2301" s="4">
        <v>998.64</v>
      </c>
      <c r="H2301" s="5">
        <f t="shared" si="35"/>
        <v>-2.915451895043799E-3</v>
      </c>
    </row>
    <row r="2302" spans="1:8" ht="13.5" x14ac:dyDescent="0.25">
      <c r="A2302" s="1"/>
      <c r="B2302" s="3">
        <v>45651</v>
      </c>
      <c r="C2302" s="4">
        <v>3.41</v>
      </c>
      <c r="D2302" s="4">
        <v>3.41</v>
      </c>
      <c r="E2302" s="4">
        <v>1082</v>
      </c>
      <c r="F2302" s="4">
        <v>3.41</v>
      </c>
      <c r="G2302" s="4">
        <v>3689.62</v>
      </c>
      <c r="H2302" s="5">
        <f t="shared" si="35"/>
        <v>-2.9239766081870723E-3</v>
      </c>
    </row>
    <row r="2303" spans="1:8" ht="13.5" x14ac:dyDescent="0.25">
      <c r="A2303" s="1"/>
      <c r="B2303" s="3">
        <v>45652</v>
      </c>
      <c r="C2303" s="4">
        <v>3.41</v>
      </c>
      <c r="D2303" s="4">
        <v>3.41</v>
      </c>
      <c r="E2303" s="4">
        <v>500</v>
      </c>
      <c r="F2303" s="4">
        <v>3.41</v>
      </c>
      <c r="G2303" s="4">
        <v>1705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3.35</v>
      </c>
      <c r="D2304" s="4">
        <v>3.35</v>
      </c>
      <c r="E2304" s="4">
        <v>1230</v>
      </c>
      <c r="F2304" s="4">
        <v>3.4079999999999999</v>
      </c>
      <c r="G2304" s="4">
        <v>4191.84</v>
      </c>
      <c r="H2304" s="5">
        <f t="shared" si="35"/>
        <v>-1.7595307917888579E-2</v>
      </c>
    </row>
    <row r="2305" spans="1:8" ht="13.5" x14ac:dyDescent="0.25">
      <c r="A2305" s="1"/>
      <c r="B2305" s="3">
        <v>45656</v>
      </c>
      <c r="C2305" s="4">
        <v>3.35</v>
      </c>
      <c r="D2305" s="4">
        <v>3.35</v>
      </c>
      <c r="E2305" s="4">
        <v>324</v>
      </c>
      <c r="F2305" s="4">
        <v>3.35</v>
      </c>
      <c r="G2305" s="4">
        <v>1085.4000000000001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3.35</v>
      </c>
      <c r="D2306" s="4">
        <v>3.35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3.35</v>
      </c>
      <c r="D2307" s="4">
        <v>3.35</v>
      </c>
      <c r="E2307" s="4">
        <v>270</v>
      </c>
      <c r="F2307" s="4">
        <v>3.35</v>
      </c>
      <c r="G2307" s="4">
        <v>904.5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3.35</v>
      </c>
      <c r="D2308" s="4">
        <v>3.35</v>
      </c>
      <c r="E2308" s="4">
        <v>2011</v>
      </c>
      <c r="F2308" s="4">
        <v>3.35</v>
      </c>
      <c r="G2308" s="4">
        <v>6736.85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3.35</v>
      </c>
      <c r="D2309" s="4">
        <v>3.35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3.35</v>
      </c>
      <c r="D2310" s="4">
        <v>3.35</v>
      </c>
      <c r="E2310" s="4">
        <v>245</v>
      </c>
      <c r="F2310" s="4">
        <v>3.35</v>
      </c>
      <c r="G2310" s="4">
        <v>820.75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3.35</v>
      </c>
      <c r="D2311" s="4">
        <v>3.35</v>
      </c>
      <c r="E2311" s="4">
        <v>44</v>
      </c>
      <c r="F2311" s="4">
        <v>3.35</v>
      </c>
      <c r="G2311" s="4">
        <v>147.4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3.35</v>
      </c>
      <c r="D2312" s="4">
        <v>3.35</v>
      </c>
      <c r="E2312" s="4">
        <v>109</v>
      </c>
      <c r="F2312" s="4">
        <v>3.35</v>
      </c>
      <c r="G2312" s="4">
        <v>365.15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3.35</v>
      </c>
      <c r="D2313" s="4">
        <v>3.35</v>
      </c>
      <c r="E2313" s="4">
        <v>158</v>
      </c>
      <c r="F2313" s="4">
        <v>3.35</v>
      </c>
      <c r="G2313" s="4">
        <v>529.29999999999995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3.45</v>
      </c>
      <c r="D2314" s="4">
        <v>3.45</v>
      </c>
      <c r="E2314" s="4">
        <v>22</v>
      </c>
      <c r="F2314" s="4">
        <v>3.45</v>
      </c>
      <c r="G2314" s="4">
        <v>75.900000000000006</v>
      </c>
      <c r="H2314" s="5">
        <f t="shared" si="36"/>
        <v>2.9850746268656744E-2</v>
      </c>
    </row>
    <row r="2315" spans="1:8" ht="13.5" x14ac:dyDescent="0.25">
      <c r="A2315" s="1"/>
      <c r="B2315" s="3">
        <v>45671</v>
      </c>
      <c r="C2315" s="4">
        <v>3.51</v>
      </c>
      <c r="D2315" s="4">
        <v>3.51</v>
      </c>
      <c r="E2315" s="4">
        <v>5</v>
      </c>
      <c r="F2315" s="4">
        <v>3.51</v>
      </c>
      <c r="G2315" s="4">
        <v>17.55</v>
      </c>
      <c r="H2315" s="5">
        <f t="shared" si="36"/>
        <v>1.7391304347825973E-2</v>
      </c>
    </row>
    <row r="2316" spans="1:8" ht="13.5" x14ac:dyDescent="0.25">
      <c r="A2316" s="1"/>
      <c r="B2316" s="3">
        <v>45672</v>
      </c>
      <c r="C2316" s="4">
        <v>3.55</v>
      </c>
      <c r="D2316" s="4">
        <v>3.55</v>
      </c>
      <c r="E2316" s="4">
        <v>26</v>
      </c>
      <c r="F2316" s="4">
        <v>3.55</v>
      </c>
      <c r="G2316" s="4">
        <v>92.3</v>
      </c>
      <c r="H2316" s="5">
        <f t="shared" si="36"/>
        <v>1.1396011396011407E-2</v>
      </c>
    </row>
    <row r="2317" spans="1:8" ht="13.5" x14ac:dyDescent="0.25">
      <c r="A2317" s="1"/>
      <c r="B2317" s="3">
        <v>45673</v>
      </c>
      <c r="C2317" s="4">
        <v>3.55</v>
      </c>
      <c r="D2317" s="4">
        <v>3.55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3.55</v>
      </c>
      <c r="D2318" s="4">
        <v>3.55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3.64</v>
      </c>
      <c r="D2319" s="4">
        <v>3.64</v>
      </c>
      <c r="E2319" s="4">
        <v>35</v>
      </c>
      <c r="F2319" s="4">
        <v>3.64</v>
      </c>
      <c r="G2319" s="4">
        <v>127.4</v>
      </c>
      <c r="H2319" s="5">
        <f t="shared" si="36"/>
        <v>2.5352112676056426E-2</v>
      </c>
    </row>
    <row r="2320" spans="1:8" ht="13.5" x14ac:dyDescent="0.25">
      <c r="A2320" s="1"/>
      <c r="B2320" s="3">
        <v>45678</v>
      </c>
      <c r="C2320" s="4">
        <v>3.48</v>
      </c>
      <c r="D2320" s="4">
        <v>3.48</v>
      </c>
      <c r="E2320" s="4">
        <v>0</v>
      </c>
      <c r="F2320" s="4">
        <v>0</v>
      </c>
      <c r="G2320" s="4">
        <v>0</v>
      </c>
      <c r="H2320" s="5">
        <f t="shared" si="36"/>
        <v>-4.3956043956043994E-2</v>
      </c>
    </row>
    <row r="2321" spans="1:8" ht="13.5" x14ac:dyDescent="0.25">
      <c r="A2321" s="1"/>
      <c r="B2321" s="3">
        <v>45679</v>
      </c>
      <c r="C2321" s="4">
        <v>3.35</v>
      </c>
      <c r="D2321" s="4">
        <v>3.35</v>
      </c>
      <c r="E2321" s="4">
        <v>1750</v>
      </c>
      <c r="F2321" s="4">
        <v>3.35</v>
      </c>
      <c r="G2321" s="4">
        <v>5862.5</v>
      </c>
      <c r="H2321" s="5">
        <f t="shared" si="36"/>
        <v>-3.7356321839080428E-2</v>
      </c>
    </row>
    <row r="2322" spans="1:8" ht="13.5" x14ac:dyDescent="0.25">
      <c r="A2322" s="1"/>
      <c r="B2322" s="3">
        <v>45680</v>
      </c>
      <c r="C2322" s="4">
        <v>3.5</v>
      </c>
      <c r="D2322" s="4">
        <v>3.5</v>
      </c>
      <c r="E2322" s="4">
        <v>0</v>
      </c>
      <c r="F2322" s="4">
        <v>0</v>
      </c>
      <c r="G2322" s="4">
        <v>0</v>
      </c>
      <c r="H2322" s="5">
        <f t="shared" si="36"/>
        <v>4.4776119402985044E-2</v>
      </c>
    </row>
    <row r="2323" spans="1:8" ht="13.5" x14ac:dyDescent="0.25">
      <c r="A2323" s="1"/>
      <c r="B2323" s="3">
        <v>45681</v>
      </c>
      <c r="C2323" s="4">
        <v>3.35</v>
      </c>
      <c r="D2323" s="4">
        <v>3.35</v>
      </c>
      <c r="E2323" s="4">
        <v>0</v>
      </c>
      <c r="F2323" s="4">
        <v>0</v>
      </c>
      <c r="G2323" s="4">
        <v>0</v>
      </c>
      <c r="H2323" s="5">
        <f t="shared" si="36"/>
        <v>-4.285714285714283E-2</v>
      </c>
    </row>
    <row r="2324" spans="1:8" ht="13.5" x14ac:dyDescent="0.25">
      <c r="A2324" s="1"/>
      <c r="B2324" s="3">
        <v>45684</v>
      </c>
      <c r="C2324" s="4">
        <v>3.36</v>
      </c>
      <c r="D2324" s="4">
        <v>3.36</v>
      </c>
      <c r="E2324" s="4">
        <v>16</v>
      </c>
      <c r="F2324" s="4">
        <v>3.36</v>
      </c>
      <c r="G2324" s="4">
        <v>53.76</v>
      </c>
      <c r="H2324" s="5">
        <f t="shared" si="36"/>
        <v>2.9850746268656079E-3</v>
      </c>
    </row>
    <row r="2325" spans="1:8" ht="13.5" x14ac:dyDescent="0.25">
      <c r="A2325" s="1"/>
      <c r="B2325" s="3">
        <v>45685</v>
      </c>
      <c r="C2325" s="4">
        <v>3.36</v>
      </c>
      <c r="D2325" s="4">
        <v>3.36</v>
      </c>
      <c r="E2325" s="4">
        <v>213</v>
      </c>
      <c r="F2325" s="4">
        <v>3.36</v>
      </c>
      <c r="G2325" s="4">
        <v>715.68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3.36</v>
      </c>
      <c r="D2326" s="4">
        <v>3.36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3.36</v>
      </c>
      <c r="D2327" s="4">
        <v>3.36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3.36</v>
      </c>
      <c r="D2328" s="4">
        <v>3.36</v>
      </c>
      <c r="E2328" s="4">
        <v>2941</v>
      </c>
      <c r="F2328" s="4">
        <v>3.36</v>
      </c>
      <c r="G2328" s="4">
        <v>9881.76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3.51</v>
      </c>
      <c r="D2329" s="4">
        <v>3.51</v>
      </c>
      <c r="E2329" s="4">
        <v>260</v>
      </c>
      <c r="F2329" s="4">
        <v>3.31</v>
      </c>
      <c r="G2329" s="4">
        <v>860.6</v>
      </c>
      <c r="H2329" s="5">
        <f t="shared" si="36"/>
        <v>4.4642857142857116E-2</v>
      </c>
    </row>
    <row r="2330" spans="1:8" ht="13.5" x14ac:dyDescent="0.25">
      <c r="A2330" s="1"/>
      <c r="B2330" s="3">
        <v>45692</v>
      </c>
      <c r="C2330" s="4">
        <v>3.63</v>
      </c>
      <c r="D2330" s="4">
        <v>3.63</v>
      </c>
      <c r="E2330" s="4">
        <v>5</v>
      </c>
      <c r="F2330" s="4">
        <v>3.63</v>
      </c>
      <c r="G2330" s="4">
        <v>18.149999999999999</v>
      </c>
      <c r="H2330" s="5">
        <f t="shared" si="36"/>
        <v>3.4188034188034219E-2</v>
      </c>
    </row>
    <row r="2331" spans="1:8" ht="13.5" x14ac:dyDescent="0.25">
      <c r="A2331" s="1"/>
      <c r="B2331" s="3">
        <v>45693</v>
      </c>
      <c r="C2331" s="4">
        <v>3.63</v>
      </c>
      <c r="D2331" s="4">
        <v>3.63</v>
      </c>
      <c r="E2331" s="4">
        <v>20</v>
      </c>
      <c r="F2331" s="4">
        <v>3.63</v>
      </c>
      <c r="G2331" s="4">
        <v>72.599999999999994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3.63</v>
      </c>
      <c r="D2332" s="4">
        <v>3.63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3.47</v>
      </c>
      <c r="D2333" s="4">
        <v>3.47</v>
      </c>
      <c r="E2333" s="4">
        <v>0</v>
      </c>
      <c r="F2333" s="4">
        <v>0</v>
      </c>
      <c r="G2333" s="4">
        <v>0</v>
      </c>
      <c r="H2333" s="5">
        <f t="shared" si="36"/>
        <v>-4.4077134986225813E-2</v>
      </c>
    </row>
    <row r="2334" spans="1:8" ht="13.5" x14ac:dyDescent="0.25">
      <c r="A2334" s="1"/>
      <c r="B2334" s="3">
        <v>45698</v>
      </c>
      <c r="C2334" s="4">
        <v>3.43</v>
      </c>
      <c r="D2334" s="4">
        <v>3.43</v>
      </c>
      <c r="E2334" s="4">
        <v>520</v>
      </c>
      <c r="F2334" s="4">
        <v>3.43</v>
      </c>
      <c r="G2334" s="4">
        <v>1783.6</v>
      </c>
      <c r="H2334" s="5">
        <f t="shared" si="36"/>
        <v>-1.1527377521613843E-2</v>
      </c>
    </row>
    <row r="2335" spans="1:8" ht="13.5" x14ac:dyDescent="0.25">
      <c r="A2335" s="1"/>
      <c r="B2335" s="3">
        <v>45699</v>
      </c>
      <c r="C2335" s="4">
        <v>3.34</v>
      </c>
      <c r="D2335" s="4">
        <v>3.34</v>
      </c>
      <c r="E2335" s="4">
        <v>4</v>
      </c>
      <c r="F2335" s="4">
        <v>3.34</v>
      </c>
      <c r="G2335" s="4">
        <v>13.36</v>
      </c>
      <c r="H2335" s="5">
        <f t="shared" si="36"/>
        <v>-2.6239067055393674E-2</v>
      </c>
    </row>
    <row r="2336" spans="1:8" ht="13.5" x14ac:dyDescent="0.25">
      <c r="A2336" s="1"/>
      <c r="B2336" s="3">
        <v>45700</v>
      </c>
      <c r="C2336" s="4">
        <v>3.36</v>
      </c>
      <c r="D2336" s="4">
        <v>3.36</v>
      </c>
      <c r="E2336" s="4">
        <v>125</v>
      </c>
      <c r="F2336" s="4">
        <v>3.36</v>
      </c>
      <c r="G2336" s="4">
        <v>420</v>
      </c>
      <c r="H2336" s="5">
        <f t="shared" si="36"/>
        <v>5.988023952095814E-3</v>
      </c>
    </row>
    <row r="2337" spans="1:8" ht="13.5" x14ac:dyDescent="0.25">
      <c r="A2337" s="1"/>
      <c r="B2337" s="3">
        <v>45701</v>
      </c>
      <c r="C2337" s="4">
        <v>3.51</v>
      </c>
      <c r="D2337" s="4">
        <v>3.51</v>
      </c>
      <c r="E2337" s="4">
        <v>0</v>
      </c>
      <c r="F2337" s="4">
        <v>0</v>
      </c>
      <c r="G2337" s="4">
        <v>0</v>
      </c>
      <c r="H2337" s="5">
        <f t="shared" si="36"/>
        <v>4.4642857142857116E-2</v>
      </c>
    </row>
    <row r="2338" spans="1:8" ht="13.5" x14ac:dyDescent="0.25">
      <c r="A2338" s="1"/>
      <c r="B2338" s="3">
        <v>45702</v>
      </c>
      <c r="C2338" s="4">
        <v>3.36</v>
      </c>
      <c r="D2338" s="4">
        <v>3.36</v>
      </c>
      <c r="E2338" s="4">
        <v>54</v>
      </c>
      <c r="F2338" s="4">
        <v>3.36</v>
      </c>
      <c r="G2338" s="4">
        <v>181.44</v>
      </c>
      <c r="H2338" s="5">
        <f t="shared" si="36"/>
        <v>-4.2735042735042715E-2</v>
      </c>
    </row>
    <row r="2339" spans="1:8" ht="13.5" x14ac:dyDescent="0.25">
      <c r="A2339" s="1"/>
      <c r="B2339" s="3">
        <v>45705</v>
      </c>
      <c r="C2339" s="4">
        <v>3.51</v>
      </c>
      <c r="D2339" s="4">
        <v>3.51</v>
      </c>
      <c r="E2339" s="4">
        <v>1212</v>
      </c>
      <c r="F2339" s="4">
        <v>3.36</v>
      </c>
      <c r="G2339" s="4">
        <v>4072.32</v>
      </c>
      <c r="H2339" s="5">
        <f t="shared" si="36"/>
        <v>4.4642857142857116E-2</v>
      </c>
    </row>
    <row r="2340" spans="1:8" ht="13.5" x14ac:dyDescent="0.25">
      <c r="A2340" s="1"/>
      <c r="B2340" s="3">
        <v>45706</v>
      </c>
      <c r="C2340" s="4">
        <v>3.46</v>
      </c>
      <c r="D2340" s="4">
        <v>3.46</v>
      </c>
      <c r="E2340" s="4">
        <v>848</v>
      </c>
      <c r="F2340" s="4">
        <v>3.46</v>
      </c>
      <c r="G2340" s="4">
        <v>2934.08</v>
      </c>
      <c r="H2340" s="5">
        <f t="shared" si="36"/>
        <v>-1.4245014245014195E-2</v>
      </c>
    </row>
    <row r="2341" spans="1:8" ht="13.5" x14ac:dyDescent="0.25">
      <c r="A2341" s="1"/>
      <c r="B2341" s="3">
        <v>45707</v>
      </c>
      <c r="C2341" s="4">
        <v>3.59</v>
      </c>
      <c r="D2341" s="4">
        <v>3.59</v>
      </c>
      <c r="E2341" s="4">
        <v>12</v>
      </c>
      <c r="F2341" s="4">
        <v>3.59</v>
      </c>
      <c r="G2341" s="4">
        <v>43.08</v>
      </c>
      <c r="H2341" s="5">
        <f t="shared" si="36"/>
        <v>3.7572254335260083E-2</v>
      </c>
    </row>
    <row r="2342" spans="1:8" ht="13.5" x14ac:dyDescent="0.25">
      <c r="A2342" s="1"/>
      <c r="B2342" s="3">
        <v>45708</v>
      </c>
      <c r="C2342" s="4">
        <v>3.66</v>
      </c>
      <c r="D2342" s="4">
        <v>3.66</v>
      </c>
      <c r="E2342" s="4">
        <v>125</v>
      </c>
      <c r="F2342" s="4">
        <v>3.66</v>
      </c>
      <c r="G2342" s="4">
        <v>457.5</v>
      </c>
      <c r="H2342" s="5">
        <f t="shared" si="36"/>
        <v>1.9498607242339913E-2</v>
      </c>
    </row>
    <row r="2343" spans="1:8" ht="13.5" x14ac:dyDescent="0.25">
      <c r="A2343" s="1"/>
      <c r="B2343" s="3">
        <v>45709</v>
      </c>
      <c r="C2343" s="4">
        <v>3.77</v>
      </c>
      <c r="D2343" s="4">
        <v>3.77</v>
      </c>
      <c r="E2343" s="4">
        <v>58</v>
      </c>
      <c r="F2343" s="4">
        <v>3.7469999999999999</v>
      </c>
      <c r="G2343" s="4">
        <v>217.32599999999999</v>
      </c>
      <c r="H2343" s="5">
        <f t="shared" si="36"/>
        <v>3.0054644808743133E-2</v>
      </c>
    </row>
    <row r="2344" spans="1:8" ht="13.5" x14ac:dyDescent="0.25">
      <c r="A2344" s="1"/>
      <c r="B2344" s="3">
        <v>45712</v>
      </c>
      <c r="C2344" s="4">
        <v>3.86</v>
      </c>
      <c r="D2344" s="4">
        <v>3.86</v>
      </c>
      <c r="E2344" s="4">
        <v>1074</v>
      </c>
      <c r="F2344" s="4">
        <v>3.8149999999999999</v>
      </c>
      <c r="G2344" s="4">
        <v>4097.3100000000004</v>
      </c>
      <c r="H2344" s="5">
        <f t="shared" si="36"/>
        <v>2.3872679045092802E-2</v>
      </c>
    </row>
    <row r="2345" spans="1:8" ht="13.5" x14ac:dyDescent="0.25">
      <c r="A2345" s="1"/>
      <c r="B2345" s="3">
        <v>45713</v>
      </c>
      <c r="C2345" s="4">
        <v>3.92</v>
      </c>
      <c r="D2345" s="4">
        <v>3.92</v>
      </c>
      <c r="E2345" s="4">
        <v>6189</v>
      </c>
      <c r="F2345" s="4">
        <v>3.92</v>
      </c>
      <c r="G2345" s="4">
        <v>24260.880000000001</v>
      </c>
      <c r="H2345" s="5">
        <f t="shared" si="36"/>
        <v>1.5544041450777216E-2</v>
      </c>
    </row>
    <row r="2346" spans="1:8" ht="13.5" x14ac:dyDescent="0.25">
      <c r="A2346" s="1"/>
      <c r="B2346" s="3">
        <v>45714</v>
      </c>
      <c r="C2346" s="4">
        <v>3.91</v>
      </c>
      <c r="D2346" s="4">
        <v>3.91</v>
      </c>
      <c r="E2346" s="4">
        <v>1225</v>
      </c>
      <c r="F2346" s="4">
        <v>3.91</v>
      </c>
      <c r="G2346" s="4">
        <v>4789.75</v>
      </c>
      <c r="H2346" s="5">
        <f t="shared" si="36"/>
        <v>-2.5510204081632109E-3</v>
      </c>
    </row>
    <row r="2347" spans="1:8" ht="13.5" x14ac:dyDescent="0.25">
      <c r="A2347" s="1"/>
      <c r="B2347" s="3">
        <v>45715</v>
      </c>
      <c r="C2347" s="4">
        <v>3.85</v>
      </c>
      <c r="D2347" s="4">
        <v>3.85</v>
      </c>
      <c r="E2347" s="4">
        <v>300</v>
      </c>
      <c r="F2347" s="4">
        <v>3.85</v>
      </c>
      <c r="G2347" s="4">
        <v>1155</v>
      </c>
      <c r="H2347" s="5">
        <f t="shared" si="36"/>
        <v>-1.5345268542199501E-2</v>
      </c>
    </row>
    <row r="2348" spans="1:8" ht="13.5" x14ac:dyDescent="0.25">
      <c r="A2348" s="1"/>
      <c r="B2348" s="3">
        <v>45716</v>
      </c>
      <c r="C2348" s="4">
        <v>3.88</v>
      </c>
      <c r="D2348" s="4">
        <v>3.88</v>
      </c>
      <c r="E2348" s="4">
        <v>200</v>
      </c>
      <c r="F2348" s="4">
        <v>3.88</v>
      </c>
      <c r="G2348" s="4">
        <v>776</v>
      </c>
      <c r="H2348" s="5">
        <f t="shared" si="36"/>
        <v>7.792207792207741E-3</v>
      </c>
    </row>
    <row r="2349" spans="1:8" ht="13.5" x14ac:dyDescent="0.25">
      <c r="A2349" s="1"/>
      <c r="B2349" s="3">
        <v>45719</v>
      </c>
      <c r="C2349" s="4">
        <v>3.88</v>
      </c>
      <c r="D2349" s="4">
        <v>3.88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3.88</v>
      </c>
      <c r="D2350" s="4">
        <v>3.88</v>
      </c>
      <c r="E2350" s="4">
        <v>2469</v>
      </c>
      <c r="F2350" s="4">
        <v>3.88</v>
      </c>
      <c r="G2350" s="4">
        <v>9579.7199999999993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3.88</v>
      </c>
      <c r="D2351" s="4">
        <v>3.88</v>
      </c>
      <c r="E2351" s="4">
        <v>932</v>
      </c>
      <c r="F2351" s="4">
        <v>3.88</v>
      </c>
      <c r="G2351" s="4">
        <v>3616.16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3.92</v>
      </c>
      <c r="D2352" s="4">
        <v>3.92</v>
      </c>
      <c r="E2352" s="4">
        <v>12</v>
      </c>
      <c r="F2352" s="4">
        <v>3.92</v>
      </c>
      <c r="G2352" s="4">
        <v>47.04</v>
      </c>
      <c r="H2352" s="5">
        <f t="shared" si="36"/>
        <v>1.0309278350515474E-2</v>
      </c>
    </row>
    <row r="2353" spans="1:8" ht="13.5" x14ac:dyDescent="0.25">
      <c r="A2353" s="1"/>
      <c r="B2353" s="3">
        <v>45723</v>
      </c>
      <c r="C2353" s="4">
        <v>4</v>
      </c>
      <c r="D2353" s="4">
        <v>4</v>
      </c>
      <c r="E2353" s="4">
        <v>516</v>
      </c>
      <c r="F2353" s="4">
        <v>3.9580000000000002</v>
      </c>
      <c r="G2353" s="4">
        <v>2042.328</v>
      </c>
      <c r="H2353" s="5">
        <f t="shared" si="36"/>
        <v>2.0408163265306142E-2</v>
      </c>
    </row>
    <row r="2354" spans="1:8" ht="13.5" x14ac:dyDescent="0.25">
      <c r="A2354" s="1"/>
      <c r="B2354" s="3">
        <v>45726</v>
      </c>
      <c r="C2354" s="4">
        <v>4.09</v>
      </c>
      <c r="D2354" s="4">
        <v>4.09</v>
      </c>
      <c r="E2354" s="4">
        <v>45</v>
      </c>
      <c r="F2354" s="4">
        <v>4.0949999999999998</v>
      </c>
      <c r="G2354" s="4">
        <v>184.27500000000001</v>
      </c>
      <c r="H2354" s="5">
        <f t="shared" si="36"/>
        <v>2.2499999999999964E-2</v>
      </c>
    </row>
    <row r="2355" spans="1:8" ht="13.5" x14ac:dyDescent="0.25">
      <c r="A2355" s="1"/>
      <c r="B2355" s="3">
        <v>45727</v>
      </c>
      <c r="C2355" s="4">
        <v>4.0999999999999996</v>
      </c>
      <c r="D2355" s="4">
        <v>4.0999999999999996</v>
      </c>
      <c r="E2355" s="4">
        <v>1984</v>
      </c>
      <c r="F2355" s="4">
        <v>4.0830000000000002</v>
      </c>
      <c r="G2355" s="4">
        <v>8100.6719999999996</v>
      </c>
      <c r="H2355" s="5">
        <f t="shared" si="36"/>
        <v>2.4449877750610726E-3</v>
      </c>
    </row>
    <row r="2356" spans="1:8" ht="13.5" x14ac:dyDescent="0.25">
      <c r="A2356" s="1"/>
      <c r="B2356" s="3">
        <v>45728</v>
      </c>
      <c r="C2356" s="4">
        <v>4.0999999999999996</v>
      </c>
      <c r="D2356" s="4">
        <v>4.0999999999999996</v>
      </c>
      <c r="E2356" s="4">
        <v>4154</v>
      </c>
      <c r="F2356" s="4">
        <v>4.0999999999999996</v>
      </c>
      <c r="G2356" s="4">
        <v>17031.400000000001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4.25</v>
      </c>
      <c r="D2357" s="4">
        <v>4.25</v>
      </c>
      <c r="E2357" s="4">
        <v>5025</v>
      </c>
      <c r="F2357" s="4">
        <v>4.25</v>
      </c>
      <c r="G2357" s="4">
        <v>21356.25</v>
      </c>
      <c r="H2357" s="5">
        <f t="shared" si="36"/>
        <v>3.6585365853658625E-2</v>
      </c>
    </row>
    <row r="2358" spans="1:8" ht="13.5" x14ac:dyDescent="0.25">
      <c r="A2358" s="1"/>
      <c r="B2358" s="3">
        <v>45730</v>
      </c>
      <c r="C2358" s="4">
        <v>4.4400000000000004</v>
      </c>
      <c r="D2358" s="4">
        <v>4.4400000000000004</v>
      </c>
      <c r="E2358" s="4">
        <v>1583</v>
      </c>
      <c r="F2358" s="4">
        <v>4.3600000000000003</v>
      </c>
      <c r="G2358" s="4">
        <v>6901.88</v>
      </c>
      <c r="H2358" s="5">
        <f t="shared" si="36"/>
        <v>4.4705882352941269E-2</v>
      </c>
    </row>
    <row r="2359" spans="1:8" ht="13.5" x14ac:dyDescent="0.25">
      <c r="A2359" s="1"/>
      <c r="B2359" s="3">
        <v>45733</v>
      </c>
      <c r="C2359" s="4">
        <v>4.63</v>
      </c>
      <c r="D2359" s="4">
        <v>4.63</v>
      </c>
      <c r="E2359" s="4">
        <v>44</v>
      </c>
      <c r="F2359" s="4">
        <v>4.45</v>
      </c>
      <c r="G2359" s="4">
        <v>195.8</v>
      </c>
      <c r="H2359" s="5">
        <f t="shared" si="36"/>
        <v>4.2792792792792675E-2</v>
      </c>
    </row>
    <row r="2360" spans="1:8" ht="13.5" x14ac:dyDescent="0.25">
      <c r="A2360" s="1"/>
      <c r="B2360" s="3">
        <v>45734</v>
      </c>
      <c r="C2360" s="4">
        <v>4.62</v>
      </c>
      <c r="D2360" s="4">
        <v>4.62</v>
      </c>
      <c r="E2360" s="4">
        <v>484</v>
      </c>
      <c r="F2360" s="4">
        <v>4.62</v>
      </c>
      <c r="G2360" s="4">
        <v>2236.08</v>
      </c>
      <c r="H2360" s="5">
        <f t="shared" si="36"/>
        <v>-2.1598272138228483E-3</v>
      </c>
    </row>
    <row r="2361" spans="1:8" ht="13.5" x14ac:dyDescent="0.25">
      <c r="A2361" s="1"/>
      <c r="B2361" s="3">
        <v>45735</v>
      </c>
      <c r="C2361" s="4">
        <v>4.82</v>
      </c>
      <c r="D2361" s="4">
        <v>4.82</v>
      </c>
      <c r="E2361" s="4">
        <v>54</v>
      </c>
      <c r="F2361" s="4">
        <v>4.82</v>
      </c>
      <c r="G2361" s="4">
        <v>260.27999999999997</v>
      </c>
      <c r="H2361" s="5">
        <f t="shared" si="36"/>
        <v>4.329004329004333E-2</v>
      </c>
    </row>
    <row r="2362" spans="1:8" ht="13.5" x14ac:dyDescent="0.25">
      <c r="A2362" s="1"/>
      <c r="B2362" s="3">
        <v>45737</v>
      </c>
      <c r="C2362" s="4">
        <v>4.99</v>
      </c>
      <c r="D2362" s="4">
        <v>4.99</v>
      </c>
      <c r="E2362" s="4">
        <v>891</v>
      </c>
      <c r="F2362" s="4">
        <v>4.968</v>
      </c>
      <c r="G2362" s="4">
        <v>4426.4880000000003</v>
      </c>
      <c r="H2362" s="5">
        <f t="shared" si="36"/>
        <v>3.526970954356845E-2</v>
      </c>
    </row>
    <row r="2363" spans="1:8" ht="13.5" x14ac:dyDescent="0.25">
      <c r="A2363" s="1"/>
      <c r="B2363" s="3">
        <v>45740</v>
      </c>
      <c r="C2363" s="4">
        <v>5.19</v>
      </c>
      <c r="D2363" s="4">
        <v>5.19</v>
      </c>
      <c r="E2363" s="4">
        <v>115</v>
      </c>
      <c r="F2363" s="4">
        <v>5.1909999999999998</v>
      </c>
      <c r="G2363" s="4">
        <v>596.96500000000003</v>
      </c>
      <c r="H2363" s="5">
        <f t="shared" si="36"/>
        <v>4.0080160320641316E-2</v>
      </c>
    </row>
    <row r="2364" spans="1:8" ht="13.5" x14ac:dyDescent="0.25">
      <c r="A2364" s="1"/>
      <c r="B2364" s="3">
        <v>45741</v>
      </c>
      <c r="C2364" s="4">
        <v>5.19</v>
      </c>
      <c r="D2364" s="4">
        <v>5.19</v>
      </c>
      <c r="E2364" s="4">
        <v>0</v>
      </c>
      <c r="F2364" s="4">
        <v>0</v>
      </c>
      <c r="G2364" s="4">
        <v>0</v>
      </c>
      <c r="H2364" s="5">
        <f t="shared" si="36"/>
        <v>0</v>
      </c>
    </row>
    <row r="2365" spans="1:8" ht="13.5" x14ac:dyDescent="0.25">
      <c r="A2365" s="1"/>
      <c r="B2365" s="3">
        <v>45742</v>
      </c>
      <c r="C2365" s="4">
        <v>5.18</v>
      </c>
      <c r="D2365" s="4">
        <v>5.18</v>
      </c>
      <c r="E2365" s="4">
        <v>693</v>
      </c>
      <c r="F2365" s="4">
        <v>5.1470000000000002</v>
      </c>
      <c r="G2365" s="4">
        <v>3566.8710000000001</v>
      </c>
      <c r="H2365" s="5">
        <f t="shared" si="36"/>
        <v>-1.9267822736032127E-3</v>
      </c>
    </row>
    <row r="2366" spans="1:8" ht="13.5" x14ac:dyDescent="0.25">
      <c r="A2366" s="1"/>
      <c r="B2366" s="3">
        <v>45743</v>
      </c>
      <c r="C2366" s="4">
        <v>5.17</v>
      </c>
      <c r="D2366" s="4">
        <v>5.17</v>
      </c>
      <c r="E2366" s="4">
        <v>1264</v>
      </c>
      <c r="F2366" s="4">
        <v>5.17</v>
      </c>
      <c r="G2366" s="4">
        <v>6534.88</v>
      </c>
      <c r="H2366" s="5">
        <f t="shared" si="36"/>
        <v>-1.9305019305018896E-3</v>
      </c>
    </row>
    <row r="2367" spans="1:8" ht="13.5" x14ac:dyDescent="0.25">
      <c r="A2367" s="1"/>
      <c r="B2367" s="3">
        <v>45744</v>
      </c>
      <c r="C2367" s="4">
        <v>5.17</v>
      </c>
      <c r="D2367" s="4">
        <v>5.17</v>
      </c>
      <c r="E2367" s="4">
        <v>1787</v>
      </c>
      <c r="F2367" s="4">
        <v>5.17</v>
      </c>
      <c r="G2367" s="4">
        <v>9238.7900000000009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5.4</v>
      </c>
      <c r="D2368" s="4">
        <v>5.4</v>
      </c>
      <c r="E2368" s="4">
        <v>55</v>
      </c>
      <c r="F2368" s="4">
        <v>5.4</v>
      </c>
      <c r="G2368" s="4">
        <v>297</v>
      </c>
      <c r="H2368" s="5">
        <f t="shared" si="36"/>
        <v>4.4487427466150954E-2</v>
      </c>
    </row>
    <row r="2369" spans="1:8" ht="13.5" x14ac:dyDescent="0.25">
      <c r="A2369" s="1"/>
      <c r="B2369" s="3">
        <v>45750</v>
      </c>
      <c r="C2369" s="4">
        <v>5.47</v>
      </c>
      <c r="D2369" s="4">
        <v>5.47</v>
      </c>
      <c r="E2369" s="4">
        <v>279</v>
      </c>
      <c r="F2369" s="4">
        <v>5.4710000000000001</v>
      </c>
      <c r="G2369" s="4">
        <v>1526.4090000000001</v>
      </c>
      <c r="H2369" s="5">
        <f t="shared" si="36"/>
        <v>1.296296296296285E-2</v>
      </c>
    </row>
    <row r="2370" spans="1:8" ht="13.5" x14ac:dyDescent="0.25">
      <c r="A2370" s="1"/>
      <c r="B2370" s="3">
        <v>45751</v>
      </c>
      <c r="C2370" s="4">
        <v>5.5</v>
      </c>
      <c r="D2370" s="4">
        <v>5.5</v>
      </c>
      <c r="E2370" s="4">
        <v>1077</v>
      </c>
      <c r="F2370" s="4">
        <v>5.4950000000000001</v>
      </c>
      <c r="G2370" s="4">
        <v>5918.1149999999998</v>
      </c>
      <c r="H2370" s="5">
        <f t="shared" si="36"/>
        <v>5.4844606946984004E-3</v>
      </c>
    </row>
    <row r="2371" spans="1:8" ht="13.5" x14ac:dyDescent="0.25">
      <c r="A2371" s="1"/>
      <c r="B2371" s="3">
        <v>45754</v>
      </c>
      <c r="C2371" s="4">
        <v>5.61</v>
      </c>
      <c r="D2371" s="4">
        <v>5.61</v>
      </c>
      <c r="E2371" s="4">
        <v>168</v>
      </c>
      <c r="F2371" s="4">
        <v>5.61</v>
      </c>
      <c r="G2371" s="4">
        <v>942.48</v>
      </c>
      <c r="H2371" s="5">
        <f t="shared" si="36"/>
        <v>2.0000000000000059E-2</v>
      </c>
    </row>
    <row r="2372" spans="1:8" ht="13.5" x14ac:dyDescent="0.25">
      <c r="A2372" s="1"/>
      <c r="B2372" s="3">
        <v>45755</v>
      </c>
      <c r="C2372" s="4">
        <v>5.86</v>
      </c>
      <c r="D2372" s="4">
        <v>5.86</v>
      </c>
      <c r="E2372" s="4">
        <v>360</v>
      </c>
      <c r="F2372" s="4">
        <v>5.86</v>
      </c>
      <c r="G2372" s="4">
        <v>2109.6</v>
      </c>
      <c r="H2372" s="5">
        <f t="shared" si="36"/>
        <v>4.4563279857397504E-2</v>
      </c>
    </row>
    <row r="2373" spans="1:8" ht="13.5" x14ac:dyDescent="0.25">
      <c r="A2373" s="1"/>
      <c r="B2373" s="3">
        <v>45757</v>
      </c>
      <c r="C2373" s="4">
        <v>6.12</v>
      </c>
      <c r="D2373" s="4">
        <v>6.12</v>
      </c>
      <c r="E2373" s="4">
        <v>117</v>
      </c>
      <c r="F2373" s="4">
        <v>5.99</v>
      </c>
      <c r="G2373" s="4">
        <v>700.83</v>
      </c>
      <c r="H2373" s="5">
        <f t="shared" si="36"/>
        <v>4.4368600682593816E-2</v>
      </c>
    </row>
    <row r="2374" spans="1:8" ht="13.5" x14ac:dyDescent="0.25">
      <c r="A2374" s="1"/>
      <c r="B2374" s="3">
        <v>45758</v>
      </c>
      <c r="C2374" s="4">
        <v>6.39</v>
      </c>
      <c r="D2374" s="4">
        <v>6.39</v>
      </c>
      <c r="E2374" s="4">
        <v>0</v>
      </c>
      <c r="F2374" s="4">
        <v>0</v>
      </c>
      <c r="G2374" s="4">
        <v>0</v>
      </c>
      <c r="H2374" s="5">
        <f t="shared" si="36"/>
        <v>4.4117647058823456E-2</v>
      </c>
    </row>
    <row r="2375" spans="1:8" ht="13.5" x14ac:dyDescent="0.25">
      <c r="A2375" s="1"/>
      <c r="B2375" s="3">
        <v>45761</v>
      </c>
      <c r="C2375" s="4">
        <v>6.67</v>
      </c>
      <c r="D2375" s="4">
        <v>6.67</v>
      </c>
      <c r="E2375" s="4">
        <v>704</v>
      </c>
      <c r="F2375" s="4">
        <v>6.6</v>
      </c>
      <c r="G2375" s="4">
        <v>4646.3999999999996</v>
      </c>
      <c r="H2375" s="5">
        <f t="shared" ref="H2375:H2438" si="37">(D2375-D2374)/D2374</f>
        <v>4.3818466353677664E-2</v>
      </c>
    </row>
    <row r="2376" spans="1:8" ht="13.5" x14ac:dyDescent="0.25">
      <c r="A2376" s="1"/>
      <c r="B2376" s="3">
        <v>45762</v>
      </c>
      <c r="C2376" s="4">
        <v>6.97</v>
      </c>
      <c r="D2376" s="4">
        <v>6.97</v>
      </c>
      <c r="E2376" s="4">
        <v>6370</v>
      </c>
      <c r="F2376" s="4">
        <v>6.97</v>
      </c>
      <c r="G2376" s="4">
        <v>44398.9</v>
      </c>
      <c r="H2376" s="5">
        <f t="shared" si="37"/>
        <v>4.4977511244377787E-2</v>
      </c>
    </row>
    <row r="2377" spans="1:8" ht="13.5" x14ac:dyDescent="0.25">
      <c r="A2377" s="1"/>
      <c r="B2377" s="3">
        <v>45763</v>
      </c>
      <c r="C2377" s="4">
        <v>7.2</v>
      </c>
      <c r="D2377" s="4">
        <v>7.2</v>
      </c>
      <c r="E2377" s="4">
        <v>1517</v>
      </c>
      <c r="F2377" s="4">
        <v>7.2</v>
      </c>
      <c r="G2377" s="4">
        <v>10922.4</v>
      </c>
      <c r="H2377" s="5">
        <f t="shared" si="37"/>
        <v>3.2998565279770506E-2</v>
      </c>
    </row>
    <row r="2378" spans="1:8" ht="13.5" x14ac:dyDescent="0.25">
      <c r="A2378" s="1"/>
      <c r="B2378" s="3">
        <v>45764</v>
      </c>
      <c r="C2378" s="4">
        <v>6.88</v>
      </c>
      <c r="D2378" s="4">
        <v>6.88</v>
      </c>
      <c r="E2378" s="4">
        <v>579</v>
      </c>
      <c r="F2378" s="4">
        <v>6.9630000000000001</v>
      </c>
      <c r="G2378" s="4">
        <v>4031.5770000000002</v>
      </c>
      <c r="H2378" s="5">
        <f t="shared" si="37"/>
        <v>-4.4444444444444481E-2</v>
      </c>
    </row>
    <row r="2379" spans="1:8" ht="13.5" x14ac:dyDescent="0.25">
      <c r="A2379" s="1"/>
      <c r="B2379" s="3">
        <v>45765</v>
      </c>
      <c r="C2379" s="4">
        <v>6.58</v>
      </c>
      <c r="D2379" s="4">
        <v>6.58</v>
      </c>
      <c r="E2379" s="4">
        <v>300</v>
      </c>
      <c r="F2379" s="4">
        <v>6.58</v>
      </c>
      <c r="G2379" s="4">
        <v>1974</v>
      </c>
      <c r="H2379" s="5">
        <f t="shared" si="37"/>
        <v>-4.3604651162790671E-2</v>
      </c>
    </row>
    <row r="2380" spans="1:8" ht="13.5" x14ac:dyDescent="0.25">
      <c r="A2380" s="1"/>
      <c r="B2380" s="3">
        <v>45768</v>
      </c>
      <c r="C2380" s="4">
        <v>6.29</v>
      </c>
      <c r="D2380" s="4">
        <v>6.29</v>
      </c>
      <c r="E2380" s="4">
        <v>0</v>
      </c>
      <c r="F2380" s="4">
        <v>0</v>
      </c>
      <c r="G2380" s="4">
        <v>0</v>
      </c>
      <c r="H2380" s="5">
        <f t="shared" si="37"/>
        <v>-4.4072948328267483E-2</v>
      </c>
    </row>
    <row r="2381" spans="1:8" ht="13.5" x14ac:dyDescent="0.25">
      <c r="A2381" s="1"/>
      <c r="B2381" s="3">
        <v>45769</v>
      </c>
      <c r="C2381" s="4">
        <v>6.01</v>
      </c>
      <c r="D2381" s="4">
        <v>6.01</v>
      </c>
      <c r="E2381" s="4">
        <v>15</v>
      </c>
      <c r="F2381" s="4">
        <v>6.01</v>
      </c>
      <c r="G2381" s="4">
        <v>90.15</v>
      </c>
      <c r="H2381" s="5">
        <f t="shared" si="37"/>
        <v>-4.4515103338632789E-2</v>
      </c>
    </row>
    <row r="2382" spans="1:8" ht="13.5" x14ac:dyDescent="0.25">
      <c r="A2382" s="1"/>
      <c r="B2382" s="3">
        <v>45770</v>
      </c>
      <c r="C2382" s="4">
        <v>5.74</v>
      </c>
      <c r="D2382" s="4">
        <v>5.74</v>
      </c>
      <c r="E2382" s="4">
        <v>832</v>
      </c>
      <c r="F2382" s="4">
        <v>5.74</v>
      </c>
      <c r="G2382" s="4">
        <v>4775.68</v>
      </c>
      <c r="H2382" s="5">
        <f t="shared" si="37"/>
        <v>-4.4925124792013243E-2</v>
      </c>
    </row>
    <row r="2383" spans="1:8" ht="13.5" x14ac:dyDescent="0.25">
      <c r="A2383" s="1"/>
      <c r="B2383" s="3">
        <v>45771</v>
      </c>
      <c r="C2383" s="4">
        <v>5.49</v>
      </c>
      <c r="D2383" s="4">
        <v>5.49</v>
      </c>
      <c r="E2383" s="4">
        <v>1710</v>
      </c>
      <c r="F2383" s="4">
        <v>5.49</v>
      </c>
      <c r="G2383" s="4">
        <v>9387.9</v>
      </c>
      <c r="H2383" s="5">
        <f t="shared" si="37"/>
        <v>-4.3554006968641111E-2</v>
      </c>
    </row>
    <row r="2384" spans="1:8" ht="13.5" x14ac:dyDescent="0.25">
      <c r="A2384" s="1"/>
      <c r="B2384" s="3">
        <v>45772</v>
      </c>
      <c r="C2384" s="4">
        <v>5.25</v>
      </c>
      <c r="D2384" s="4">
        <v>5.25</v>
      </c>
      <c r="E2384" s="4">
        <v>704</v>
      </c>
      <c r="F2384" s="4">
        <v>5.25</v>
      </c>
      <c r="G2384" s="4">
        <v>3696</v>
      </c>
      <c r="H2384" s="5">
        <f t="shared" si="37"/>
        <v>-4.3715846994535554E-2</v>
      </c>
    </row>
    <row r="2385" spans="1:8" ht="13.5" x14ac:dyDescent="0.25">
      <c r="A2385" s="1"/>
      <c r="B2385" s="3">
        <v>45775</v>
      </c>
      <c r="C2385" s="4">
        <v>5.13</v>
      </c>
      <c r="D2385" s="4">
        <v>5.13</v>
      </c>
      <c r="E2385" s="4">
        <v>22</v>
      </c>
      <c r="F2385" s="4">
        <v>5.13</v>
      </c>
      <c r="G2385" s="4">
        <v>112.86</v>
      </c>
      <c r="H2385" s="5">
        <f t="shared" si="37"/>
        <v>-2.2857142857142878E-2</v>
      </c>
    </row>
    <row r="2386" spans="1:8" ht="13.5" x14ac:dyDescent="0.25">
      <c r="A2386" s="1"/>
      <c r="B2386" s="3">
        <v>45776</v>
      </c>
      <c r="C2386" s="4">
        <v>5.25</v>
      </c>
      <c r="D2386" s="4">
        <v>5.25</v>
      </c>
      <c r="E2386" s="4">
        <v>607</v>
      </c>
      <c r="F2386" s="4">
        <v>5.25</v>
      </c>
      <c r="G2386" s="4">
        <v>3186.75</v>
      </c>
      <c r="H2386" s="5">
        <f t="shared" si="37"/>
        <v>2.3391812865497099E-2</v>
      </c>
    </row>
    <row r="2387" spans="1:8" ht="13.5" x14ac:dyDescent="0.25">
      <c r="A2387" s="1"/>
      <c r="B2387" s="3">
        <v>45777</v>
      </c>
      <c r="C2387" s="4">
        <v>5.13</v>
      </c>
      <c r="D2387" s="4">
        <v>5.13</v>
      </c>
      <c r="E2387" s="4">
        <v>3</v>
      </c>
      <c r="F2387" s="4">
        <v>5.13</v>
      </c>
      <c r="G2387" s="4">
        <v>15.39</v>
      </c>
      <c r="H2387" s="5">
        <f t="shared" si="37"/>
        <v>-2.2857142857142878E-2</v>
      </c>
    </row>
    <row r="2388" spans="1:8" ht="13.5" x14ac:dyDescent="0.25">
      <c r="A2388" s="1"/>
      <c r="B2388" s="3">
        <v>45779</v>
      </c>
      <c r="C2388" s="4">
        <v>5.23</v>
      </c>
      <c r="D2388" s="4">
        <v>5.23</v>
      </c>
      <c r="E2388" s="4">
        <v>43</v>
      </c>
      <c r="F2388" s="4">
        <v>5.1459999999999999</v>
      </c>
      <c r="G2388" s="4">
        <v>221.27799999999999</v>
      </c>
      <c r="H2388" s="5">
        <f t="shared" si="37"/>
        <v>1.9493177387914333E-2</v>
      </c>
    </row>
    <row r="2389" spans="1:8" ht="13.5" x14ac:dyDescent="0.25">
      <c r="A2389" s="1"/>
      <c r="B2389" s="3">
        <v>45782</v>
      </c>
      <c r="C2389" s="4">
        <v>5.01</v>
      </c>
      <c r="D2389" s="4">
        <v>5.01</v>
      </c>
      <c r="E2389" s="4">
        <v>68</v>
      </c>
      <c r="F2389" s="4">
        <v>5.01</v>
      </c>
      <c r="G2389" s="4">
        <v>340.68</v>
      </c>
      <c r="H2389" s="5">
        <f t="shared" si="37"/>
        <v>-4.2065009560229565E-2</v>
      </c>
    </row>
    <row r="2390" spans="1:8" ht="13.5" x14ac:dyDescent="0.25">
      <c r="A2390" s="1"/>
      <c r="B2390" s="3">
        <v>45783</v>
      </c>
      <c r="C2390" s="4">
        <v>5.23</v>
      </c>
      <c r="D2390" s="4">
        <v>5.23</v>
      </c>
      <c r="E2390" s="4">
        <v>631</v>
      </c>
      <c r="F2390" s="4">
        <v>5.23</v>
      </c>
      <c r="G2390" s="4">
        <v>3300.13</v>
      </c>
      <c r="H2390" s="5">
        <f t="shared" si="37"/>
        <v>4.3912175648702721E-2</v>
      </c>
    </row>
    <row r="2391" spans="1:8" ht="13.5" x14ac:dyDescent="0.25">
      <c r="A2391" s="1"/>
      <c r="B2391" s="3">
        <v>45784</v>
      </c>
      <c r="C2391" s="4">
        <v>5.43</v>
      </c>
      <c r="D2391" s="4">
        <v>5.43</v>
      </c>
      <c r="E2391" s="4">
        <v>96</v>
      </c>
      <c r="F2391" s="4">
        <v>5.43</v>
      </c>
      <c r="G2391" s="4">
        <v>521.28</v>
      </c>
      <c r="H2391" s="5">
        <f t="shared" si="37"/>
        <v>3.824091778202663E-2</v>
      </c>
    </row>
    <row r="2392" spans="1:8" ht="13.5" x14ac:dyDescent="0.25">
      <c r="A2392" s="1"/>
      <c r="B2392" s="3">
        <v>45785</v>
      </c>
      <c r="C2392" s="4">
        <v>5.2</v>
      </c>
      <c r="D2392" s="4">
        <v>5.2</v>
      </c>
      <c r="E2392" s="4">
        <v>8</v>
      </c>
      <c r="F2392" s="4">
        <v>5.2</v>
      </c>
      <c r="G2392" s="4">
        <v>41.6</v>
      </c>
      <c r="H2392" s="5">
        <f t="shared" si="37"/>
        <v>-4.2357274401473216E-2</v>
      </c>
    </row>
    <row r="2393" spans="1:8" ht="13.5" x14ac:dyDescent="0.25">
      <c r="A2393" s="1"/>
      <c r="B2393" s="3">
        <v>45786</v>
      </c>
      <c r="C2393" s="4">
        <v>5.2</v>
      </c>
      <c r="D2393" s="4">
        <v>5.2</v>
      </c>
      <c r="E2393" s="4">
        <v>166</v>
      </c>
      <c r="F2393" s="4">
        <v>5.2</v>
      </c>
      <c r="G2393" s="4">
        <v>863.2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5.42</v>
      </c>
      <c r="D2394" s="4">
        <v>5.42</v>
      </c>
      <c r="E2394" s="4">
        <v>6</v>
      </c>
      <c r="F2394" s="4">
        <v>5.42</v>
      </c>
      <c r="G2394" s="4">
        <v>32.520000000000003</v>
      </c>
      <c r="H2394" s="5">
        <f t="shared" si="37"/>
        <v>4.2307692307692261E-2</v>
      </c>
    </row>
    <row r="2395" spans="1:8" ht="13.5" x14ac:dyDescent="0.25">
      <c r="A2395" s="1"/>
      <c r="B2395" s="3">
        <v>45790</v>
      </c>
      <c r="C2395" s="4">
        <v>5.18</v>
      </c>
      <c r="D2395" s="4">
        <v>5.18</v>
      </c>
      <c r="E2395" s="4">
        <v>13</v>
      </c>
      <c r="F2395" s="4">
        <v>5.202</v>
      </c>
      <c r="G2395" s="4">
        <v>67.626000000000005</v>
      </c>
      <c r="H2395" s="5">
        <f t="shared" si="37"/>
        <v>-4.4280442804428083E-2</v>
      </c>
    </row>
    <row r="2396" spans="1:8" ht="13.5" x14ac:dyDescent="0.25">
      <c r="A2396" s="1"/>
      <c r="B2396" s="3">
        <v>45791</v>
      </c>
      <c r="C2396" s="4">
        <v>5.41</v>
      </c>
      <c r="D2396" s="4">
        <v>5.41</v>
      </c>
      <c r="E2396" s="4">
        <v>0</v>
      </c>
      <c r="F2396" s="4">
        <v>0</v>
      </c>
      <c r="G2396" s="4">
        <v>0</v>
      </c>
      <c r="H2396" s="5">
        <f t="shared" si="37"/>
        <v>4.4401544401544486E-2</v>
      </c>
    </row>
    <row r="2397" spans="1:8" ht="13.5" x14ac:dyDescent="0.25">
      <c r="A2397" s="1"/>
      <c r="B2397" s="3">
        <v>45792</v>
      </c>
      <c r="C2397" s="4">
        <v>5.44</v>
      </c>
      <c r="D2397" s="4">
        <v>5.44</v>
      </c>
      <c r="E2397" s="4">
        <v>13</v>
      </c>
      <c r="F2397" s="4">
        <v>5.44</v>
      </c>
      <c r="G2397" s="4">
        <v>70.72</v>
      </c>
      <c r="H2397" s="5">
        <f t="shared" si="37"/>
        <v>5.5452865064695468E-3</v>
      </c>
    </row>
    <row r="2398" spans="1:8" ht="13.5" x14ac:dyDescent="0.25">
      <c r="A2398" s="1"/>
      <c r="B2398" s="3">
        <v>45793</v>
      </c>
      <c r="C2398" s="4">
        <v>5.2</v>
      </c>
      <c r="D2398" s="4">
        <v>5.2</v>
      </c>
      <c r="E2398" s="4">
        <v>0</v>
      </c>
      <c r="F2398" s="4">
        <v>0</v>
      </c>
      <c r="G2398" s="4">
        <v>0</v>
      </c>
      <c r="H2398" s="5">
        <f t="shared" si="37"/>
        <v>-4.4117647058823567E-2</v>
      </c>
    </row>
    <row r="2399" spans="1:8" ht="13.5" x14ac:dyDescent="0.25">
      <c r="A2399" s="1"/>
      <c r="B2399" s="3">
        <v>45796</v>
      </c>
      <c r="C2399" s="4">
        <v>5.43</v>
      </c>
      <c r="D2399" s="4">
        <v>5.43</v>
      </c>
      <c r="E2399" s="4">
        <v>12</v>
      </c>
      <c r="F2399" s="4">
        <v>4.9800000000000004</v>
      </c>
      <c r="G2399" s="4">
        <v>59.76</v>
      </c>
      <c r="H2399" s="5">
        <f t="shared" si="37"/>
        <v>4.4230769230769143E-2</v>
      </c>
    </row>
    <row r="2400" spans="1:8" ht="13.5" x14ac:dyDescent="0.25">
      <c r="A2400" s="1"/>
      <c r="B2400" s="3">
        <v>45797</v>
      </c>
      <c r="C2400" s="4">
        <v>5.43</v>
      </c>
      <c r="D2400" s="4">
        <v>5.43</v>
      </c>
      <c r="E2400" s="4">
        <v>143</v>
      </c>
      <c r="F2400" s="4">
        <v>5.43</v>
      </c>
      <c r="G2400" s="4">
        <v>776.49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5.67</v>
      </c>
      <c r="D2401" s="4">
        <v>5.67</v>
      </c>
      <c r="E2401" s="4">
        <v>186</v>
      </c>
      <c r="F2401" s="4">
        <v>5.641</v>
      </c>
      <c r="G2401" s="4">
        <v>1049.2260000000001</v>
      </c>
      <c r="H2401" s="5">
        <f t="shared" si="37"/>
        <v>4.4198895027624349E-2</v>
      </c>
    </row>
    <row r="2402" spans="1:8" ht="13.5" x14ac:dyDescent="0.25">
      <c r="A2402" s="1"/>
      <c r="B2402" s="3">
        <v>45799</v>
      </c>
      <c r="C2402" s="4">
        <v>5.67</v>
      </c>
      <c r="D2402" s="4">
        <v>5.67</v>
      </c>
      <c r="E2402" s="4">
        <v>440</v>
      </c>
      <c r="F2402" s="4">
        <v>5.67</v>
      </c>
      <c r="G2402" s="4">
        <v>2494.8000000000002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5.65</v>
      </c>
      <c r="D2403" s="4">
        <v>5.65</v>
      </c>
      <c r="E2403" s="4">
        <v>221</v>
      </c>
      <c r="F2403" s="4">
        <v>5.6559999999999997</v>
      </c>
      <c r="G2403" s="4">
        <v>1249.9760000000001</v>
      </c>
      <c r="H2403" s="5">
        <f t="shared" si="37"/>
        <v>-3.5273368606701188E-3</v>
      </c>
    </row>
    <row r="2404" spans="1:8" ht="13.5" x14ac:dyDescent="0.25">
      <c r="A2404" s="1"/>
      <c r="B2404" s="3">
        <v>45803</v>
      </c>
      <c r="C2404" s="4">
        <v>5.4</v>
      </c>
      <c r="D2404" s="4">
        <v>5.4</v>
      </c>
      <c r="E2404" s="4">
        <v>2106</v>
      </c>
      <c r="F2404" s="4">
        <v>5.4</v>
      </c>
      <c r="G2404" s="4">
        <v>11372.4</v>
      </c>
      <c r="H2404" s="5">
        <f t="shared" si="37"/>
        <v>-4.4247787610619468E-2</v>
      </c>
    </row>
    <row r="2405" spans="1:8" ht="13.5" x14ac:dyDescent="0.25">
      <c r="A2405" s="1"/>
      <c r="B2405" s="3">
        <v>45804</v>
      </c>
      <c r="C2405" s="4">
        <v>5.22</v>
      </c>
      <c r="D2405" s="4">
        <v>5.22</v>
      </c>
      <c r="E2405" s="4">
        <v>600</v>
      </c>
      <c r="F2405" s="4">
        <v>5.31</v>
      </c>
      <c r="G2405" s="4">
        <v>3186</v>
      </c>
      <c r="H2405" s="5">
        <f t="shared" si="37"/>
        <v>-3.3333333333333444E-2</v>
      </c>
    </row>
    <row r="2406" spans="1:8" ht="13.5" x14ac:dyDescent="0.25">
      <c r="A2406" s="1"/>
      <c r="B2406" s="3">
        <v>45805</v>
      </c>
      <c r="C2406" s="4">
        <v>5.2</v>
      </c>
      <c r="D2406" s="4">
        <v>5.2</v>
      </c>
      <c r="E2406" s="4">
        <v>612</v>
      </c>
      <c r="F2406" s="4">
        <v>5.2</v>
      </c>
      <c r="G2406" s="4">
        <v>3182.4</v>
      </c>
      <c r="H2406" s="5">
        <f t="shared" si="37"/>
        <v>-3.8314176245209915E-3</v>
      </c>
    </row>
    <row r="2407" spans="1:8" ht="13.5" x14ac:dyDescent="0.25">
      <c r="A2407" s="1"/>
      <c r="B2407" s="3">
        <v>45806</v>
      </c>
      <c r="C2407" s="4">
        <v>5.39</v>
      </c>
      <c r="D2407" s="4">
        <v>5.39</v>
      </c>
      <c r="E2407" s="4">
        <v>19</v>
      </c>
      <c r="F2407" s="4">
        <v>5.39</v>
      </c>
      <c r="G2407" s="4">
        <v>102.41</v>
      </c>
      <c r="H2407" s="5">
        <f t="shared" si="37"/>
        <v>3.6538461538461443E-2</v>
      </c>
    </row>
    <row r="2408" spans="1:8" ht="13.5" x14ac:dyDescent="0.25">
      <c r="A2408" s="1"/>
      <c r="B2408" s="3">
        <v>45807</v>
      </c>
      <c r="C2408" s="4">
        <v>5.49</v>
      </c>
      <c r="D2408" s="4">
        <v>5.49</v>
      </c>
      <c r="E2408" s="4">
        <v>1</v>
      </c>
      <c r="F2408" s="4">
        <v>5.49</v>
      </c>
      <c r="G2408" s="4">
        <v>5.49</v>
      </c>
      <c r="H2408" s="5">
        <f t="shared" si="37"/>
        <v>1.855287569573294E-2</v>
      </c>
    </row>
    <row r="2409" spans="1:8" ht="13.5" x14ac:dyDescent="0.25">
      <c r="A2409" s="1"/>
      <c r="B2409" s="3">
        <v>45810</v>
      </c>
      <c r="C2409" s="4">
        <v>5.49</v>
      </c>
      <c r="D2409" s="4">
        <v>5.49</v>
      </c>
      <c r="E2409" s="4">
        <v>1</v>
      </c>
      <c r="F2409" s="4">
        <v>5.49</v>
      </c>
      <c r="G2409" s="4">
        <v>5.49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5.49</v>
      </c>
      <c r="D2410" s="4">
        <v>5.49</v>
      </c>
      <c r="E2410" s="4">
        <v>117</v>
      </c>
      <c r="F2410" s="4">
        <v>5.49</v>
      </c>
      <c r="G2410" s="4">
        <v>642.33000000000004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5.25</v>
      </c>
      <c r="D2411" s="4">
        <v>5.25</v>
      </c>
      <c r="E2411" s="4">
        <v>0</v>
      </c>
      <c r="F2411" s="4">
        <v>0</v>
      </c>
      <c r="G2411" s="4">
        <v>0</v>
      </c>
      <c r="H2411" s="5">
        <f t="shared" si="37"/>
        <v>-4.3715846994535554E-2</v>
      </c>
    </row>
    <row r="2412" spans="1:8" ht="13.5" x14ac:dyDescent="0.25">
      <c r="A2412" s="1"/>
      <c r="B2412" s="3">
        <v>45813</v>
      </c>
      <c r="C2412" s="4">
        <v>5.48</v>
      </c>
      <c r="D2412" s="4">
        <v>5.48</v>
      </c>
      <c r="E2412" s="4">
        <v>54</v>
      </c>
      <c r="F2412" s="4">
        <v>5.0199999999999996</v>
      </c>
      <c r="G2412" s="4">
        <v>271.08</v>
      </c>
      <c r="H2412" s="5">
        <f t="shared" si="37"/>
        <v>4.3809523809523888E-2</v>
      </c>
    </row>
    <row r="2413" spans="1:8" ht="13.5" x14ac:dyDescent="0.25">
      <c r="A2413" s="1"/>
      <c r="B2413" s="3">
        <v>45817</v>
      </c>
      <c r="C2413" s="4">
        <v>5.24</v>
      </c>
      <c r="D2413" s="4">
        <v>5.24</v>
      </c>
      <c r="E2413" s="4">
        <v>185</v>
      </c>
      <c r="F2413" s="4">
        <v>5.24</v>
      </c>
      <c r="G2413" s="4">
        <v>969.4</v>
      </c>
      <c r="H2413" s="5">
        <f t="shared" si="37"/>
        <v>-4.3795620437956241E-2</v>
      </c>
    </row>
    <row r="2414" spans="1:8" ht="13.5" x14ac:dyDescent="0.25">
      <c r="A2414" s="1"/>
      <c r="B2414" s="3">
        <v>45818</v>
      </c>
      <c r="C2414" s="4">
        <v>5.04</v>
      </c>
      <c r="D2414" s="4">
        <v>5.04</v>
      </c>
      <c r="E2414" s="4">
        <v>840</v>
      </c>
      <c r="F2414" s="4">
        <v>5.04</v>
      </c>
      <c r="G2414" s="4">
        <v>4233.6000000000004</v>
      </c>
      <c r="H2414" s="5">
        <f t="shared" si="37"/>
        <v>-3.8167938931297746E-2</v>
      </c>
    </row>
    <row r="2415" spans="1:8" ht="13.5" x14ac:dyDescent="0.25">
      <c r="A2415" s="1"/>
      <c r="B2415" s="3">
        <v>45819</v>
      </c>
      <c r="C2415" s="4">
        <v>4.82</v>
      </c>
      <c r="D2415" s="4">
        <v>4.82</v>
      </c>
      <c r="E2415" s="4">
        <v>300</v>
      </c>
      <c r="F2415" s="4">
        <v>4.82</v>
      </c>
      <c r="G2415" s="4">
        <v>1446</v>
      </c>
      <c r="H2415" s="5">
        <f t="shared" si="37"/>
        <v>-4.36507936507936E-2</v>
      </c>
    </row>
    <row r="2416" spans="1:8" ht="13.5" x14ac:dyDescent="0.25">
      <c r="A2416" s="1"/>
      <c r="B2416" s="3">
        <v>45820</v>
      </c>
      <c r="C2416" s="4">
        <v>4.6399999999999997</v>
      </c>
      <c r="D2416" s="4">
        <v>4.6399999999999997</v>
      </c>
      <c r="E2416" s="4">
        <v>27</v>
      </c>
      <c r="F2416" s="4">
        <v>4.6399999999999997</v>
      </c>
      <c r="G2416" s="4">
        <v>125.28</v>
      </c>
      <c r="H2416" s="5">
        <f t="shared" si="37"/>
        <v>-3.7344398340249087E-2</v>
      </c>
    </row>
    <row r="2417" spans="1:8" ht="13.5" x14ac:dyDescent="0.25">
      <c r="A2417" s="1"/>
      <c r="B2417" s="3">
        <v>45821</v>
      </c>
      <c r="C2417" s="4">
        <v>4.46</v>
      </c>
      <c r="D2417" s="4">
        <v>4.46</v>
      </c>
      <c r="E2417" s="4">
        <v>492</v>
      </c>
      <c r="F2417" s="4">
        <v>4.46</v>
      </c>
      <c r="G2417" s="4">
        <v>2194.3200000000002</v>
      </c>
      <c r="H2417" s="5">
        <f t="shared" si="37"/>
        <v>-3.8793103448275801E-2</v>
      </c>
    </row>
    <row r="2418" spans="1:8" ht="13.5" x14ac:dyDescent="0.25">
      <c r="A2418" s="1"/>
      <c r="B2418" s="3">
        <v>45824</v>
      </c>
      <c r="C2418" s="4">
        <v>4.45</v>
      </c>
      <c r="D2418" s="4">
        <v>4.45</v>
      </c>
      <c r="E2418" s="4">
        <v>394</v>
      </c>
      <c r="F2418" s="4">
        <v>4.45</v>
      </c>
      <c r="G2418" s="4">
        <v>1753.3</v>
      </c>
      <c r="H2418" s="5">
        <f t="shared" si="37"/>
        <v>-2.2421524663676653E-3</v>
      </c>
    </row>
    <row r="2419" spans="1:8" ht="13.5" x14ac:dyDescent="0.25">
      <c r="A2419" s="1"/>
      <c r="B2419" s="3">
        <v>45825</v>
      </c>
      <c r="C2419" s="4">
        <v>4.43</v>
      </c>
      <c r="D2419" s="4">
        <v>4.43</v>
      </c>
      <c r="E2419" s="4">
        <v>55</v>
      </c>
      <c r="F2419" s="4">
        <v>4.43</v>
      </c>
      <c r="G2419" s="4">
        <v>243.65</v>
      </c>
      <c r="H2419" s="5">
        <f t="shared" si="37"/>
        <v>-4.4943820224720137E-3</v>
      </c>
    </row>
    <row r="2420" spans="1:8" ht="13.5" x14ac:dyDescent="0.25">
      <c r="A2420" s="1"/>
      <c r="B2420" s="3">
        <v>45826</v>
      </c>
      <c r="C2420" s="4">
        <v>4.41</v>
      </c>
      <c r="D2420" s="4">
        <v>4.41</v>
      </c>
      <c r="E2420" s="4">
        <v>118</v>
      </c>
      <c r="F2420" s="4">
        <v>4.41</v>
      </c>
      <c r="G2420" s="4">
        <v>520.38</v>
      </c>
      <c r="H2420" s="5">
        <f t="shared" si="37"/>
        <v>-4.5146726862301525E-3</v>
      </c>
    </row>
    <row r="2421" spans="1:8" ht="13.5" x14ac:dyDescent="0.25">
      <c r="A2421" s="1"/>
      <c r="B2421" s="3">
        <v>45827</v>
      </c>
      <c r="C2421" s="4">
        <v>4.41</v>
      </c>
      <c r="D2421" s="4">
        <v>4.41</v>
      </c>
      <c r="E2421" s="4">
        <v>396</v>
      </c>
      <c r="F2421" s="4">
        <v>4.41</v>
      </c>
      <c r="G2421" s="4">
        <v>1746.36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4.3</v>
      </c>
      <c r="D2422" s="4">
        <v>4.3</v>
      </c>
      <c r="E2422" s="4">
        <v>1816</v>
      </c>
      <c r="F2422" s="4">
        <v>4.3</v>
      </c>
      <c r="G2422" s="4">
        <v>7808.8</v>
      </c>
      <c r="H2422" s="5">
        <f t="shared" si="37"/>
        <v>-2.4943310657596442E-2</v>
      </c>
    </row>
    <row r="2423" spans="1:8" ht="13.5" x14ac:dyDescent="0.25">
      <c r="A2423" s="1"/>
      <c r="B2423" s="3">
        <v>45831</v>
      </c>
      <c r="C2423" s="4">
        <v>4.1100000000000003</v>
      </c>
      <c r="D2423" s="4">
        <v>4.1100000000000003</v>
      </c>
      <c r="E2423" s="4">
        <v>16</v>
      </c>
      <c r="F2423" s="4">
        <v>4.1100000000000003</v>
      </c>
      <c r="G2423" s="4">
        <v>65.760000000000005</v>
      </c>
      <c r="H2423" s="5">
        <f t="shared" si="37"/>
        <v>-4.4186046511627795E-2</v>
      </c>
    </row>
    <row r="2424" spans="1:8" ht="13.5" x14ac:dyDescent="0.25">
      <c r="A2424" s="1"/>
      <c r="B2424" s="3">
        <v>45832</v>
      </c>
      <c r="C2424" s="4">
        <v>4.05</v>
      </c>
      <c r="D2424" s="4">
        <v>4.05</v>
      </c>
      <c r="E2424" s="4">
        <v>1090</v>
      </c>
      <c r="F2424" s="4">
        <v>4.0590000000000002</v>
      </c>
      <c r="G2424" s="4">
        <v>4424.3100000000004</v>
      </c>
      <c r="H2424" s="5">
        <f t="shared" si="37"/>
        <v>-1.4598540145985521E-2</v>
      </c>
    </row>
    <row r="2425" spans="1:8" ht="13.5" x14ac:dyDescent="0.25">
      <c r="A2425" s="1"/>
      <c r="B2425" s="3">
        <v>45833</v>
      </c>
      <c r="C2425" s="4">
        <v>4.05</v>
      </c>
      <c r="D2425" s="4">
        <v>4.05</v>
      </c>
      <c r="E2425" s="4">
        <v>496</v>
      </c>
      <c r="F2425" s="4">
        <v>4.0469999999999997</v>
      </c>
      <c r="G2425" s="4">
        <v>2007.3119999999999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4</v>
      </c>
      <c r="D2426" s="4">
        <v>4</v>
      </c>
      <c r="E2426" s="4">
        <v>47</v>
      </c>
      <c r="F2426" s="4">
        <v>4</v>
      </c>
      <c r="G2426" s="4">
        <v>188</v>
      </c>
      <c r="H2426" s="5">
        <f t="shared" si="37"/>
        <v>-1.2345679012345635E-2</v>
      </c>
    </row>
    <row r="2427" spans="1:8" ht="13.5" x14ac:dyDescent="0.25">
      <c r="A2427" s="1"/>
      <c r="B2427" s="3">
        <v>45838</v>
      </c>
      <c r="C2427" s="4">
        <v>4</v>
      </c>
      <c r="D2427" s="4">
        <v>4</v>
      </c>
      <c r="E2427" s="4">
        <v>710</v>
      </c>
      <c r="F2427" s="4">
        <v>4</v>
      </c>
      <c r="G2427" s="4">
        <v>2840</v>
      </c>
      <c r="H2427" s="5">
        <f t="shared" si="37"/>
        <v>0</v>
      </c>
    </row>
    <row r="2428" spans="1:8" ht="13.5" x14ac:dyDescent="0.25">
      <c r="A2428" s="1"/>
      <c r="B2428" s="3">
        <v>45839</v>
      </c>
      <c r="C2428" s="4">
        <v>4</v>
      </c>
      <c r="D2428" s="4">
        <v>4</v>
      </c>
      <c r="E2428" s="4">
        <v>2191</v>
      </c>
      <c r="F2428" s="4">
        <v>4</v>
      </c>
      <c r="G2428" s="4">
        <v>8764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3.89</v>
      </c>
      <c r="D2429" s="4">
        <v>3.89</v>
      </c>
      <c r="E2429" s="4">
        <v>348</v>
      </c>
      <c r="F2429" s="4">
        <v>3.89</v>
      </c>
      <c r="G2429" s="4">
        <v>1353.72</v>
      </c>
      <c r="H2429" s="5">
        <f t="shared" si="37"/>
        <v>-2.7499999999999969E-2</v>
      </c>
    </row>
    <row r="2430" spans="1:8" ht="13.5" x14ac:dyDescent="0.25">
      <c r="A2430" s="1"/>
      <c r="B2430" s="3">
        <v>45841</v>
      </c>
      <c r="C2430" s="4">
        <v>4</v>
      </c>
      <c r="D2430" s="4">
        <v>4</v>
      </c>
      <c r="E2430" s="4">
        <v>37</v>
      </c>
      <c r="F2430" s="4">
        <v>3.9830000000000001</v>
      </c>
      <c r="G2430" s="4">
        <v>147.37100000000001</v>
      </c>
      <c r="H2430" s="5">
        <f t="shared" si="37"/>
        <v>2.8277634961439556E-2</v>
      </c>
    </row>
    <row r="2431" spans="1:8" ht="13.5" x14ac:dyDescent="0.25">
      <c r="A2431" s="1"/>
      <c r="B2431" s="3">
        <v>45842</v>
      </c>
      <c r="C2431" s="4">
        <v>4</v>
      </c>
      <c r="D2431" s="4">
        <v>4</v>
      </c>
      <c r="E2431" s="4">
        <v>927</v>
      </c>
      <c r="F2431" s="4">
        <v>4</v>
      </c>
      <c r="G2431" s="4">
        <v>3708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4.18</v>
      </c>
      <c r="D2432" s="4">
        <v>4.18</v>
      </c>
      <c r="E2432" s="4">
        <v>0</v>
      </c>
      <c r="F2432" s="4">
        <v>0</v>
      </c>
      <c r="G2432" s="4">
        <v>0</v>
      </c>
      <c r="H2432" s="5">
        <f t="shared" si="37"/>
        <v>4.4999999999999929E-2</v>
      </c>
    </row>
    <row r="2433" spans="1:8" ht="13.5" x14ac:dyDescent="0.25">
      <c r="A2433" s="1"/>
      <c r="B2433" s="3">
        <v>45846</v>
      </c>
      <c r="C2433" s="4">
        <v>4.3600000000000003</v>
      </c>
      <c r="D2433" s="4">
        <v>4.3600000000000003</v>
      </c>
      <c r="E2433" s="4">
        <v>0</v>
      </c>
      <c r="F2433" s="4">
        <v>0</v>
      </c>
      <c r="G2433" s="4">
        <v>0</v>
      </c>
      <c r="H2433" s="5">
        <f t="shared" si="37"/>
        <v>4.3062200956937947E-2</v>
      </c>
    </row>
    <row r="2434" spans="1:8" ht="13.5" x14ac:dyDescent="0.25">
      <c r="A2434" s="1"/>
      <c r="B2434" s="3">
        <v>45847</v>
      </c>
      <c r="C2434" s="4">
        <v>4.55</v>
      </c>
      <c r="D2434" s="4">
        <v>4.55</v>
      </c>
      <c r="E2434" s="4">
        <v>0</v>
      </c>
      <c r="F2434" s="4">
        <v>0</v>
      </c>
      <c r="G2434" s="4">
        <v>0</v>
      </c>
      <c r="H2434" s="5">
        <f t="shared" si="37"/>
        <v>4.3577981651376031E-2</v>
      </c>
    </row>
    <row r="2435" spans="1:8" ht="13.5" x14ac:dyDescent="0.25">
      <c r="A2435" s="1"/>
      <c r="B2435" s="3">
        <v>45848</v>
      </c>
      <c r="C2435" s="4">
        <v>4.75</v>
      </c>
      <c r="D2435" s="4">
        <v>4.75</v>
      </c>
      <c r="E2435" s="4">
        <v>0</v>
      </c>
      <c r="F2435" s="4">
        <v>0</v>
      </c>
      <c r="G2435" s="4">
        <v>0</v>
      </c>
      <c r="H2435" s="5">
        <f t="shared" si="37"/>
        <v>4.3956043956043994E-2</v>
      </c>
    </row>
    <row r="2436" spans="1:8" ht="13.5" x14ac:dyDescent="0.25">
      <c r="A2436" s="1"/>
      <c r="B2436" s="3">
        <v>45849</v>
      </c>
      <c r="C2436" s="4">
        <v>4.54</v>
      </c>
      <c r="D2436" s="4">
        <v>4.54</v>
      </c>
      <c r="E2436" s="4">
        <v>0</v>
      </c>
      <c r="F2436" s="4">
        <v>0</v>
      </c>
      <c r="G2436" s="4">
        <v>0</v>
      </c>
      <c r="H2436" s="5">
        <f t="shared" si="37"/>
        <v>-4.4210526315789464E-2</v>
      </c>
    </row>
    <row r="2437" spans="1:8" ht="13.5" x14ac:dyDescent="0.25">
      <c r="A2437" s="1"/>
      <c r="B2437" s="3">
        <v>45852</v>
      </c>
      <c r="C2437" s="4">
        <v>4.74</v>
      </c>
      <c r="D2437" s="4">
        <v>4.74</v>
      </c>
      <c r="E2437" s="4">
        <v>0</v>
      </c>
      <c r="F2437" s="4">
        <v>0</v>
      </c>
      <c r="G2437" s="4">
        <v>0</v>
      </c>
      <c r="H2437" s="5">
        <f t="shared" si="37"/>
        <v>4.4052863436123385E-2</v>
      </c>
    </row>
    <row r="2438" spans="1:8" ht="13.5" x14ac:dyDescent="0.25">
      <c r="A2438" s="1"/>
      <c r="B2438" s="3">
        <v>45853</v>
      </c>
      <c r="C2438" s="4">
        <v>4.53</v>
      </c>
      <c r="D2438" s="4">
        <v>4.53</v>
      </c>
      <c r="E2438" s="4">
        <v>0</v>
      </c>
      <c r="F2438" s="4">
        <v>0</v>
      </c>
      <c r="G2438" s="4">
        <v>0</v>
      </c>
      <c r="H2438" s="5">
        <f t="shared" si="37"/>
        <v>-4.4303797468354424E-2</v>
      </c>
    </row>
    <row r="2439" spans="1:8" ht="13.5" x14ac:dyDescent="0.25">
      <c r="A2439" s="1"/>
      <c r="B2439" s="3">
        <v>45854</v>
      </c>
      <c r="C2439" s="4">
        <v>4.33</v>
      </c>
      <c r="D2439" s="4">
        <v>4.33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-4.4150110375275976E-2</v>
      </c>
    </row>
    <row r="2440" spans="1:8" ht="13.5" x14ac:dyDescent="0.25">
      <c r="A2440" s="1"/>
      <c r="B2440" s="3">
        <v>45855</v>
      </c>
      <c r="C2440" s="4">
        <v>4.1399999999999997</v>
      </c>
      <c r="D2440" s="4">
        <v>4.1399999999999997</v>
      </c>
      <c r="E2440" s="4">
        <v>0</v>
      </c>
      <c r="F2440" s="4">
        <v>0</v>
      </c>
      <c r="G2440" s="4">
        <v>0</v>
      </c>
      <c r="H2440" s="5">
        <f t="shared" si="38"/>
        <v>-4.3879907621247202E-2</v>
      </c>
    </row>
    <row r="2441" spans="1:8" ht="13.5" x14ac:dyDescent="0.25">
      <c r="A2441" s="1"/>
      <c r="B2441" s="3">
        <v>45856</v>
      </c>
      <c r="C2441" s="4">
        <v>3.96</v>
      </c>
      <c r="D2441" s="4">
        <v>3.96</v>
      </c>
      <c r="E2441" s="4">
        <v>1547</v>
      </c>
      <c r="F2441" s="4">
        <v>3.96</v>
      </c>
      <c r="G2441" s="4">
        <v>6126.12</v>
      </c>
      <c r="H2441" s="5">
        <f t="shared" si="38"/>
        <v>-4.3478260869565154E-2</v>
      </c>
    </row>
    <row r="2442" spans="1:8" ht="13.5" x14ac:dyDescent="0.25">
      <c r="A2442" s="1"/>
      <c r="B2442" s="3">
        <v>45859</v>
      </c>
      <c r="C2442" s="4">
        <v>3.96</v>
      </c>
      <c r="D2442" s="4">
        <v>3.96</v>
      </c>
      <c r="E2442" s="4">
        <v>500</v>
      </c>
      <c r="F2442" s="4">
        <v>3.96</v>
      </c>
      <c r="G2442" s="4">
        <v>1980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3.85</v>
      </c>
      <c r="D2443" s="4">
        <v>3.85</v>
      </c>
      <c r="E2443" s="4">
        <v>75</v>
      </c>
      <c r="F2443" s="4">
        <v>3.85</v>
      </c>
      <c r="G2443" s="4">
        <v>288.75</v>
      </c>
      <c r="H2443" s="5">
        <f t="shared" si="38"/>
        <v>-2.7777777777777745E-2</v>
      </c>
    </row>
    <row r="2444" spans="1:8" ht="13.5" x14ac:dyDescent="0.25">
      <c r="A2444" s="1"/>
      <c r="B2444" s="3">
        <v>45861</v>
      </c>
      <c r="C2444" s="4">
        <v>3.85</v>
      </c>
      <c r="D2444" s="4">
        <v>3.85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3.85</v>
      </c>
      <c r="D2445" s="4">
        <v>3.85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3.8</v>
      </c>
      <c r="D2446" s="4">
        <v>3.8</v>
      </c>
      <c r="E2446" s="4">
        <v>4</v>
      </c>
      <c r="F2446" s="4">
        <v>3.8</v>
      </c>
      <c r="G2446" s="4">
        <v>15.2</v>
      </c>
      <c r="H2446" s="5">
        <f t="shared" si="38"/>
        <v>-1.2987012987013056E-2</v>
      </c>
    </row>
    <row r="2447" spans="1:8" ht="13.5" x14ac:dyDescent="0.25">
      <c r="A2447" s="1"/>
      <c r="B2447" s="3">
        <v>45867</v>
      </c>
      <c r="C2447" s="4">
        <v>3.96</v>
      </c>
      <c r="D2447" s="4">
        <v>3.96</v>
      </c>
      <c r="E2447" s="4">
        <v>55</v>
      </c>
      <c r="F2447" s="4">
        <v>3.96</v>
      </c>
      <c r="G2447" s="4">
        <v>217.8</v>
      </c>
      <c r="H2447" s="5">
        <f t="shared" si="38"/>
        <v>4.2105263157894778E-2</v>
      </c>
    </row>
    <row r="2448" spans="1:8" ht="13.5" x14ac:dyDescent="0.25">
      <c r="A2448" s="1"/>
      <c r="B2448" s="3">
        <v>45868</v>
      </c>
      <c r="C2448" s="4">
        <v>3.8</v>
      </c>
      <c r="D2448" s="4">
        <v>3.8</v>
      </c>
      <c r="E2448" s="4">
        <v>233</v>
      </c>
      <c r="F2448" s="4">
        <v>3.8</v>
      </c>
      <c r="G2448" s="4">
        <v>885.4</v>
      </c>
      <c r="H2448" s="5">
        <f t="shared" si="38"/>
        <v>-4.0404040404040442E-2</v>
      </c>
    </row>
    <row r="2449" spans="1:8" ht="13.5" x14ac:dyDescent="0.25">
      <c r="A2449" s="1"/>
      <c r="B2449" s="3">
        <v>45869</v>
      </c>
      <c r="C2449" s="4">
        <v>3.8</v>
      </c>
      <c r="D2449" s="4">
        <v>3.8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3.71</v>
      </c>
      <c r="D2450" s="4">
        <v>3.71</v>
      </c>
      <c r="E2450" s="4">
        <v>7</v>
      </c>
      <c r="F2450" s="4">
        <v>3.71</v>
      </c>
      <c r="G2450" s="4">
        <v>25.97</v>
      </c>
      <c r="H2450" s="5">
        <f t="shared" si="38"/>
        <v>-2.3684210526315752E-2</v>
      </c>
    </row>
    <row r="2451" spans="1:8" ht="13.5" x14ac:dyDescent="0.25">
      <c r="A2451" s="1"/>
      <c r="B2451" s="3">
        <v>45873</v>
      </c>
      <c r="C2451" s="4">
        <v>3.78</v>
      </c>
      <c r="D2451" s="4">
        <v>3.78</v>
      </c>
      <c r="E2451" s="4">
        <v>200</v>
      </c>
      <c r="F2451" s="4">
        <v>3.78</v>
      </c>
      <c r="G2451" s="4">
        <v>756</v>
      </c>
      <c r="H2451" s="5">
        <f t="shared" si="38"/>
        <v>1.8867924528301844E-2</v>
      </c>
    </row>
    <row r="2452" spans="1:8" ht="13.5" x14ac:dyDescent="0.25">
      <c r="A2452" s="1"/>
      <c r="B2452" s="3">
        <v>45874</v>
      </c>
      <c r="C2452" s="4">
        <v>3.79</v>
      </c>
      <c r="D2452" s="4">
        <v>3.79</v>
      </c>
      <c r="E2452" s="4">
        <v>597</v>
      </c>
      <c r="F2452" s="4">
        <v>3.79</v>
      </c>
      <c r="G2452" s="4">
        <v>2262.63</v>
      </c>
      <c r="H2452" s="5">
        <f t="shared" si="38"/>
        <v>2.6455026455027069E-3</v>
      </c>
    </row>
    <row r="2453" spans="1:8" ht="13.5" x14ac:dyDescent="0.25">
      <c r="A2453" s="1"/>
      <c r="B2453" s="3">
        <v>45875</v>
      </c>
      <c r="C2453" s="4">
        <v>3.79</v>
      </c>
      <c r="D2453" s="4">
        <v>3.79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3.78</v>
      </c>
      <c r="D2454" s="4">
        <v>3.78</v>
      </c>
      <c r="E2454" s="4">
        <v>90</v>
      </c>
      <c r="F2454" s="4">
        <v>3.78</v>
      </c>
      <c r="G2454" s="4">
        <v>340.2</v>
      </c>
      <c r="H2454" s="5">
        <f t="shared" si="38"/>
        <v>-2.6385224274406943E-3</v>
      </c>
    </row>
    <row r="2455" spans="1:8" ht="13.5" x14ac:dyDescent="0.25">
      <c r="A2455" s="1"/>
      <c r="B2455" s="3">
        <v>45877</v>
      </c>
      <c r="C2455" s="4">
        <v>3.79</v>
      </c>
      <c r="D2455" s="4">
        <v>3.79</v>
      </c>
      <c r="E2455" s="4">
        <v>2059</v>
      </c>
      <c r="F2455" s="4">
        <v>3.7839999999999998</v>
      </c>
      <c r="G2455" s="4">
        <v>7791.2560000000003</v>
      </c>
      <c r="H2455" s="5">
        <f t="shared" si="38"/>
        <v>2.6455026455027069E-3</v>
      </c>
    </row>
    <row r="2456" spans="1:8" ht="13.5" x14ac:dyDescent="0.25">
      <c r="A2456" s="1"/>
      <c r="B2456" s="3">
        <v>45880</v>
      </c>
      <c r="C2456" s="4">
        <v>3.96</v>
      </c>
      <c r="D2456" s="4">
        <v>3.96</v>
      </c>
      <c r="E2456" s="4">
        <v>0</v>
      </c>
      <c r="F2456" s="4">
        <v>0</v>
      </c>
      <c r="G2456" s="4">
        <v>0</v>
      </c>
      <c r="H2456" s="5">
        <f t="shared" si="38"/>
        <v>4.4854881266490745E-2</v>
      </c>
    </row>
    <row r="2457" spans="1:8" ht="13.5" x14ac:dyDescent="0.25">
      <c r="A2457" s="1"/>
      <c r="B2457" s="3">
        <v>45881</v>
      </c>
      <c r="C2457" s="4">
        <v>4.13</v>
      </c>
      <c r="D2457" s="4">
        <v>4.13</v>
      </c>
      <c r="E2457" s="4">
        <v>0</v>
      </c>
      <c r="F2457" s="4">
        <v>0</v>
      </c>
      <c r="G2457" s="4">
        <v>0</v>
      </c>
      <c r="H2457" s="5">
        <f t="shared" si="38"/>
        <v>4.2929292929292914E-2</v>
      </c>
    </row>
    <row r="2458" spans="1:8" ht="13.5" x14ac:dyDescent="0.25">
      <c r="A2458" s="1"/>
      <c r="B2458" s="3">
        <v>45883</v>
      </c>
      <c r="C2458" s="4">
        <v>4.3099999999999996</v>
      </c>
      <c r="D2458" s="4">
        <v>4.3099999999999996</v>
      </c>
      <c r="E2458" s="4">
        <v>37</v>
      </c>
      <c r="F2458" s="4">
        <v>4.3099999999999996</v>
      </c>
      <c r="G2458" s="4">
        <v>159.47</v>
      </c>
      <c r="H2458" s="5">
        <f t="shared" si="38"/>
        <v>4.3583535108958772E-2</v>
      </c>
    </row>
    <row r="2459" spans="1:8" ht="13.5" x14ac:dyDescent="0.25">
      <c r="A2459" s="1"/>
      <c r="B2459" s="3">
        <v>45884</v>
      </c>
      <c r="C2459" s="4">
        <v>4.3099999999999996</v>
      </c>
      <c r="D2459" s="4">
        <v>4.3099999999999996</v>
      </c>
      <c r="E2459" s="4">
        <v>0</v>
      </c>
      <c r="F2459" s="4">
        <v>0</v>
      </c>
      <c r="G2459" s="4">
        <v>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4.5</v>
      </c>
      <c r="D2460" s="4">
        <v>4.5</v>
      </c>
      <c r="E2460" s="4">
        <v>17</v>
      </c>
      <c r="F2460" s="4">
        <v>4.5</v>
      </c>
      <c r="G2460" s="4">
        <v>76.5</v>
      </c>
      <c r="H2460" s="5">
        <f t="shared" si="38"/>
        <v>4.4083526682134666E-2</v>
      </c>
    </row>
    <row r="2461" spans="1:8" ht="13.5" x14ac:dyDescent="0.25">
      <c r="A2461" s="1"/>
      <c r="B2461" s="3">
        <v>45888</v>
      </c>
      <c r="C2461" s="4">
        <v>4.5</v>
      </c>
      <c r="D2461" s="4">
        <v>4.5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4.5</v>
      </c>
      <c r="D2462" s="4">
        <v>4.5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4.5</v>
      </c>
      <c r="D2463" s="4">
        <v>4.5</v>
      </c>
      <c r="E2463" s="4">
        <v>0</v>
      </c>
      <c r="F2463" s="4">
        <v>0</v>
      </c>
      <c r="G2463" s="4">
        <v>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4.3</v>
      </c>
      <c r="D2464" s="4">
        <v>4.3</v>
      </c>
      <c r="E2464" s="4">
        <v>0</v>
      </c>
      <c r="F2464" s="4">
        <v>0</v>
      </c>
      <c r="G2464" s="4">
        <v>0</v>
      </c>
      <c r="H2464" s="5">
        <f t="shared" si="38"/>
        <v>-4.4444444444444481E-2</v>
      </c>
    </row>
    <row r="2465" spans="1:8" ht="13.5" x14ac:dyDescent="0.25">
      <c r="A2465" s="1"/>
      <c r="B2465" s="3">
        <v>45894</v>
      </c>
      <c r="C2465" s="4">
        <v>4.3</v>
      </c>
      <c r="D2465" s="4">
        <v>4.3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4.1100000000000003</v>
      </c>
      <c r="D2466" s="4">
        <v>4.1100000000000003</v>
      </c>
      <c r="E2466" s="4">
        <v>0</v>
      </c>
      <c r="F2466" s="4">
        <v>0</v>
      </c>
      <c r="G2466" s="4">
        <v>0</v>
      </c>
      <c r="H2466" s="5">
        <f t="shared" si="38"/>
        <v>-4.4186046511627795E-2</v>
      </c>
    </row>
    <row r="2467" spans="1:8" ht="13.5" x14ac:dyDescent="0.25">
      <c r="A2467" s="1"/>
      <c r="B2467" s="3">
        <v>45896</v>
      </c>
      <c r="C2467" s="4">
        <v>4.29</v>
      </c>
      <c r="D2467" s="4">
        <v>4.29</v>
      </c>
      <c r="E2467" s="4">
        <v>1187</v>
      </c>
      <c r="F2467" s="4">
        <v>4</v>
      </c>
      <c r="G2467" s="4">
        <v>4748</v>
      </c>
      <c r="H2467" s="5">
        <f t="shared" si="38"/>
        <v>4.379562043795613E-2</v>
      </c>
    </row>
    <row r="2468" spans="1:8" ht="13.5" x14ac:dyDescent="0.25">
      <c r="A2468" s="1"/>
      <c r="B2468" s="3">
        <v>45897</v>
      </c>
      <c r="C2468" s="4">
        <v>4.0999999999999996</v>
      </c>
      <c r="D2468" s="4">
        <v>4.0999999999999996</v>
      </c>
      <c r="E2468" s="4">
        <v>0</v>
      </c>
      <c r="F2468" s="4">
        <v>0</v>
      </c>
      <c r="G2468" s="4">
        <v>0</v>
      </c>
      <c r="H2468" s="5">
        <f t="shared" si="38"/>
        <v>-4.4289044289044378E-2</v>
      </c>
    </row>
    <row r="2469" spans="1:8" ht="13.5" x14ac:dyDescent="0.25">
      <c r="A2469" s="1"/>
      <c r="B2469" s="3">
        <v>45898</v>
      </c>
      <c r="C2469" s="4">
        <v>4</v>
      </c>
      <c r="D2469" s="4">
        <v>4</v>
      </c>
      <c r="E2469" s="4">
        <v>1160</v>
      </c>
      <c r="F2469" s="4">
        <v>4</v>
      </c>
      <c r="G2469" s="4">
        <v>4640</v>
      </c>
      <c r="H2469" s="5">
        <f t="shared" si="38"/>
        <v>-2.4390243902438939E-2</v>
      </c>
    </row>
    <row r="2470" spans="1:8" ht="13.5" x14ac:dyDescent="0.25">
      <c r="A2470" s="1"/>
      <c r="B2470" s="3">
        <v>45901</v>
      </c>
      <c r="C2470" s="4">
        <v>4.18</v>
      </c>
      <c r="D2470" s="4">
        <v>4.18</v>
      </c>
      <c r="E2470" s="4">
        <v>5</v>
      </c>
      <c r="F2470" s="4">
        <v>4.18</v>
      </c>
      <c r="G2470" s="4">
        <v>20.9</v>
      </c>
      <c r="H2470" s="5">
        <f t="shared" si="38"/>
        <v>4.4999999999999929E-2</v>
      </c>
    </row>
    <row r="2471" spans="1:8" ht="13.5" x14ac:dyDescent="0.25">
      <c r="A2471" s="1"/>
      <c r="B2471" s="3">
        <v>45902</v>
      </c>
      <c r="C2471" s="4">
        <v>4.18</v>
      </c>
      <c r="D2471" s="4">
        <v>4.18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4.18</v>
      </c>
      <c r="D2472" s="4">
        <v>4.18</v>
      </c>
      <c r="E2472" s="4">
        <v>2700</v>
      </c>
      <c r="F2472" s="4">
        <v>4.18</v>
      </c>
      <c r="G2472" s="4">
        <v>11286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4.18</v>
      </c>
      <c r="D2473" s="4">
        <v>4.18</v>
      </c>
      <c r="E2473" s="4">
        <v>1820</v>
      </c>
      <c r="F2473" s="4">
        <v>4.18</v>
      </c>
      <c r="G2473" s="4">
        <v>7607.6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4.18</v>
      </c>
      <c r="D2474" s="4">
        <v>4.18</v>
      </c>
      <c r="E2474" s="4">
        <v>2826</v>
      </c>
      <c r="F2474" s="4">
        <v>4.18</v>
      </c>
      <c r="G2474" s="4">
        <v>11812.68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4.16</v>
      </c>
      <c r="D2475" s="4">
        <v>4.16</v>
      </c>
      <c r="E2475" s="4">
        <v>1500</v>
      </c>
      <c r="F2475" s="4">
        <v>4.1790000000000003</v>
      </c>
      <c r="G2475" s="4">
        <v>6268.5</v>
      </c>
      <c r="H2475" s="5">
        <f t="shared" si="38"/>
        <v>-4.7846889952152093E-3</v>
      </c>
    </row>
    <row r="2476" spans="1:8" ht="13.5" x14ac:dyDescent="0.25">
      <c r="A2476" s="1"/>
      <c r="B2476" s="3">
        <v>45910</v>
      </c>
      <c r="C2476" s="4">
        <v>4.1500000000000004</v>
      </c>
      <c r="D2476" s="4">
        <v>4.1500000000000004</v>
      </c>
      <c r="E2476" s="4">
        <v>83</v>
      </c>
      <c r="F2476" s="4">
        <v>4.1500000000000004</v>
      </c>
      <c r="G2476" s="4">
        <v>344.45</v>
      </c>
      <c r="H2476" s="5">
        <f t="shared" si="38"/>
        <v>-2.4038461538461024E-3</v>
      </c>
    </row>
    <row r="2477" spans="1:8" ht="13.5" x14ac:dyDescent="0.25">
      <c r="A2477" s="1"/>
      <c r="B2477" s="3">
        <v>45911</v>
      </c>
      <c r="C2477" s="4">
        <v>4.18</v>
      </c>
      <c r="D2477" s="4">
        <v>4.18</v>
      </c>
      <c r="E2477" s="4">
        <v>130</v>
      </c>
      <c r="F2477" s="4">
        <v>4.1779999999999999</v>
      </c>
      <c r="G2477" s="4">
        <v>543.14</v>
      </c>
      <c r="H2477" s="5">
        <f t="shared" si="38"/>
        <v>7.2289156626504474E-3</v>
      </c>
    </row>
    <row r="2478" spans="1:8" ht="13.5" x14ac:dyDescent="0.25">
      <c r="A2478" s="1"/>
      <c r="B2478" s="3">
        <v>45912</v>
      </c>
      <c r="C2478" s="4">
        <v>4.1500000000000004</v>
      </c>
      <c r="D2478" s="4">
        <v>4.1500000000000004</v>
      </c>
      <c r="E2478" s="4">
        <v>612</v>
      </c>
      <c r="F2478" s="4">
        <v>4.1500000000000004</v>
      </c>
      <c r="G2478" s="4">
        <v>2539.8000000000002</v>
      </c>
      <c r="H2478" s="5">
        <f t="shared" si="38"/>
        <v>-7.177033492822814E-3</v>
      </c>
    </row>
    <row r="2479" spans="1:8" ht="13.5" x14ac:dyDescent="0.25">
      <c r="A2479" s="1"/>
      <c r="B2479" s="3">
        <v>45915</v>
      </c>
      <c r="C2479" s="4">
        <v>4.1500000000000004</v>
      </c>
      <c r="D2479" s="4">
        <v>4.1500000000000004</v>
      </c>
      <c r="E2479" s="4">
        <v>1110</v>
      </c>
      <c r="F2479" s="4">
        <v>4.0149999999999997</v>
      </c>
      <c r="G2479" s="4">
        <v>4456.6499999999996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4.18</v>
      </c>
      <c r="D2480" s="4">
        <v>4.18</v>
      </c>
      <c r="E2480" s="4">
        <v>2955</v>
      </c>
      <c r="F2480" s="4">
        <v>4.1130000000000004</v>
      </c>
      <c r="G2480" s="4">
        <v>12153.915000000001</v>
      </c>
      <c r="H2480" s="5">
        <f t="shared" si="38"/>
        <v>7.2289156626504474E-3</v>
      </c>
    </row>
    <row r="2481" spans="1:8" ht="13.5" x14ac:dyDescent="0.25">
      <c r="A2481" s="1"/>
      <c r="B2481" s="3">
        <v>45917</v>
      </c>
      <c r="C2481" s="4">
        <v>4.18</v>
      </c>
      <c r="D2481" s="4">
        <v>4.18</v>
      </c>
      <c r="E2481" s="4">
        <v>0</v>
      </c>
      <c r="F2481" s="4">
        <v>0</v>
      </c>
      <c r="G2481" s="4">
        <v>0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4.18</v>
      </c>
      <c r="D2482" s="4">
        <v>4.18</v>
      </c>
      <c r="E2482" s="4">
        <v>0</v>
      </c>
      <c r="F2482" s="4">
        <v>0</v>
      </c>
      <c r="G2482" s="4">
        <v>0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4</v>
      </c>
      <c r="D2483" s="4">
        <v>4</v>
      </c>
      <c r="E2483" s="4">
        <v>0</v>
      </c>
      <c r="F2483" s="4">
        <v>0</v>
      </c>
      <c r="G2483" s="4">
        <v>0</v>
      </c>
      <c r="H2483" s="5">
        <f t="shared" si="38"/>
        <v>-4.3062200956937732E-2</v>
      </c>
    </row>
    <row r="2484" spans="1:8" ht="13.5" x14ac:dyDescent="0.25">
      <c r="A2484" s="1"/>
      <c r="B2484" s="3">
        <v>45922</v>
      </c>
      <c r="C2484" s="4">
        <v>3.82</v>
      </c>
      <c r="D2484" s="4">
        <v>3.82</v>
      </c>
      <c r="E2484" s="4">
        <v>0</v>
      </c>
      <c r="F2484" s="4">
        <v>0</v>
      </c>
      <c r="G2484" s="4">
        <v>0</v>
      </c>
      <c r="H2484" s="5">
        <f t="shared" si="38"/>
        <v>-4.500000000000004E-2</v>
      </c>
    </row>
    <row r="2485" spans="1:8" ht="13.5" x14ac:dyDescent="0.25">
      <c r="A2485" s="1"/>
      <c r="B2485" s="3">
        <v>45923</v>
      </c>
      <c r="C2485" s="4">
        <v>3.82</v>
      </c>
      <c r="D2485" s="4">
        <v>3.82</v>
      </c>
      <c r="E2485" s="4">
        <v>14</v>
      </c>
      <c r="F2485" s="4">
        <v>3.82</v>
      </c>
      <c r="G2485" s="4">
        <v>53.48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3.7</v>
      </c>
      <c r="D2486" s="4">
        <v>3.7</v>
      </c>
      <c r="E2486" s="4">
        <v>948</v>
      </c>
      <c r="F2486" s="4">
        <v>3.7</v>
      </c>
      <c r="G2486" s="4">
        <v>3507.6</v>
      </c>
      <c r="H2486" s="5">
        <f t="shared" si="38"/>
        <v>-3.1413612565444941E-2</v>
      </c>
    </row>
    <row r="2487" spans="1:8" ht="13.5" x14ac:dyDescent="0.25">
      <c r="A2487" s="1"/>
      <c r="B2487" s="3">
        <v>45925</v>
      </c>
      <c r="C2487" s="4">
        <v>3.54</v>
      </c>
      <c r="D2487" s="4">
        <v>3.54</v>
      </c>
      <c r="E2487" s="4">
        <v>650</v>
      </c>
      <c r="F2487" s="4">
        <v>3.5449999999999999</v>
      </c>
      <c r="G2487" s="4">
        <v>2304.25</v>
      </c>
      <c r="H2487" s="5">
        <f t="shared" si="38"/>
        <v>-4.324324324324328E-2</v>
      </c>
    </row>
    <row r="2488" spans="1:8" ht="13.5" x14ac:dyDescent="0.25">
      <c r="A2488" s="1"/>
      <c r="B2488" s="3">
        <v>45926</v>
      </c>
      <c r="C2488" s="4">
        <v>3.69</v>
      </c>
      <c r="D2488" s="4">
        <v>3.69</v>
      </c>
      <c r="E2488" s="4">
        <v>82</v>
      </c>
      <c r="F2488" s="4">
        <v>3.69</v>
      </c>
      <c r="G2488" s="4">
        <v>302.58</v>
      </c>
      <c r="H2488" s="5">
        <f t="shared" si="38"/>
        <v>4.2372881355932181E-2</v>
      </c>
    </row>
    <row r="2489" spans="1:8" ht="13.5" x14ac:dyDescent="0.25">
      <c r="A2489" s="1"/>
      <c r="B2489" s="3">
        <v>45929</v>
      </c>
      <c r="C2489" s="4">
        <v>3.69</v>
      </c>
      <c r="D2489" s="4">
        <v>3.69</v>
      </c>
      <c r="E2489" s="4">
        <v>32</v>
      </c>
      <c r="F2489" s="4">
        <v>3.69</v>
      </c>
      <c r="G2489" s="4">
        <v>118.08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3.85</v>
      </c>
      <c r="D2490" s="4">
        <v>3.85</v>
      </c>
      <c r="E2490" s="4">
        <v>0</v>
      </c>
      <c r="F2490" s="4">
        <v>0</v>
      </c>
      <c r="G2490" s="4">
        <v>0</v>
      </c>
      <c r="H2490" s="5">
        <f t="shared" si="38"/>
        <v>4.3360433604336085E-2</v>
      </c>
    </row>
    <row r="2491" spans="1:8" ht="13.5" x14ac:dyDescent="0.25">
      <c r="A2491" s="1"/>
      <c r="B2491" s="3">
        <v>45931</v>
      </c>
      <c r="C2491" s="4">
        <v>3.85</v>
      </c>
      <c r="D2491" s="4">
        <v>3.85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4.0199999999999996</v>
      </c>
      <c r="D2492" s="4">
        <v>4.0199999999999996</v>
      </c>
      <c r="E2492" s="4">
        <v>0</v>
      </c>
      <c r="F2492" s="4">
        <v>0</v>
      </c>
      <c r="G2492" s="4">
        <v>0</v>
      </c>
      <c r="H2492" s="5">
        <f t="shared" si="38"/>
        <v>4.4155844155844018E-2</v>
      </c>
    </row>
    <row r="2493" spans="1:8" ht="13.5" x14ac:dyDescent="0.25">
      <c r="A2493" s="1"/>
      <c r="B2493" s="3">
        <v>45933</v>
      </c>
      <c r="C2493" s="4">
        <v>3.99</v>
      </c>
      <c r="D2493" s="4">
        <v>3.99</v>
      </c>
      <c r="E2493" s="4">
        <v>187</v>
      </c>
      <c r="F2493" s="4">
        <v>3.9369999999999998</v>
      </c>
      <c r="G2493" s="4">
        <v>736.21900000000005</v>
      </c>
      <c r="H2493" s="5">
        <f t="shared" si="38"/>
        <v>-7.4626865671640211E-3</v>
      </c>
    </row>
    <row r="2494" spans="1:8" ht="13.5" x14ac:dyDescent="0.25">
      <c r="A2494" s="1"/>
      <c r="B2494" s="3">
        <v>45936</v>
      </c>
      <c r="C2494" s="4">
        <v>4.16</v>
      </c>
      <c r="D2494" s="4">
        <v>4.16</v>
      </c>
      <c r="E2494" s="4">
        <v>0</v>
      </c>
      <c r="F2494" s="4">
        <v>0</v>
      </c>
      <c r="G2494" s="4">
        <v>0</v>
      </c>
      <c r="H2494" s="5">
        <f t="shared" si="38"/>
        <v>4.2606516290726794E-2</v>
      </c>
    </row>
    <row r="2495" spans="1:8" ht="13.5" x14ac:dyDescent="0.25">
      <c r="A2495" s="1"/>
      <c r="B2495" s="3">
        <v>45937</v>
      </c>
      <c r="C2495" s="4">
        <v>3.98</v>
      </c>
      <c r="D2495" s="4">
        <v>3.98</v>
      </c>
      <c r="E2495" s="4">
        <v>37</v>
      </c>
      <c r="F2495" s="4">
        <v>3.98</v>
      </c>
      <c r="G2495" s="4">
        <v>147.26</v>
      </c>
      <c r="H2495" s="5">
        <f t="shared" si="38"/>
        <v>-4.3269230769230803E-2</v>
      </c>
    </row>
    <row r="2496" spans="1:8" ht="13.5" x14ac:dyDescent="0.25">
      <c r="A2496" s="1"/>
      <c r="B2496" s="3">
        <v>45938</v>
      </c>
      <c r="C2496" s="4">
        <v>4.1500000000000004</v>
      </c>
      <c r="D2496" s="4">
        <v>4.1500000000000004</v>
      </c>
      <c r="E2496" s="4">
        <v>0</v>
      </c>
      <c r="F2496" s="4">
        <v>0</v>
      </c>
      <c r="G2496" s="4">
        <v>0</v>
      </c>
      <c r="H2496" s="5">
        <f t="shared" si="38"/>
        <v>4.2713567839196075E-2</v>
      </c>
    </row>
    <row r="2497" spans="1:11" ht="13.5" x14ac:dyDescent="0.25">
      <c r="A2497" s="1"/>
      <c r="B2497" s="3">
        <v>45939</v>
      </c>
      <c r="C2497" s="4">
        <v>4.1500000000000004</v>
      </c>
      <c r="D2497" s="4">
        <v>4.1500000000000004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4.1500000000000004</v>
      </c>
      <c r="D2498" s="4">
        <v>4.1500000000000004</v>
      </c>
      <c r="E2498" s="4">
        <v>0</v>
      </c>
      <c r="F2498" s="4">
        <v>0</v>
      </c>
      <c r="G2498" s="4">
        <v>0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4.1500000000000004</v>
      </c>
      <c r="D2499" s="4">
        <v>4.1500000000000004</v>
      </c>
      <c r="E2499" s="4">
        <v>0</v>
      </c>
      <c r="F2499" s="4">
        <v>0</v>
      </c>
      <c r="G2499" s="4">
        <v>0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4.1500000000000004</v>
      </c>
      <c r="D2500" s="4">
        <v>4.1500000000000004</v>
      </c>
      <c r="E2500" s="4">
        <v>0</v>
      </c>
      <c r="F2500" s="4">
        <v>0</v>
      </c>
      <c r="G2500" s="4">
        <v>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3.97</v>
      </c>
      <c r="D2501" s="4">
        <v>3.97</v>
      </c>
      <c r="E2501" s="4">
        <v>0</v>
      </c>
      <c r="F2501" s="4">
        <v>0</v>
      </c>
      <c r="G2501" s="4">
        <v>0</v>
      </c>
      <c r="H2501" s="5">
        <f t="shared" si="38"/>
        <v>-4.3373493975903649E-2</v>
      </c>
    </row>
    <row r="2502" spans="1:11" ht="13.5" x14ac:dyDescent="0.25">
      <c r="A2502" s="1"/>
      <c r="B2502" s="3">
        <v>45947</v>
      </c>
      <c r="C2502" s="4">
        <v>4.1399999999999997</v>
      </c>
      <c r="D2502" s="4">
        <v>4.1399999999999997</v>
      </c>
      <c r="E2502" s="4">
        <v>0</v>
      </c>
      <c r="F2502" s="4">
        <v>0</v>
      </c>
      <c r="G2502" s="4">
        <v>0</v>
      </c>
      <c r="H2502" s="5">
        <f t="shared" si="38"/>
        <v>4.2821158690176192E-2</v>
      </c>
    </row>
    <row r="2503" spans="1:11" ht="13.5" x14ac:dyDescent="0.25">
      <c r="A2503" s="1"/>
      <c r="B2503" s="3">
        <v>45950</v>
      </c>
      <c r="C2503" s="4">
        <v>3.96</v>
      </c>
      <c r="D2503" s="4">
        <v>3.96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-4.3478260869565154E-2</v>
      </c>
    </row>
    <row r="2504" spans="1:11" ht="13.5" x14ac:dyDescent="0.25">
      <c r="A2504" s="1"/>
      <c r="B2504" s="3">
        <v>45951</v>
      </c>
      <c r="C2504" s="4">
        <v>3.8</v>
      </c>
      <c r="D2504" s="4">
        <v>3.8</v>
      </c>
      <c r="E2504" s="4">
        <v>516</v>
      </c>
      <c r="F2504" s="4">
        <v>3.8</v>
      </c>
      <c r="G2504" s="4">
        <v>1960.8</v>
      </c>
      <c r="H2504" s="5">
        <f t="shared" si="39"/>
        <v>-4.0404040404040442E-2</v>
      </c>
    </row>
    <row r="2505" spans="1:11" ht="13.5" x14ac:dyDescent="0.25">
      <c r="A2505" s="1"/>
      <c r="B2505" s="3">
        <v>45952</v>
      </c>
      <c r="C2505" s="4">
        <v>3.8</v>
      </c>
      <c r="D2505" s="4">
        <v>3.8</v>
      </c>
      <c r="E2505" s="4">
        <v>0</v>
      </c>
      <c r="F2505" s="4">
        <v>0</v>
      </c>
      <c r="G2505" s="4">
        <v>0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3.97</v>
      </c>
      <c r="D2506" s="4">
        <v>3.97</v>
      </c>
      <c r="E2506" s="4">
        <v>0</v>
      </c>
      <c r="F2506" s="4">
        <v>0</v>
      </c>
      <c r="G2506" s="4">
        <v>0</v>
      </c>
      <c r="H2506" s="5">
        <f t="shared" si="39"/>
        <v>4.4736842105263255E-2</v>
      </c>
    </row>
    <row r="2507" spans="1:11" ht="13.5" x14ac:dyDescent="0.25">
      <c r="A2507" s="1"/>
      <c r="B2507" s="3">
        <v>45954</v>
      </c>
      <c r="C2507" s="4">
        <v>3.97</v>
      </c>
      <c r="D2507" s="4">
        <v>3.97</v>
      </c>
      <c r="E2507" s="4">
        <v>3</v>
      </c>
      <c r="F2507" s="4">
        <v>3.97</v>
      </c>
      <c r="G2507" s="4">
        <v>11.91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3.8</v>
      </c>
      <c r="D2508" s="4">
        <v>3.8</v>
      </c>
      <c r="E2508" s="4">
        <v>0</v>
      </c>
      <c r="F2508" s="4">
        <v>0</v>
      </c>
      <c r="G2508" s="4">
        <v>0</v>
      </c>
      <c r="H2508" s="5">
        <f t="shared" si="39"/>
        <v>-4.2821158690176414E-2</v>
      </c>
    </row>
    <row r="2509" spans="1:11" ht="13.5" x14ac:dyDescent="0.25">
      <c r="A2509" s="1"/>
      <c r="B2509" s="3">
        <v>45958</v>
      </c>
      <c r="C2509" s="4">
        <v>3.8</v>
      </c>
      <c r="D2509" s="4">
        <v>3.8</v>
      </c>
      <c r="E2509" s="4">
        <v>26</v>
      </c>
      <c r="F2509" s="4">
        <v>3.742</v>
      </c>
      <c r="G2509" s="4">
        <v>97.292000000000002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3.63</v>
      </c>
      <c r="D2510" s="4">
        <v>3.63</v>
      </c>
      <c r="E2510" s="4">
        <v>267</v>
      </c>
      <c r="F2510" s="4">
        <v>3.63</v>
      </c>
      <c r="G2510" s="4">
        <v>969.21</v>
      </c>
      <c r="H2510" s="5">
        <f t="shared" si="39"/>
        <v>-4.4736842105263144E-2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3.63</v>
      </c>
      <c r="D2511" s="4">
        <v>3.63</v>
      </c>
      <c r="E2511" s="4">
        <v>90</v>
      </c>
      <c r="F2511" s="4">
        <v>3.63</v>
      </c>
      <c r="G2511" s="4">
        <v>326.7</v>
      </c>
      <c r="H2511" s="5">
        <f t="shared" si="39"/>
        <v>0</v>
      </c>
      <c r="I2511" s="8">
        <v>4500000</v>
      </c>
      <c r="J2511" s="9">
        <f>I2511*D2511</f>
        <v>16335000</v>
      </c>
      <c r="K2511" s="10">
        <f>SUM(E2307:E2511)/205</f>
        <v>477.8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F50C3-4560-4BD6-85E0-DDE7F15C0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A0163-D6AD-49D5-BD76-E3F1DC656E50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25c0b43-6af9-4148-8ec1-c95941059438"/>
  </ds:schemaRefs>
</ds:datastoreItem>
</file>

<file path=customXml/itemProps3.xml><?xml version="1.0" encoding="utf-8"?>
<ds:datastoreItem xmlns:ds="http://schemas.openxmlformats.org/officeDocument/2006/customXml" ds:itemID="{E7796794-D7B4-47E2-BF5B-DB283A5764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2025-11-04T19:35:55Z</dcterms:created>
  <dcterms:modified xsi:type="dcterms:W3CDTF">2025-11-05T05:35:32Z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